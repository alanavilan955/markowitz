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Produccion_Semanal" sheetId="2" state="visible" r:id="rId4"/>
    <sheet name="Parametros" sheetId="3" state="visible" r:id="rId5"/>
    <sheet name="Catalogo_Causas" sheetId="4" state="visible" r:id="rId6"/>
    <sheet name="Eventos_Paro" sheetId="5" state="visible" r:id="rId7"/>
    <sheet name="Matriz_Retornos" sheetId="6" state="visible" r:id="rId8"/>
    <sheet name="Matriz_OEE" sheetId="7" state="visible" r:id="rId9"/>
    <sheet name="Matriz_Margen_USD" sheetId="8" state="visible" r:id="rId10"/>
    <sheet name="Control_Dat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Suma de Eventos_Paro!Horas_Paro por línea y semana. No capturar a mano.</t>
        </r>
      </text>
    </comment>
    <comment ref="AR1" authorId="0">
      <text>
        <r>
          <rPr>
            <sz val="10"/>
            <rFont val="Arial"/>
            <family val="2"/>
          </rPr>
          <t xml:space="preserve">Margen de contribución semanal / capital empleado de la línea. Es la serie de retorno por 'activo' (línea).</t>
        </r>
      </text>
    </comment>
  </commentList>
</comments>
</file>

<file path=xl/sharedStrings.xml><?xml version="1.0" encoding="utf-8"?>
<sst xmlns="http://schemas.openxmlformats.org/spreadsheetml/2006/main" count="10712" uniqueCount="3250">
  <si>
    <t xml:space="preserve">Base de datos de eficiencia de producción. Planta de alimentos ilustrativa</t>
  </si>
  <si>
    <t xml:space="preserve">Naturaleza de los datos</t>
  </si>
  <si>
    <t xml:space="preserve">Sintéticos</t>
  </si>
  <si>
    <t xml:space="preserve">Datos simulados con semilla 20260917. No provienen de ninguna planta real ni de SAP. Sustituir por datos reales antes de cualquier decisión.</t>
  </si>
  <si>
    <t xml:space="preserve">Horizonte</t>
  </si>
  <si>
    <t xml:space="preserve">104 semanas</t>
  </si>
  <si>
    <t xml:space="preserve">Semanas que inician lunes, del 2024-09-16 al 2026-09-07. Moneda: USD. Unidad de volumen: lbs.</t>
  </si>
  <si>
    <t xml:space="preserve">Estructura</t>
  </si>
  <si>
    <t xml:space="preserve">8 líneas</t>
  </si>
  <si>
    <t xml:space="preserve">Cada línea es un 'activo' candidato para asignación de capacidad/capital. 832 registros línea-semana y 2185 eventos de paro.</t>
  </si>
  <si>
    <t xml:space="preserve">Convención de colores</t>
  </si>
  <si>
    <t xml:space="preserve">Texto azul</t>
  </si>
  <si>
    <t xml:space="preserve">Captura</t>
  </si>
  <si>
    <t xml:space="preserve">Dato de entrada; es la única celda que se reemplaza con datos reales.</t>
  </si>
  <si>
    <t xml:space="preserve">Texto negro</t>
  </si>
  <si>
    <t xml:space="preserve">Fórmula</t>
  </si>
  <si>
    <t xml:space="preserve">Cálculo en la misma hoja. No sobrescribir.</t>
  </si>
  <si>
    <t xml:space="preserve">Texto verde</t>
  </si>
  <si>
    <t xml:space="preserve">Vínculo</t>
  </si>
  <si>
    <t xml:space="preserve">Fórmula que trae datos de otra hoja. No sobrescribir.</t>
  </si>
  <si>
    <t xml:space="preserve">Relleno amarillo</t>
  </si>
  <si>
    <t xml:space="preserve">Supuesto clave</t>
  </si>
  <si>
    <t xml:space="preserve">Parámetro global editable (Parametros!N2:N4).</t>
  </si>
  <si>
    <t xml:space="preserve">Hojas</t>
  </si>
  <si>
    <t xml:space="preserve">Produccion_Semanal</t>
  </si>
  <si>
    <t xml:space="preserve">Tabla de hechos</t>
  </si>
  <si>
    <t xml:space="preserve">Una fila por línea y semana (tbl_produccion). Encabezados en fila 1, sin celdas combinadas; lista para pandas.read_excel(sheet_name='Produccion_Semanal').</t>
  </si>
  <si>
    <t xml:space="preserve">Eventos_Paro</t>
  </si>
  <si>
    <t xml:space="preserve">Bitácora</t>
  </si>
  <si>
    <t xml:space="preserve">Un evento de paro no planificado por fila (tbl_eventos). Alimenta Paro_No_Planificado_h por SUMIFS.</t>
  </si>
  <si>
    <t xml:space="preserve">Parametros</t>
  </si>
  <si>
    <t xml:space="preserve">Maestro</t>
  </si>
  <si>
    <t xml:space="preserve">Estándares por línea (tasa, costo de material, scrap estándar, precio, tarifa MO, capital empleado) y supuestos globales.</t>
  </si>
  <si>
    <t xml:space="preserve">Catalogo_Causas</t>
  </si>
  <si>
    <t xml:space="preserve">Causas de paro y su clasificación.</t>
  </si>
  <si>
    <t xml:space="preserve">Matriz_Retornos</t>
  </si>
  <si>
    <t xml:space="preserve">Serie pivote</t>
  </si>
  <si>
    <t xml:space="preserve">Semanas en filas, líneas en columnas; valor = Retorno_Semanal_Capital. Formato de entrada típico para un modelo de portafolio.</t>
  </si>
  <si>
    <t xml:space="preserve">Matriz_OEE</t>
  </si>
  <si>
    <t xml:space="preserve">Mismo formato con OEE semanal.</t>
  </si>
  <si>
    <t xml:space="preserve">Matriz_Margen_USD</t>
  </si>
  <si>
    <t xml:space="preserve">Mismo formato con margen de contribución semanal en USD.</t>
  </si>
  <si>
    <t xml:space="preserve">Control_Datos</t>
  </si>
  <si>
    <t xml:space="preserve">Validación</t>
  </si>
  <si>
    <t xml:space="preserve">Estadística descriptiva por línea y controles de integridad (conteo, conciliación de paros, duplicados).</t>
  </si>
  <si>
    <t xml:space="preserve">Definiciones clave</t>
  </si>
  <si>
    <t xml:space="preserve">Tiempo_Operativo_h</t>
  </si>
  <si>
    <t xml:space="preserve">Horas_Programadas − Paro_Planificado_h − Paro_No_Planificado_h.</t>
  </si>
  <si>
    <t xml:space="preserve">Disponibilidad</t>
  </si>
  <si>
    <t xml:space="preserve">Tiempo_Operativo_h / (Horas_Programadas − Paro_Planificado_h). El paro planificado no penaliza OEE.</t>
  </si>
  <si>
    <t xml:space="preserve">Rendimiento</t>
  </si>
  <si>
    <t xml:space="preserve">Lbs_Totales / (Tasa_Estandar_lbs_h × Tiempo_Operativo_h). Sin tope de 100% para exponer tasas estándar mal cargadas.</t>
  </si>
  <si>
    <t xml:space="preserve">Calidad</t>
  </si>
  <si>
    <t xml:space="preserve">Lbs_Buenas / Lbs_Totales.</t>
  </si>
  <si>
    <t xml:space="preserve">OEE</t>
  </si>
  <si>
    <t xml:space="preserve">Disponibilidad × Rendimiento × Calidad.</t>
  </si>
  <si>
    <t xml:space="preserve">Costo_Perfeccion_USD</t>
  </si>
  <si>
    <t xml:space="preserve">Lbs_Buenas × Costo_Material_Std_USD_lb (costo estándar sin scrap).</t>
  </si>
  <si>
    <t xml:space="preserve">Scrap_Estandar_USD</t>
  </si>
  <si>
    <t xml:space="preserve">Costo_Perfeccion_USD × Factor_Scrap_Std.</t>
  </si>
  <si>
    <t xml:space="preserve">Costo_Prime_Std_USD</t>
  </si>
  <si>
    <t xml:space="preserve">Perfección + scrap estándar = costo estándar del volumen de producto terminado.</t>
  </si>
  <si>
    <t xml:space="preserve">MUV_USD</t>
  </si>
  <si>
    <t xml:space="preserve">Material_Real_USD − Costo_Prime_Std_USD. Positivo = desfavorable.</t>
  </si>
  <si>
    <t xml:space="preserve">Perdida_Abs_Real_USD</t>
  </si>
  <si>
    <t xml:space="preserve">Scrap_Estandar_USD + MUV_USD.</t>
  </si>
  <si>
    <t xml:space="preserve">YTP_Pct</t>
  </si>
  <si>
    <t xml:space="preserve">Perdida_Abs_Real_USD / Costo_Perfeccion_USD (yield loss to perfection).</t>
  </si>
  <si>
    <t xml:space="preserve">Costo_Conversion_USD</t>
  </si>
  <si>
    <t xml:space="preserve">Mano de obra (con prima de horas extra) + energía + mantenimiento planificado y no planificado. Excluye depreciación y asignaciones.</t>
  </si>
  <si>
    <t xml:space="preserve">Margen_Contribucion_USD</t>
  </si>
  <si>
    <t xml:space="preserve">Ingreso_Neto_USD − Material_Real_USD − Costo_Conversion_USD.</t>
  </si>
  <si>
    <t xml:space="preserve">Retorno_Semanal_Capital</t>
  </si>
  <si>
    <t xml:space="preserve">Margen_Contribucion_USD / Capital_Empleado_USD. Serie de retorno por línea.</t>
  </si>
  <si>
    <t xml:space="preserve">Eventos sembrados para prueba</t>
  </si>
  <si>
    <t xml:space="preserve">L05 semana 2025-06-16</t>
  </si>
  <si>
    <t xml:space="preserve">Falla</t>
  </si>
  <si>
    <t xml:space="preserve">Homogeneizador, 840 minutos (C01), scrap +3 pp y USD 18,000 de mantenimiento correctivo adicional.</t>
  </si>
  <si>
    <t xml:space="preserve">L07 semana 2026-02-09</t>
  </si>
  <si>
    <t xml:space="preserve">Suministro</t>
  </si>
  <si>
    <t xml:space="preserve">Formadora-llenadora-selladora, 540 minutos por falta de empaque (C04).</t>
  </si>
  <si>
    <t xml:space="preserve">L03 semanas 2025-11-03 a 2025-12-15</t>
  </si>
  <si>
    <t xml:space="preserve">MUV</t>
  </si>
  <si>
    <t xml:space="preserve">MUV desfavorable adicional de 3.5% sobre costo prime estándar (simula sustitución de ingrediente).</t>
  </si>
  <si>
    <t xml:space="preserve">L04 Salsa BBQ</t>
  </si>
  <si>
    <t xml:space="preserve">Estacionalidad</t>
  </si>
  <si>
    <t xml:space="preserve">Horas programadas y plan con estacionalidad de ±18% y pico hacia julio; demanda con variación semanal por línea de 5% a 15%.</t>
  </si>
  <si>
    <t xml:space="preserve">Calibración</t>
  </si>
  <si>
    <t xml:space="preserve">Precio y capital</t>
  </si>
  <si>
    <t xml:space="preserve">Precio neto calibrado a márgenes de contribución objetivo de 20% a 33% y capital empleado calibrado a retornos anuales de 18% a 38%. Ambos supuestos son ilustrativos.</t>
  </si>
  <si>
    <t xml:space="preserve">Limitaciones</t>
  </si>
  <si>
    <t xml:space="preserve">Capital empleado</t>
  </si>
  <si>
    <t xml:space="preserve">Constante</t>
  </si>
  <si>
    <t xml:space="preserve">Un valor fijo por línea en Parametros; en datos reales conviene saldo semanal o mensual de activo neto.</t>
  </si>
  <si>
    <t xml:space="preserve">Costos excluidos</t>
  </si>
  <si>
    <t xml:space="preserve">Depreciación y allocations</t>
  </si>
  <si>
    <t xml:space="preserve">No están en el margen; agregarlos cambia el retorno y la correlación entre líneas.</t>
  </si>
  <si>
    <t xml:space="preserve">Precio neto</t>
  </si>
  <si>
    <t xml:space="preserve">Sin variación de precio ni mezcla de SKU dentro de la línea.</t>
  </si>
  <si>
    <t xml:space="preserve">Registro_ID</t>
  </si>
  <si>
    <t xml:space="preserve">Semana_Inicio</t>
  </si>
  <si>
    <t xml:space="preserve">Anio_Calendario</t>
  </si>
  <si>
    <t xml:space="preserve">Semana_Num</t>
  </si>
  <si>
    <t xml:space="preserve">Linea_ID</t>
  </si>
  <si>
    <t xml:space="preserve">Linea</t>
  </si>
  <si>
    <t xml:space="preserve">Horas_Programadas</t>
  </si>
  <si>
    <t xml:space="preserve">Paro_Planificado_h</t>
  </si>
  <si>
    <t xml:space="preserve">Paro_No_Planificado_h</t>
  </si>
  <si>
    <t xml:space="preserve">Lbs_Plan</t>
  </si>
  <si>
    <t xml:space="preserve">Lbs_Buenas</t>
  </si>
  <si>
    <t xml:space="preserve">Lbs_Scrap</t>
  </si>
  <si>
    <t xml:space="preserve">Lbs_Totales</t>
  </si>
  <si>
    <t xml:space="preserve">Tasa_Estandar_lbs_h</t>
  </si>
  <si>
    <t xml:space="preserve">Cumplimiento_Plan</t>
  </si>
  <si>
    <t xml:space="preserve">Horas_MO</t>
  </si>
  <si>
    <t xml:space="preserve">HC</t>
  </si>
  <si>
    <t xml:space="preserve">Horas_Extra</t>
  </si>
  <si>
    <t xml:space="preserve">Pct_Horas_Extra</t>
  </si>
  <si>
    <t xml:space="preserve">Lbs_por_Hora_MO</t>
  </si>
  <si>
    <t xml:space="preserve">Material_Real_USD</t>
  </si>
  <si>
    <t xml:space="preserve">Costo_MO_USD</t>
  </si>
  <si>
    <t xml:space="preserve">kWh</t>
  </si>
  <si>
    <t xml:space="preserve">Costo_Energia_USD</t>
  </si>
  <si>
    <t xml:space="preserve">Mant_Planificado_USD</t>
  </si>
  <si>
    <t xml:space="preserve">Mant_No_Planificado_USD</t>
  </si>
  <si>
    <t xml:space="preserve">Costo_Conversion_USD_lb</t>
  </si>
  <si>
    <t xml:space="preserve">Ingreso_Neto_USD</t>
  </si>
  <si>
    <t xml:space="preserve">Margen_Contribucion_Pct</t>
  </si>
  <si>
    <t xml:space="preserve">Capital_Empleado_USD</t>
  </si>
  <si>
    <t xml:space="preserve">L01-20240916</t>
  </si>
  <si>
    <t xml:space="preserve">L01</t>
  </si>
  <si>
    <t xml:space="preserve">L02-20240916</t>
  </si>
  <si>
    <t xml:space="preserve">L02</t>
  </si>
  <si>
    <t xml:space="preserve">L03-20240916</t>
  </si>
  <si>
    <t xml:space="preserve">L03</t>
  </si>
  <si>
    <t xml:space="preserve">L04-20240916</t>
  </si>
  <si>
    <t xml:space="preserve">L04</t>
  </si>
  <si>
    <t xml:space="preserve">L05-20240916</t>
  </si>
  <si>
    <t xml:space="preserve">L05</t>
  </si>
  <si>
    <t xml:space="preserve">L06-20240916</t>
  </si>
  <si>
    <t xml:space="preserve">L06</t>
  </si>
  <si>
    <t xml:space="preserve">L07-20240916</t>
  </si>
  <si>
    <t xml:space="preserve">L07</t>
  </si>
  <si>
    <t xml:space="preserve">L08-20240916</t>
  </si>
  <si>
    <t xml:space="preserve">L08</t>
  </si>
  <si>
    <t xml:space="preserve">L01-20240923</t>
  </si>
  <si>
    <t xml:space="preserve">L02-20240923</t>
  </si>
  <si>
    <t xml:space="preserve">L03-20240923</t>
  </si>
  <si>
    <t xml:space="preserve">L04-20240923</t>
  </si>
  <si>
    <t xml:space="preserve">L05-20240923</t>
  </si>
  <si>
    <t xml:space="preserve">L06-20240923</t>
  </si>
  <si>
    <t xml:space="preserve">L07-20240923</t>
  </si>
  <si>
    <t xml:space="preserve">L08-20240923</t>
  </si>
  <si>
    <t xml:space="preserve">L01-20240930</t>
  </si>
  <si>
    <t xml:space="preserve">L02-20240930</t>
  </si>
  <si>
    <t xml:space="preserve">L03-20240930</t>
  </si>
  <si>
    <t xml:space="preserve">L04-20240930</t>
  </si>
  <si>
    <t xml:space="preserve">L05-20240930</t>
  </si>
  <si>
    <t xml:space="preserve">L06-20240930</t>
  </si>
  <si>
    <t xml:space="preserve">L07-20240930</t>
  </si>
  <si>
    <t xml:space="preserve">L08-20240930</t>
  </si>
  <si>
    <t xml:space="preserve">L01-20241007</t>
  </si>
  <si>
    <t xml:space="preserve">L02-20241007</t>
  </si>
  <si>
    <t xml:space="preserve">L03-20241007</t>
  </si>
  <si>
    <t xml:space="preserve">L04-20241007</t>
  </si>
  <si>
    <t xml:space="preserve">L05-20241007</t>
  </si>
  <si>
    <t xml:space="preserve">L06-20241007</t>
  </si>
  <si>
    <t xml:space="preserve">L07-20241007</t>
  </si>
  <si>
    <t xml:space="preserve">L08-20241007</t>
  </si>
  <si>
    <t xml:space="preserve">L01-20241014</t>
  </si>
  <si>
    <t xml:space="preserve">L02-20241014</t>
  </si>
  <si>
    <t xml:space="preserve">L03-20241014</t>
  </si>
  <si>
    <t xml:space="preserve">L04-20241014</t>
  </si>
  <si>
    <t xml:space="preserve">L05-20241014</t>
  </si>
  <si>
    <t xml:space="preserve">L06-20241014</t>
  </si>
  <si>
    <t xml:space="preserve">L07-20241014</t>
  </si>
  <si>
    <t xml:space="preserve">L08-20241014</t>
  </si>
  <si>
    <t xml:space="preserve">L01-20241021</t>
  </si>
  <si>
    <t xml:space="preserve">L02-20241021</t>
  </si>
  <si>
    <t xml:space="preserve">L03-20241021</t>
  </si>
  <si>
    <t xml:space="preserve">L04-20241021</t>
  </si>
  <si>
    <t xml:space="preserve">L05-20241021</t>
  </si>
  <si>
    <t xml:space="preserve">L06-20241021</t>
  </si>
  <si>
    <t xml:space="preserve">L07-20241021</t>
  </si>
  <si>
    <t xml:space="preserve">L08-20241021</t>
  </si>
  <si>
    <t xml:space="preserve">L01-20241028</t>
  </si>
  <si>
    <t xml:space="preserve">L02-20241028</t>
  </si>
  <si>
    <t xml:space="preserve">L03-20241028</t>
  </si>
  <si>
    <t xml:space="preserve">L04-20241028</t>
  </si>
  <si>
    <t xml:space="preserve">L05-20241028</t>
  </si>
  <si>
    <t xml:space="preserve">L06-20241028</t>
  </si>
  <si>
    <t xml:space="preserve">L07-20241028</t>
  </si>
  <si>
    <t xml:space="preserve">L08-20241028</t>
  </si>
  <si>
    <t xml:space="preserve">L01-20241104</t>
  </si>
  <si>
    <t xml:space="preserve">L02-20241104</t>
  </si>
  <si>
    <t xml:space="preserve">L03-20241104</t>
  </si>
  <si>
    <t xml:space="preserve">L04-20241104</t>
  </si>
  <si>
    <t xml:space="preserve">L05-20241104</t>
  </si>
  <si>
    <t xml:space="preserve">L06-20241104</t>
  </si>
  <si>
    <t xml:space="preserve">L07-20241104</t>
  </si>
  <si>
    <t xml:space="preserve">L08-20241104</t>
  </si>
  <si>
    <t xml:space="preserve">L01-20241111</t>
  </si>
  <si>
    <t xml:space="preserve">L02-20241111</t>
  </si>
  <si>
    <t xml:space="preserve">L03-20241111</t>
  </si>
  <si>
    <t xml:space="preserve">L04-20241111</t>
  </si>
  <si>
    <t xml:space="preserve">L05-20241111</t>
  </si>
  <si>
    <t xml:space="preserve">L06-20241111</t>
  </si>
  <si>
    <t xml:space="preserve">L07-20241111</t>
  </si>
  <si>
    <t xml:space="preserve">L08-20241111</t>
  </si>
  <si>
    <t xml:space="preserve">L01-20241118</t>
  </si>
  <si>
    <t xml:space="preserve">L02-20241118</t>
  </si>
  <si>
    <t xml:space="preserve">L03-20241118</t>
  </si>
  <si>
    <t xml:space="preserve">L04-20241118</t>
  </si>
  <si>
    <t xml:space="preserve">L05-20241118</t>
  </si>
  <si>
    <t xml:space="preserve">L06-20241118</t>
  </si>
  <si>
    <t xml:space="preserve">L07-20241118</t>
  </si>
  <si>
    <t xml:space="preserve">L08-20241118</t>
  </si>
  <si>
    <t xml:space="preserve">L01-20241125</t>
  </si>
  <si>
    <t xml:space="preserve">L02-20241125</t>
  </si>
  <si>
    <t xml:space="preserve">L03-20241125</t>
  </si>
  <si>
    <t xml:space="preserve">L04-20241125</t>
  </si>
  <si>
    <t xml:space="preserve">L05-20241125</t>
  </si>
  <si>
    <t xml:space="preserve">L06-20241125</t>
  </si>
  <si>
    <t xml:space="preserve">L07-20241125</t>
  </si>
  <si>
    <t xml:space="preserve">L08-20241125</t>
  </si>
  <si>
    <t xml:space="preserve">L01-20241202</t>
  </si>
  <si>
    <t xml:space="preserve">L02-20241202</t>
  </si>
  <si>
    <t xml:space="preserve">L03-20241202</t>
  </si>
  <si>
    <t xml:space="preserve">L04-20241202</t>
  </si>
  <si>
    <t xml:space="preserve">L05-20241202</t>
  </si>
  <si>
    <t xml:space="preserve">L06-20241202</t>
  </si>
  <si>
    <t xml:space="preserve">L07-20241202</t>
  </si>
  <si>
    <t xml:space="preserve">L08-20241202</t>
  </si>
  <si>
    <t xml:space="preserve">L01-20241209</t>
  </si>
  <si>
    <t xml:space="preserve">L02-20241209</t>
  </si>
  <si>
    <t xml:space="preserve">L03-20241209</t>
  </si>
  <si>
    <t xml:space="preserve">L04-20241209</t>
  </si>
  <si>
    <t xml:space="preserve">L05-20241209</t>
  </si>
  <si>
    <t xml:space="preserve">L06-20241209</t>
  </si>
  <si>
    <t xml:space="preserve">L07-20241209</t>
  </si>
  <si>
    <t xml:space="preserve">L08-20241209</t>
  </si>
  <si>
    <t xml:space="preserve">L01-20241216</t>
  </si>
  <si>
    <t xml:space="preserve">L02-20241216</t>
  </si>
  <si>
    <t xml:space="preserve">L03-20241216</t>
  </si>
  <si>
    <t xml:space="preserve">L04-20241216</t>
  </si>
  <si>
    <t xml:space="preserve">L05-20241216</t>
  </si>
  <si>
    <t xml:space="preserve">L06-20241216</t>
  </si>
  <si>
    <t xml:space="preserve">L07-20241216</t>
  </si>
  <si>
    <t xml:space="preserve">L08-20241216</t>
  </si>
  <si>
    <t xml:space="preserve">L01-20241223</t>
  </si>
  <si>
    <t xml:space="preserve">L02-20241223</t>
  </si>
  <si>
    <t xml:space="preserve">L03-20241223</t>
  </si>
  <si>
    <t xml:space="preserve">L04-20241223</t>
  </si>
  <si>
    <t xml:space="preserve">L05-20241223</t>
  </si>
  <si>
    <t xml:space="preserve">L06-20241223</t>
  </si>
  <si>
    <t xml:space="preserve">L07-20241223</t>
  </si>
  <si>
    <t xml:space="preserve">L08-20241223</t>
  </si>
  <si>
    <t xml:space="preserve">L01-20241230</t>
  </si>
  <si>
    <t xml:space="preserve">L02-20241230</t>
  </si>
  <si>
    <t xml:space="preserve">L03-20241230</t>
  </si>
  <si>
    <t xml:space="preserve">L04-20241230</t>
  </si>
  <si>
    <t xml:space="preserve">L05-20241230</t>
  </si>
  <si>
    <t xml:space="preserve">L06-20241230</t>
  </si>
  <si>
    <t xml:space="preserve">L07-20241230</t>
  </si>
  <si>
    <t xml:space="preserve">L08-20241230</t>
  </si>
  <si>
    <t xml:space="preserve">L01-20250106</t>
  </si>
  <si>
    <t xml:space="preserve">L02-20250106</t>
  </si>
  <si>
    <t xml:space="preserve">L03-20250106</t>
  </si>
  <si>
    <t xml:space="preserve">L04-20250106</t>
  </si>
  <si>
    <t xml:space="preserve">L05-20250106</t>
  </si>
  <si>
    <t xml:space="preserve">L06-20250106</t>
  </si>
  <si>
    <t xml:space="preserve">L07-20250106</t>
  </si>
  <si>
    <t xml:space="preserve">L08-20250106</t>
  </si>
  <si>
    <t xml:space="preserve">L01-20250113</t>
  </si>
  <si>
    <t xml:space="preserve">L02-20250113</t>
  </si>
  <si>
    <t xml:space="preserve">L03-20250113</t>
  </si>
  <si>
    <t xml:space="preserve">L04-20250113</t>
  </si>
  <si>
    <t xml:space="preserve">L05-20250113</t>
  </si>
  <si>
    <t xml:space="preserve">L06-20250113</t>
  </si>
  <si>
    <t xml:space="preserve">L07-20250113</t>
  </si>
  <si>
    <t xml:space="preserve">L08-20250113</t>
  </si>
  <si>
    <t xml:space="preserve">L01-20250120</t>
  </si>
  <si>
    <t xml:space="preserve">L02-20250120</t>
  </si>
  <si>
    <t xml:space="preserve">L03-20250120</t>
  </si>
  <si>
    <t xml:space="preserve">L04-20250120</t>
  </si>
  <si>
    <t xml:space="preserve">L05-20250120</t>
  </si>
  <si>
    <t xml:space="preserve">L06-20250120</t>
  </si>
  <si>
    <t xml:space="preserve">L07-20250120</t>
  </si>
  <si>
    <t xml:space="preserve">L08-20250120</t>
  </si>
  <si>
    <t xml:space="preserve">L01-20250127</t>
  </si>
  <si>
    <t xml:space="preserve">L02-20250127</t>
  </si>
  <si>
    <t xml:space="preserve">L03-20250127</t>
  </si>
  <si>
    <t xml:space="preserve">L04-20250127</t>
  </si>
  <si>
    <t xml:space="preserve">L05-20250127</t>
  </si>
  <si>
    <t xml:space="preserve">L06-20250127</t>
  </si>
  <si>
    <t xml:space="preserve">L07-20250127</t>
  </si>
  <si>
    <t xml:space="preserve">L08-20250127</t>
  </si>
  <si>
    <t xml:space="preserve">L01-20250203</t>
  </si>
  <si>
    <t xml:space="preserve">L02-20250203</t>
  </si>
  <si>
    <t xml:space="preserve">L03-20250203</t>
  </si>
  <si>
    <t xml:space="preserve">L04-20250203</t>
  </si>
  <si>
    <t xml:space="preserve">L05-20250203</t>
  </si>
  <si>
    <t xml:space="preserve">L06-20250203</t>
  </si>
  <si>
    <t xml:space="preserve">L07-20250203</t>
  </si>
  <si>
    <t xml:space="preserve">L08-20250203</t>
  </si>
  <si>
    <t xml:space="preserve">L01-20250210</t>
  </si>
  <si>
    <t xml:space="preserve">L02-20250210</t>
  </si>
  <si>
    <t xml:space="preserve">L03-20250210</t>
  </si>
  <si>
    <t xml:space="preserve">L04-20250210</t>
  </si>
  <si>
    <t xml:space="preserve">L05-20250210</t>
  </si>
  <si>
    <t xml:space="preserve">L06-20250210</t>
  </si>
  <si>
    <t xml:space="preserve">L07-20250210</t>
  </si>
  <si>
    <t xml:space="preserve">L08-20250210</t>
  </si>
  <si>
    <t xml:space="preserve">L01-20250217</t>
  </si>
  <si>
    <t xml:space="preserve">L02-20250217</t>
  </si>
  <si>
    <t xml:space="preserve">L03-20250217</t>
  </si>
  <si>
    <t xml:space="preserve">L04-20250217</t>
  </si>
  <si>
    <t xml:space="preserve">L05-20250217</t>
  </si>
  <si>
    <t xml:space="preserve">L06-20250217</t>
  </si>
  <si>
    <t xml:space="preserve">L07-20250217</t>
  </si>
  <si>
    <t xml:space="preserve">L08-20250217</t>
  </si>
  <si>
    <t xml:space="preserve">L01-20250224</t>
  </si>
  <si>
    <t xml:space="preserve">L02-20250224</t>
  </si>
  <si>
    <t xml:space="preserve">L03-20250224</t>
  </si>
  <si>
    <t xml:space="preserve">L04-20250224</t>
  </si>
  <si>
    <t xml:space="preserve">L05-20250224</t>
  </si>
  <si>
    <t xml:space="preserve">L06-20250224</t>
  </si>
  <si>
    <t xml:space="preserve">L07-20250224</t>
  </si>
  <si>
    <t xml:space="preserve">L08-20250224</t>
  </si>
  <si>
    <t xml:space="preserve">L01-20250303</t>
  </si>
  <si>
    <t xml:space="preserve">L02-20250303</t>
  </si>
  <si>
    <t xml:space="preserve">L03-20250303</t>
  </si>
  <si>
    <t xml:space="preserve">L04-20250303</t>
  </si>
  <si>
    <t xml:space="preserve">L05-20250303</t>
  </si>
  <si>
    <t xml:space="preserve">L06-20250303</t>
  </si>
  <si>
    <t xml:space="preserve">L07-20250303</t>
  </si>
  <si>
    <t xml:space="preserve">L08-20250303</t>
  </si>
  <si>
    <t xml:space="preserve">L01-20250310</t>
  </si>
  <si>
    <t xml:space="preserve">L02-20250310</t>
  </si>
  <si>
    <t xml:space="preserve">L03-20250310</t>
  </si>
  <si>
    <t xml:space="preserve">L04-20250310</t>
  </si>
  <si>
    <t xml:space="preserve">L05-20250310</t>
  </si>
  <si>
    <t xml:space="preserve">L06-20250310</t>
  </si>
  <si>
    <t xml:space="preserve">L07-20250310</t>
  </si>
  <si>
    <t xml:space="preserve">L08-20250310</t>
  </si>
  <si>
    <t xml:space="preserve">L01-20250317</t>
  </si>
  <si>
    <t xml:space="preserve">L02-20250317</t>
  </si>
  <si>
    <t xml:space="preserve">L03-20250317</t>
  </si>
  <si>
    <t xml:space="preserve">L04-20250317</t>
  </si>
  <si>
    <t xml:space="preserve">L05-20250317</t>
  </si>
  <si>
    <t xml:space="preserve">L06-20250317</t>
  </si>
  <si>
    <t xml:space="preserve">L07-20250317</t>
  </si>
  <si>
    <t xml:space="preserve">L08-20250317</t>
  </si>
  <si>
    <t xml:space="preserve">L01-20250324</t>
  </si>
  <si>
    <t xml:space="preserve">L02-20250324</t>
  </si>
  <si>
    <t xml:space="preserve">L03-20250324</t>
  </si>
  <si>
    <t xml:space="preserve">L04-20250324</t>
  </si>
  <si>
    <t xml:space="preserve">L05-20250324</t>
  </si>
  <si>
    <t xml:space="preserve">L06-20250324</t>
  </si>
  <si>
    <t xml:space="preserve">L07-20250324</t>
  </si>
  <si>
    <t xml:space="preserve">L08-20250324</t>
  </si>
  <si>
    <t xml:space="preserve">L01-20250331</t>
  </si>
  <si>
    <t xml:space="preserve">L02-20250331</t>
  </si>
  <si>
    <t xml:space="preserve">L03-20250331</t>
  </si>
  <si>
    <t xml:space="preserve">L04-20250331</t>
  </si>
  <si>
    <t xml:space="preserve">L05-20250331</t>
  </si>
  <si>
    <t xml:space="preserve">L06-20250331</t>
  </si>
  <si>
    <t xml:space="preserve">L07-20250331</t>
  </si>
  <si>
    <t xml:space="preserve">L08-20250331</t>
  </si>
  <si>
    <t xml:space="preserve">L01-20250407</t>
  </si>
  <si>
    <t xml:space="preserve">L02-20250407</t>
  </si>
  <si>
    <t xml:space="preserve">L03-20250407</t>
  </si>
  <si>
    <t xml:space="preserve">L04-20250407</t>
  </si>
  <si>
    <t xml:space="preserve">L05-20250407</t>
  </si>
  <si>
    <t xml:space="preserve">L06-20250407</t>
  </si>
  <si>
    <t xml:space="preserve">L07-20250407</t>
  </si>
  <si>
    <t xml:space="preserve">L08-20250407</t>
  </si>
  <si>
    <t xml:space="preserve">L01-20250414</t>
  </si>
  <si>
    <t xml:space="preserve">L02-20250414</t>
  </si>
  <si>
    <t xml:space="preserve">L03-20250414</t>
  </si>
  <si>
    <t xml:space="preserve">L04-20250414</t>
  </si>
  <si>
    <t xml:space="preserve">L05-20250414</t>
  </si>
  <si>
    <t xml:space="preserve">L06-20250414</t>
  </si>
  <si>
    <t xml:space="preserve">L07-20250414</t>
  </si>
  <si>
    <t xml:space="preserve">L08-20250414</t>
  </si>
  <si>
    <t xml:space="preserve">L01-20250421</t>
  </si>
  <si>
    <t xml:space="preserve">L02-20250421</t>
  </si>
  <si>
    <t xml:space="preserve">L03-20250421</t>
  </si>
  <si>
    <t xml:space="preserve">L04-20250421</t>
  </si>
  <si>
    <t xml:space="preserve">L05-20250421</t>
  </si>
  <si>
    <t xml:space="preserve">L06-20250421</t>
  </si>
  <si>
    <t xml:space="preserve">L07-20250421</t>
  </si>
  <si>
    <t xml:space="preserve">L08-20250421</t>
  </si>
  <si>
    <t xml:space="preserve">L01-20250428</t>
  </si>
  <si>
    <t xml:space="preserve">L02-20250428</t>
  </si>
  <si>
    <t xml:space="preserve">L03-20250428</t>
  </si>
  <si>
    <t xml:space="preserve">L04-20250428</t>
  </si>
  <si>
    <t xml:space="preserve">L05-20250428</t>
  </si>
  <si>
    <t xml:space="preserve">L06-20250428</t>
  </si>
  <si>
    <t xml:space="preserve">L07-20250428</t>
  </si>
  <si>
    <t xml:space="preserve">L08-20250428</t>
  </si>
  <si>
    <t xml:space="preserve">L01-20250505</t>
  </si>
  <si>
    <t xml:space="preserve">L02-20250505</t>
  </si>
  <si>
    <t xml:space="preserve">L03-20250505</t>
  </si>
  <si>
    <t xml:space="preserve">L04-20250505</t>
  </si>
  <si>
    <t xml:space="preserve">L05-20250505</t>
  </si>
  <si>
    <t xml:space="preserve">L06-20250505</t>
  </si>
  <si>
    <t xml:space="preserve">L07-20250505</t>
  </si>
  <si>
    <t xml:space="preserve">L08-20250505</t>
  </si>
  <si>
    <t xml:space="preserve">L01-20250512</t>
  </si>
  <si>
    <t xml:space="preserve">L02-20250512</t>
  </si>
  <si>
    <t xml:space="preserve">L03-20250512</t>
  </si>
  <si>
    <t xml:space="preserve">L04-20250512</t>
  </si>
  <si>
    <t xml:space="preserve">L05-20250512</t>
  </si>
  <si>
    <t xml:space="preserve">L06-20250512</t>
  </si>
  <si>
    <t xml:space="preserve">L07-20250512</t>
  </si>
  <si>
    <t xml:space="preserve">L08-20250512</t>
  </si>
  <si>
    <t xml:space="preserve">L01-20250519</t>
  </si>
  <si>
    <t xml:space="preserve">L02-20250519</t>
  </si>
  <si>
    <t xml:space="preserve">L03-20250519</t>
  </si>
  <si>
    <t xml:space="preserve">L04-20250519</t>
  </si>
  <si>
    <t xml:space="preserve">L05-20250519</t>
  </si>
  <si>
    <t xml:space="preserve">L06-20250519</t>
  </si>
  <si>
    <t xml:space="preserve">L07-20250519</t>
  </si>
  <si>
    <t xml:space="preserve">L08-20250519</t>
  </si>
  <si>
    <t xml:space="preserve">L01-20250526</t>
  </si>
  <si>
    <t xml:space="preserve">L02-20250526</t>
  </si>
  <si>
    <t xml:space="preserve">L03-20250526</t>
  </si>
  <si>
    <t xml:space="preserve">L04-20250526</t>
  </si>
  <si>
    <t xml:space="preserve">L05-20250526</t>
  </si>
  <si>
    <t xml:space="preserve">L06-20250526</t>
  </si>
  <si>
    <t xml:space="preserve">L07-20250526</t>
  </si>
  <si>
    <t xml:space="preserve">L08-20250526</t>
  </si>
  <si>
    <t xml:space="preserve">L01-20250602</t>
  </si>
  <si>
    <t xml:space="preserve">L02-20250602</t>
  </si>
  <si>
    <t xml:space="preserve">L03-20250602</t>
  </si>
  <si>
    <t xml:space="preserve">L04-20250602</t>
  </si>
  <si>
    <t xml:space="preserve">L05-20250602</t>
  </si>
  <si>
    <t xml:space="preserve">L06-20250602</t>
  </si>
  <si>
    <t xml:space="preserve">L07-20250602</t>
  </si>
  <si>
    <t xml:space="preserve">L08-20250602</t>
  </si>
  <si>
    <t xml:space="preserve">L01-20250609</t>
  </si>
  <si>
    <t xml:space="preserve">L02-20250609</t>
  </si>
  <si>
    <t xml:space="preserve">L03-20250609</t>
  </si>
  <si>
    <t xml:space="preserve">L04-20250609</t>
  </si>
  <si>
    <t xml:space="preserve">L05-20250609</t>
  </si>
  <si>
    <t xml:space="preserve">L06-20250609</t>
  </si>
  <si>
    <t xml:space="preserve">L07-20250609</t>
  </si>
  <si>
    <t xml:space="preserve">L08-20250609</t>
  </si>
  <si>
    <t xml:space="preserve">L01-20250616</t>
  </si>
  <si>
    <t xml:space="preserve">L02-20250616</t>
  </si>
  <si>
    <t xml:space="preserve">L03-20250616</t>
  </si>
  <si>
    <t xml:space="preserve">L04-20250616</t>
  </si>
  <si>
    <t xml:space="preserve">L05-20250616</t>
  </si>
  <si>
    <t xml:space="preserve">L06-20250616</t>
  </si>
  <si>
    <t xml:space="preserve">L07-20250616</t>
  </si>
  <si>
    <t xml:space="preserve">L08-20250616</t>
  </si>
  <si>
    <t xml:space="preserve">L01-20250623</t>
  </si>
  <si>
    <t xml:space="preserve">L02-20250623</t>
  </si>
  <si>
    <t xml:space="preserve">L03-20250623</t>
  </si>
  <si>
    <t xml:space="preserve">L04-20250623</t>
  </si>
  <si>
    <t xml:space="preserve">L05-20250623</t>
  </si>
  <si>
    <t xml:space="preserve">L06-20250623</t>
  </si>
  <si>
    <t xml:space="preserve">L07-20250623</t>
  </si>
  <si>
    <t xml:space="preserve">L08-20250623</t>
  </si>
  <si>
    <t xml:space="preserve">L01-20250630</t>
  </si>
  <si>
    <t xml:space="preserve">L02-20250630</t>
  </si>
  <si>
    <t xml:space="preserve">L03-20250630</t>
  </si>
  <si>
    <t xml:space="preserve">L04-20250630</t>
  </si>
  <si>
    <t xml:space="preserve">L05-20250630</t>
  </si>
  <si>
    <t xml:space="preserve">L06-20250630</t>
  </si>
  <si>
    <t xml:space="preserve">L07-20250630</t>
  </si>
  <si>
    <t xml:space="preserve">L08-20250630</t>
  </si>
  <si>
    <t xml:space="preserve">L01-20250707</t>
  </si>
  <si>
    <t xml:space="preserve">L02-20250707</t>
  </si>
  <si>
    <t xml:space="preserve">L03-20250707</t>
  </si>
  <si>
    <t xml:space="preserve">L04-20250707</t>
  </si>
  <si>
    <t xml:space="preserve">L05-20250707</t>
  </si>
  <si>
    <t xml:space="preserve">L06-20250707</t>
  </si>
  <si>
    <t xml:space="preserve">L07-20250707</t>
  </si>
  <si>
    <t xml:space="preserve">L08-20250707</t>
  </si>
  <si>
    <t xml:space="preserve">L01-20250714</t>
  </si>
  <si>
    <t xml:space="preserve">L02-20250714</t>
  </si>
  <si>
    <t xml:space="preserve">L03-20250714</t>
  </si>
  <si>
    <t xml:space="preserve">L04-20250714</t>
  </si>
  <si>
    <t xml:space="preserve">L05-20250714</t>
  </si>
  <si>
    <t xml:space="preserve">L06-20250714</t>
  </si>
  <si>
    <t xml:space="preserve">L07-20250714</t>
  </si>
  <si>
    <t xml:space="preserve">L08-20250714</t>
  </si>
  <si>
    <t xml:space="preserve">L01-20250721</t>
  </si>
  <si>
    <t xml:space="preserve">L02-20250721</t>
  </si>
  <si>
    <t xml:space="preserve">L03-20250721</t>
  </si>
  <si>
    <t xml:space="preserve">L04-20250721</t>
  </si>
  <si>
    <t xml:space="preserve">L05-20250721</t>
  </si>
  <si>
    <t xml:space="preserve">L06-20250721</t>
  </si>
  <si>
    <t xml:space="preserve">L07-20250721</t>
  </si>
  <si>
    <t xml:space="preserve">L08-20250721</t>
  </si>
  <si>
    <t xml:space="preserve">L01-20250728</t>
  </si>
  <si>
    <t xml:space="preserve">L02-20250728</t>
  </si>
  <si>
    <t xml:space="preserve">L03-20250728</t>
  </si>
  <si>
    <t xml:space="preserve">L04-20250728</t>
  </si>
  <si>
    <t xml:space="preserve">L05-20250728</t>
  </si>
  <si>
    <t xml:space="preserve">L06-20250728</t>
  </si>
  <si>
    <t xml:space="preserve">L07-20250728</t>
  </si>
  <si>
    <t xml:space="preserve">L08-20250728</t>
  </si>
  <si>
    <t xml:space="preserve">L01-20250804</t>
  </si>
  <si>
    <t xml:space="preserve">L02-20250804</t>
  </si>
  <si>
    <t xml:space="preserve">L03-20250804</t>
  </si>
  <si>
    <t xml:space="preserve">L04-20250804</t>
  </si>
  <si>
    <t xml:space="preserve">L05-20250804</t>
  </si>
  <si>
    <t xml:space="preserve">L06-20250804</t>
  </si>
  <si>
    <t xml:space="preserve">L07-20250804</t>
  </si>
  <si>
    <t xml:space="preserve">L08-20250804</t>
  </si>
  <si>
    <t xml:space="preserve">L01-20250811</t>
  </si>
  <si>
    <t xml:space="preserve">L02-20250811</t>
  </si>
  <si>
    <t xml:space="preserve">L03-20250811</t>
  </si>
  <si>
    <t xml:space="preserve">L04-20250811</t>
  </si>
  <si>
    <t xml:space="preserve">L05-20250811</t>
  </si>
  <si>
    <t xml:space="preserve">L06-20250811</t>
  </si>
  <si>
    <t xml:space="preserve">L07-20250811</t>
  </si>
  <si>
    <t xml:space="preserve">L08-20250811</t>
  </si>
  <si>
    <t xml:space="preserve">L01-20250818</t>
  </si>
  <si>
    <t xml:space="preserve">L02-20250818</t>
  </si>
  <si>
    <t xml:space="preserve">L03-20250818</t>
  </si>
  <si>
    <t xml:space="preserve">L04-20250818</t>
  </si>
  <si>
    <t xml:space="preserve">L05-20250818</t>
  </si>
  <si>
    <t xml:space="preserve">L06-20250818</t>
  </si>
  <si>
    <t xml:space="preserve">L07-20250818</t>
  </si>
  <si>
    <t xml:space="preserve">L08-20250818</t>
  </si>
  <si>
    <t xml:space="preserve">L01-20250825</t>
  </si>
  <si>
    <t xml:space="preserve">L02-20250825</t>
  </si>
  <si>
    <t xml:space="preserve">L03-20250825</t>
  </si>
  <si>
    <t xml:space="preserve">L04-20250825</t>
  </si>
  <si>
    <t xml:space="preserve">L05-20250825</t>
  </si>
  <si>
    <t xml:space="preserve">L06-20250825</t>
  </si>
  <si>
    <t xml:space="preserve">L07-20250825</t>
  </si>
  <si>
    <t xml:space="preserve">L08-20250825</t>
  </si>
  <si>
    <t xml:space="preserve">L01-20250901</t>
  </si>
  <si>
    <t xml:space="preserve">L02-20250901</t>
  </si>
  <si>
    <t xml:space="preserve">L03-20250901</t>
  </si>
  <si>
    <t xml:space="preserve">L04-20250901</t>
  </si>
  <si>
    <t xml:space="preserve">L05-20250901</t>
  </si>
  <si>
    <t xml:space="preserve">L06-20250901</t>
  </si>
  <si>
    <t xml:space="preserve">L07-20250901</t>
  </si>
  <si>
    <t xml:space="preserve">L08-20250901</t>
  </si>
  <si>
    <t xml:space="preserve">L01-20250908</t>
  </si>
  <si>
    <t xml:space="preserve">L02-20250908</t>
  </si>
  <si>
    <t xml:space="preserve">L03-20250908</t>
  </si>
  <si>
    <t xml:space="preserve">L04-20250908</t>
  </si>
  <si>
    <t xml:space="preserve">L05-20250908</t>
  </si>
  <si>
    <t xml:space="preserve">L06-20250908</t>
  </si>
  <si>
    <t xml:space="preserve">L07-20250908</t>
  </si>
  <si>
    <t xml:space="preserve">L08-20250908</t>
  </si>
  <si>
    <t xml:space="preserve">L01-20250915</t>
  </si>
  <si>
    <t xml:space="preserve">L02-20250915</t>
  </si>
  <si>
    <t xml:space="preserve">L03-20250915</t>
  </si>
  <si>
    <t xml:space="preserve">L04-20250915</t>
  </si>
  <si>
    <t xml:space="preserve">L05-20250915</t>
  </si>
  <si>
    <t xml:space="preserve">L06-20250915</t>
  </si>
  <si>
    <t xml:space="preserve">L07-20250915</t>
  </si>
  <si>
    <t xml:space="preserve">L08-20250915</t>
  </si>
  <si>
    <t xml:space="preserve">L01-20250922</t>
  </si>
  <si>
    <t xml:space="preserve">L02-20250922</t>
  </si>
  <si>
    <t xml:space="preserve">L03-20250922</t>
  </si>
  <si>
    <t xml:space="preserve">L04-20250922</t>
  </si>
  <si>
    <t xml:space="preserve">L05-20250922</t>
  </si>
  <si>
    <t xml:space="preserve">L06-20250922</t>
  </si>
  <si>
    <t xml:space="preserve">L07-20250922</t>
  </si>
  <si>
    <t xml:space="preserve">L08-20250922</t>
  </si>
  <si>
    <t xml:space="preserve">L01-20250929</t>
  </si>
  <si>
    <t xml:space="preserve">L02-20250929</t>
  </si>
  <si>
    <t xml:space="preserve">L03-20250929</t>
  </si>
  <si>
    <t xml:space="preserve">L04-20250929</t>
  </si>
  <si>
    <t xml:space="preserve">L05-20250929</t>
  </si>
  <si>
    <t xml:space="preserve">L06-20250929</t>
  </si>
  <si>
    <t xml:space="preserve">L07-20250929</t>
  </si>
  <si>
    <t xml:space="preserve">L08-20250929</t>
  </si>
  <si>
    <t xml:space="preserve">L01-20251006</t>
  </si>
  <si>
    <t xml:space="preserve">L02-20251006</t>
  </si>
  <si>
    <t xml:space="preserve">L03-20251006</t>
  </si>
  <si>
    <t xml:space="preserve">L04-20251006</t>
  </si>
  <si>
    <t xml:space="preserve">L05-20251006</t>
  </si>
  <si>
    <t xml:space="preserve">L06-20251006</t>
  </si>
  <si>
    <t xml:space="preserve">L07-20251006</t>
  </si>
  <si>
    <t xml:space="preserve">L08-20251006</t>
  </si>
  <si>
    <t xml:space="preserve">L01-20251013</t>
  </si>
  <si>
    <t xml:space="preserve">L02-20251013</t>
  </si>
  <si>
    <t xml:space="preserve">L03-20251013</t>
  </si>
  <si>
    <t xml:space="preserve">L04-20251013</t>
  </si>
  <si>
    <t xml:space="preserve">L05-20251013</t>
  </si>
  <si>
    <t xml:space="preserve">L06-20251013</t>
  </si>
  <si>
    <t xml:space="preserve">L07-20251013</t>
  </si>
  <si>
    <t xml:space="preserve">L08-20251013</t>
  </si>
  <si>
    <t xml:space="preserve">L01-20251020</t>
  </si>
  <si>
    <t xml:space="preserve">L02-20251020</t>
  </si>
  <si>
    <t xml:space="preserve">L03-20251020</t>
  </si>
  <si>
    <t xml:space="preserve">L04-20251020</t>
  </si>
  <si>
    <t xml:space="preserve">L05-20251020</t>
  </si>
  <si>
    <t xml:space="preserve">L06-20251020</t>
  </si>
  <si>
    <t xml:space="preserve">L07-20251020</t>
  </si>
  <si>
    <t xml:space="preserve">L08-20251020</t>
  </si>
  <si>
    <t xml:space="preserve">L01-20251027</t>
  </si>
  <si>
    <t xml:space="preserve">L02-20251027</t>
  </si>
  <si>
    <t xml:space="preserve">L03-20251027</t>
  </si>
  <si>
    <t xml:space="preserve">L04-20251027</t>
  </si>
  <si>
    <t xml:space="preserve">L05-20251027</t>
  </si>
  <si>
    <t xml:space="preserve">L06-20251027</t>
  </si>
  <si>
    <t xml:space="preserve">L07-20251027</t>
  </si>
  <si>
    <t xml:space="preserve">L08-20251027</t>
  </si>
  <si>
    <t xml:space="preserve">L01-20251103</t>
  </si>
  <si>
    <t xml:space="preserve">L02-20251103</t>
  </si>
  <si>
    <t xml:space="preserve">L03-20251103</t>
  </si>
  <si>
    <t xml:space="preserve">L04-20251103</t>
  </si>
  <si>
    <t xml:space="preserve">L05-20251103</t>
  </si>
  <si>
    <t xml:space="preserve">L06-20251103</t>
  </si>
  <si>
    <t xml:space="preserve">L07-20251103</t>
  </si>
  <si>
    <t xml:space="preserve">L08-20251103</t>
  </si>
  <si>
    <t xml:space="preserve">L01-20251110</t>
  </si>
  <si>
    <t xml:space="preserve">L02-20251110</t>
  </si>
  <si>
    <t xml:space="preserve">L03-20251110</t>
  </si>
  <si>
    <t xml:space="preserve">L04-20251110</t>
  </si>
  <si>
    <t xml:space="preserve">L05-20251110</t>
  </si>
  <si>
    <t xml:space="preserve">L06-20251110</t>
  </si>
  <si>
    <t xml:space="preserve">L07-20251110</t>
  </si>
  <si>
    <t xml:space="preserve">L08-20251110</t>
  </si>
  <si>
    <t xml:space="preserve">L01-20251117</t>
  </si>
  <si>
    <t xml:space="preserve">L02-20251117</t>
  </si>
  <si>
    <t xml:space="preserve">L03-20251117</t>
  </si>
  <si>
    <t xml:space="preserve">L04-20251117</t>
  </si>
  <si>
    <t xml:space="preserve">L05-20251117</t>
  </si>
  <si>
    <t xml:space="preserve">L06-20251117</t>
  </si>
  <si>
    <t xml:space="preserve">L07-20251117</t>
  </si>
  <si>
    <t xml:space="preserve">L08-20251117</t>
  </si>
  <si>
    <t xml:space="preserve">L01-20251124</t>
  </si>
  <si>
    <t xml:space="preserve">L02-20251124</t>
  </si>
  <si>
    <t xml:space="preserve">L03-20251124</t>
  </si>
  <si>
    <t xml:space="preserve">L04-20251124</t>
  </si>
  <si>
    <t xml:space="preserve">L05-20251124</t>
  </si>
  <si>
    <t xml:space="preserve">L06-20251124</t>
  </si>
  <si>
    <t xml:space="preserve">L07-20251124</t>
  </si>
  <si>
    <t xml:space="preserve">L08-20251124</t>
  </si>
  <si>
    <t xml:space="preserve">L01-20251201</t>
  </si>
  <si>
    <t xml:space="preserve">L02-20251201</t>
  </si>
  <si>
    <t xml:space="preserve">L03-20251201</t>
  </si>
  <si>
    <t xml:space="preserve">L04-20251201</t>
  </si>
  <si>
    <t xml:space="preserve">L05-20251201</t>
  </si>
  <si>
    <t xml:space="preserve">L06-20251201</t>
  </si>
  <si>
    <t xml:space="preserve">L07-20251201</t>
  </si>
  <si>
    <t xml:space="preserve">L08-20251201</t>
  </si>
  <si>
    <t xml:space="preserve">L01-20251208</t>
  </si>
  <si>
    <t xml:space="preserve">L02-20251208</t>
  </si>
  <si>
    <t xml:space="preserve">L03-20251208</t>
  </si>
  <si>
    <t xml:space="preserve">L04-20251208</t>
  </si>
  <si>
    <t xml:space="preserve">L05-20251208</t>
  </si>
  <si>
    <t xml:space="preserve">L06-20251208</t>
  </si>
  <si>
    <t xml:space="preserve">L07-20251208</t>
  </si>
  <si>
    <t xml:space="preserve">L08-20251208</t>
  </si>
  <si>
    <t xml:space="preserve">L01-20251215</t>
  </si>
  <si>
    <t xml:space="preserve">L02-20251215</t>
  </si>
  <si>
    <t xml:space="preserve">L03-20251215</t>
  </si>
  <si>
    <t xml:space="preserve">L04-20251215</t>
  </si>
  <si>
    <t xml:space="preserve">L05-20251215</t>
  </si>
  <si>
    <t xml:space="preserve">L06-20251215</t>
  </si>
  <si>
    <t xml:space="preserve">L07-20251215</t>
  </si>
  <si>
    <t xml:space="preserve">L08-20251215</t>
  </si>
  <si>
    <t xml:space="preserve">L01-20251222</t>
  </si>
  <si>
    <t xml:space="preserve">L02-20251222</t>
  </si>
  <si>
    <t xml:space="preserve">L03-20251222</t>
  </si>
  <si>
    <t xml:space="preserve">L04-20251222</t>
  </si>
  <si>
    <t xml:space="preserve">L05-20251222</t>
  </si>
  <si>
    <t xml:space="preserve">L06-20251222</t>
  </si>
  <si>
    <t xml:space="preserve">L07-20251222</t>
  </si>
  <si>
    <t xml:space="preserve">L08-20251222</t>
  </si>
  <si>
    <t xml:space="preserve">L01-20251229</t>
  </si>
  <si>
    <t xml:space="preserve">L02-20251229</t>
  </si>
  <si>
    <t xml:space="preserve">L03-20251229</t>
  </si>
  <si>
    <t xml:space="preserve">L04-20251229</t>
  </si>
  <si>
    <t xml:space="preserve">L05-20251229</t>
  </si>
  <si>
    <t xml:space="preserve">L06-20251229</t>
  </si>
  <si>
    <t xml:space="preserve">L07-20251229</t>
  </si>
  <si>
    <t xml:space="preserve">L08-20251229</t>
  </si>
  <si>
    <t xml:space="preserve">L01-20260105</t>
  </si>
  <si>
    <t xml:space="preserve">L02-20260105</t>
  </si>
  <si>
    <t xml:space="preserve">L03-20260105</t>
  </si>
  <si>
    <t xml:space="preserve">L04-20260105</t>
  </si>
  <si>
    <t xml:space="preserve">L05-20260105</t>
  </si>
  <si>
    <t xml:space="preserve">L06-20260105</t>
  </si>
  <si>
    <t xml:space="preserve">L07-20260105</t>
  </si>
  <si>
    <t xml:space="preserve">L08-20260105</t>
  </si>
  <si>
    <t xml:space="preserve">L01-20260112</t>
  </si>
  <si>
    <t xml:space="preserve">L02-20260112</t>
  </si>
  <si>
    <t xml:space="preserve">L03-20260112</t>
  </si>
  <si>
    <t xml:space="preserve">L04-20260112</t>
  </si>
  <si>
    <t xml:space="preserve">L05-20260112</t>
  </si>
  <si>
    <t xml:space="preserve">L06-20260112</t>
  </si>
  <si>
    <t xml:space="preserve">L07-20260112</t>
  </si>
  <si>
    <t xml:space="preserve">L08-20260112</t>
  </si>
  <si>
    <t xml:space="preserve">L01-20260119</t>
  </si>
  <si>
    <t xml:space="preserve">L02-20260119</t>
  </si>
  <si>
    <t xml:space="preserve">L03-20260119</t>
  </si>
  <si>
    <t xml:space="preserve">L04-20260119</t>
  </si>
  <si>
    <t xml:space="preserve">L05-20260119</t>
  </si>
  <si>
    <t xml:space="preserve">L06-20260119</t>
  </si>
  <si>
    <t xml:space="preserve">L07-20260119</t>
  </si>
  <si>
    <t xml:space="preserve">L08-20260119</t>
  </si>
  <si>
    <t xml:space="preserve">L01-20260126</t>
  </si>
  <si>
    <t xml:space="preserve">L02-20260126</t>
  </si>
  <si>
    <t xml:space="preserve">L03-20260126</t>
  </si>
  <si>
    <t xml:space="preserve">L04-20260126</t>
  </si>
  <si>
    <t xml:space="preserve">L05-20260126</t>
  </si>
  <si>
    <t xml:space="preserve">L06-20260126</t>
  </si>
  <si>
    <t xml:space="preserve">L07-20260126</t>
  </si>
  <si>
    <t xml:space="preserve">L08-20260126</t>
  </si>
  <si>
    <t xml:space="preserve">L01-20260202</t>
  </si>
  <si>
    <t xml:space="preserve">L02-20260202</t>
  </si>
  <si>
    <t xml:space="preserve">L03-20260202</t>
  </si>
  <si>
    <t xml:space="preserve">L04-20260202</t>
  </si>
  <si>
    <t xml:space="preserve">L05-20260202</t>
  </si>
  <si>
    <t xml:space="preserve">L06-20260202</t>
  </si>
  <si>
    <t xml:space="preserve">L07-20260202</t>
  </si>
  <si>
    <t xml:space="preserve">L08-20260202</t>
  </si>
  <si>
    <t xml:space="preserve">L01-20260209</t>
  </si>
  <si>
    <t xml:space="preserve">L02-20260209</t>
  </si>
  <si>
    <t xml:space="preserve">L03-20260209</t>
  </si>
  <si>
    <t xml:space="preserve">L04-20260209</t>
  </si>
  <si>
    <t xml:space="preserve">L05-20260209</t>
  </si>
  <si>
    <t xml:space="preserve">L06-20260209</t>
  </si>
  <si>
    <t xml:space="preserve">L07-20260209</t>
  </si>
  <si>
    <t xml:space="preserve">L08-20260209</t>
  </si>
  <si>
    <t xml:space="preserve">L01-20260216</t>
  </si>
  <si>
    <t xml:space="preserve">L02-20260216</t>
  </si>
  <si>
    <t xml:space="preserve">L03-20260216</t>
  </si>
  <si>
    <t xml:space="preserve">L04-20260216</t>
  </si>
  <si>
    <t xml:space="preserve">L05-20260216</t>
  </si>
  <si>
    <t xml:space="preserve">L06-20260216</t>
  </si>
  <si>
    <t xml:space="preserve">L07-20260216</t>
  </si>
  <si>
    <t xml:space="preserve">L08-20260216</t>
  </si>
  <si>
    <t xml:space="preserve">L01-20260223</t>
  </si>
  <si>
    <t xml:space="preserve">L02-20260223</t>
  </si>
  <si>
    <t xml:space="preserve">L03-20260223</t>
  </si>
  <si>
    <t xml:space="preserve">L04-20260223</t>
  </si>
  <si>
    <t xml:space="preserve">L05-20260223</t>
  </si>
  <si>
    <t xml:space="preserve">L06-20260223</t>
  </si>
  <si>
    <t xml:space="preserve">L07-20260223</t>
  </si>
  <si>
    <t xml:space="preserve">L08-20260223</t>
  </si>
  <si>
    <t xml:space="preserve">L01-20260302</t>
  </si>
  <si>
    <t xml:space="preserve">L02-20260302</t>
  </si>
  <si>
    <t xml:space="preserve">L03-20260302</t>
  </si>
  <si>
    <t xml:space="preserve">L04-20260302</t>
  </si>
  <si>
    <t xml:space="preserve">L05-20260302</t>
  </si>
  <si>
    <t xml:space="preserve">L06-20260302</t>
  </si>
  <si>
    <t xml:space="preserve">L07-20260302</t>
  </si>
  <si>
    <t xml:space="preserve">L08-20260302</t>
  </si>
  <si>
    <t xml:space="preserve">L01-20260309</t>
  </si>
  <si>
    <t xml:space="preserve">L02-20260309</t>
  </si>
  <si>
    <t xml:space="preserve">L03-20260309</t>
  </si>
  <si>
    <t xml:space="preserve">L04-20260309</t>
  </si>
  <si>
    <t xml:space="preserve">L05-20260309</t>
  </si>
  <si>
    <t xml:space="preserve">L06-20260309</t>
  </si>
  <si>
    <t xml:space="preserve">L07-20260309</t>
  </si>
  <si>
    <t xml:space="preserve">L08-20260309</t>
  </si>
  <si>
    <t xml:space="preserve">L01-20260316</t>
  </si>
  <si>
    <t xml:space="preserve">L02-20260316</t>
  </si>
  <si>
    <t xml:space="preserve">L03-20260316</t>
  </si>
  <si>
    <t xml:space="preserve">L04-20260316</t>
  </si>
  <si>
    <t xml:space="preserve">L05-20260316</t>
  </si>
  <si>
    <t xml:space="preserve">L06-20260316</t>
  </si>
  <si>
    <t xml:space="preserve">L07-20260316</t>
  </si>
  <si>
    <t xml:space="preserve">L08-20260316</t>
  </si>
  <si>
    <t xml:space="preserve">L01-20260323</t>
  </si>
  <si>
    <t xml:space="preserve">L02-20260323</t>
  </si>
  <si>
    <t xml:space="preserve">L03-20260323</t>
  </si>
  <si>
    <t xml:space="preserve">L04-20260323</t>
  </si>
  <si>
    <t xml:space="preserve">L05-20260323</t>
  </si>
  <si>
    <t xml:space="preserve">L06-20260323</t>
  </si>
  <si>
    <t xml:space="preserve">L07-20260323</t>
  </si>
  <si>
    <t xml:space="preserve">L08-20260323</t>
  </si>
  <si>
    <t xml:space="preserve">L01-20260330</t>
  </si>
  <si>
    <t xml:space="preserve">L02-20260330</t>
  </si>
  <si>
    <t xml:space="preserve">L03-20260330</t>
  </si>
  <si>
    <t xml:space="preserve">L04-20260330</t>
  </si>
  <si>
    <t xml:space="preserve">L05-20260330</t>
  </si>
  <si>
    <t xml:space="preserve">L06-20260330</t>
  </si>
  <si>
    <t xml:space="preserve">L07-20260330</t>
  </si>
  <si>
    <t xml:space="preserve">L08-20260330</t>
  </si>
  <si>
    <t xml:space="preserve">L01-20260406</t>
  </si>
  <si>
    <t xml:space="preserve">L02-20260406</t>
  </si>
  <si>
    <t xml:space="preserve">L03-20260406</t>
  </si>
  <si>
    <t xml:space="preserve">L04-20260406</t>
  </si>
  <si>
    <t xml:space="preserve">L05-20260406</t>
  </si>
  <si>
    <t xml:space="preserve">L06-20260406</t>
  </si>
  <si>
    <t xml:space="preserve">L07-20260406</t>
  </si>
  <si>
    <t xml:space="preserve">L08-20260406</t>
  </si>
  <si>
    <t xml:space="preserve">L01-20260413</t>
  </si>
  <si>
    <t xml:space="preserve">L02-20260413</t>
  </si>
  <si>
    <t xml:space="preserve">L03-20260413</t>
  </si>
  <si>
    <t xml:space="preserve">L04-20260413</t>
  </si>
  <si>
    <t xml:space="preserve">L05-20260413</t>
  </si>
  <si>
    <t xml:space="preserve">L06-20260413</t>
  </si>
  <si>
    <t xml:space="preserve">L07-20260413</t>
  </si>
  <si>
    <t xml:space="preserve">L08-20260413</t>
  </si>
  <si>
    <t xml:space="preserve">L01-20260420</t>
  </si>
  <si>
    <t xml:space="preserve">L02-20260420</t>
  </si>
  <si>
    <t xml:space="preserve">L03-20260420</t>
  </si>
  <si>
    <t xml:space="preserve">L04-20260420</t>
  </si>
  <si>
    <t xml:space="preserve">L05-20260420</t>
  </si>
  <si>
    <t xml:space="preserve">L06-20260420</t>
  </si>
  <si>
    <t xml:space="preserve">L07-20260420</t>
  </si>
  <si>
    <t xml:space="preserve">L08-20260420</t>
  </si>
  <si>
    <t xml:space="preserve">L01-20260427</t>
  </si>
  <si>
    <t xml:space="preserve">L02-20260427</t>
  </si>
  <si>
    <t xml:space="preserve">L03-20260427</t>
  </si>
  <si>
    <t xml:space="preserve">L04-20260427</t>
  </si>
  <si>
    <t xml:space="preserve">L05-20260427</t>
  </si>
  <si>
    <t xml:space="preserve">L06-20260427</t>
  </si>
  <si>
    <t xml:space="preserve">L07-20260427</t>
  </si>
  <si>
    <t xml:space="preserve">L08-20260427</t>
  </si>
  <si>
    <t xml:space="preserve">L01-20260504</t>
  </si>
  <si>
    <t xml:space="preserve">L02-20260504</t>
  </si>
  <si>
    <t xml:space="preserve">L03-20260504</t>
  </si>
  <si>
    <t xml:space="preserve">L04-20260504</t>
  </si>
  <si>
    <t xml:space="preserve">L05-20260504</t>
  </si>
  <si>
    <t xml:space="preserve">L06-20260504</t>
  </si>
  <si>
    <t xml:space="preserve">L07-20260504</t>
  </si>
  <si>
    <t xml:space="preserve">L08-20260504</t>
  </si>
  <si>
    <t xml:space="preserve">L01-20260511</t>
  </si>
  <si>
    <t xml:space="preserve">L02-20260511</t>
  </si>
  <si>
    <t xml:space="preserve">L03-20260511</t>
  </si>
  <si>
    <t xml:space="preserve">L04-20260511</t>
  </si>
  <si>
    <t xml:space="preserve">L05-20260511</t>
  </si>
  <si>
    <t xml:space="preserve">L06-20260511</t>
  </si>
  <si>
    <t xml:space="preserve">L07-20260511</t>
  </si>
  <si>
    <t xml:space="preserve">L08-20260511</t>
  </si>
  <si>
    <t xml:space="preserve">L01-20260518</t>
  </si>
  <si>
    <t xml:space="preserve">L02-20260518</t>
  </si>
  <si>
    <t xml:space="preserve">L03-20260518</t>
  </si>
  <si>
    <t xml:space="preserve">L04-20260518</t>
  </si>
  <si>
    <t xml:space="preserve">L05-20260518</t>
  </si>
  <si>
    <t xml:space="preserve">L06-20260518</t>
  </si>
  <si>
    <t xml:space="preserve">L07-20260518</t>
  </si>
  <si>
    <t xml:space="preserve">L08-20260518</t>
  </si>
  <si>
    <t xml:space="preserve">L01-20260525</t>
  </si>
  <si>
    <t xml:space="preserve">L02-20260525</t>
  </si>
  <si>
    <t xml:space="preserve">L03-20260525</t>
  </si>
  <si>
    <t xml:space="preserve">L04-20260525</t>
  </si>
  <si>
    <t xml:space="preserve">L05-20260525</t>
  </si>
  <si>
    <t xml:space="preserve">L06-20260525</t>
  </si>
  <si>
    <t xml:space="preserve">L07-20260525</t>
  </si>
  <si>
    <t xml:space="preserve">L08-20260525</t>
  </si>
  <si>
    <t xml:space="preserve">L01-20260601</t>
  </si>
  <si>
    <t xml:space="preserve">L02-20260601</t>
  </si>
  <si>
    <t xml:space="preserve">L03-20260601</t>
  </si>
  <si>
    <t xml:space="preserve">L04-20260601</t>
  </si>
  <si>
    <t xml:space="preserve">L05-20260601</t>
  </si>
  <si>
    <t xml:space="preserve">L06-20260601</t>
  </si>
  <si>
    <t xml:space="preserve">L07-20260601</t>
  </si>
  <si>
    <t xml:space="preserve">L08-20260601</t>
  </si>
  <si>
    <t xml:space="preserve">L01-20260608</t>
  </si>
  <si>
    <t xml:space="preserve">L02-20260608</t>
  </si>
  <si>
    <t xml:space="preserve">L03-20260608</t>
  </si>
  <si>
    <t xml:space="preserve">L04-20260608</t>
  </si>
  <si>
    <t xml:space="preserve">L05-20260608</t>
  </si>
  <si>
    <t xml:space="preserve">L06-20260608</t>
  </si>
  <si>
    <t xml:space="preserve">L07-20260608</t>
  </si>
  <si>
    <t xml:space="preserve">L08-20260608</t>
  </si>
  <si>
    <t xml:space="preserve">L01-20260615</t>
  </si>
  <si>
    <t xml:space="preserve">L02-20260615</t>
  </si>
  <si>
    <t xml:space="preserve">L03-20260615</t>
  </si>
  <si>
    <t xml:space="preserve">L04-20260615</t>
  </si>
  <si>
    <t xml:space="preserve">L05-20260615</t>
  </si>
  <si>
    <t xml:space="preserve">L06-20260615</t>
  </si>
  <si>
    <t xml:space="preserve">L07-20260615</t>
  </si>
  <si>
    <t xml:space="preserve">L08-20260615</t>
  </si>
  <si>
    <t xml:space="preserve">L01-20260622</t>
  </si>
  <si>
    <t xml:space="preserve">L02-20260622</t>
  </si>
  <si>
    <t xml:space="preserve">L03-20260622</t>
  </si>
  <si>
    <t xml:space="preserve">L04-20260622</t>
  </si>
  <si>
    <t xml:space="preserve">L05-20260622</t>
  </si>
  <si>
    <t xml:space="preserve">L06-20260622</t>
  </si>
  <si>
    <t xml:space="preserve">L07-20260622</t>
  </si>
  <si>
    <t xml:space="preserve">L08-20260622</t>
  </si>
  <si>
    <t xml:space="preserve">L01-20260629</t>
  </si>
  <si>
    <t xml:space="preserve">L02-20260629</t>
  </si>
  <si>
    <t xml:space="preserve">L03-20260629</t>
  </si>
  <si>
    <t xml:space="preserve">L04-20260629</t>
  </si>
  <si>
    <t xml:space="preserve">L05-20260629</t>
  </si>
  <si>
    <t xml:space="preserve">L06-20260629</t>
  </si>
  <si>
    <t xml:space="preserve">L07-20260629</t>
  </si>
  <si>
    <t xml:space="preserve">L08-20260629</t>
  </si>
  <si>
    <t xml:space="preserve">L01-20260706</t>
  </si>
  <si>
    <t xml:space="preserve">L02-20260706</t>
  </si>
  <si>
    <t xml:space="preserve">L03-20260706</t>
  </si>
  <si>
    <t xml:space="preserve">L04-20260706</t>
  </si>
  <si>
    <t xml:space="preserve">L05-20260706</t>
  </si>
  <si>
    <t xml:space="preserve">L06-20260706</t>
  </si>
  <si>
    <t xml:space="preserve">L07-20260706</t>
  </si>
  <si>
    <t xml:space="preserve">L08-20260706</t>
  </si>
  <si>
    <t xml:space="preserve">L01-20260713</t>
  </si>
  <si>
    <t xml:space="preserve">L02-20260713</t>
  </si>
  <si>
    <t xml:space="preserve">L03-20260713</t>
  </si>
  <si>
    <t xml:space="preserve">L04-20260713</t>
  </si>
  <si>
    <t xml:space="preserve">L05-20260713</t>
  </si>
  <si>
    <t xml:space="preserve">L06-20260713</t>
  </si>
  <si>
    <t xml:space="preserve">L07-20260713</t>
  </si>
  <si>
    <t xml:space="preserve">L08-20260713</t>
  </si>
  <si>
    <t xml:space="preserve">L01-20260720</t>
  </si>
  <si>
    <t xml:space="preserve">L02-20260720</t>
  </si>
  <si>
    <t xml:space="preserve">L03-20260720</t>
  </si>
  <si>
    <t xml:space="preserve">L04-20260720</t>
  </si>
  <si>
    <t xml:space="preserve">L05-20260720</t>
  </si>
  <si>
    <t xml:space="preserve">L06-20260720</t>
  </si>
  <si>
    <t xml:space="preserve">L07-20260720</t>
  </si>
  <si>
    <t xml:space="preserve">L08-20260720</t>
  </si>
  <si>
    <t xml:space="preserve">L01-20260727</t>
  </si>
  <si>
    <t xml:space="preserve">L02-20260727</t>
  </si>
  <si>
    <t xml:space="preserve">L03-20260727</t>
  </si>
  <si>
    <t xml:space="preserve">L04-20260727</t>
  </si>
  <si>
    <t xml:space="preserve">L05-20260727</t>
  </si>
  <si>
    <t xml:space="preserve">L06-20260727</t>
  </si>
  <si>
    <t xml:space="preserve">L07-20260727</t>
  </si>
  <si>
    <t xml:space="preserve">L08-20260727</t>
  </si>
  <si>
    <t xml:space="preserve">L01-20260803</t>
  </si>
  <si>
    <t xml:space="preserve">L02-20260803</t>
  </si>
  <si>
    <t xml:space="preserve">L03-20260803</t>
  </si>
  <si>
    <t xml:space="preserve">L04-20260803</t>
  </si>
  <si>
    <t xml:space="preserve">L05-20260803</t>
  </si>
  <si>
    <t xml:space="preserve">L06-20260803</t>
  </si>
  <si>
    <t xml:space="preserve">L07-20260803</t>
  </si>
  <si>
    <t xml:space="preserve">L08-20260803</t>
  </si>
  <si>
    <t xml:space="preserve">L01-20260810</t>
  </si>
  <si>
    <t xml:space="preserve">L02-20260810</t>
  </si>
  <si>
    <t xml:space="preserve">L03-20260810</t>
  </si>
  <si>
    <t xml:space="preserve">L04-20260810</t>
  </si>
  <si>
    <t xml:space="preserve">L05-20260810</t>
  </si>
  <si>
    <t xml:space="preserve">L06-20260810</t>
  </si>
  <si>
    <t xml:space="preserve">L07-20260810</t>
  </si>
  <si>
    <t xml:space="preserve">L08-20260810</t>
  </si>
  <si>
    <t xml:space="preserve">L01-20260817</t>
  </si>
  <si>
    <t xml:space="preserve">L02-20260817</t>
  </si>
  <si>
    <t xml:space="preserve">L03-20260817</t>
  </si>
  <si>
    <t xml:space="preserve">L04-20260817</t>
  </si>
  <si>
    <t xml:space="preserve">L05-20260817</t>
  </si>
  <si>
    <t xml:space="preserve">L06-20260817</t>
  </si>
  <si>
    <t xml:space="preserve">L07-20260817</t>
  </si>
  <si>
    <t xml:space="preserve">L08-20260817</t>
  </si>
  <si>
    <t xml:space="preserve">L01-20260824</t>
  </si>
  <si>
    <t xml:space="preserve">L02-20260824</t>
  </si>
  <si>
    <t xml:space="preserve">L03-20260824</t>
  </si>
  <si>
    <t xml:space="preserve">L04-20260824</t>
  </si>
  <si>
    <t xml:space="preserve">L05-20260824</t>
  </si>
  <si>
    <t xml:space="preserve">L06-20260824</t>
  </si>
  <si>
    <t xml:space="preserve">L07-20260824</t>
  </si>
  <si>
    <t xml:space="preserve">L08-20260824</t>
  </si>
  <si>
    <t xml:space="preserve">L01-20260831</t>
  </si>
  <si>
    <t xml:space="preserve">L02-20260831</t>
  </si>
  <si>
    <t xml:space="preserve">L03-20260831</t>
  </si>
  <si>
    <t xml:space="preserve">L04-20260831</t>
  </si>
  <si>
    <t xml:space="preserve">L05-20260831</t>
  </si>
  <si>
    <t xml:space="preserve">L06-20260831</t>
  </si>
  <si>
    <t xml:space="preserve">L07-20260831</t>
  </si>
  <si>
    <t xml:space="preserve">L08-20260831</t>
  </si>
  <si>
    <t xml:space="preserve">L01-20260907</t>
  </si>
  <si>
    <t xml:space="preserve">L02-20260907</t>
  </si>
  <si>
    <t xml:space="preserve">L03-20260907</t>
  </si>
  <si>
    <t xml:space="preserve">L04-20260907</t>
  </si>
  <si>
    <t xml:space="preserve">L05-20260907</t>
  </si>
  <si>
    <t xml:space="preserve">L06-20260907</t>
  </si>
  <si>
    <t xml:space="preserve">L07-20260907</t>
  </si>
  <si>
    <t xml:space="preserve">L08-20260907</t>
  </si>
  <si>
    <t xml:space="preserve">Familia</t>
  </si>
  <si>
    <t xml:space="preserve">Costo_Material_Std_USD_lb</t>
  </si>
  <si>
    <t xml:space="preserve">Factor_Scrap_Std</t>
  </si>
  <si>
    <t xml:space="preserve">Precio_Neto_USD_lb</t>
  </si>
  <si>
    <t xml:space="preserve">Tarifa_MO_USD_h</t>
  </si>
  <si>
    <t xml:space="preserve">Horas_Programadas_Base_sem</t>
  </si>
  <si>
    <t xml:space="preserve">HC_Estandar</t>
  </si>
  <si>
    <t xml:space="preserve">Parametro_Global</t>
  </si>
  <si>
    <t xml:space="preserve">Valor</t>
  </si>
  <si>
    <t xml:space="preserve">Nota</t>
  </si>
  <si>
    <t xml:space="preserve">Ketchup botella</t>
  </si>
  <si>
    <t xml:space="preserve">Condimentos</t>
  </si>
  <si>
    <t xml:space="preserve">Tarifa_Energia_USD_kWh</t>
  </si>
  <si>
    <t xml:space="preserve">Supuesto ilustrativo, no es tarifa real de un contrato</t>
  </si>
  <si>
    <t xml:space="preserve">Mayonesa frasco</t>
  </si>
  <si>
    <t xml:space="preserve">Prima_Horas_Extra</t>
  </si>
  <si>
    <t xml:space="preserve">Multiplicador sobre tarifa MO; supuesto ilustrativo</t>
  </si>
  <si>
    <t xml:space="preserve">Aderezos vertibles</t>
  </si>
  <si>
    <t xml:space="preserve">Aderezos</t>
  </si>
  <si>
    <t xml:space="preserve">Costo_Mant_NoPlan_USD_h_paro</t>
  </si>
  <si>
    <t xml:space="preserve">Costo promedio por hora de paro no planificado; supuesto ilustrativo</t>
  </si>
  <si>
    <t xml:space="preserve">Salsa BBQ</t>
  </si>
  <si>
    <t xml:space="preserve">Salsas</t>
  </si>
  <si>
    <t xml:space="preserve">Queso crema</t>
  </si>
  <si>
    <t xml:space="preserve">Lácteos untables</t>
  </si>
  <si>
    <t xml:space="preserve">Crema de cacahuate</t>
  </si>
  <si>
    <t xml:space="preserve">Untables</t>
  </si>
  <si>
    <t xml:space="preserve">Porciones single serve</t>
  </si>
  <si>
    <t xml:space="preserve">Porciones</t>
  </si>
  <si>
    <t xml:space="preserve">Salsas picantes</t>
  </si>
  <si>
    <t xml:space="preserve">Causa_ID</t>
  </si>
  <si>
    <t xml:space="preserve">Causa</t>
  </si>
  <si>
    <t xml:space="preserve">Clasificacion</t>
  </si>
  <si>
    <t xml:space="preserve">C01</t>
  </si>
  <si>
    <t xml:space="preserve">Falla mecánica</t>
  </si>
  <si>
    <t xml:space="preserve">Operacional</t>
  </si>
  <si>
    <t xml:space="preserve">C02</t>
  </si>
  <si>
    <t xml:space="preserve">Falla eléctrica / control</t>
  </si>
  <si>
    <t xml:space="preserve">C03</t>
  </si>
  <si>
    <t xml:space="preserve">Cambio de formato excedido</t>
  </si>
  <si>
    <t xml:space="preserve">C04</t>
  </si>
  <si>
    <t xml:space="preserve">Falta de material de empaque</t>
  </si>
  <si>
    <t xml:space="preserve">Material / suministro</t>
  </si>
  <si>
    <t xml:space="preserve">C05</t>
  </si>
  <si>
    <t xml:space="preserve">Falta de materia prima</t>
  </si>
  <si>
    <t xml:space="preserve">C06</t>
  </si>
  <si>
    <t xml:space="preserve">Retención de calidad</t>
  </si>
  <si>
    <t xml:space="preserve">C07</t>
  </si>
  <si>
    <t xml:space="preserve">Limpieza no programada (CIP)</t>
  </si>
  <si>
    <t xml:space="preserve">C08</t>
  </si>
  <si>
    <t xml:space="preserve">Falta de personal</t>
  </si>
  <si>
    <t xml:space="preserve">Personal</t>
  </si>
  <si>
    <t xml:space="preserve">C09</t>
  </si>
  <si>
    <t xml:space="preserve">Falla de servicios (vapor/amoniaco/aire)</t>
  </si>
  <si>
    <t xml:space="preserve">Servicios</t>
  </si>
  <si>
    <t xml:space="preserve">Evento_ID</t>
  </si>
  <si>
    <t xml:space="preserve">Fecha_Evento</t>
  </si>
  <si>
    <t xml:space="preserve">Activo</t>
  </si>
  <si>
    <t xml:space="preserve">Minutos_Paro</t>
  </si>
  <si>
    <t xml:space="preserve">Horas_Paro</t>
  </si>
  <si>
    <t xml:space="preserve">EV00001</t>
  </si>
  <si>
    <t xml:space="preserve">Etiquetadora</t>
  </si>
  <si>
    <t xml:space="preserve">EV00002</t>
  </si>
  <si>
    <t xml:space="preserve">Llenadora</t>
  </si>
  <si>
    <t xml:space="preserve">EV00003</t>
  </si>
  <si>
    <t xml:space="preserve">Homogeneizador</t>
  </si>
  <si>
    <t xml:space="preserve">EV00004</t>
  </si>
  <si>
    <t xml:space="preserve">Molino de tostado</t>
  </si>
  <si>
    <t xml:space="preserve">EV00005</t>
  </si>
  <si>
    <t xml:space="preserve">EV00006</t>
  </si>
  <si>
    <t xml:space="preserve">Llenadora de tinas</t>
  </si>
  <si>
    <t xml:space="preserve">EV00007</t>
  </si>
  <si>
    <t xml:space="preserve">Formadora-llenadora-selladora</t>
  </si>
  <si>
    <t xml:space="preserve">EV00008</t>
  </si>
  <si>
    <t xml:space="preserve">Molino</t>
  </si>
  <si>
    <t xml:space="preserve">EV00009</t>
  </si>
  <si>
    <t xml:space="preserve">Taponadora</t>
  </si>
  <si>
    <t xml:space="preserve">EV00010</t>
  </si>
  <si>
    <t xml:space="preserve">EV00011</t>
  </si>
  <si>
    <t xml:space="preserve">EV00012</t>
  </si>
  <si>
    <t xml:space="preserve">EV00013</t>
  </si>
  <si>
    <t xml:space="preserve">EV00014</t>
  </si>
  <si>
    <t xml:space="preserve">Paletizadora</t>
  </si>
  <si>
    <t xml:space="preserve">EV00015</t>
  </si>
  <si>
    <t xml:space="preserve">EV00016</t>
  </si>
  <si>
    <t xml:space="preserve">Mezclador</t>
  </si>
  <si>
    <t xml:space="preserve">EV00017</t>
  </si>
  <si>
    <t xml:space="preserve">Túnel de enfriamiento</t>
  </si>
  <si>
    <t xml:space="preserve">EV00018</t>
  </si>
  <si>
    <t xml:space="preserve">EV00019</t>
  </si>
  <si>
    <t xml:space="preserve">EV00020</t>
  </si>
  <si>
    <t xml:space="preserve">EV00021</t>
  </si>
  <si>
    <t xml:space="preserve">EV00022</t>
  </si>
  <si>
    <t xml:space="preserve">EV00023</t>
  </si>
  <si>
    <t xml:space="preserve">EV00024</t>
  </si>
  <si>
    <t xml:space="preserve">EV00025</t>
  </si>
  <si>
    <t xml:space="preserve">EV00026</t>
  </si>
  <si>
    <t xml:space="preserve">EV00027</t>
  </si>
  <si>
    <t xml:space="preserve">EV00028</t>
  </si>
  <si>
    <t xml:space="preserve">EV00029</t>
  </si>
  <si>
    <t xml:space="preserve">EV00030</t>
  </si>
  <si>
    <t xml:space="preserve">EV00031</t>
  </si>
  <si>
    <t xml:space="preserve">EV00032</t>
  </si>
  <si>
    <t xml:space="preserve">EV00033</t>
  </si>
  <si>
    <t xml:space="preserve">Molino coloidal</t>
  </si>
  <si>
    <t xml:space="preserve">EV00034</t>
  </si>
  <si>
    <t xml:space="preserve">EV00035</t>
  </si>
  <si>
    <t xml:space="preserve">EV00036</t>
  </si>
  <si>
    <t xml:space="preserve">EV00037</t>
  </si>
  <si>
    <t xml:space="preserve">Llenadora rotativa</t>
  </si>
  <si>
    <t xml:space="preserve">EV00038</t>
  </si>
  <si>
    <t xml:space="preserve">EV00039</t>
  </si>
  <si>
    <t xml:space="preserve">EV00040</t>
  </si>
  <si>
    <t xml:space="preserve">EV00041</t>
  </si>
  <si>
    <t xml:space="preserve">EV00042</t>
  </si>
  <si>
    <t xml:space="preserve">Encartonadora</t>
  </si>
  <si>
    <t xml:space="preserve">EV00043</t>
  </si>
  <si>
    <t xml:space="preserve">EV00044</t>
  </si>
  <si>
    <t xml:space="preserve">EV00045</t>
  </si>
  <si>
    <t xml:space="preserve">EV00046</t>
  </si>
  <si>
    <t xml:space="preserve">EV00047</t>
  </si>
  <si>
    <t xml:space="preserve">EV00048</t>
  </si>
  <si>
    <t xml:space="preserve">EV00049</t>
  </si>
  <si>
    <t xml:space="preserve">EV00050</t>
  </si>
  <si>
    <t xml:space="preserve">EV00051</t>
  </si>
  <si>
    <t xml:space="preserve">EV00052</t>
  </si>
  <si>
    <t xml:space="preserve">EV00053</t>
  </si>
  <si>
    <t xml:space="preserve">EV00054</t>
  </si>
  <si>
    <t xml:space="preserve">EV00055</t>
  </si>
  <si>
    <t xml:space="preserve">EV00056</t>
  </si>
  <si>
    <t xml:space="preserve">EV00057</t>
  </si>
  <si>
    <t xml:space="preserve">EV00058</t>
  </si>
  <si>
    <t xml:space="preserve">Marmita de cocción</t>
  </si>
  <si>
    <t xml:space="preserve">EV00059</t>
  </si>
  <si>
    <t xml:space="preserve">EV00060</t>
  </si>
  <si>
    <t xml:space="preserve">EV00061</t>
  </si>
  <si>
    <t xml:space="preserve">EV00062</t>
  </si>
  <si>
    <t xml:space="preserve">EV00063</t>
  </si>
  <si>
    <t xml:space="preserve">EV00064</t>
  </si>
  <si>
    <t xml:space="preserve">EV00065</t>
  </si>
  <si>
    <t xml:space="preserve">EV00066</t>
  </si>
  <si>
    <t xml:space="preserve">EV00067</t>
  </si>
  <si>
    <t xml:space="preserve">EV00068</t>
  </si>
  <si>
    <t xml:space="preserve">EV00069</t>
  </si>
  <si>
    <t xml:space="preserve">EV00070</t>
  </si>
  <si>
    <t xml:space="preserve">EV00071</t>
  </si>
  <si>
    <t xml:space="preserve">EV00072</t>
  </si>
  <si>
    <t xml:space="preserve">EV00073</t>
  </si>
  <si>
    <t xml:space="preserve">EV00074</t>
  </si>
  <si>
    <t xml:space="preserve">EV00075</t>
  </si>
  <si>
    <t xml:space="preserve">EV00076</t>
  </si>
  <si>
    <t xml:space="preserve">EV00077</t>
  </si>
  <si>
    <t xml:space="preserve">EV00078</t>
  </si>
  <si>
    <t xml:space="preserve">EV00079</t>
  </si>
  <si>
    <t xml:space="preserve">EV00080</t>
  </si>
  <si>
    <t xml:space="preserve">EV00081</t>
  </si>
  <si>
    <t xml:space="preserve">EV00082</t>
  </si>
  <si>
    <t xml:space="preserve">EV00083</t>
  </si>
  <si>
    <t xml:space="preserve">EV00084</t>
  </si>
  <si>
    <t xml:space="preserve">EV00085</t>
  </si>
  <si>
    <t xml:space="preserve">EV00086</t>
  </si>
  <si>
    <t xml:space="preserve">EV00087</t>
  </si>
  <si>
    <t xml:space="preserve">EV00088</t>
  </si>
  <si>
    <t xml:space="preserve">EV00089</t>
  </si>
  <si>
    <t xml:space="preserve">EV00090</t>
  </si>
  <si>
    <t xml:space="preserve">EV00091</t>
  </si>
  <si>
    <t xml:space="preserve">EV00092</t>
  </si>
  <si>
    <t xml:space="preserve">EV00093</t>
  </si>
  <si>
    <t xml:space="preserve">EV00094</t>
  </si>
  <si>
    <t xml:space="preserve">EV00095</t>
  </si>
  <si>
    <t xml:space="preserve">EV00096</t>
  </si>
  <si>
    <t xml:space="preserve">EV00097</t>
  </si>
  <si>
    <t xml:space="preserve">EV00098</t>
  </si>
  <si>
    <t xml:space="preserve">EV00099</t>
  </si>
  <si>
    <t xml:space="preserve">EV00100</t>
  </si>
  <si>
    <t xml:space="preserve">EV00101</t>
  </si>
  <si>
    <t xml:space="preserve">EV00102</t>
  </si>
  <si>
    <t xml:space="preserve">EV00103</t>
  </si>
  <si>
    <t xml:space="preserve">EV00104</t>
  </si>
  <si>
    <t xml:space="preserve">EV00105</t>
  </si>
  <si>
    <t xml:space="preserve">EV00106</t>
  </si>
  <si>
    <t xml:space="preserve">EV00107</t>
  </si>
  <si>
    <t xml:space="preserve">EV00108</t>
  </si>
  <si>
    <t xml:space="preserve">EV00109</t>
  </si>
  <si>
    <t xml:space="preserve">EV00110</t>
  </si>
  <si>
    <t xml:space="preserve">EV00111</t>
  </si>
  <si>
    <t xml:space="preserve">EV00112</t>
  </si>
  <si>
    <t xml:space="preserve">EV00113</t>
  </si>
  <si>
    <t xml:space="preserve">EV00114</t>
  </si>
  <si>
    <t xml:space="preserve">EV00115</t>
  </si>
  <si>
    <t xml:space="preserve">EV00116</t>
  </si>
  <si>
    <t xml:space="preserve">EV00117</t>
  </si>
  <si>
    <t xml:space="preserve">EV00118</t>
  </si>
  <si>
    <t xml:space="preserve">EV00119</t>
  </si>
  <si>
    <t xml:space="preserve">EV00120</t>
  </si>
  <si>
    <t xml:space="preserve">EV00121</t>
  </si>
  <si>
    <t xml:space="preserve">EV00122</t>
  </si>
  <si>
    <t xml:space="preserve">EV00123</t>
  </si>
  <si>
    <t xml:space="preserve">EV00124</t>
  </si>
  <si>
    <t xml:space="preserve">EV00125</t>
  </si>
  <si>
    <t xml:space="preserve">EV00126</t>
  </si>
  <si>
    <t xml:space="preserve">EV00127</t>
  </si>
  <si>
    <t xml:space="preserve">EV00128</t>
  </si>
  <si>
    <t xml:space="preserve">EV00129</t>
  </si>
  <si>
    <t xml:space="preserve">EV00130</t>
  </si>
  <si>
    <t xml:space="preserve">EV00131</t>
  </si>
  <si>
    <t xml:space="preserve">EV00132</t>
  </si>
  <si>
    <t xml:space="preserve">EV00133</t>
  </si>
  <si>
    <t xml:space="preserve">EV00134</t>
  </si>
  <si>
    <t xml:space="preserve">EV00135</t>
  </si>
  <si>
    <t xml:space="preserve">EV00136</t>
  </si>
  <si>
    <t xml:space="preserve">EV00137</t>
  </si>
  <si>
    <t xml:space="preserve">EV00138</t>
  </si>
  <si>
    <t xml:space="preserve">EV00139</t>
  </si>
  <si>
    <t xml:space="preserve">EV00140</t>
  </si>
  <si>
    <t xml:space="preserve">EV00141</t>
  </si>
  <si>
    <t xml:space="preserve">EV00142</t>
  </si>
  <si>
    <t xml:space="preserve">EV00143</t>
  </si>
  <si>
    <t xml:space="preserve">EV00144</t>
  </si>
  <si>
    <t xml:space="preserve">EV00145</t>
  </si>
  <si>
    <t xml:space="preserve">EV00146</t>
  </si>
  <si>
    <t xml:space="preserve">EV00147</t>
  </si>
  <si>
    <t xml:space="preserve">EV00148</t>
  </si>
  <si>
    <t xml:space="preserve">EV00149</t>
  </si>
  <si>
    <t xml:space="preserve">EV00150</t>
  </si>
  <si>
    <t xml:space="preserve">EV00151</t>
  </si>
  <si>
    <t xml:space="preserve">EV00152</t>
  </si>
  <si>
    <t xml:space="preserve">EV00153</t>
  </si>
  <si>
    <t xml:space="preserve">EV00154</t>
  </si>
  <si>
    <t xml:space="preserve">EV00155</t>
  </si>
  <si>
    <t xml:space="preserve">EV00156</t>
  </si>
  <si>
    <t xml:space="preserve">EV00157</t>
  </si>
  <si>
    <t xml:space="preserve">EV00158</t>
  </si>
  <si>
    <t xml:space="preserve">EV00159</t>
  </si>
  <si>
    <t xml:space="preserve">EV00160</t>
  </si>
  <si>
    <t xml:space="preserve">EV00161</t>
  </si>
  <si>
    <t xml:space="preserve">EV00162</t>
  </si>
  <si>
    <t xml:space="preserve">EV00163</t>
  </si>
  <si>
    <t xml:space="preserve">EV00164</t>
  </si>
  <si>
    <t xml:space="preserve">EV00165</t>
  </si>
  <si>
    <t xml:space="preserve">EV00166</t>
  </si>
  <si>
    <t xml:space="preserve">EV00167</t>
  </si>
  <si>
    <t xml:space="preserve">EV00168</t>
  </si>
  <si>
    <t xml:space="preserve">EV00169</t>
  </si>
  <si>
    <t xml:space="preserve">EV00170</t>
  </si>
  <si>
    <t xml:space="preserve">EV00171</t>
  </si>
  <si>
    <t xml:space="preserve">EV00172</t>
  </si>
  <si>
    <t xml:space="preserve">EV00173</t>
  </si>
  <si>
    <t xml:space="preserve">EV00174</t>
  </si>
  <si>
    <t xml:space="preserve">EV00175</t>
  </si>
  <si>
    <t xml:space="preserve">EV00176</t>
  </si>
  <si>
    <t xml:space="preserve">EV00177</t>
  </si>
  <si>
    <t xml:space="preserve">EV00178</t>
  </si>
  <si>
    <t xml:space="preserve">EV00179</t>
  </si>
  <si>
    <t xml:space="preserve">EV00180</t>
  </si>
  <si>
    <t xml:space="preserve">EV00181</t>
  </si>
  <si>
    <t xml:space="preserve">EV00182</t>
  </si>
  <si>
    <t xml:space="preserve">EV00183</t>
  </si>
  <si>
    <t xml:space="preserve">EV00184</t>
  </si>
  <si>
    <t xml:space="preserve">EV00185</t>
  </si>
  <si>
    <t xml:space="preserve">EV00186</t>
  </si>
  <si>
    <t xml:space="preserve">EV00187</t>
  </si>
  <si>
    <t xml:space="preserve">EV00188</t>
  </si>
  <si>
    <t xml:space="preserve">EV00189</t>
  </si>
  <si>
    <t xml:space="preserve">EV00190</t>
  </si>
  <si>
    <t xml:space="preserve">EV00191</t>
  </si>
  <si>
    <t xml:space="preserve">EV00192</t>
  </si>
  <si>
    <t xml:space="preserve">EV00193</t>
  </si>
  <si>
    <t xml:space="preserve">EV00194</t>
  </si>
  <si>
    <t xml:space="preserve">EV00195</t>
  </si>
  <si>
    <t xml:space="preserve">EV00196</t>
  </si>
  <si>
    <t xml:space="preserve">EV00197</t>
  </si>
  <si>
    <t xml:space="preserve">EV00198</t>
  </si>
  <si>
    <t xml:space="preserve">EV00199</t>
  </si>
  <si>
    <t xml:space="preserve">EV00200</t>
  </si>
  <si>
    <t xml:space="preserve">EV00201</t>
  </si>
  <si>
    <t xml:space="preserve">EV00202</t>
  </si>
  <si>
    <t xml:space="preserve">EV00203</t>
  </si>
  <si>
    <t xml:space="preserve">EV00204</t>
  </si>
  <si>
    <t xml:space="preserve">EV00205</t>
  </si>
  <si>
    <t xml:space="preserve">EV00206</t>
  </si>
  <si>
    <t xml:space="preserve">EV00207</t>
  </si>
  <si>
    <t xml:space="preserve">EV00208</t>
  </si>
  <si>
    <t xml:space="preserve">EV00209</t>
  </si>
  <si>
    <t xml:space="preserve">EV00210</t>
  </si>
  <si>
    <t xml:space="preserve">EV00211</t>
  </si>
  <si>
    <t xml:space="preserve">EV00212</t>
  </si>
  <si>
    <t xml:space="preserve">EV00213</t>
  </si>
  <si>
    <t xml:space="preserve">EV00214</t>
  </si>
  <si>
    <t xml:space="preserve">EV00215</t>
  </si>
  <si>
    <t xml:space="preserve">EV00216</t>
  </si>
  <si>
    <t xml:space="preserve">EV00217</t>
  </si>
  <si>
    <t xml:space="preserve">EV00218</t>
  </si>
  <si>
    <t xml:space="preserve">EV00219</t>
  </si>
  <si>
    <t xml:space="preserve">EV00220</t>
  </si>
  <si>
    <t xml:space="preserve">EV00221</t>
  </si>
  <si>
    <t xml:space="preserve">EV00222</t>
  </si>
  <si>
    <t xml:space="preserve">EV00223</t>
  </si>
  <si>
    <t xml:space="preserve">EV00224</t>
  </si>
  <si>
    <t xml:space="preserve">EV00225</t>
  </si>
  <si>
    <t xml:space="preserve">EV00226</t>
  </si>
  <si>
    <t xml:space="preserve">EV00227</t>
  </si>
  <si>
    <t xml:space="preserve">EV00228</t>
  </si>
  <si>
    <t xml:space="preserve">EV00229</t>
  </si>
  <si>
    <t xml:space="preserve">EV00230</t>
  </si>
  <si>
    <t xml:space="preserve">EV00231</t>
  </si>
  <si>
    <t xml:space="preserve">EV00232</t>
  </si>
  <si>
    <t xml:space="preserve">EV00233</t>
  </si>
  <si>
    <t xml:space="preserve">EV00234</t>
  </si>
  <si>
    <t xml:space="preserve">EV00235</t>
  </si>
  <si>
    <t xml:space="preserve">EV00236</t>
  </si>
  <si>
    <t xml:space="preserve">EV00237</t>
  </si>
  <si>
    <t xml:space="preserve">EV00238</t>
  </si>
  <si>
    <t xml:space="preserve">EV00239</t>
  </si>
  <si>
    <t xml:space="preserve">EV00240</t>
  </si>
  <si>
    <t xml:space="preserve">EV00241</t>
  </si>
  <si>
    <t xml:space="preserve">EV00242</t>
  </si>
  <si>
    <t xml:space="preserve">EV00243</t>
  </si>
  <si>
    <t xml:space="preserve">EV00244</t>
  </si>
  <si>
    <t xml:space="preserve">EV00245</t>
  </si>
  <si>
    <t xml:space="preserve">EV00246</t>
  </si>
  <si>
    <t xml:space="preserve">EV00247</t>
  </si>
  <si>
    <t xml:space="preserve">EV00248</t>
  </si>
  <si>
    <t xml:space="preserve">EV00249</t>
  </si>
  <si>
    <t xml:space="preserve">EV00250</t>
  </si>
  <si>
    <t xml:space="preserve">EV00251</t>
  </si>
  <si>
    <t xml:space="preserve">EV00252</t>
  </si>
  <si>
    <t xml:space="preserve">EV00253</t>
  </si>
  <si>
    <t xml:space="preserve">EV00254</t>
  </si>
  <si>
    <t xml:space="preserve">EV00255</t>
  </si>
  <si>
    <t xml:space="preserve">EV00256</t>
  </si>
  <si>
    <t xml:space="preserve">EV00257</t>
  </si>
  <si>
    <t xml:space="preserve">EV00258</t>
  </si>
  <si>
    <t xml:space="preserve">EV00259</t>
  </si>
  <si>
    <t xml:space="preserve">EV00260</t>
  </si>
  <si>
    <t xml:space="preserve">EV00261</t>
  </si>
  <si>
    <t xml:space="preserve">EV00262</t>
  </si>
  <si>
    <t xml:space="preserve">EV00263</t>
  </si>
  <si>
    <t xml:space="preserve">EV00264</t>
  </si>
  <si>
    <t xml:space="preserve">EV00265</t>
  </si>
  <si>
    <t xml:space="preserve">EV00266</t>
  </si>
  <si>
    <t xml:space="preserve">EV00267</t>
  </si>
  <si>
    <t xml:space="preserve">EV00268</t>
  </si>
  <si>
    <t xml:space="preserve">EV00269</t>
  </si>
  <si>
    <t xml:space="preserve">EV00270</t>
  </si>
  <si>
    <t xml:space="preserve">EV00271</t>
  </si>
  <si>
    <t xml:space="preserve">EV00272</t>
  </si>
  <si>
    <t xml:space="preserve">EV00273</t>
  </si>
  <si>
    <t xml:space="preserve">EV00274</t>
  </si>
  <si>
    <t xml:space="preserve">EV00275</t>
  </si>
  <si>
    <t xml:space="preserve">EV00276</t>
  </si>
  <si>
    <t xml:space="preserve">EV00277</t>
  </si>
  <si>
    <t xml:space="preserve">EV00278</t>
  </si>
  <si>
    <t xml:space="preserve">EV00279</t>
  </si>
  <si>
    <t xml:space="preserve">EV00280</t>
  </si>
  <si>
    <t xml:space="preserve">EV00281</t>
  </si>
  <si>
    <t xml:space="preserve">EV00282</t>
  </si>
  <si>
    <t xml:space="preserve">EV00283</t>
  </si>
  <si>
    <t xml:space="preserve">EV00284</t>
  </si>
  <si>
    <t xml:space="preserve">EV00285</t>
  </si>
  <si>
    <t xml:space="preserve">EV00286</t>
  </si>
  <si>
    <t xml:space="preserve">EV00287</t>
  </si>
  <si>
    <t xml:space="preserve">EV00288</t>
  </si>
  <si>
    <t xml:space="preserve">EV00289</t>
  </si>
  <si>
    <t xml:space="preserve">EV00290</t>
  </si>
  <si>
    <t xml:space="preserve">EV00291</t>
  </si>
  <si>
    <t xml:space="preserve">EV00292</t>
  </si>
  <si>
    <t xml:space="preserve">EV00293</t>
  </si>
  <si>
    <t xml:space="preserve">EV00294</t>
  </si>
  <si>
    <t xml:space="preserve">EV00295</t>
  </si>
  <si>
    <t xml:space="preserve">EV00296</t>
  </si>
  <si>
    <t xml:space="preserve">EV00297</t>
  </si>
  <si>
    <t xml:space="preserve">EV00298</t>
  </si>
  <si>
    <t xml:space="preserve">EV00299</t>
  </si>
  <si>
    <t xml:space="preserve">EV00300</t>
  </si>
  <si>
    <t xml:space="preserve">EV00301</t>
  </si>
  <si>
    <t xml:space="preserve">EV00302</t>
  </si>
  <si>
    <t xml:space="preserve">EV00303</t>
  </si>
  <si>
    <t xml:space="preserve">EV00304</t>
  </si>
  <si>
    <t xml:space="preserve">EV00305</t>
  </si>
  <si>
    <t xml:space="preserve">EV00306</t>
  </si>
  <si>
    <t xml:space="preserve">EV00307</t>
  </si>
  <si>
    <t xml:space="preserve">EV00308</t>
  </si>
  <si>
    <t xml:space="preserve">EV00309</t>
  </si>
  <si>
    <t xml:space="preserve">EV00310</t>
  </si>
  <si>
    <t xml:space="preserve">EV00311</t>
  </si>
  <si>
    <t xml:space="preserve">EV00312</t>
  </si>
  <si>
    <t xml:space="preserve">EV00313</t>
  </si>
  <si>
    <t xml:space="preserve">EV00314</t>
  </si>
  <si>
    <t xml:space="preserve">EV00315</t>
  </si>
  <si>
    <t xml:space="preserve">EV00316</t>
  </si>
  <si>
    <t xml:space="preserve">EV00317</t>
  </si>
  <si>
    <t xml:space="preserve">EV00318</t>
  </si>
  <si>
    <t xml:space="preserve">EV00319</t>
  </si>
  <si>
    <t xml:space="preserve">EV00320</t>
  </si>
  <si>
    <t xml:space="preserve">EV00321</t>
  </si>
  <si>
    <t xml:space="preserve">EV00322</t>
  </si>
  <si>
    <t xml:space="preserve">EV00323</t>
  </si>
  <si>
    <t xml:space="preserve">EV00324</t>
  </si>
  <si>
    <t xml:space="preserve">EV00325</t>
  </si>
  <si>
    <t xml:space="preserve">EV00326</t>
  </si>
  <si>
    <t xml:space="preserve">EV00327</t>
  </si>
  <si>
    <t xml:space="preserve">EV00328</t>
  </si>
  <si>
    <t xml:space="preserve">EV00329</t>
  </si>
  <si>
    <t xml:space="preserve">EV00330</t>
  </si>
  <si>
    <t xml:space="preserve">EV00331</t>
  </si>
  <si>
    <t xml:space="preserve">EV00332</t>
  </si>
  <si>
    <t xml:space="preserve">EV00333</t>
  </si>
  <si>
    <t xml:space="preserve">EV00334</t>
  </si>
  <si>
    <t xml:space="preserve">EV00335</t>
  </si>
  <si>
    <t xml:space="preserve">EV00336</t>
  </si>
  <si>
    <t xml:space="preserve">EV00337</t>
  </si>
  <si>
    <t xml:space="preserve">EV00338</t>
  </si>
  <si>
    <t xml:space="preserve">EV00339</t>
  </si>
  <si>
    <t xml:space="preserve">EV00340</t>
  </si>
  <si>
    <t xml:space="preserve">EV00341</t>
  </si>
  <si>
    <t xml:space="preserve">EV00342</t>
  </si>
  <si>
    <t xml:space="preserve">EV00343</t>
  </si>
  <si>
    <t xml:space="preserve">EV00344</t>
  </si>
  <si>
    <t xml:space="preserve">EV00345</t>
  </si>
  <si>
    <t xml:space="preserve">EV00346</t>
  </si>
  <si>
    <t xml:space="preserve">EV00347</t>
  </si>
  <si>
    <t xml:space="preserve">EV00348</t>
  </si>
  <si>
    <t xml:space="preserve">EV00349</t>
  </si>
  <si>
    <t xml:space="preserve">EV00350</t>
  </si>
  <si>
    <t xml:space="preserve">EV00351</t>
  </si>
  <si>
    <t xml:space="preserve">EV00352</t>
  </si>
  <si>
    <t xml:space="preserve">EV00353</t>
  </si>
  <si>
    <t xml:space="preserve">EV00354</t>
  </si>
  <si>
    <t xml:space="preserve">EV00355</t>
  </si>
  <si>
    <t xml:space="preserve">EV00356</t>
  </si>
  <si>
    <t xml:space="preserve">EV00357</t>
  </si>
  <si>
    <t xml:space="preserve">EV00358</t>
  </si>
  <si>
    <t xml:space="preserve">EV00359</t>
  </si>
  <si>
    <t xml:space="preserve">EV00360</t>
  </si>
  <si>
    <t xml:space="preserve">EV00361</t>
  </si>
  <si>
    <t xml:space="preserve">EV00362</t>
  </si>
  <si>
    <t xml:space="preserve">EV00363</t>
  </si>
  <si>
    <t xml:space="preserve">EV00364</t>
  </si>
  <si>
    <t xml:space="preserve">EV00365</t>
  </si>
  <si>
    <t xml:space="preserve">EV00366</t>
  </si>
  <si>
    <t xml:space="preserve">EV00367</t>
  </si>
  <si>
    <t xml:space="preserve">EV00368</t>
  </si>
  <si>
    <t xml:space="preserve">EV00369</t>
  </si>
  <si>
    <t xml:space="preserve">EV00370</t>
  </si>
  <si>
    <t xml:space="preserve">EV00371</t>
  </si>
  <si>
    <t xml:space="preserve">EV00372</t>
  </si>
  <si>
    <t xml:space="preserve">EV00373</t>
  </si>
  <si>
    <t xml:space="preserve">EV00374</t>
  </si>
  <si>
    <t xml:space="preserve">EV00375</t>
  </si>
  <si>
    <t xml:space="preserve">EV00376</t>
  </si>
  <si>
    <t xml:space="preserve">EV00377</t>
  </si>
  <si>
    <t xml:space="preserve">EV00378</t>
  </si>
  <si>
    <t xml:space="preserve">EV00379</t>
  </si>
  <si>
    <t xml:space="preserve">EV00380</t>
  </si>
  <si>
    <t xml:space="preserve">EV00381</t>
  </si>
  <si>
    <t xml:space="preserve">EV00382</t>
  </si>
  <si>
    <t xml:space="preserve">EV00383</t>
  </si>
  <si>
    <t xml:space="preserve">EV00384</t>
  </si>
  <si>
    <t xml:space="preserve">EV00385</t>
  </si>
  <si>
    <t xml:space="preserve">EV00386</t>
  </si>
  <si>
    <t xml:space="preserve">EV00387</t>
  </si>
  <si>
    <t xml:space="preserve">EV00388</t>
  </si>
  <si>
    <t xml:space="preserve">EV00389</t>
  </si>
  <si>
    <t xml:space="preserve">EV00390</t>
  </si>
  <si>
    <t xml:space="preserve">EV00391</t>
  </si>
  <si>
    <t xml:space="preserve">EV00392</t>
  </si>
  <si>
    <t xml:space="preserve">EV00393</t>
  </si>
  <si>
    <t xml:space="preserve">EV00394</t>
  </si>
  <si>
    <t xml:space="preserve">EV00395</t>
  </si>
  <si>
    <t xml:space="preserve">EV00396</t>
  </si>
  <si>
    <t xml:space="preserve">EV00397</t>
  </si>
  <si>
    <t xml:space="preserve">EV00398</t>
  </si>
  <si>
    <t xml:space="preserve">EV00399</t>
  </si>
  <si>
    <t xml:space="preserve">EV00400</t>
  </si>
  <si>
    <t xml:space="preserve">EV00401</t>
  </si>
  <si>
    <t xml:space="preserve">EV00402</t>
  </si>
  <si>
    <t xml:space="preserve">EV00403</t>
  </si>
  <si>
    <t xml:space="preserve">EV00404</t>
  </si>
  <si>
    <t xml:space="preserve">EV00405</t>
  </si>
  <si>
    <t xml:space="preserve">EV00406</t>
  </si>
  <si>
    <t xml:space="preserve">EV00407</t>
  </si>
  <si>
    <t xml:space="preserve">EV00408</t>
  </si>
  <si>
    <t xml:space="preserve">EV00409</t>
  </si>
  <si>
    <t xml:space="preserve">EV00410</t>
  </si>
  <si>
    <t xml:space="preserve">EV00411</t>
  </si>
  <si>
    <t xml:space="preserve">EV00412</t>
  </si>
  <si>
    <t xml:space="preserve">EV00413</t>
  </si>
  <si>
    <t xml:space="preserve">EV00414</t>
  </si>
  <si>
    <t xml:space="preserve">EV00415</t>
  </si>
  <si>
    <t xml:space="preserve">EV00416</t>
  </si>
  <si>
    <t xml:space="preserve">EV00417</t>
  </si>
  <si>
    <t xml:space="preserve">EV00418</t>
  </si>
  <si>
    <t xml:space="preserve">EV00419</t>
  </si>
  <si>
    <t xml:space="preserve">EV00420</t>
  </si>
  <si>
    <t xml:space="preserve">EV00421</t>
  </si>
  <si>
    <t xml:space="preserve">EV00422</t>
  </si>
  <si>
    <t xml:space="preserve">EV00423</t>
  </si>
  <si>
    <t xml:space="preserve">EV00424</t>
  </si>
  <si>
    <t xml:space="preserve">EV00425</t>
  </si>
  <si>
    <t xml:space="preserve">EV00426</t>
  </si>
  <si>
    <t xml:space="preserve">EV00427</t>
  </si>
  <si>
    <t xml:space="preserve">EV00428</t>
  </si>
  <si>
    <t xml:space="preserve">EV00429</t>
  </si>
  <si>
    <t xml:space="preserve">EV00430</t>
  </si>
  <si>
    <t xml:space="preserve">EV00431</t>
  </si>
  <si>
    <t xml:space="preserve">EV00432</t>
  </si>
  <si>
    <t xml:space="preserve">EV00433</t>
  </si>
  <si>
    <t xml:space="preserve">EV00434</t>
  </si>
  <si>
    <t xml:space="preserve">EV00435</t>
  </si>
  <si>
    <t xml:space="preserve">EV00436</t>
  </si>
  <si>
    <t xml:space="preserve">EV00437</t>
  </si>
  <si>
    <t xml:space="preserve">EV00438</t>
  </si>
  <si>
    <t xml:space="preserve">EV00439</t>
  </si>
  <si>
    <t xml:space="preserve">EV00440</t>
  </si>
  <si>
    <t xml:space="preserve">EV00441</t>
  </si>
  <si>
    <t xml:space="preserve">EV00442</t>
  </si>
  <si>
    <t xml:space="preserve">EV00443</t>
  </si>
  <si>
    <t xml:space="preserve">EV00444</t>
  </si>
  <si>
    <t xml:space="preserve">EV00445</t>
  </si>
  <si>
    <t xml:space="preserve">EV00446</t>
  </si>
  <si>
    <t xml:space="preserve">EV00447</t>
  </si>
  <si>
    <t xml:space="preserve">EV00448</t>
  </si>
  <si>
    <t xml:space="preserve">EV00449</t>
  </si>
  <si>
    <t xml:space="preserve">EV00450</t>
  </si>
  <si>
    <t xml:space="preserve">EV00451</t>
  </si>
  <si>
    <t xml:space="preserve">EV00452</t>
  </si>
  <si>
    <t xml:space="preserve">EV00453</t>
  </si>
  <si>
    <t xml:space="preserve">EV00454</t>
  </si>
  <si>
    <t xml:space="preserve">EV00455</t>
  </si>
  <si>
    <t xml:space="preserve">EV00456</t>
  </si>
  <si>
    <t xml:space="preserve">EV00457</t>
  </si>
  <si>
    <t xml:space="preserve">EV00458</t>
  </si>
  <si>
    <t xml:space="preserve">EV00459</t>
  </si>
  <si>
    <t xml:space="preserve">EV00460</t>
  </si>
  <si>
    <t xml:space="preserve">EV00461</t>
  </si>
  <si>
    <t xml:space="preserve">EV00462</t>
  </si>
  <si>
    <t xml:space="preserve">EV00463</t>
  </si>
  <si>
    <t xml:space="preserve">EV00464</t>
  </si>
  <si>
    <t xml:space="preserve">EV00465</t>
  </si>
  <si>
    <t xml:space="preserve">EV00466</t>
  </si>
  <si>
    <t xml:space="preserve">EV00467</t>
  </si>
  <si>
    <t xml:space="preserve">EV00468</t>
  </si>
  <si>
    <t xml:space="preserve">EV00469</t>
  </si>
  <si>
    <t xml:space="preserve">EV00470</t>
  </si>
  <si>
    <t xml:space="preserve">EV00471</t>
  </si>
  <si>
    <t xml:space="preserve">EV00472</t>
  </si>
  <si>
    <t xml:space="preserve">EV00473</t>
  </si>
  <si>
    <t xml:space="preserve">EV00474</t>
  </si>
  <si>
    <t xml:space="preserve">EV00475</t>
  </si>
  <si>
    <t xml:space="preserve">EV00476</t>
  </si>
  <si>
    <t xml:space="preserve">EV00477</t>
  </si>
  <si>
    <t xml:space="preserve">EV00478</t>
  </si>
  <si>
    <t xml:space="preserve">EV00479</t>
  </si>
  <si>
    <t xml:space="preserve">EV00480</t>
  </si>
  <si>
    <t xml:space="preserve">EV00481</t>
  </si>
  <si>
    <t xml:space="preserve">EV00482</t>
  </si>
  <si>
    <t xml:space="preserve">EV00483</t>
  </si>
  <si>
    <t xml:space="preserve">EV00484</t>
  </si>
  <si>
    <t xml:space="preserve">EV00485</t>
  </si>
  <si>
    <t xml:space="preserve">EV00486</t>
  </si>
  <si>
    <t xml:space="preserve">EV00487</t>
  </si>
  <si>
    <t xml:space="preserve">EV00488</t>
  </si>
  <si>
    <t xml:space="preserve">EV00489</t>
  </si>
  <si>
    <t xml:space="preserve">EV00490</t>
  </si>
  <si>
    <t xml:space="preserve">EV00491</t>
  </si>
  <si>
    <t xml:space="preserve">EV00492</t>
  </si>
  <si>
    <t xml:space="preserve">EV00493</t>
  </si>
  <si>
    <t xml:space="preserve">EV00494</t>
  </si>
  <si>
    <t xml:space="preserve">EV00495</t>
  </si>
  <si>
    <t xml:space="preserve">EV00496</t>
  </si>
  <si>
    <t xml:space="preserve">EV00497</t>
  </si>
  <si>
    <t xml:space="preserve">EV00498</t>
  </si>
  <si>
    <t xml:space="preserve">EV00499</t>
  </si>
  <si>
    <t xml:space="preserve">EV00500</t>
  </si>
  <si>
    <t xml:space="preserve">EV00501</t>
  </si>
  <si>
    <t xml:space="preserve">EV00502</t>
  </si>
  <si>
    <t xml:space="preserve">EV00503</t>
  </si>
  <si>
    <t xml:space="preserve">EV00504</t>
  </si>
  <si>
    <t xml:space="preserve">EV00505</t>
  </si>
  <si>
    <t xml:space="preserve">EV00506</t>
  </si>
  <si>
    <t xml:space="preserve">EV00507</t>
  </si>
  <si>
    <t xml:space="preserve">EV00508</t>
  </si>
  <si>
    <t xml:space="preserve">EV00509</t>
  </si>
  <si>
    <t xml:space="preserve">EV00510</t>
  </si>
  <si>
    <t xml:space="preserve">EV00511</t>
  </si>
  <si>
    <t xml:space="preserve">EV00512</t>
  </si>
  <si>
    <t xml:space="preserve">EV00513</t>
  </si>
  <si>
    <t xml:space="preserve">EV00514</t>
  </si>
  <si>
    <t xml:space="preserve">EV00515</t>
  </si>
  <si>
    <t xml:space="preserve">EV00516</t>
  </si>
  <si>
    <t xml:space="preserve">EV00517</t>
  </si>
  <si>
    <t xml:space="preserve">EV00518</t>
  </si>
  <si>
    <t xml:space="preserve">EV00519</t>
  </si>
  <si>
    <t xml:space="preserve">EV00520</t>
  </si>
  <si>
    <t xml:space="preserve">EV00521</t>
  </si>
  <si>
    <t xml:space="preserve">EV00522</t>
  </si>
  <si>
    <t xml:space="preserve">EV00523</t>
  </si>
  <si>
    <t xml:space="preserve">EV00524</t>
  </si>
  <si>
    <t xml:space="preserve">EV00525</t>
  </si>
  <si>
    <t xml:space="preserve">EV00526</t>
  </si>
  <si>
    <t xml:space="preserve">EV00527</t>
  </si>
  <si>
    <t xml:space="preserve">EV00528</t>
  </si>
  <si>
    <t xml:space="preserve">EV00529</t>
  </si>
  <si>
    <t xml:space="preserve">EV00530</t>
  </si>
  <si>
    <t xml:space="preserve">EV00531</t>
  </si>
  <si>
    <t xml:space="preserve">EV00532</t>
  </si>
  <si>
    <t xml:space="preserve">EV00533</t>
  </si>
  <si>
    <t xml:space="preserve">EV00534</t>
  </si>
  <si>
    <t xml:space="preserve">EV00535</t>
  </si>
  <si>
    <t xml:space="preserve">EV00536</t>
  </si>
  <si>
    <t xml:space="preserve">EV00537</t>
  </si>
  <si>
    <t xml:space="preserve">EV00538</t>
  </si>
  <si>
    <t xml:space="preserve">EV00539</t>
  </si>
  <si>
    <t xml:space="preserve">EV00540</t>
  </si>
  <si>
    <t xml:space="preserve">EV00541</t>
  </si>
  <si>
    <t xml:space="preserve">EV00542</t>
  </si>
  <si>
    <t xml:space="preserve">EV00543</t>
  </si>
  <si>
    <t xml:space="preserve">EV00544</t>
  </si>
  <si>
    <t xml:space="preserve">EV00545</t>
  </si>
  <si>
    <t xml:space="preserve">EV00546</t>
  </si>
  <si>
    <t xml:space="preserve">EV00547</t>
  </si>
  <si>
    <t xml:space="preserve">EV00548</t>
  </si>
  <si>
    <t xml:space="preserve">EV00549</t>
  </si>
  <si>
    <t xml:space="preserve">EV00550</t>
  </si>
  <si>
    <t xml:space="preserve">EV00551</t>
  </si>
  <si>
    <t xml:space="preserve">EV00552</t>
  </si>
  <si>
    <t xml:space="preserve">EV00553</t>
  </si>
  <si>
    <t xml:space="preserve">EV00554</t>
  </si>
  <si>
    <t xml:space="preserve">EV00555</t>
  </si>
  <si>
    <t xml:space="preserve">EV00556</t>
  </si>
  <si>
    <t xml:space="preserve">EV00557</t>
  </si>
  <si>
    <t xml:space="preserve">EV00558</t>
  </si>
  <si>
    <t xml:space="preserve">EV00559</t>
  </si>
  <si>
    <t xml:space="preserve">EV00560</t>
  </si>
  <si>
    <t xml:space="preserve">EV00561</t>
  </si>
  <si>
    <t xml:space="preserve">EV00562</t>
  </si>
  <si>
    <t xml:space="preserve">EV00563</t>
  </si>
  <si>
    <t xml:space="preserve">EV00564</t>
  </si>
  <si>
    <t xml:space="preserve">EV00565</t>
  </si>
  <si>
    <t xml:space="preserve">EV00566</t>
  </si>
  <si>
    <t xml:space="preserve">EV00567</t>
  </si>
  <si>
    <t xml:space="preserve">EV00568</t>
  </si>
  <si>
    <t xml:space="preserve">EV00569</t>
  </si>
  <si>
    <t xml:space="preserve">EV00570</t>
  </si>
  <si>
    <t xml:space="preserve">EV00571</t>
  </si>
  <si>
    <t xml:space="preserve">EV00572</t>
  </si>
  <si>
    <t xml:space="preserve">EV00573</t>
  </si>
  <si>
    <t xml:space="preserve">EV00574</t>
  </si>
  <si>
    <t xml:space="preserve">EV00575</t>
  </si>
  <si>
    <t xml:space="preserve">EV00576</t>
  </si>
  <si>
    <t xml:space="preserve">EV00577</t>
  </si>
  <si>
    <t xml:space="preserve">EV00578</t>
  </si>
  <si>
    <t xml:space="preserve">EV00579</t>
  </si>
  <si>
    <t xml:space="preserve">EV00580</t>
  </si>
  <si>
    <t xml:space="preserve">EV00581</t>
  </si>
  <si>
    <t xml:space="preserve">EV00582</t>
  </si>
  <si>
    <t xml:space="preserve">EV00583</t>
  </si>
  <si>
    <t xml:space="preserve">EV00584</t>
  </si>
  <si>
    <t xml:space="preserve">EV00585</t>
  </si>
  <si>
    <t xml:space="preserve">EV00586</t>
  </si>
  <si>
    <t xml:space="preserve">EV00587</t>
  </si>
  <si>
    <t xml:space="preserve">EV00588</t>
  </si>
  <si>
    <t xml:space="preserve">EV00589</t>
  </si>
  <si>
    <t xml:space="preserve">EV00590</t>
  </si>
  <si>
    <t xml:space="preserve">EV00591</t>
  </si>
  <si>
    <t xml:space="preserve">EV00592</t>
  </si>
  <si>
    <t xml:space="preserve">EV00593</t>
  </si>
  <si>
    <t xml:space="preserve">EV00594</t>
  </si>
  <si>
    <t xml:space="preserve">EV00595</t>
  </si>
  <si>
    <t xml:space="preserve">EV00596</t>
  </si>
  <si>
    <t xml:space="preserve">EV00597</t>
  </si>
  <si>
    <t xml:space="preserve">EV00598</t>
  </si>
  <si>
    <t xml:space="preserve">EV00599</t>
  </si>
  <si>
    <t xml:space="preserve">EV00600</t>
  </si>
  <si>
    <t xml:space="preserve">EV00601</t>
  </si>
  <si>
    <t xml:space="preserve">EV00602</t>
  </si>
  <si>
    <t xml:space="preserve">EV00603</t>
  </si>
  <si>
    <t xml:space="preserve">EV00604</t>
  </si>
  <si>
    <t xml:space="preserve">EV00605</t>
  </si>
  <si>
    <t xml:space="preserve">EV00606</t>
  </si>
  <si>
    <t xml:space="preserve">EV00607</t>
  </si>
  <si>
    <t xml:space="preserve">EV00608</t>
  </si>
  <si>
    <t xml:space="preserve">EV00609</t>
  </si>
  <si>
    <t xml:space="preserve">EV00610</t>
  </si>
  <si>
    <t xml:space="preserve">EV00611</t>
  </si>
  <si>
    <t xml:space="preserve">EV00612</t>
  </si>
  <si>
    <t xml:space="preserve">EV00613</t>
  </si>
  <si>
    <t xml:space="preserve">EV00614</t>
  </si>
  <si>
    <t xml:space="preserve">EV00615</t>
  </si>
  <si>
    <t xml:space="preserve">EV00616</t>
  </si>
  <si>
    <t xml:space="preserve">EV00617</t>
  </si>
  <si>
    <t xml:space="preserve">EV00618</t>
  </si>
  <si>
    <t xml:space="preserve">EV00619</t>
  </si>
  <si>
    <t xml:space="preserve">EV00620</t>
  </si>
  <si>
    <t xml:space="preserve">EV00621</t>
  </si>
  <si>
    <t xml:space="preserve">EV00622</t>
  </si>
  <si>
    <t xml:space="preserve">EV00623</t>
  </si>
  <si>
    <t xml:space="preserve">EV00624</t>
  </si>
  <si>
    <t xml:space="preserve">EV00625</t>
  </si>
  <si>
    <t xml:space="preserve">EV00626</t>
  </si>
  <si>
    <t xml:space="preserve">EV00627</t>
  </si>
  <si>
    <t xml:space="preserve">EV00628</t>
  </si>
  <si>
    <t xml:space="preserve">EV00629</t>
  </si>
  <si>
    <t xml:space="preserve">EV00630</t>
  </si>
  <si>
    <t xml:space="preserve">EV00631</t>
  </si>
  <si>
    <t xml:space="preserve">EV00632</t>
  </si>
  <si>
    <t xml:space="preserve">EV00633</t>
  </si>
  <si>
    <t xml:space="preserve">EV00634</t>
  </si>
  <si>
    <t xml:space="preserve">EV00635</t>
  </si>
  <si>
    <t xml:space="preserve">EV00636</t>
  </si>
  <si>
    <t xml:space="preserve">EV00637</t>
  </si>
  <si>
    <t xml:space="preserve">EV00638</t>
  </si>
  <si>
    <t xml:space="preserve">EV00639</t>
  </si>
  <si>
    <t xml:space="preserve">EV00640</t>
  </si>
  <si>
    <t xml:space="preserve">EV00641</t>
  </si>
  <si>
    <t xml:space="preserve">EV00642</t>
  </si>
  <si>
    <t xml:space="preserve">EV00643</t>
  </si>
  <si>
    <t xml:space="preserve">EV00644</t>
  </si>
  <si>
    <t xml:space="preserve">EV00645</t>
  </si>
  <si>
    <t xml:space="preserve">EV00646</t>
  </si>
  <si>
    <t xml:space="preserve">EV00647</t>
  </si>
  <si>
    <t xml:space="preserve">EV00648</t>
  </si>
  <si>
    <t xml:space="preserve">EV00649</t>
  </si>
  <si>
    <t xml:space="preserve">EV00650</t>
  </si>
  <si>
    <t xml:space="preserve">EV00651</t>
  </si>
  <si>
    <t xml:space="preserve">EV00652</t>
  </si>
  <si>
    <t xml:space="preserve">EV00653</t>
  </si>
  <si>
    <t xml:space="preserve">EV00654</t>
  </si>
  <si>
    <t xml:space="preserve">EV00655</t>
  </si>
  <si>
    <t xml:space="preserve">EV00656</t>
  </si>
  <si>
    <t xml:space="preserve">EV00657</t>
  </si>
  <si>
    <t xml:space="preserve">EV00658</t>
  </si>
  <si>
    <t xml:space="preserve">EV00659</t>
  </si>
  <si>
    <t xml:space="preserve">EV00660</t>
  </si>
  <si>
    <t xml:space="preserve">EV00661</t>
  </si>
  <si>
    <t xml:space="preserve">EV00662</t>
  </si>
  <si>
    <t xml:space="preserve">EV00663</t>
  </si>
  <si>
    <t xml:space="preserve">EV00664</t>
  </si>
  <si>
    <t xml:space="preserve">EV00665</t>
  </si>
  <si>
    <t xml:space="preserve">EV00666</t>
  </si>
  <si>
    <t xml:space="preserve">EV00667</t>
  </si>
  <si>
    <t xml:space="preserve">EV00668</t>
  </si>
  <si>
    <t xml:space="preserve">EV00669</t>
  </si>
  <si>
    <t xml:space="preserve">EV00670</t>
  </si>
  <si>
    <t xml:space="preserve">EV00671</t>
  </si>
  <si>
    <t xml:space="preserve">EV00672</t>
  </si>
  <si>
    <t xml:space="preserve">EV00673</t>
  </si>
  <si>
    <t xml:space="preserve">EV00674</t>
  </si>
  <si>
    <t xml:space="preserve">EV00675</t>
  </si>
  <si>
    <t xml:space="preserve">EV00676</t>
  </si>
  <si>
    <t xml:space="preserve">EV00677</t>
  </si>
  <si>
    <t xml:space="preserve">EV00678</t>
  </si>
  <si>
    <t xml:space="preserve">EV00679</t>
  </si>
  <si>
    <t xml:space="preserve">EV00680</t>
  </si>
  <si>
    <t xml:space="preserve">EV00681</t>
  </si>
  <si>
    <t xml:space="preserve">EV00682</t>
  </si>
  <si>
    <t xml:space="preserve">EV00683</t>
  </si>
  <si>
    <t xml:space="preserve">EV00684</t>
  </si>
  <si>
    <t xml:space="preserve">EV00685</t>
  </si>
  <si>
    <t xml:space="preserve">EV00686</t>
  </si>
  <si>
    <t xml:space="preserve">EV00687</t>
  </si>
  <si>
    <t xml:space="preserve">EV00688</t>
  </si>
  <si>
    <t xml:space="preserve">EV00689</t>
  </si>
  <si>
    <t xml:space="preserve">EV00690</t>
  </si>
  <si>
    <t xml:space="preserve">EV00691</t>
  </si>
  <si>
    <t xml:space="preserve">EV00692</t>
  </si>
  <si>
    <t xml:space="preserve">EV00693</t>
  </si>
  <si>
    <t xml:space="preserve">EV00694</t>
  </si>
  <si>
    <t xml:space="preserve">EV00695</t>
  </si>
  <si>
    <t xml:space="preserve">EV00696</t>
  </si>
  <si>
    <t xml:space="preserve">EV00697</t>
  </si>
  <si>
    <t xml:space="preserve">EV00698</t>
  </si>
  <si>
    <t xml:space="preserve">EV00699</t>
  </si>
  <si>
    <t xml:space="preserve">EV00700</t>
  </si>
  <si>
    <t xml:space="preserve">EV00701</t>
  </si>
  <si>
    <t xml:space="preserve">EV00702</t>
  </si>
  <si>
    <t xml:space="preserve">EV00703</t>
  </si>
  <si>
    <t xml:space="preserve">EV00704</t>
  </si>
  <si>
    <t xml:space="preserve">EV00705</t>
  </si>
  <si>
    <t xml:space="preserve">EV00706</t>
  </si>
  <si>
    <t xml:space="preserve">EV00707</t>
  </si>
  <si>
    <t xml:space="preserve">EV00708</t>
  </si>
  <si>
    <t xml:space="preserve">EV00709</t>
  </si>
  <si>
    <t xml:space="preserve">EV00710</t>
  </si>
  <si>
    <t xml:space="preserve">EV00711</t>
  </si>
  <si>
    <t xml:space="preserve">EV00712</t>
  </si>
  <si>
    <t xml:space="preserve">EV00713</t>
  </si>
  <si>
    <t xml:space="preserve">EV00714</t>
  </si>
  <si>
    <t xml:space="preserve">EV00715</t>
  </si>
  <si>
    <t xml:space="preserve">EV00716</t>
  </si>
  <si>
    <t xml:space="preserve">EV00717</t>
  </si>
  <si>
    <t xml:space="preserve">EV00718</t>
  </si>
  <si>
    <t xml:space="preserve">EV00719</t>
  </si>
  <si>
    <t xml:space="preserve">EV00720</t>
  </si>
  <si>
    <t xml:space="preserve">EV00721</t>
  </si>
  <si>
    <t xml:space="preserve">EV00722</t>
  </si>
  <si>
    <t xml:space="preserve">EV00723</t>
  </si>
  <si>
    <t xml:space="preserve">EV00724</t>
  </si>
  <si>
    <t xml:space="preserve">EV00725</t>
  </si>
  <si>
    <t xml:space="preserve">EV00726</t>
  </si>
  <si>
    <t xml:space="preserve">EV00727</t>
  </si>
  <si>
    <t xml:space="preserve">EV00728</t>
  </si>
  <si>
    <t xml:space="preserve">EV00729</t>
  </si>
  <si>
    <t xml:space="preserve">EV00730</t>
  </si>
  <si>
    <t xml:space="preserve">EV00731</t>
  </si>
  <si>
    <t xml:space="preserve">EV00732</t>
  </si>
  <si>
    <t xml:space="preserve">EV00733</t>
  </si>
  <si>
    <t xml:space="preserve">EV00734</t>
  </si>
  <si>
    <t xml:space="preserve">EV00735</t>
  </si>
  <si>
    <t xml:space="preserve">EV00736</t>
  </si>
  <si>
    <t xml:space="preserve">EV00737</t>
  </si>
  <si>
    <t xml:space="preserve">EV00738</t>
  </si>
  <si>
    <t xml:space="preserve">EV00739</t>
  </si>
  <si>
    <t xml:space="preserve">EV00740</t>
  </si>
  <si>
    <t xml:space="preserve">EV00741</t>
  </si>
  <si>
    <t xml:space="preserve">EV00742</t>
  </si>
  <si>
    <t xml:space="preserve">EV00743</t>
  </si>
  <si>
    <t xml:space="preserve">EV00744</t>
  </si>
  <si>
    <t xml:space="preserve">EV00745</t>
  </si>
  <si>
    <t xml:space="preserve">EV00746</t>
  </si>
  <si>
    <t xml:space="preserve">EV00747</t>
  </si>
  <si>
    <t xml:space="preserve">EV00748</t>
  </si>
  <si>
    <t xml:space="preserve">EV00749</t>
  </si>
  <si>
    <t xml:space="preserve">EV00750</t>
  </si>
  <si>
    <t xml:space="preserve">EV00751</t>
  </si>
  <si>
    <t xml:space="preserve">EV00752</t>
  </si>
  <si>
    <t xml:space="preserve">EV00753</t>
  </si>
  <si>
    <t xml:space="preserve">EV00754</t>
  </si>
  <si>
    <t xml:space="preserve">EV00755</t>
  </si>
  <si>
    <t xml:space="preserve">EV00756</t>
  </si>
  <si>
    <t xml:space="preserve">EV00757</t>
  </si>
  <si>
    <t xml:space="preserve">EV00758</t>
  </si>
  <si>
    <t xml:space="preserve">EV00759</t>
  </si>
  <si>
    <t xml:space="preserve">EV00760</t>
  </si>
  <si>
    <t xml:space="preserve">EV00761</t>
  </si>
  <si>
    <t xml:space="preserve">EV00762</t>
  </si>
  <si>
    <t xml:space="preserve">EV00763</t>
  </si>
  <si>
    <t xml:space="preserve">EV00764</t>
  </si>
  <si>
    <t xml:space="preserve">EV00765</t>
  </si>
  <si>
    <t xml:space="preserve">EV00766</t>
  </si>
  <si>
    <t xml:space="preserve">EV00767</t>
  </si>
  <si>
    <t xml:space="preserve">EV00768</t>
  </si>
  <si>
    <t xml:space="preserve">EV00769</t>
  </si>
  <si>
    <t xml:space="preserve">EV00770</t>
  </si>
  <si>
    <t xml:space="preserve">EV00771</t>
  </si>
  <si>
    <t xml:space="preserve">EV00772</t>
  </si>
  <si>
    <t xml:space="preserve">EV00773</t>
  </si>
  <si>
    <t xml:space="preserve">EV00774</t>
  </si>
  <si>
    <t xml:space="preserve">EV00775</t>
  </si>
  <si>
    <t xml:space="preserve">EV00776</t>
  </si>
  <si>
    <t xml:space="preserve">EV00777</t>
  </si>
  <si>
    <t xml:space="preserve">EV00778</t>
  </si>
  <si>
    <t xml:space="preserve">EV00779</t>
  </si>
  <si>
    <t xml:space="preserve">EV00780</t>
  </si>
  <si>
    <t xml:space="preserve">EV00781</t>
  </si>
  <si>
    <t xml:space="preserve">EV00782</t>
  </si>
  <si>
    <t xml:space="preserve">EV00783</t>
  </si>
  <si>
    <t xml:space="preserve">EV00784</t>
  </si>
  <si>
    <t xml:space="preserve">EV00785</t>
  </si>
  <si>
    <t xml:space="preserve">EV00786</t>
  </si>
  <si>
    <t xml:space="preserve">EV00787</t>
  </si>
  <si>
    <t xml:space="preserve">EV00788</t>
  </si>
  <si>
    <t xml:space="preserve">EV00789</t>
  </si>
  <si>
    <t xml:space="preserve">EV00790</t>
  </si>
  <si>
    <t xml:space="preserve">EV00791</t>
  </si>
  <si>
    <t xml:space="preserve">EV00792</t>
  </si>
  <si>
    <t xml:space="preserve">EV00793</t>
  </si>
  <si>
    <t xml:space="preserve">EV00794</t>
  </si>
  <si>
    <t xml:space="preserve">EV00795</t>
  </si>
  <si>
    <t xml:space="preserve">EV00796</t>
  </si>
  <si>
    <t xml:space="preserve">EV00797</t>
  </si>
  <si>
    <t xml:space="preserve">EV00798</t>
  </si>
  <si>
    <t xml:space="preserve">EV00799</t>
  </si>
  <si>
    <t xml:space="preserve">EV00800</t>
  </si>
  <si>
    <t xml:space="preserve">EV00801</t>
  </si>
  <si>
    <t xml:space="preserve">EV00802</t>
  </si>
  <si>
    <t xml:space="preserve">EV00803</t>
  </si>
  <si>
    <t xml:space="preserve">EV00804</t>
  </si>
  <si>
    <t xml:space="preserve">EV00805</t>
  </si>
  <si>
    <t xml:space="preserve">EV00806</t>
  </si>
  <si>
    <t xml:space="preserve">EV00807</t>
  </si>
  <si>
    <t xml:space="preserve">EV00808</t>
  </si>
  <si>
    <t xml:space="preserve">EV00809</t>
  </si>
  <si>
    <t xml:space="preserve">EV00810</t>
  </si>
  <si>
    <t xml:space="preserve">EV00811</t>
  </si>
  <si>
    <t xml:space="preserve">EV00812</t>
  </si>
  <si>
    <t xml:space="preserve">EV00813</t>
  </si>
  <si>
    <t xml:space="preserve">EV00814</t>
  </si>
  <si>
    <t xml:space="preserve">EV00815</t>
  </si>
  <si>
    <t xml:space="preserve">EV00816</t>
  </si>
  <si>
    <t xml:space="preserve">EV00817</t>
  </si>
  <si>
    <t xml:space="preserve">EV00818</t>
  </si>
  <si>
    <t xml:space="preserve">EV00819</t>
  </si>
  <si>
    <t xml:space="preserve">EV00820</t>
  </si>
  <si>
    <t xml:space="preserve">EV00821</t>
  </si>
  <si>
    <t xml:space="preserve">EV00822</t>
  </si>
  <si>
    <t xml:space="preserve">EV00823</t>
  </si>
  <si>
    <t xml:space="preserve">EV00824</t>
  </si>
  <si>
    <t xml:space="preserve">EV00825</t>
  </si>
  <si>
    <t xml:space="preserve">EV00826</t>
  </si>
  <si>
    <t xml:space="preserve">EV00827</t>
  </si>
  <si>
    <t xml:space="preserve">EV00828</t>
  </si>
  <si>
    <t xml:space="preserve">EV00829</t>
  </si>
  <si>
    <t xml:space="preserve">EV00830</t>
  </si>
  <si>
    <t xml:space="preserve">EV00831</t>
  </si>
  <si>
    <t xml:space="preserve">EV00832</t>
  </si>
  <si>
    <t xml:space="preserve">EV00833</t>
  </si>
  <si>
    <t xml:space="preserve">EV00834</t>
  </si>
  <si>
    <t xml:space="preserve">EV00835</t>
  </si>
  <si>
    <t xml:space="preserve">EV00836</t>
  </si>
  <si>
    <t xml:space="preserve">EV00837</t>
  </si>
  <si>
    <t xml:space="preserve">EV00838</t>
  </si>
  <si>
    <t xml:space="preserve">EV00839</t>
  </si>
  <si>
    <t xml:space="preserve">EV00840</t>
  </si>
  <si>
    <t xml:space="preserve">EV00841</t>
  </si>
  <si>
    <t xml:space="preserve">EV00842</t>
  </si>
  <si>
    <t xml:space="preserve">EV00843</t>
  </si>
  <si>
    <t xml:space="preserve">EV00844</t>
  </si>
  <si>
    <t xml:space="preserve">EV00845</t>
  </si>
  <si>
    <t xml:space="preserve">EV00846</t>
  </si>
  <si>
    <t xml:space="preserve">EV00847</t>
  </si>
  <si>
    <t xml:space="preserve">EV00848</t>
  </si>
  <si>
    <t xml:space="preserve">EV00849</t>
  </si>
  <si>
    <t xml:space="preserve">EV00850</t>
  </si>
  <si>
    <t xml:space="preserve">EV00851</t>
  </si>
  <si>
    <t xml:space="preserve">EV00852</t>
  </si>
  <si>
    <t xml:space="preserve">EV00853</t>
  </si>
  <si>
    <t xml:space="preserve">EV00854</t>
  </si>
  <si>
    <t xml:space="preserve">EV00855</t>
  </si>
  <si>
    <t xml:space="preserve">EV00856</t>
  </si>
  <si>
    <t xml:space="preserve">EV00857</t>
  </si>
  <si>
    <t xml:space="preserve">EV00858</t>
  </si>
  <si>
    <t xml:space="preserve">EV00859</t>
  </si>
  <si>
    <t xml:space="preserve">EV00860</t>
  </si>
  <si>
    <t xml:space="preserve">EV00861</t>
  </si>
  <si>
    <t xml:space="preserve">EV00862</t>
  </si>
  <si>
    <t xml:space="preserve">EV00863</t>
  </si>
  <si>
    <t xml:space="preserve">EV00864</t>
  </si>
  <si>
    <t xml:space="preserve">EV00865</t>
  </si>
  <si>
    <t xml:space="preserve">EV00866</t>
  </si>
  <si>
    <t xml:space="preserve">EV00867</t>
  </si>
  <si>
    <t xml:space="preserve">EV00868</t>
  </si>
  <si>
    <t xml:space="preserve">EV00869</t>
  </si>
  <si>
    <t xml:space="preserve">EV00870</t>
  </si>
  <si>
    <t xml:space="preserve">EV00871</t>
  </si>
  <si>
    <t xml:space="preserve">EV00872</t>
  </si>
  <si>
    <t xml:space="preserve">EV00873</t>
  </si>
  <si>
    <t xml:space="preserve">EV00874</t>
  </si>
  <si>
    <t xml:space="preserve">EV00875</t>
  </si>
  <si>
    <t xml:space="preserve">EV00876</t>
  </si>
  <si>
    <t xml:space="preserve">EV00877</t>
  </si>
  <si>
    <t xml:space="preserve">EV00878</t>
  </si>
  <si>
    <t xml:space="preserve">EV00879</t>
  </si>
  <si>
    <t xml:space="preserve">EV00880</t>
  </si>
  <si>
    <t xml:space="preserve">EV00881</t>
  </si>
  <si>
    <t xml:space="preserve">EV00882</t>
  </si>
  <si>
    <t xml:space="preserve">EV00883</t>
  </si>
  <si>
    <t xml:space="preserve">EV00884</t>
  </si>
  <si>
    <t xml:space="preserve">EV00885</t>
  </si>
  <si>
    <t xml:space="preserve">EV00886</t>
  </si>
  <si>
    <t xml:space="preserve">EV00887</t>
  </si>
  <si>
    <t xml:space="preserve">EV00888</t>
  </si>
  <si>
    <t xml:space="preserve">EV00889</t>
  </si>
  <si>
    <t xml:space="preserve">EV00890</t>
  </si>
  <si>
    <t xml:space="preserve">EV00891</t>
  </si>
  <si>
    <t xml:space="preserve">EV00892</t>
  </si>
  <si>
    <t xml:space="preserve">EV00893</t>
  </si>
  <si>
    <t xml:space="preserve">EV00894</t>
  </si>
  <si>
    <t xml:space="preserve">EV00895</t>
  </si>
  <si>
    <t xml:space="preserve">EV00896</t>
  </si>
  <si>
    <t xml:space="preserve">EV00897</t>
  </si>
  <si>
    <t xml:space="preserve">EV00898</t>
  </si>
  <si>
    <t xml:space="preserve">EV00899</t>
  </si>
  <si>
    <t xml:space="preserve">EV00900</t>
  </si>
  <si>
    <t xml:space="preserve">EV00901</t>
  </si>
  <si>
    <t xml:space="preserve">EV00902</t>
  </si>
  <si>
    <t xml:space="preserve">EV00903</t>
  </si>
  <si>
    <t xml:space="preserve">EV00904</t>
  </si>
  <si>
    <t xml:space="preserve">EV00905</t>
  </si>
  <si>
    <t xml:space="preserve">EV00906</t>
  </si>
  <si>
    <t xml:space="preserve">EV00907</t>
  </si>
  <si>
    <t xml:space="preserve">EV00908</t>
  </si>
  <si>
    <t xml:space="preserve">EV00909</t>
  </si>
  <si>
    <t xml:space="preserve">EV00910</t>
  </si>
  <si>
    <t xml:space="preserve">EV00911</t>
  </si>
  <si>
    <t xml:space="preserve">EV00912</t>
  </si>
  <si>
    <t xml:space="preserve">EV00913</t>
  </si>
  <si>
    <t xml:space="preserve">EV00914</t>
  </si>
  <si>
    <t xml:space="preserve">EV00915</t>
  </si>
  <si>
    <t xml:space="preserve">EV00916</t>
  </si>
  <si>
    <t xml:space="preserve">EV00917</t>
  </si>
  <si>
    <t xml:space="preserve">EV00918</t>
  </si>
  <si>
    <t xml:space="preserve">EV00919</t>
  </si>
  <si>
    <t xml:space="preserve">EV00920</t>
  </si>
  <si>
    <t xml:space="preserve">EV00921</t>
  </si>
  <si>
    <t xml:space="preserve">EV00922</t>
  </si>
  <si>
    <t xml:space="preserve">EV00923</t>
  </si>
  <si>
    <t xml:space="preserve">EV00924</t>
  </si>
  <si>
    <t xml:space="preserve">EV00925</t>
  </si>
  <si>
    <t xml:space="preserve">EV00926</t>
  </si>
  <si>
    <t xml:space="preserve">EV00927</t>
  </si>
  <si>
    <t xml:space="preserve">EV00928</t>
  </si>
  <si>
    <t xml:space="preserve">EV00929</t>
  </si>
  <si>
    <t xml:space="preserve">EV00930</t>
  </si>
  <si>
    <t xml:space="preserve">EV00931</t>
  </si>
  <si>
    <t xml:space="preserve">EV00932</t>
  </si>
  <si>
    <t xml:space="preserve">EV00933</t>
  </si>
  <si>
    <t xml:space="preserve">EV00934</t>
  </si>
  <si>
    <t xml:space="preserve">EV00935</t>
  </si>
  <si>
    <t xml:space="preserve">EV00936</t>
  </si>
  <si>
    <t xml:space="preserve">EV00937</t>
  </si>
  <si>
    <t xml:space="preserve">EV00938</t>
  </si>
  <si>
    <t xml:space="preserve">EV00939</t>
  </si>
  <si>
    <t xml:space="preserve">EV00940</t>
  </si>
  <si>
    <t xml:space="preserve">EV00941</t>
  </si>
  <si>
    <t xml:space="preserve">EV00942</t>
  </si>
  <si>
    <t xml:space="preserve">EV00943</t>
  </si>
  <si>
    <t xml:space="preserve">EV00944</t>
  </si>
  <si>
    <t xml:space="preserve">EV00945</t>
  </si>
  <si>
    <t xml:space="preserve">EV00946</t>
  </si>
  <si>
    <t xml:space="preserve">EV00947</t>
  </si>
  <si>
    <t xml:space="preserve">EV00948</t>
  </si>
  <si>
    <t xml:space="preserve">EV00949</t>
  </si>
  <si>
    <t xml:space="preserve">EV00950</t>
  </si>
  <si>
    <t xml:space="preserve">EV00951</t>
  </si>
  <si>
    <t xml:space="preserve">EV00952</t>
  </si>
  <si>
    <t xml:space="preserve">EV00953</t>
  </si>
  <si>
    <t xml:space="preserve">EV00954</t>
  </si>
  <si>
    <t xml:space="preserve">EV00955</t>
  </si>
  <si>
    <t xml:space="preserve">EV00956</t>
  </si>
  <si>
    <t xml:space="preserve">EV00957</t>
  </si>
  <si>
    <t xml:space="preserve">EV00958</t>
  </si>
  <si>
    <t xml:space="preserve">EV00959</t>
  </si>
  <si>
    <t xml:space="preserve">EV00960</t>
  </si>
  <si>
    <t xml:space="preserve">EV00961</t>
  </si>
  <si>
    <t xml:space="preserve">EV00962</t>
  </si>
  <si>
    <t xml:space="preserve">EV00963</t>
  </si>
  <si>
    <t xml:space="preserve">EV00964</t>
  </si>
  <si>
    <t xml:space="preserve">EV00965</t>
  </si>
  <si>
    <t xml:space="preserve">EV00966</t>
  </si>
  <si>
    <t xml:space="preserve">EV00967</t>
  </si>
  <si>
    <t xml:space="preserve">EV00968</t>
  </si>
  <si>
    <t xml:space="preserve">EV00969</t>
  </si>
  <si>
    <t xml:space="preserve">EV00970</t>
  </si>
  <si>
    <t xml:space="preserve">EV00971</t>
  </si>
  <si>
    <t xml:space="preserve">EV00972</t>
  </si>
  <si>
    <t xml:space="preserve">EV00973</t>
  </si>
  <si>
    <t xml:space="preserve">EV00974</t>
  </si>
  <si>
    <t xml:space="preserve">EV00975</t>
  </si>
  <si>
    <t xml:space="preserve">EV00976</t>
  </si>
  <si>
    <t xml:space="preserve">EV00977</t>
  </si>
  <si>
    <t xml:space="preserve">EV00978</t>
  </si>
  <si>
    <t xml:space="preserve">EV00979</t>
  </si>
  <si>
    <t xml:space="preserve">EV00980</t>
  </si>
  <si>
    <t xml:space="preserve">EV00981</t>
  </si>
  <si>
    <t xml:space="preserve">EV00982</t>
  </si>
  <si>
    <t xml:space="preserve">EV00983</t>
  </si>
  <si>
    <t xml:space="preserve">EV00984</t>
  </si>
  <si>
    <t xml:space="preserve">EV00985</t>
  </si>
  <si>
    <t xml:space="preserve">EV00986</t>
  </si>
  <si>
    <t xml:space="preserve">EV00987</t>
  </si>
  <si>
    <t xml:space="preserve">EV00988</t>
  </si>
  <si>
    <t xml:space="preserve">EV00989</t>
  </si>
  <si>
    <t xml:space="preserve">EV00990</t>
  </si>
  <si>
    <t xml:space="preserve">EV00991</t>
  </si>
  <si>
    <t xml:space="preserve">EV00992</t>
  </si>
  <si>
    <t xml:space="preserve">EV00993</t>
  </si>
  <si>
    <t xml:space="preserve">EV00994</t>
  </si>
  <si>
    <t xml:space="preserve">EV00995</t>
  </si>
  <si>
    <t xml:space="preserve">EV00996</t>
  </si>
  <si>
    <t xml:space="preserve">EV00997</t>
  </si>
  <si>
    <t xml:space="preserve">EV00998</t>
  </si>
  <si>
    <t xml:space="preserve">EV00999</t>
  </si>
  <si>
    <t xml:space="preserve">EV01000</t>
  </si>
  <si>
    <t xml:space="preserve">EV01001</t>
  </si>
  <si>
    <t xml:space="preserve">EV01002</t>
  </si>
  <si>
    <t xml:space="preserve">EV01003</t>
  </si>
  <si>
    <t xml:space="preserve">EV01004</t>
  </si>
  <si>
    <t xml:space="preserve">EV01005</t>
  </si>
  <si>
    <t xml:space="preserve">EV01006</t>
  </si>
  <si>
    <t xml:space="preserve">EV01007</t>
  </si>
  <si>
    <t xml:space="preserve">EV01008</t>
  </si>
  <si>
    <t xml:space="preserve">EV01009</t>
  </si>
  <si>
    <t xml:space="preserve">EV01010</t>
  </si>
  <si>
    <t xml:space="preserve">EV01011</t>
  </si>
  <si>
    <t xml:space="preserve">EV01012</t>
  </si>
  <si>
    <t xml:space="preserve">EV01013</t>
  </si>
  <si>
    <t xml:space="preserve">EV01014</t>
  </si>
  <si>
    <t xml:space="preserve">EV01015</t>
  </si>
  <si>
    <t xml:space="preserve">EV01016</t>
  </si>
  <si>
    <t xml:space="preserve">EV01017</t>
  </si>
  <si>
    <t xml:space="preserve">EV01018</t>
  </si>
  <si>
    <t xml:space="preserve">EV01019</t>
  </si>
  <si>
    <t xml:space="preserve">EV01020</t>
  </si>
  <si>
    <t xml:space="preserve">EV01021</t>
  </si>
  <si>
    <t xml:space="preserve">EV01022</t>
  </si>
  <si>
    <t xml:space="preserve">EV01023</t>
  </si>
  <si>
    <t xml:space="preserve">EV01024</t>
  </si>
  <si>
    <t xml:space="preserve">EV01025</t>
  </si>
  <si>
    <t xml:space="preserve">EV01026</t>
  </si>
  <si>
    <t xml:space="preserve">EV01027</t>
  </si>
  <si>
    <t xml:space="preserve">EV01028</t>
  </si>
  <si>
    <t xml:space="preserve">EV01029</t>
  </si>
  <si>
    <t xml:space="preserve">EV01030</t>
  </si>
  <si>
    <t xml:space="preserve">EV01031</t>
  </si>
  <si>
    <t xml:space="preserve">EV01032</t>
  </si>
  <si>
    <t xml:space="preserve">EV01033</t>
  </si>
  <si>
    <t xml:space="preserve">EV01034</t>
  </si>
  <si>
    <t xml:space="preserve">EV01035</t>
  </si>
  <si>
    <t xml:space="preserve">EV01036</t>
  </si>
  <si>
    <t xml:space="preserve">EV01037</t>
  </si>
  <si>
    <t xml:space="preserve">EV01038</t>
  </si>
  <si>
    <t xml:space="preserve">EV01039</t>
  </si>
  <si>
    <t xml:space="preserve">EV01040</t>
  </si>
  <si>
    <t xml:space="preserve">EV01041</t>
  </si>
  <si>
    <t xml:space="preserve">EV01042</t>
  </si>
  <si>
    <t xml:space="preserve">EV01043</t>
  </si>
  <si>
    <t xml:space="preserve">EV01044</t>
  </si>
  <si>
    <t xml:space="preserve">EV01045</t>
  </si>
  <si>
    <t xml:space="preserve">EV01046</t>
  </si>
  <si>
    <t xml:space="preserve">EV01047</t>
  </si>
  <si>
    <t xml:space="preserve">EV01048</t>
  </si>
  <si>
    <t xml:space="preserve">EV01049</t>
  </si>
  <si>
    <t xml:space="preserve">EV01050</t>
  </si>
  <si>
    <t xml:space="preserve">EV01051</t>
  </si>
  <si>
    <t xml:space="preserve">EV01052</t>
  </si>
  <si>
    <t xml:space="preserve">EV01053</t>
  </si>
  <si>
    <t xml:space="preserve">EV01054</t>
  </si>
  <si>
    <t xml:space="preserve">EV01055</t>
  </si>
  <si>
    <t xml:space="preserve">EV01056</t>
  </si>
  <si>
    <t xml:space="preserve">EV01057</t>
  </si>
  <si>
    <t xml:space="preserve">EV01058</t>
  </si>
  <si>
    <t xml:space="preserve">EV01059</t>
  </si>
  <si>
    <t xml:space="preserve">EV01060</t>
  </si>
  <si>
    <t xml:space="preserve">EV01061</t>
  </si>
  <si>
    <t xml:space="preserve">EV01062</t>
  </si>
  <si>
    <t xml:space="preserve">EV01063</t>
  </si>
  <si>
    <t xml:space="preserve">EV01064</t>
  </si>
  <si>
    <t xml:space="preserve">EV01065</t>
  </si>
  <si>
    <t xml:space="preserve">EV01066</t>
  </si>
  <si>
    <t xml:space="preserve">EV01067</t>
  </si>
  <si>
    <t xml:space="preserve">EV01068</t>
  </si>
  <si>
    <t xml:space="preserve">EV01069</t>
  </si>
  <si>
    <t xml:space="preserve">EV01070</t>
  </si>
  <si>
    <t xml:space="preserve">EV01071</t>
  </si>
  <si>
    <t xml:space="preserve">EV01072</t>
  </si>
  <si>
    <t xml:space="preserve">EV01073</t>
  </si>
  <si>
    <t xml:space="preserve">EV01074</t>
  </si>
  <si>
    <t xml:space="preserve">EV01075</t>
  </si>
  <si>
    <t xml:space="preserve">EV01076</t>
  </si>
  <si>
    <t xml:space="preserve">EV01077</t>
  </si>
  <si>
    <t xml:space="preserve">EV01078</t>
  </si>
  <si>
    <t xml:space="preserve">EV01079</t>
  </si>
  <si>
    <t xml:space="preserve">EV01080</t>
  </si>
  <si>
    <t xml:space="preserve">EV01081</t>
  </si>
  <si>
    <t xml:space="preserve">EV01082</t>
  </si>
  <si>
    <t xml:space="preserve">EV01083</t>
  </si>
  <si>
    <t xml:space="preserve">EV01084</t>
  </si>
  <si>
    <t xml:space="preserve">EV01085</t>
  </si>
  <si>
    <t xml:space="preserve">EV01086</t>
  </si>
  <si>
    <t xml:space="preserve">EV01087</t>
  </si>
  <si>
    <t xml:space="preserve">EV01088</t>
  </si>
  <si>
    <t xml:space="preserve">EV01089</t>
  </si>
  <si>
    <t xml:space="preserve">EV01090</t>
  </si>
  <si>
    <t xml:space="preserve">EV01091</t>
  </si>
  <si>
    <t xml:space="preserve">EV01092</t>
  </si>
  <si>
    <t xml:space="preserve">EV01093</t>
  </si>
  <si>
    <t xml:space="preserve">EV01094</t>
  </si>
  <si>
    <t xml:space="preserve">EV01095</t>
  </si>
  <si>
    <t xml:space="preserve">EV01096</t>
  </si>
  <si>
    <t xml:space="preserve">EV01097</t>
  </si>
  <si>
    <t xml:space="preserve">EV01098</t>
  </si>
  <si>
    <t xml:space="preserve">EV01099</t>
  </si>
  <si>
    <t xml:space="preserve">EV01100</t>
  </si>
  <si>
    <t xml:space="preserve">EV01101</t>
  </si>
  <si>
    <t xml:space="preserve">EV01102</t>
  </si>
  <si>
    <t xml:space="preserve">EV01103</t>
  </si>
  <si>
    <t xml:space="preserve">EV01104</t>
  </si>
  <si>
    <t xml:space="preserve">EV01105</t>
  </si>
  <si>
    <t xml:space="preserve">EV01106</t>
  </si>
  <si>
    <t xml:space="preserve">EV01107</t>
  </si>
  <si>
    <t xml:space="preserve">EV01108</t>
  </si>
  <si>
    <t xml:space="preserve">EV01109</t>
  </si>
  <si>
    <t xml:space="preserve">EV01110</t>
  </si>
  <si>
    <t xml:space="preserve">EV01111</t>
  </si>
  <si>
    <t xml:space="preserve">EV01112</t>
  </si>
  <si>
    <t xml:space="preserve">EV01113</t>
  </si>
  <si>
    <t xml:space="preserve">EV01114</t>
  </si>
  <si>
    <t xml:space="preserve">EV01115</t>
  </si>
  <si>
    <t xml:space="preserve">EV01116</t>
  </si>
  <si>
    <t xml:space="preserve">EV01117</t>
  </si>
  <si>
    <t xml:space="preserve">EV01118</t>
  </si>
  <si>
    <t xml:space="preserve">EV01119</t>
  </si>
  <si>
    <t xml:space="preserve">EV01120</t>
  </si>
  <si>
    <t xml:space="preserve">EV01121</t>
  </si>
  <si>
    <t xml:space="preserve">EV01122</t>
  </si>
  <si>
    <t xml:space="preserve">EV01123</t>
  </si>
  <si>
    <t xml:space="preserve">EV01124</t>
  </si>
  <si>
    <t xml:space="preserve">EV01125</t>
  </si>
  <si>
    <t xml:space="preserve">EV01126</t>
  </si>
  <si>
    <t xml:space="preserve">EV01127</t>
  </si>
  <si>
    <t xml:space="preserve">EV01128</t>
  </si>
  <si>
    <t xml:space="preserve">EV01129</t>
  </si>
  <si>
    <t xml:space="preserve">EV01130</t>
  </si>
  <si>
    <t xml:space="preserve">EV01131</t>
  </si>
  <si>
    <t xml:space="preserve">EV01132</t>
  </si>
  <si>
    <t xml:space="preserve">EV01133</t>
  </si>
  <si>
    <t xml:space="preserve">EV01134</t>
  </si>
  <si>
    <t xml:space="preserve">EV01135</t>
  </si>
  <si>
    <t xml:space="preserve">EV01136</t>
  </si>
  <si>
    <t xml:space="preserve">EV01137</t>
  </si>
  <si>
    <t xml:space="preserve">EV01138</t>
  </si>
  <si>
    <t xml:space="preserve">EV01139</t>
  </si>
  <si>
    <t xml:space="preserve">EV01140</t>
  </si>
  <si>
    <t xml:space="preserve">EV01141</t>
  </si>
  <si>
    <t xml:space="preserve">EV01142</t>
  </si>
  <si>
    <t xml:space="preserve">EV01143</t>
  </si>
  <si>
    <t xml:space="preserve">EV01144</t>
  </si>
  <si>
    <t xml:space="preserve">EV01145</t>
  </si>
  <si>
    <t xml:space="preserve">EV01146</t>
  </si>
  <si>
    <t xml:space="preserve">EV01147</t>
  </si>
  <si>
    <t xml:space="preserve">EV01148</t>
  </si>
  <si>
    <t xml:space="preserve">EV01149</t>
  </si>
  <si>
    <t xml:space="preserve">EV01150</t>
  </si>
  <si>
    <t xml:space="preserve">EV01151</t>
  </si>
  <si>
    <t xml:space="preserve">EV01152</t>
  </si>
  <si>
    <t xml:space="preserve">EV01153</t>
  </si>
  <si>
    <t xml:space="preserve">EV01154</t>
  </si>
  <si>
    <t xml:space="preserve">EV01155</t>
  </si>
  <si>
    <t xml:space="preserve">EV01156</t>
  </si>
  <si>
    <t xml:space="preserve">EV01157</t>
  </si>
  <si>
    <t xml:space="preserve">EV01158</t>
  </si>
  <si>
    <t xml:space="preserve">EV01159</t>
  </si>
  <si>
    <t xml:space="preserve">EV01160</t>
  </si>
  <si>
    <t xml:space="preserve">EV01161</t>
  </si>
  <si>
    <t xml:space="preserve">EV01162</t>
  </si>
  <si>
    <t xml:space="preserve">EV01163</t>
  </si>
  <si>
    <t xml:space="preserve">EV01164</t>
  </si>
  <si>
    <t xml:space="preserve">EV01165</t>
  </si>
  <si>
    <t xml:space="preserve">EV01166</t>
  </si>
  <si>
    <t xml:space="preserve">EV01167</t>
  </si>
  <si>
    <t xml:space="preserve">EV01168</t>
  </si>
  <si>
    <t xml:space="preserve">EV01169</t>
  </si>
  <si>
    <t xml:space="preserve">EV01170</t>
  </si>
  <si>
    <t xml:space="preserve">EV01171</t>
  </si>
  <si>
    <t xml:space="preserve">EV01172</t>
  </si>
  <si>
    <t xml:space="preserve">EV01173</t>
  </si>
  <si>
    <t xml:space="preserve">EV01174</t>
  </si>
  <si>
    <t xml:space="preserve">EV01175</t>
  </si>
  <si>
    <t xml:space="preserve">EV01176</t>
  </si>
  <si>
    <t xml:space="preserve">EV01177</t>
  </si>
  <si>
    <t xml:space="preserve">EV01178</t>
  </si>
  <si>
    <t xml:space="preserve">EV01179</t>
  </si>
  <si>
    <t xml:space="preserve">EV01180</t>
  </si>
  <si>
    <t xml:space="preserve">EV01181</t>
  </si>
  <si>
    <t xml:space="preserve">EV01182</t>
  </si>
  <si>
    <t xml:space="preserve">EV01183</t>
  </si>
  <si>
    <t xml:space="preserve">EV01184</t>
  </si>
  <si>
    <t xml:space="preserve">EV01185</t>
  </si>
  <si>
    <t xml:space="preserve">EV01186</t>
  </si>
  <si>
    <t xml:space="preserve">EV01187</t>
  </si>
  <si>
    <t xml:space="preserve">EV01188</t>
  </si>
  <si>
    <t xml:space="preserve">EV01189</t>
  </si>
  <si>
    <t xml:space="preserve">EV01190</t>
  </si>
  <si>
    <t xml:space="preserve">EV01191</t>
  </si>
  <si>
    <t xml:space="preserve">EV01192</t>
  </si>
  <si>
    <t xml:space="preserve">EV01193</t>
  </si>
  <si>
    <t xml:space="preserve">EV01194</t>
  </si>
  <si>
    <t xml:space="preserve">EV01195</t>
  </si>
  <si>
    <t xml:space="preserve">EV01196</t>
  </si>
  <si>
    <t xml:space="preserve">EV01197</t>
  </si>
  <si>
    <t xml:space="preserve">EV01198</t>
  </si>
  <si>
    <t xml:space="preserve">EV01199</t>
  </si>
  <si>
    <t xml:space="preserve">EV01200</t>
  </si>
  <si>
    <t xml:space="preserve">EV01201</t>
  </si>
  <si>
    <t xml:space="preserve">EV01202</t>
  </si>
  <si>
    <t xml:space="preserve">EV01203</t>
  </si>
  <si>
    <t xml:space="preserve">EV01204</t>
  </si>
  <si>
    <t xml:space="preserve">EV01205</t>
  </si>
  <si>
    <t xml:space="preserve">EV01206</t>
  </si>
  <si>
    <t xml:space="preserve">EV01207</t>
  </si>
  <si>
    <t xml:space="preserve">EV01208</t>
  </si>
  <si>
    <t xml:space="preserve">EV01209</t>
  </si>
  <si>
    <t xml:space="preserve">EV01210</t>
  </si>
  <si>
    <t xml:space="preserve">EV01211</t>
  </si>
  <si>
    <t xml:space="preserve">EV01212</t>
  </si>
  <si>
    <t xml:space="preserve">EV01213</t>
  </si>
  <si>
    <t xml:space="preserve">EV01214</t>
  </si>
  <si>
    <t xml:space="preserve">EV01215</t>
  </si>
  <si>
    <t xml:space="preserve">EV01216</t>
  </si>
  <si>
    <t xml:space="preserve">EV01217</t>
  </si>
  <si>
    <t xml:space="preserve">EV01218</t>
  </si>
  <si>
    <t xml:space="preserve">EV01219</t>
  </si>
  <si>
    <t xml:space="preserve">EV01220</t>
  </si>
  <si>
    <t xml:space="preserve">EV01221</t>
  </si>
  <si>
    <t xml:space="preserve">EV01222</t>
  </si>
  <si>
    <t xml:space="preserve">EV01223</t>
  </si>
  <si>
    <t xml:space="preserve">EV01224</t>
  </si>
  <si>
    <t xml:space="preserve">EV01225</t>
  </si>
  <si>
    <t xml:space="preserve">EV01226</t>
  </si>
  <si>
    <t xml:space="preserve">EV01227</t>
  </si>
  <si>
    <t xml:space="preserve">EV01228</t>
  </si>
  <si>
    <t xml:space="preserve">EV01229</t>
  </si>
  <si>
    <t xml:space="preserve">EV01230</t>
  </si>
  <si>
    <t xml:space="preserve">EV01231</t>
  </si>
  <si>
    <t xml:space="preserve">EV01232</t>
  </si>
  <si>
    <t xml:space="preserve">EV01233</t>
  </si>
  <si>
    <t xml:space="preserve">EV01234</t>
  </si>
  <si>
    <t xml:space="preserve">EV01235</t>
  </si>
  <si>
    <t xml:space="preserve">EV01236</t>
  </si>
  <si>
    <t xml:space="preserve">EV01237</t>
  </si>
  <si>
    <t xml:space="preserve">EV01238</t>
  </si>
  <si>
    <t xml:space="preserve">EV01239</t>
  </si>
  <si>
    <t xml:space="preserve">EV01240</t>
  </si>
  <si>
    <t xml:space="preserve">EV01241</t>
  </si>
  <si>
    <t xml:space="preserve">EV01242</t>
  </si>
  <si>
    <t xml:space="preserve">EV01243</t>
  </si>
  <si>
    <t xml:space="preserve">EV01244</t>
  </si>
  <si>
    <t xml:space="preserve">EV01245</t>
  </si>
  <si>
    <t xml:space="preserve">EV01246</t>
  </si>
  <si>
    <t xml:space="preserve">EV01247</t>
  </si>
  <si>
    <t xml:space="preserve">EV01248</t>
  </si>
  <si>
    <t xml:space="preserve">EV01249</t>
  </si>
  <si>
    <t xml:space="preserve">EV01250</t>
  </si>
  <si>
    <t xml:space="preserve">EV01251</t>
  </si>
  <si>
    <t xml:space="preserve">EV01252</t>
  </si>
  <si>
    <t xml:space="preserve">EV01253</t>
  </si>
  <si>
    <t xml:space="preserve">EV01254</t>
  </si>
  <si>
    <t xml:space="preserve">EV01255</t>
  </si>
  <si>
    <t xml:space="preserve">EV01256</t>
  </si>
  <si>
    <t xml:space="preserve">EV01257</t>
  </si>
  <si>
    <t xml:space="preserve">EV01258</t>
  </si>
  <si>
    <t xml:space="preserve">EV01259</t>
  </si>
  <si>
    <t xml:space="preserve">EV01260</t>
  </si>
  <si>
    <t xml:space="preserve">EV01261</t>
  </si>
  <si>
    <t xml:space="preserve">EV01262</t>
  </si>
  <si>
    <t xml:space="preserve">EV01263</t>
  </si>
  <si>
    <t xml:space="preserve">EV01264</t>
  </si>
  <si>
    <t xml:space="preserve">EV01265</t>
  </si>
  <si>
    <t xml:space="preserve">EV01266</t>
  </si>
  <si>
    <t xml:space="preserve">EV01267</t>
  </si>
  <si>
    <t xml:space="preserve">EV01268</t>
  </si>
  <si>
    <t xml:space="preserve">EV01269</t>
  </si>
  <si>
    <t xml:space="preserve">EV01270</t>
  </si>
  <si>
    <t xml:space="preserve">EV01271</t>
  </si>
  <si>
    <t xml:space="preserve">EV01272</t>
  </si>
  <si>
    <t xml:space="preserve">EV01273</t>
  </si>
  <si>
    <t xml:space="preserve">EV01274</t>
  </si>
  <si>
    <t xml:space="preserve">EV01275</t>
  </si>
  <si>
    <t xml:space="preserve">EV01276</t>
  </si>
  <si>
    <t xml:space="preserve">EV01277</t>
  </si>
  <si>
    <t xml:space="preserve">EV01278</t>
  </si>
  <si>
    <t xml:space="preserve">EV01279</t>
  </si>
  <si>
    <t xml:space="preserve">EV01280</t>
  </si>
  <si>
    <t xml:space="preserve">EV01281</t>
  </si>
  <si>
    <t xml:space="preserve">EV01282</t>
  </si>
  <si>
    <t xml:space="preserve">EV01283</t>
  </si>
  <si>
    <t xml:space="preserve">EV01284</t>
  </si>
  <si>
    <t xml:space="preserve">EV01285</t>
  </si>
  <si>
    <t xml:space="preserve">EV01286</t>
  </si>
  <si>
    <t xml:space="preserve">EV01287</t>
  </si>
  <si>
    <t xml:space="preserve">EV01288</t>
  </si>
  <si>
    <t xml:space="preserve">EV01289</t>
  </si>
  <si>
    <t xml:space="preserve">EV01290</t>
  </si>
  <si>
    <t xml:space="preserve">EV01291</t>
  </si>
  <si>
    <t xml:space="preserve">EV01292</t>
  </si>
  <si>
    <t xml:space="preserve">EV01293</t>
  </si>
  <si>
    <t xml:space="preserve">EV01294</t>
  </si>
  <si>
    <t xml:space="preserve">EV01295</t>
  </si>
  <si>
    <t xml:space="preserve">EV01296</t>
  </si>
  <si>
    <t xml:space="preserve">EV01297</t>
  </si>
  <si>
    <t xml:space="preserve">EV01298</t>
  </si>
  <si>
    <t xml:space="preserve">EV01299</t>
  </si>
  <si>
    <t xml:space="preserve">EV01300</t>
  </si>
  <si>
    <t xml:space="preserve">EV01301</t>
  </si>
  <si>
    <t xml:space="preserve">EV01302</t>
  </si>
  <si>
    <t xml:space="preserve">EV01303</t>
  </si>
  <si>
    <t xml:space="preserve">EV01304</t>
  </si>
  <si>
    <t xml:space="preserve">EV01305</t>
  </si>
  <si>
    <t xml:space="preserve">EV01306</t>
  </si>
  <si>
    <t xml:space="preserve">EV01307</t>
  </si>
  <si>
    <t xml:space="preserve">EV01308</t>
  </si>
  <si>
    <t xml:space="preserve">EV01309</t>
  </si>
  <si>
    <t xml:space="preserve">EV01310</t>
  </si>
  <si>
    <t xml:space="preserve">EV01311</t>
  </si>
  <si>
    <t xml:space="preserve">EV01312</t>
  </si>
  <si>
    <t xml:space="preserve">EV01313</t>
  </si>
  <si>
    <t xml:space="preserve">EV01314</t>
  </si>
  <si>
    <t xml:space="preserve">EV01315</t>
  </si>
  <si>
    <t xml:space="preserve">EV01316</t>
  </si>
  <si>
    <t xml:space="preserve">EV01317</t>
  </si>
  <si>
    <t xml:space="preserve">EV01318</t>
  </si>
  <si>
    <t xml:space="preserve">EV01319</t>
  </si>
  <si>
    <t xml:space="preserve">EV01320</t>
  </si>
  <si>
    <t xml:space="preserve">EV01321</t>
  </si>
  <si>
    <t xml:space="preserve">EV01322</t>
  </si>
  <si>
    <t xml:space="preserve">EV01323</t>
  </si>
  <si>
    <t xml:space="preserve">EV01324</t>
  </si>
  <si>
    <t xml:space="preserve">EV01325</t>
  </si>
  <si>
    <t xml:space="preserve">EV01326</t>
  </si>
  <si>
    <t xml:space="preserve">EV01327</t>
  </si>
  <si>
    <t xml:space="preserve">EV01328</t>
  </si>
  <si>
    <t xml:space="preserve">EV01329</t>
  </si>
  <si>
    <t xml:space="preserve">EV01330</t>
  </si>
  <si>
    <t xml:space="preserve">EV01331</t>
  </si>
  <si>
    <t xml:space="preserve">EV01332</t>
  </si>
  <si>
    <t xml:space="preserve">EV01333</t>
  </si>
  <si>
    <t xml:space="preserve">EV01334</t>
  </si>
  <si>
    <t xml:space="preserve">EV01335</t>
  </si>
  <si>
    <t xml:space="preserve">EV01336</t>
  </si>
  <si>
    <t xml:space="preserve">EV01337</t>
  </si>
  <si>
    <t xml:space="preserve">EV01338</t>
  </si>
  <si>
    <t xml:space="preserve">EV01339</t>
  </si>
  <si>
    <t xml:space="preserve">EV01340</t>
  </si>
  <si>
    <t xml:space="preserve">EV01341</t>
  </si>
  <si>
    <t xml:space="preserve">EV01342</t>
  </si>
  <si>
    <t xml:space="preserve">EV01343</t>
  </si>
  <si>
    <t xml:space="preserve">EV01344</t>
  </si>
  <si>
    <t xml:space="preserve">EV01345</t>
  </si>
  <si>
    <t xml:space="preserve">EV01346</t>
  </si>
  <si>
    <t xml:space="preserve">EV01347</t>
  </si>
  <si>
    <t xml:space="preserve">EV01348</t>
  </si>
  <si>
    <t xml:space="preserve">EV01349</t>
  </si>
  <si>
    <t xml:space="preserve">EV01350</t>
  </si>
  <si>
    <t xml:space="preserve">EV01351</t>
  </si>
  <si>
    <t xml:space="preserve">EV01352</t>
  </si>
  <si>
    <t xml:space="preserve">EV01353</t>
  </si>
  <si>
    <t xml:space="preserve">EV01354</t>
  </si>
  <si>
    <t xml:space="preserve">EV01355</t>
  </si>
  <si>
    <t xml:space="preserve">EV01356</t>
  </si>
  <si>
    <t xml:space="preserve">EV01357</t>
  </si>
  <si>
    <t xml:space="preserve">EV01358</t>
  </si>
  <si>
    <t xml:space="preserve">EV01359</t>
  </si>
  <si>
    <t xml:space="preserve">EV01360</t>
  </si>
  <si>
    <t xml:space="preserve">EV01361</t>
  </si>
  <si>
    <t xml:space="preserve">EV01362</t>
  </si>
  <si>
    <t xml:space="preserve">EV01363</t>
  </si>
  <si>
    <t xml:space="preserve">EV01364</t>
  </si>
  <si>
    <t xml:space="preserve">EV01365</t>
  </si>
  <si>
    <t xml:space="preserve">EV01366</t>
  </si>
  <si>
    <t xml:space="preserve">EV01367</t>
  </si>
  <si>
    <t xml:space="preserve">EV01368</t>
  </si>
  <si>
    <t xml:space="preserve">EV01369</t>
  </si>
  <si>
    <t xml:space="preserve">EV01370</t>
  </si>
  <si>
    <t xml:space="preserve">EV01371</t>
  </si>
  <si>
    <t xml:space="preserve">EV01372</t>
  </si>
  <si>
    <t xml:space="preserve">EV01373</t>
  </si>
  <si>
    <t xml:space="preserve">EV01374</t>
  </si>
  <si>
    <t xml:space="preserve">EV01375</t>
  </si>
  <si>
    <t xml:space="preserve">EV01376</t>
  </si>
  <si>
    <t xml:space="preserve">EV01377</t>
  </si>
  <si>
    <t xml:space="preserve">EV01378</t>
  </si>
  <si>
    <t xml:space="preserve">EV01379</t>
  </si>
  <si>
    <t xml:space="preserve">EV01380</t>
  </si>
  <si>
    <t xml:space="preserve">EV01381</t>
  </si>
  <si>
    <t xml:space="preserve">EV01382</t>
  </si>
  <si>
    <t xml:space="preserve">EV01383</t>
  </si>
  <si>
    <t xml:space="preserve">EV01384</t>
  </si>
  <si>
    <t xml:space="preserve">EV01385</t>
  </si>
  <si>
    <t xml:space="preserve">EV01386</t>
  </si>
  <si>
    <t xml:space="preserve">EV01387</t>
  </si>
  <si>
    <t xml:space="preserve">EV01388</t>
  </si>
  <si>
    <t xml:space="preserve">EV01389</t>
  </si>
  <si>
    <t xml:space="preserve">EV01390</t>
  </si>
  <si>
    <t xml:space="preserve">EV01391</t>
  </si>
  <si>
    <t xml:space="preserve">EV01392</t>
  </si>
  <si>
    <t xml:space="preserve">EV01393</t>
  </si>
  <si>
    <t xml:space="preserve">EV01394</t>
  </si>
  <si>
    <t xml:space="preserve">EV01395</t>
  </si>
  <si>
    <t xml:space="preserve">EV01396</t>
  </si>
  <si>
    <t xml:space="preserve">EV01397</t>
  </si>
  <si>
    <t xml:space="preserve">EV01398</t>
  </si>
  <si>
    <t xml:space="preserve">EV01399</t>
  </si>
  <si>
    <t xml:space="preserve">EV01400</t>
  </si>
  <si>
    <t xml:space="preserve">EV01401</t>
  </si>
  <si>
    <t xml:space="preserve">EV01402</t>
  </si>
  <si>
    <t xml:space="preserve">EV01403</t>
  </si>
  <si>
    <t xml:space="preserve">EV01404</t>
  </si>
  <si>
    <t xml:space="preserve">EV01405</t>
  </si>
  <si>
    <t xml:space="preserve">EV01406</t>
  </si>
  <si>
    <t xml:space="preserve">EV01407</t>
  </si>
  <si>
    <t xml:space="preserve">EV01408</t>
  </si>
  <si>
    <t xml:space="preserve">EV01409</t>
  </si>
  <si>
    <t xml:space="preserve">EV01410</t>
  </si>
  <si>
    <t xml:space="preserve">EV01411</t>
  </si>
  <si>
    <t xml:space="preserve">EV01412</t>
  </si>
  <si>
    <t xml:space="preserve">EV01413</t>
  </si>
  <si>
    <t xml:space="preserve">EV01414</t>
  </si>
  <si>
    <t xml:space="preserve">EV01415</t>
  </si>
  <si>
    <t xml:space="preserve">EV01416</t>
  </si>
  <si>
    <t xml:space="preserve">EV01417</t>
  </si>
  <si>
    <t xml:space="preserve">EV01418</t>
  </si>
  <si>
    <t xml:space="preserve">EV01419</t>
  </si>
  <si>
    <t xml:space="preserve">EV01420</t>
  </si>
  <si>
    <t xml:space="preserve">EV01421</t>
  </si>
  <si>
    <t xml:space="preserve">EV01422</t>
  </si>
  <si>
    <t xml:space="preserve">EV01423</t>
  </si>
  <si>
    <t xml:space="preserve">EV01424</t>
  </si>
  <si>
    <t xml:space="preserve">EV01425</t>
  </si>
  <si>
    <t xml:space="preserve">EV01426</t>
  </si>
  <si>
    <t xml:space="preserve">EV01427</t>
  </si>
  <si>
    <t xml:space="preserve">EV01428</t>
  </si>
  <si>
    <t xml:space="preserve">EV01429</t>
  </si>
  <si>
    <t xml:space="preserve">EV01430</t>
  </si>
  <si>
    <t xml:space="preserve">EV01431</t>
  </si>
  <si>
    <t xml:space="preserve">EV01432</t>
  </si>
  <si>
    <t xml:space="preserve">EV01433</t>
  </si>
  <si>
    <t xml:space="preserve">EV01434</t>
  </si>
  <si>
    <t xml:space="preserve">EV01435</t>
  </si>
  <si>
    <t xml:space="preserve">EV01436</t>
  </si>
  <si>
    <t xml:space="preserve">EV01437</t>
  </si>
  <si>
    <t xml:space="preserve">EV01438</t>
  </si>
  <si>
    <t xml:space="preserve">EV01439</t>
  </si>
  <si>
    <t xml:space="preserve">EV01440</t>
  </si>
  <si>
    <t xml:space="preserve">EV01441</t>
  </si>
  <si>
    <t xml:space="preserve">EV01442</t>
  </si>
  <si>
    <t xml:space="preserve">EV01443</t>
  </si>
  <si>
    <t xml:space="preserve">EV01444</t>
  </si>
  <si>
    <t xml:space="preserve">EV01445</t>
  </si>
  <si>
    <t xml:space="preserve">EV01446</t>
  </si>
  <si>
    <t xml:space="preserve">EV01447</t>
  </si>
  <si>
    <t xml:space="preserve">EV01448</t>
  </si>
  <si>
    <t xml:space="preserve">EV01449</t>
  </si>
  <si>
    <t xml:space="preserve">EV01450</t>
  </si>
  <si>
    <t xml:space="preserve">EV01451</t>
  </si>
  <si>
    <t xml:space="preserve">EV01452</t>
  </si>
  <si>
    <t xml:space="preserve">EV01453</t>
  </si>
  <si>
    <t xml:space="preserve">EV01454</t>
  </si>
  <si>
    <t xml:space="preserve">EV01455</t>
  </si>
  <si>
    <t xml:space="preserve">EV01456</t>
  </si>
  <si>
    <t xml:space="preserve">EV01457</t>
  </si>
  <si>
    <t xml:space="preserve">EV01458</t>
  </si>
  <si>
    <t xml:space="preserve">EV01459</t>
  </si>
  <si>
    <t xml:space="preserve">EV01460</t>
  </si>
  <si>
    <t xml:space="preserve">EV01461</t>
  </si>
  <si>
    <t xml:space="preserve">EV01462</t>
  </si>
  <si>
    <t xml:space="preserve">EV01463</t>
  </si>
  <si>
    <t xml:space="preserve">EV01464</t>
  </si>
  <si>
    <t xml:space="preserve">EV01465</t>
  </si>
  <si>
    <t xml:space="preserve">EV01466</t>
  </si>
  <si>
    <t xml:space="preserve">EV01467</t>
  </si>
  <si>
    <t xml:space="preserve">EV01468</t>
  </si>
  <si>
    <t xml:space="preserve">EV01469</t>
  </si>
  <si>
    <t xml:space="preserve">EV01470</t>
  </si>
  <si>
    <t xml:space="preserve">EV01471</t>
  </si>
  <si>
    <t xml:space="preserve">EV01472</t>
  </si>
  <si>
    <t xml:space="preserve">EV01473</t>
  </si>
  <si>
    <t xml:space="preserve">EV01474</t>
  </si>
  <si>
    <t xml:space="preserve">EV01475</t>
  </si>
  <si>
    <t xml:space="preserve">EV01476</t>
  </si>
  <si>
    <t xml:space="preserve">EV01477</t>
  </si>
  <si>
    <t xml:space="preserve">EV01478</t>
  </si>
  <si>
    <t xml:space="preserve">EV01479</t>
  </si>
  <si>
    <t xml:space="preserve">EV01480</t>
  </si>
  <si>
    <t xml:space="preserve">EV01481</t>
  </si>
  <si>
    <t xml:space="preserve">EV01482</t>
  </si>
  <si>
    <t xml:space="preserve">EV01483</t>
  </si>
  <si>
    <t xml:space="preserve">EV01484</t>
  </si>
  <si>
    <t xml:space="preserve">EV01485</t>
  </si>
  <si>
    <t xml:space="preserve">EV01486</t>
  </si>
  <si>
    <t xml:space="preserve">EV01487</t>
  </si>
  <si>
    <t xml:space="preserve">EV01488</t>
  </si>
  <si>
    <t xml:space="preserve">EV01489</t>
  </si>
  <si>
    <t xml:space="preserve">EV01490</t>
  </si>
  <si>
    <t xml:space="preserve">EV01491</t>
  </si>
  <si>
    <t xml:space="preserve">EV01492</t>
  </si>
  <si>
    <t xml:space="preserve">EV01493</t>
  </si>
  <si>
    <t xml:space="preserve">EV01494</t>
  </si>
  <si>
    <t xml:space="preserve">EV01495</t>
  </si>
  <si>
    <t xml:space="preserve">EV01496</t>
  </si>
  <si>
    <t xml:space="preserve">EV01497</t>
  </si>
  <si>
    <t xml:space="preserve">EV01498</t>
  </si>
  <si>
    <t xml:space="preserve">EV01499</t>
  </si>
  <si>
    <t xml:space="preserve">EV01500</t>
  </si>
  <si>
    <t xml:space="preserve">EV01501</t>
  </si>
  <si>
    <t xml:space="preserve">EV01502</t>
  </si>
  <si>
    <t xml:space="preserve">EV01503</t>
  </si>
  <si>
    <t xml:space="preserve">EV01504</t>
  </si>
  <si>
    <t xml:space="preserve">EV01505</t>
  </si>
  <si>
    <t xml:space="preserve">EV01506</t>
  </si>
  <si>
    <t xml:space="preserve">EV01507</t>
  </si>
  <si>
    <t xml:space="preserve">EV01508</t>
  </si>
  <si>
    <t xml:space="preserve">EV01509</t>
  </si>
  <si>
    <t xml:space="preserve">EV01510</t>
  </si>
  <si>
    <t xml:space="preserve">EV01511</t>
  </si>
  <si>
    <t xml:space="preserve">EV01512</t>
  </si>
  <si>
    <t xml:space="preserve">EV01513</t>
  </si>
  <si>
    <t xml:space="preserve">EV01514</t>
  </si>
  <si>
    <t xml:space="preserve">EV01515</t>
  </si>
  <si>
    <t xml:space="preserve">EV01516</t>
  </si>
  <si>
    <t xml:space="preserve">EV01517</t>
  </si>
  <si>
    <t xml:space="preserve">EV01518</t>
  </si>
  <si>
    <t xml:space="preserve">EV01519</t>
  </si>
  <si>
    <t xml:space="preserve">EV01520</t>
  </si>
  <si>
    <t xml:space="preserve">EV01521</t>
  </si>
  <si>
    <t xml:space="preserve">EV01522</t>
  </si>
  <si>
    <t xml:space="preserve">EV01523</t>
  </si>
  <si>
    <t xml:space="preserve">EV01524</t>
  </si>
  <si>
    <t xml:space="preserve">EV01525</t>
  </si>
  <si>
    <t xml:space="preserve">EV01526</t>
  </si>
  <si>
    <t xml:space="preserve">EV01527</t>
  </si>
  <si>
    <t xml:space="preserve">EV01528</t>
  </si>
  <si>
    <t xml:space="preserve">EV01529</t>
  </si>
  <si>
    <t xml:space="preserve">EV01530</t>
  </si>
  <si>
    <t xml:space="preserve">EV01531</t>
  </si>
  <si>
    <t xml:space="preserve">EV01532</t>
  </si>
  <si>
    <t xml:space="preserve">EV01533</t>
  </si>
  <si>
    <t xml:space="preserve">EV01534</t>
  </si>
  <si>
    <t xml:space="preserve">EV01535</t>
  </si>
  <si>
    <t xml:space="preserve">EV01536</t>
  </si>
  <si>
    <t xml:space="preserve">EV01537</t>
  </si>
  <si>
    <t xml:space="preserve">EV01538</t>
  </si>
  <si>
    <t xml:space="preserve">EV01539</t>
  </si>
  <si>
    <t xml:space="preserve">EV01540</t>
  </si>
  <si>
    <t xml:space="preserve">EV01541</t>
  </si>
  <si>
    <t xml:space="preserve">EV01542</t>
  </si>
  <si>
    <t xml:space="preserve">EV01543</t>
  </si>
  <si>
    <t xml:space="preserve">EV01544</t>
  </si>
  <si>
    <t xml:space="preserve">EV01545</t>
  </si>
  <si>
    <t xml:space="preserve">EV01546</t>
  </si>
  <si>
    <t xml:space="preserve">EV01547</t>
  </si>
  <si>
    <t xml:space="preserve">EV01548</t>
  </si>
  <si>
    <t xml:space="preserve">EV01549</t>
  </si>
  <si>
    <t xml:space="preserve">EV01550</t>
  </si>
  <si>
    <t xml:space="preserve">EV01551</t>
  </si>
  <si>
    <t xml:space="preserve">EV01552</t>
  </si>
  <si>
    <t xml:space="preserve">EV01553</t>
  </si>
  <si>
    <t xml:space="preserve">EV01554</t>
  </si>
  <si>
    <t xml:space="preserve">EV01555</t>
  </si>
  <si>
    <t xml:space="preserve">EV01556</t>
  </si>
  <si>
    <t xml:space="preserve">EV01557</t>
  </si>
  <si>
    <t xml:space="preserve">EV01558</t>
  </si>
  <si>
    <t xml:space="preserve">EV01559</t>
  </si>
  <si>
    <t xml:space="preserve">EV01560</t>
  </si>
  <si>
    <t xml:space="preserve">EV01561</t>
  </si>
  <si>
    <t xml:space="preserve">EV01562</t>
  </si>
  <si>
    <t xml:space="preserve">EV01563</t>
  </si>
  <si>
    <t xml:space="preserve">EV01564</t>
  </si>
  <si>
    <t xml:space="preserve">EV01565</t>
  </si>
  <si>
    <t xml:space="preserve">EV01566</t>
  </si>
  <si>
    <t xml:space="preserve">EV01567</t>
  </si>
  <si>
    <t xml:space="preserve">EV01568</t>
  </si>
  <si>
    <t xml:space="preserve">EV01569</t>
  </si>
  <si>
    <t xml:space="preserve">EV01570</t>
  </si>
  <si>
    <t xml:space="preserve">EV01571</t>
  </si>
  <si>
    <t xml:space="preserve">EV01572</t>
  </si>
  <si>
    <t xml:space="preserve">EV01573</t>
  </si>
  <si>
    <t xml:space="preserve">EV01574</t>
  </si>
  <si>
    <t xml:space="preserve">EV01575</t>
  </si>
  <si>
    <t xml:space="preserve">EV01576</t>
  </si>
  <si>
    <t xml:space="preserve">EV01577</t>
  </si>
  <si>
    <t xml:space="preserve">EV01578</t>
  </si>
  <si>
    <t xml:space="preserve">EV01579</t>
  </si>
  <si>
    <t xml:space="preserve">EV01580</t>
  </si>
  <si>
    <t xml:space="preserve">EV01581</t>
  </si>
  <si>
    <t xml:space="preserve">EV01582</t>
  </si>
  <si>
    <t xml:space="preserve">EV01583</t>
  </si>
  <si>
    <t xml:space="preserve">EV01584</t>
  </si>
  <si>
    <t xml:space="preserve">EV01585</t>
  </si>
  <si>
    <t xml:space="preserve">EV01586</t>
  </si>
  <si>
    <t xml:space="preserve">EV01587</t>
  </si>
  <si>
    <t xml:space="preserve">EV01588</t>
  </si>
  <si>
    <t xml:space="preserve">EV01589</t>
  </si>
  <si>
    <t xml:space="preserve">EV01590</t>
  </si>
  <si>
    <t xml:space="preserve">EV01591</t>
  </si>
  <si>
    <t xml:space="preserve">EV01592</t>
  </si>
  <si>
    <t xml:space="preserve">EV01593</t>
  </si>
  <si>
    <t xml:space="preserve">EV01594</t>
  </si>
  <si>
    <t xml:space="preserve">EV01595</t>
  </si>
  <si>
    <t xml:space="preserve">EV01596</t>
  </si>
  <si>
    <t xml:space="preserve">EV01597</t>
  </si>
  <si>
    <t xml:space="preserve">EV01598</t>
  </si>
  <si>
    <t xml:space="preserve">EV01599</t>
  </si>
  <si>
    <t xml:space="preserve">EV01600</t>
  </si>
  <si>
    <t xml:space="preserve">EV01601</t>
  </si>
  <si>
    <t xml:space="preserve">EV01602</t>
  </si>
  <si>
    <t xml:space="preserve">EV01603</t>
  </si>
  <si>
    <t xml:space="preserve">EV01604</t>
  </si>
  <si>
    <t xml:space="preserve">EV01605</t>
  </si>
  <si>
    <t xml:space="preserve">EV01606</t>
  </si>
  <si>
    <t xml:space="preserve">EV01607</t>
  </si>
  <si>
    <t xml:space="preserve">EV01608</t>
  </si>
  <si>
    <t xml:space="preserve">EV01609</t>
  </si>
  <si>
    <t xml:space="preserve">EV01610</t>
  </si>
  <si>
    <t xml:space="preserve">EV01611</t>
  </si>
  <si>
    <t xml:space="preserve">EV01612</t>
  </si>
  <si>
    <t xml:space="preserve">EV01613</t>
  </si>
  <si>
    <t xml:space="preserve">EV01614</t>
  </si>
  <si>
    <t xml:space="preserve">EV01615</t>
  </si>
  <si>
    <t xml:space="preserve">EV01616</t>
  </si>
  <si>
    <t xml:space="preserve">EV01617</t>
  </si>
  <si>
    <t xml:space="preserve">EV01618</t>
  </si>
  <si>
    <t xml:space="preserve">EV01619</t>
  </si>
  <si>
    <t xml:space="preserve">EV01620</t>
  </si>
  <si>
    <t xml:space="preserve">EV01621</t>
  </si>
  <si>
    <t xml:space="preserve">EV01622</t>
  </si>
  <si>
    <t xml:space="preserve">EV01623</t>
  </si>
  <si>
    <t xml:space="preserve">EV01624</t>
  </si>
  <si>
    <t xml:space="preserve">EV01625</t>
  </si>
  <si>
    <t xml:space="preserve">EV01626</t>
  </si>
  <si>
    <t xml:space="preserve">EV01627</t>
  </si>
  <si>
    <t xml:space="preserve">EV01628</t>
  </si>
  <si>
    <t xml:space="preserve">EV01629</t>
  </si>
  <si>
    <t xml:space="preserve">EV01630</t>
  </si>
  <si>
    <t xml:space="preserve">EV01631</t>
  </si>
  <si>
    <t xml:space="preserve">EV01632</t>
  </si>
  <si>
    <t xml:space="preserve">EV01633</t>
  </si>
  <si>
    <t xml:space="preserve">EV01634</t>
  </si>
  <si>
    <t xml:space="preserve">EV01635</t>
  </si>
  <si>
    <t xml:space="preserve">EV01636</t>
  </si>
  <si>
    <t xml:space="preserve">EV01637</t>
  </si>
  <si>
    <t xml:space="preserve">EV01638</t>
  </si>
  <si>
    <t xml:space="preserve">EV01639</t>
  </si>
  <si>
    <t xml:space="preserve">EV01640</t>
  </si>
  <si>
    <t xml:space="preserve">EV01641</t>
  </si>
  <si>
    <t xml:space="preserve">EV01642</t>
  </si>
  <si>
    <t xml:space="preserve">EV01643</t>
  </si>
  <si>
    <t xml:space="preserve">EV01644</t>
  </si>
  <si>
    <t xml:space="preserve">EV01645</t>
  </si>
  <si>
    <t xml:space="preserve">EV01646</t>
  </si>
  <si>
    <t xml:space="preserve">EV01647</t>
  </si>
  <si>
    <t xml:space="preserve">EV01648</t>
  </si>
  <si>
    <t xml:space="preserve">EV01649</t>
  </si>
  <si>
    <t xml:space="preserve">EV01650</t>
  </si>
  <si>
    <t xml:space="preserve">EV01651</t>
  </si>
  <si>
    <t xml:space="preserve">EV01652</t>
  </si>
  <si>
    <t xml:space="preserve">EV01653</t>
  </si>
  <si>
    <t xml:space="preserve">EV01654</t>
  </si>
  <si>
    <t xml:space="preserve">EV01655</t>
  </si>
  <si>
    <t xml:space="preserve">EV01656</t>
  </si>
  <si>
    <t xml:space="preserve">EV01657</t>
  </si>
  <si>
    <t xml:space="preserve">EV01658</t>
  </si>
  <si>
    <t xml:space="preserve">EV01659</t>
  </si>
  <si>
    <t xml:space="preserve">EV01660</t>
  </si>
  <si>
    <t xml:space="preserve">EV01661</t>
  </si>
  <si>
    <t xml:space="preserve">EV01662</t>
  </si>
  <si>
    <t xml:space="preserve">EV01663</t>
  </si>
  <si>
    <t xml:space="preserve">EV01664</t>
  </si>
  <si>
    <t xml:space="preserve">EV01665</t>
  </si>
  <si>
    <t xml:space="preserve">EV01666</t>
  </si>
  <si>
    <t xml:space="preserve">EV01667</t>
  </si>
  <si>
    <t xml:space="preserve">EV01668</t>
  </si>
  <si>
    <t xml:space="preserve">EV01669</t>
  </si>
  <si>
    <t xml:space="preserve">EV01670</t>
  </si>
  <si>
    <t xml:space="preserve">EV01671</t>
  </si>
  <si>
    <t xml:space="preserve">EV01672</t>
  </si>
  <si>
    <t xml:space="preserve">EV01673</t>
  </si>
  <si>
    <t xml:space="preserve">EV01674</t>
  </si>
  <si>
    <t xml:space="preserve">EV01675</t>
  </si>
  <si>
    <t xml:space="preserve">EV01676</t>
  </si>
  <si>
    <t xml:space="preserve">EV01677</t>
  </si>
  <si>
    <t xml:space="preserve">EV01678</t>
  </si>
  <si>
    <t xml:space="preserve">EV01679</t>
  </si>
  <si>
    <t xml:space="preserve">EV01680</t>
  </si>
  <si>
    <t xml:space="preserve">EV01681</t>
  </si>
  <si>
    <t xml:space="preserve">EV01682</t>
  </si>
  <si>
    <t xml:space="preserve">EV01683</t>
  </si>
  <si>
    <t xml:space="preserve">EV01684</t>
  </si>
  <si>
    <t xml:space="preserve">EV01685</t>
  </si>
  <si>
    <t xml:space="preserve">EV01686</t>
  </si>
  <si>
    <t xml:space="preserve">EV01687</t>
  </si>
  <si>
    <t xml:space="preserve">EV01688</t>
  </si>
  <si>
    <t xml:space="preserve">EV01689</t>
  </si>
  <si>
    <t xml:space="preserve">EV01690</t>
  </si>
  <si>
    <t xml:space="preserve">EV01691</t>
  </si>
  <si>
    <t xml:space="preserve">EV01692</t>
  </si>
  <si>
    <t xml:space="preserve">EV01693</t>
  </si>
  <si>
    <t xml:space="preserve">EV01694</t>
  </si>
  <si>
    <t xml:space="preserve">EV01695</t>
  </si>
  <si>
    <t xml:space="preserve">EV01696</t>
  </si>
  <si>
    <t xml:space="preserve">EV01697</t>
  </si>
  <si>
    <t xml:space="preserve">EV01698</t>
  </si>
  <si>
    <t xml:space="preserve">EV01699</t>
  </si>
  <si>
    <t xml:space="preserve">EV01700</t>
  </si>
  <si>
    <t xml:space="preserve">EV01701</t>
  </si>
  <si>
    <t xml:space="preserve">EV01702</t>
  </si>
  <si>
    <t xml:space="preserve">EV01703</t>
  </si>
  <si>
    <t xml:space="preserve">EV01704</t>
  </si>
  <si>
    <t xml:space="preserve">EV01705</t>
  </si>
  <si>
    <t xml:space="preserve">EV01706</t>
  </si>
  <si>
    <t xml:space="preserve">EV01707</t>
  </si>
  <si>
    <t xml:space="preserve">EV01708</t>
  </si>
  <si>
    <t xml:space="preserve">EV01709</t>
  </si>
  <si>
    <t xml:space="preserve">EV01710</t>
  </si>
  <si>
    <t xml:space="preserve">EV01711</t>
  </si>
  <si>
    <t xml:space="preserve">EV01712</t>
  </si>
  <si>
    <t xml:space="preserve">EV01713</t>
  </si>
  <si>
    <t xml:space="preserve">EV01714</t>
  </si>
  <si>
    <t xml:space="preserve">EV01715</t>
  </si>
  <si>
    <t xml:space="preserve">EV01716</t>
  </si>
  <si>
    <t xml:space="preserve">EV01717</t>
  </si>
  <si>
    <t xml:space="preserve">EV01718</t>
  </si>
  <si>
    <t xml:space="preserve">EV01719</t>
  </si>
  <si>
    <t xml:space="preserve">EV01720</t>
  </si>
  <si>
    <t xml:space="preserve">EV01721</t>
  </si>
  <si>
    <t xml:space="preserve">EV01722</t>
  </si>
  <si>
    <t xml:space="preserve">EV01723</t>
  </si>
  <si>
    <t xml:space="preserve">EV01724</t>
  </si>
  <si>
    <t xml:space="preserve">EV01725</t>
  </si>
  <si>
    <t xml:space="preserve">EV01726</t>
  </si>
  <si>
    <t xml:space="preserve">EV01727</t>
  </si>
  <si>
    <t xml:space="preserve">EV01728</t>
  </si>
  <si>
    <t xml:space="preserve">EV01729</t>
  </si>
  <si>
    <t xml:space="preserve">EV01730</t>
  </si>
  <si>
    <t xml:space="preserve">EV01731</t>
  </si>
  <si>
    <t xml:space="preserve">EV01732</t>
  </si>
  <si>
    <t xml:space="preserve">EV01733</t>
  </si>
  <si>
    <t xml:space="preserve">EV01734</t>
  </si>
  <si>
    <t xml:space="preserve">EV01735</t>
  </si>
  <si>
    <t xml:space="preserve">EV01736</t>
  </si>
  <si>
    <t xml:space="preserve">EV01737</t>
  </si>
  <si>
    <t xml:space="preserve">EV01738</t>
  </si>
  <si>
    <t xml:space="preserve">EV01739</t>
  </si>
  <si>
    <t xml:space="preserve">EV01740</t>
  </si>
  <si>
    <t xml:space="preserve">EV01741</t>
  </si>
  <si>
    <t xml:space="preserve">EV01742</t>
  </si>
  <si>
    <t xml:space="preserve">EV01743</t>
  </si>
  <si>
    <t xml:space="preserve">EV01744</t>
  </si>
  <si>
    <t xml:space="preserve">EV01745</t>
  </si>
  <si>
    <t xml:space="preserve">EV01746</t>
  </si>
  <si>
    <t xml:space="preserve">EV01747</t>
  </si>
  <si>
    <t xml:space="preserve">EV01748</t>
  </si>
  <si>
    <t xml:space="preserve">EV01749</t>
  </si>
  <si>
    <t xml:space="preserve">EV01750</t>
  </si>
  <si>
    <t xml:space="preserve">EV01751</t>
  </si>
  <si>
    <t xml:space="preserve">EV01752</t>
  </si>
  <si>
    <t xml:space="preserve">EV01753</t>
  </si>
  <si>
    <t xml:space="preserve">EV01754</t>
  </si>
  <si>
    <t xml:space="preserve">EV01755</t>
  </si>
  <si>
    <t xml:space="preserve">EV01756</t>
  </si>
  <si>
    <t xml:space="preserve">EV01757</t>
  </si>
  <si>
    <t xml:space="preserve">EV01758</t>
  </si>
  <si>
    <t xml:space="preserve">EV01759</t>
  </si>
  <si>
    <t xml:space="preserve">EV01760</t>
  </si>
  <si>
    <t xml:space="preserve">EV01761</t>
  </si>
  <si>
    <t xml:space="preserve">EV01762</t>
  </si>
  <si>
    <t xml:space="preserve">EV01763</t>
  </si>
  <si>
    <t xml:space="preserve">EV01764</t>
  </si>
  <si>
    <t xml:space="preserve">EV01765</t>
  </si>
  <si>
    <t xml:space="preserve">EV01766</t>
  </si>
  <si>
    <t xml:space="preserve">EV01767</t>
  </si>
  <si>
    <t xml:space="preserve">EV01768</t>
  </si>
  <si>
    <t xml:space="preserve">EV01769</t>
  </si>
  <si>
    <t xml:space="preserve">EV01770</t>
  </si>
  <si>
    <t xml:space="preserve">EV01771</t>
  </si>
  <si>
    <t xml:space="preserve">EV01772</t>
  </si>
  <si>
    <t xml:space="preserve">EV01773</t>
  </si>
  <si>
    <t xml:space="preserve">EV01774</t>
  </si>
  <si>
    <t xml:space="preserve">EV01775</t>
  </si>
  <si>
    <t xml:space="preserve">EV01776</t>
  </si>
  <si>
    <t xml:space="preserve">EV01777</t>
  </si>
  <si>
    <t xml:space="preserve">EV01778</t>
  </si>
  <si>
    <t xml:space="preserve">EV01779</t>
  </si>
  <si>
    <t xml:space="preserve">EV01780</t>
  </si>
  <si>
    <t xml:space="preserve">EV01781</t>
  </si>
  <si>
    <t xml:space="preserve">EV01782</t>
  </si>
  <si>
    <t xml:space="preserve">EV01783</t>
  </si>
  <si>
    <t xml:space="preserve">EV01784</t>
  </si>
  <si>
    <t xml:space="preserve">EV01785</t>
  </si>
  <si>
    <t xml:space="preserve">EV01786</t>
  </si>
  <si>
    <t xml:space="preserve">EV01787</t>
  </si>
  <si>
    <t xml:space="preserve">EV01788</t>
  </si>
  <si>
    <t xml:space="preserve">EV01789</t>
  </si>
  <si>
    <t xml:space="preserve">EV01790</t>
  </si>
  <si>
    <t xml:space="preserve">EV01791</t>
  </si>
  <si>
    <t xml:space="preserve">EV01792</t>
  </si>
  <si>
    <t xml:space="preserve">EV01793</t>
  </si>
  <si>
    <t xml:space="preserve">EV01794</t>
  </si>
  <si>
    <t xml:space="preserve">EV01795</t>
  </si>
  <si>
    <t xml:space="preserve">EV01796</t>
  </si>
  <si>
    <t xml:space="preserve">EV01797</t>
  </si>
  <si>
    <t xml:space="preserve">EV01798</t>
  </si>
  <si>
    <t xml:space="preserve">EV01799</t>
  </si>
  <si>
    <t xml:space="preserve">EV01800</t>
  </si>
  <si>
    <t xml:space="preserve">EV01801</t>
  </si>
  <si>
    <t xml:space="preserve">EV01802</t>
  </si>
  <si>
    <t xml:space="preserve">EV01803</t>
  </si>
  <si>
    <t xml:space="preserve">EV01804</t>
  </si>
  <si>
    <t xml:space="preserve">EV01805</t>
  </si>
  <si>
    <t xml:space="preserve">EV01806</t>
  </si>
  <si>
    <t xml:space="preserve">EV01807</t>
  </si>
  <si>
    <t xml:space="preserve">EV01808</t>
  </si>
  <si>
    <t xml:space="preserve">EV01809</t>
  </si>
  <si>
    <t xml:space="preserve">EV01810</t>
  </si>
  <si>
    <t xml:space="preserve">EV01811</t>
  </si>
  <si>
    <t xml:space="preserve">EV01812</t>
  </si>
  <si>
    <t xml:space="preserve">EV01813</t>
  </si>
  <si>
    <t xml:space="preserve">EV01814</t>
  </si>
  <si>
    <t xml:space="preserve">EV01815</t>
  </si>
  <si>
    <t xml:space="preserve">EV01816</t>
  </si>
  <si>
    <t xml:space="preserve">EV01817</t>
  </si>
  <si>
    <t xml:space="preserve">EV01818</t>
  </si>
  <si>
    <t xml:space="preserve">EV01819</t>
  </si>
  <si>
    <t xml:space="preserve">EV01820</t>
  </si>
  <si>
    <t xml:space="preserve">EV01821</t>
  </si>
  <si>
    <t xml:space="preserve">EV01822</t>
  </si>
  <si>
    <t xml:space="preserve">EV01823</t>
  </si>
  <si>
    <t xml:space="preserve">EV01824</t>
  </si>
  <si>
    <t xml:space="preserve">EV01825</t>
  </si>
  <si>
    <t xml:space="preserve">EV01826</t>
  </si>
  <si>
    <t xml:space="preserve">EV01827</t>
  </si>
  <si>
    <t xml:space="preserve">EV01828</t>
  </si>
  <si>
    <t xml:space="preserve">EV01829</t>
  </si>
  <si>
    <t xml:space="preserve">EV01830</t>
  </si>
  <si>
    <t xml:space="preserve">EV01831</t>
  </si>
  <si>
    <t xml:space="preserve">EV01832</t>
  </si>
  <si>
    <t xml:space="preserve">EV01833</t>
  </si>
  <si>
    <t xml:space="preserve">EV01834</t>
  </si>
  <si>
    <t xml:space="preserve">EV01835</t>
  </si>
  <si>
    <t xml:space="preserve">EV01836</t>
  </si>
  <si>
    <t xml:space="preserve">EV01837</t>
  </si>
  <si>
    <t xml:space="preserve">EV01838</t>
  </si>
  <si>
    <t xml:space="preserve">EV01839</t>
  </si>
  <si>
    <t xml:space="preserve">EV01840</t>
  </si>
  <si>
    <t xml:space="preserve">EV01841</t>
  </si>
  <si>
    <t xml:space="preserve">EV01842</t>
  </si>
  <si>
    <t xml:space="preserve">EV01843</t>
  </si>
  <si>
    <t xml:space="preserve">EV01844</t>
  </si>
  <si>
    <t xml:space="preserve">EV01845</t>
  </si>
  <si>
    <t xml:space="preserve">EV01846</t>
  </si>
  <si>
    <t xml:space="preserve">EV01847</t>
  </si>
  <si>
    <t xml:space="preserve">EV01848</t>
  </si>
  <si>
    <t xml:space="preserve">EV01849</t>
  </si>
  <si>
    <t xml:space="preserve">EV01850</t>
  </si>
  <si>
    <t xml:space="preserve">EV01851</t>
  </si>
  <si>
    <t xml:space="preserve">EV01852</t>
  </si>
  <si>
    <t xml:space="preserve">EV01853</t>
  </si>
  <si>
    <t xml:space="preserve">EV01854</t>
  </si>
  <si>
    <t xml:space="preserve">EV01855</t>
  </si>
  <si>
    <t xml:space="preserve">EV01856</t>
  </si>
  <si>
    <t xml:space="preserve">EV01857</t>
  </si>
  <si>
    <t xml:space="preserve">EV01858</t>
  </si>
  <si>
    <t xml:space="preserve">EV01859</t>
  </si>
  <si>
    <t xml:space="preserve">EV01860</t>
  </si>
  <si>
    <t xml:space="preserve">EV01861</t>
  </si>
  <si>
    <t xml:space="preserve">EV01862</t>
  </si>
  <si>
    <t xml:space="preserve">EV01863</t>
  </si>
  <si>
    <t xml:space="preserve">EV01864</t>
  </si>
  <si>
    <t xml:space="preserve">EV01865</t>
  </si>
  <si>
    <t xml:space="preserve">EV01866</t>
  </si>
  <si>
    <t xml:space="preserve">EV01867</t>
  </si>
  <si>
    <t xml:space="preserve">EV01868</t>
  </si>
  <si>
    <t xml:space="preserve">EV01869</t>
  </si>
  <si>
    <t xml:space="preserve">EV01870</t>
  </si>
  <si>
    <t xml:space="preserve">EV01871</t>
  </si>
  <si>
    <t xml:space="preserve">EV01872</t>
  </si>
  <si>
    <t xml:space="preserve">EV01873</t>
  </si>
  <si>
    <t xml:space="preserve">EV01874</t>
  </si>
  <si>
    <t xml:space="preserve">EV01875</t>
  </si>
  <si>
    <t xml:space="preserve">EV01876</t>
  </si>
  <si>
    <t xml:space="preserve">EV01877</t>
  </si>
  <si>
    <t xml:space="preserve">EV01878</t>
  </si>
  <si>
    <t xml:space="preserve">EV01879</t>
  </si>
  <si>
    <t xml:space="preserve">EV01880</t>
  </si>
  <si>
    <t xml:space="preserve">EV01881</t>
  </si>
  <si>
    <t xml:space="preserve">EV01882</t>
  </si>
  <si>
    <t xml:space="preserve">EV01883</t>
  </si>
  <si>
    <t xml:space="preserve">EV01884</t>
  </si>
  <si>
    <t xml:space="preserve">EV01885</t>
  </si>
  <si>
    <t xml:space="preserve">EV01886</t>
  </si>
  <si>
    <t xml:space="preserve">EV01887</t>
  </si>
  <si>
    <t xml:space="preserve">EV01888</t>
  </si>
  <si>
    <t xml:space="preserve">EV01889</t>
  </si>
  <si>
    <t xml:space="preserve">EV01890</t>
  </si>
  <si>
    <t xml:space="preserve">EV01891</t>
  </si>
  <si>
    <t xml:space="preserve">EV01892</t>
  </si>
  <si>
    <t xml:space="preserve">EV01893</t>
  </si>
  <si>
    <t xml:space="preserve">EV01894</t>
  </si>
  <si>
    <t xml:space="preserve">EV01895</t>
  </si>
  <si>
    <t xml:space="preserve">EV01896</t>
  </si>
  <si>
    <t xml:space="preserve">EV01897</t>
  </si>
  <si>
    <t xml:space="preserve">EV01898</t>
  </si>
  <si>
    <t xml:space="preserve">EV01899</t>
  </si>
  <si>
    <t xml:space="preserve">EV01900</t>
  </si>
  <si>
    <t xml:space="preserve">EV01901</t>
  </si>
  <si>
    <t xml:space="preserve">EV01902</t>
  </si>
  <si>
    <t xml:space="preserve">EV01903</t>
  </si>
  <si>
    <t xml:space="preserve">EV01904</t>
  </si>
  <si>
    <t xml:space="preserve">EV01905</t>
  </si>
  <si>
    <t xml:space="preserve">EV01906</t>
  </si>
  <si>
    <t xml:space="preserve">EV01907</t>
  </si>
  <si>
    <t xml:space="preserve">EV01908</t>
  </si>
  <si>
    <t xml:space="preserve">EV01909</t>
  </si>
  <si>
    <t xml:space="preserve">EV01910</t>
  </si>
  <si>
    <t xml:space="preserve">EV01911</t>
  </si>
  <si>
    <t xml:space="preserve">EV01912</t>
  </si>
  <si>
    <t xml:space="preserve">EV01913</t>
  </si>
  <si>
    <t xml:space="preserve">EV01914</t>
  </si>
  <si>
    <t xml:space="preserve">EV01915</t>
  </si>
  <si>
    <t xml:space="preserve">EV01916</t>
  </si>
  <si>
    <t xml:space="preserve">EV01917</t>
  </si>
  <si>
    <t xml:space="preserve">EV01918</t>
  </si>
  <si>
    <t xml:space="preserve">EV01919</t>
  </si>
  <si>
    <t xml:space="preserve">EV01920</t>
  </si>
  <si>
    <t xml:space="preserve">EV01921</t>
  </si>
  <si>
    <t xml:space="preserve">EV01922</t>
  </si>
  <si>
    <t xml:space="preserve">EV01923</t>
  </si>
  <si>
    <t xml:space="preserve">EV01924</t>
  </si>
  <si>
    <t xml:space="preserve">EV01925</t>
  </si>
  <si>
    <t xml:space="preserve">EV01926</t>
  </si>
  <si>
    <t xml:space="preserve">EV01927</t>
  </si>
  <si>
    <t xml:space="preserve">EV01928</t>
  </si>
  <si>
    <t xml:space="preserve">EV01929</t>
  </si>
  <si>
    <t xml:space="preserve">EV01930</t>
  </si>
  <si>
    <t xml:space="preserve">EV01931</t>
  </si>
  <si>
    <t xml:space="preserve">EV01932</t>
  </si>
  <si>
    <t xml:space="preserve">EV01933</t>
  </si>
  <si>
    <t xml:space="preserve">EV01934</t>
  </si>
  <si>
    <t xml:space="preserve">EV01935</t>
  </si>
  <si>
    <t xml:space="preserve">EV01936</t>
  </si>
  <si>
    <t xml:space="preserve">EV01937</t>
  </si>
  <si>
    <t xml:space="preserve">EV01938</t>
  </si>
  <si>
    <t xml:space="preserve">EV01939</t>
  </si>
  <si>
    <t xml:space="preserve">EV01940</t>
  </si>
  <si>
    <t xml:space="preserve">EV01941</t>
  </si>
  <si>
    <t xml:space="preserve">EV01942</t>
  </si>
  <si>
    <t xml:space="preserve">EV01943</t>
  </si>
  <si>
    <t xml:space="preserve">EV01944</t>
  </si>
  <si>
    <t xml:space="preserve">EV01945</t>
  </si>
  <si>
    <t xml:space="preserve">EV01946</t>
  </si>
  <si>
    <t xml:space="preserve">EV01947</t>
  </si>
  <si>
    <t xml:space="preserve">EV01948</t>
  </si>
  <si>
    <t xml:space="preserve">EV01949</t>
  </si>
  <si>
    <t xml:space="preserve">EV01950</t>
  </si>
  <si>
    <t xml:space="preserve">EV01951</t>
  </si>
  <si>
    <t xml:space="preserve">EV01952</t>
  </si>
  <si>
    <t xml:space="preserve">EV01953</t>
  </si>
  <si>
    <t xml:space="preserve">EV01954</t>
  </si>
  <si>
    <t xml:space="preserve">EV01955</t>
  </si>
  <si>
    <t xml:space="preserve">EV01956</t>
  </si>
  <si>
    <t xml:space="preserve">EV01957</t>
  </si>
  <si>
    <t xml:space="preserve">EV01958</t>
  </si>
  <si>
    <t xml:space="preserve">EV01959</t>
  </si>
  <si>
    <t xml:space="preserve">EV01960</t>
  </si>
  <si>
    <t xml:space="preserve">EV01961</t>
  </si>
  <si>
    <t xml:space="preserve">EV01962</t>
  </si>
  <si>
    <t xml:space="preserve">EV01963</t>
  </si>
  <si>
    <t xml:space="preserve">EV01964</t>
  </si>
  <si>
    <t xml:space="preserve">EV01965</t>
  </si>
  <si>
    <t xml:space="preserve">EV01966</t>
  </si>
  <si>
    <t xml:space="preserve">EV01967</t>
  </si>
  <si>
    <t xml:space="preserve">EV01968</t>
  </si>
  <si>
    <t xml:space="preserve">EV01969</t>
  </si>
  <si>
    <t xml:space="preserve">EV01970</t>
  </si>
  <si>
    <t xml:space="preserve">EV01971</t>
  </si>
  <si>
    <t xml:space="preserve">EV01972</t>
  </si>
  <si>
    <t xml:space="preserve">EV01973</t>
  </si>
  <si>
    <t xml:space="preserve">EV01974</t>
  </si>
  <si>
    <t xml:space="preserve">EV01975</t>
  </si>
  <si>
    <t xml:space="preserve">EV01976</t>
  </si>
  <si>
    <t xml:space="preserve">EV01977</t>
  </si>
  <si>
    <t xml:space="preserve">EV01978</t>
  </si>
  <si>
    <t xml:space="preserve">EV01979</t>
  </si>
  <si>
    <t xml:space="preserve">EV01980</t>
  </si>
  <si>
    <t xml:space="preserve">EV01981</t>
  </si>
  <si>
    <t xml:space="preserve">EV01982</t>
  </si>
  <si>
    <t xml:space="preserve">EV01983</t>
  </si>
  <si>
    <t xml:space="preserve">EV01984</t>
  </si>
  <si>
    <t xml:space="preserve">EV01985</t>
  </si>
  <si>
    <t xml:space="preserve">EV01986</t>
  </si>
  <si>
    <t xml:space="preserve">EV01987</t>
  </si>
  <si>
    <t xml:space="preserve">EV01988</t>
  </si>
  <si>
    <t xml:space="preserve">EV01989</t>
  </si>
  <si>
    <t xml:space="preserve">EV01990</t>
  </si>
  <si>
    <t xml:space="preserve">EV01991</t>
  </si>
  <si>
    <t xml:space="preserve">EV01992</t>
  </si>
  <si>
    <t xml:space="preserve">EV01993</t>
  </si>
  <si>
    <t xml:space="preserve">EV01994</t>
  </si>
  <si>
    <t xml:space="preserve">EV01995</t>
  </si>
  <si>
    <t xml:space="preserve">EV01996</t>
  </si>
  <si>
    <t xml:space="preserve">EV01997</t>
  </si>
  <si>
    <t xml:space="preserve">EV01998</t>
  </si>
  <si>
    <t xml:space="preserve">EV01999</t>
  </si>
  <si>
    <t xml:space="preserve">EV02000</t>
  </si>
  <si>
    <t xml:space="preserve">EV02001</t>
  </si>
  <si>
    <t xml:space="preserve">EV02002</t>
  </si>
  <si>
    <t xml:space="preserve">EV02003</t>
  </si>
  <si>
    <t xml:space="preserve">EV02004</t>
  </si>
  <si>
    <t xml:space="preserve">EV02005</t>
  </si>
  <si>
    <t xml:space="preserve">EV02006</t>
  </si>
  <si>
    <t xml:space="preserve">EV02007</t>
  </si>
  <si>
    <t xml:space="preserve">EV02008</t>
  </si>
  <si>
    <t xml:space="preserve">EV02009</t>
  </si>
  <si>
    <t xml:space="preserve">EV02010</t>
  </si>
  <si>
    <t xml:space="preserve">EV02011</t>
  </si>
  <si>
    <t xml:space="preserve">EV02012</t>
  </si>
  <si>
    <t xml:space="preserve">EV02013</t>
  </si>
  <si>
    <t xml:space="preserve">EV02014</t>
  </si>
  <si>
    <t xml:space="preserve">EV02015</t>
  </si>
  <si>
    <t xml:space="preserve">EV02016</t>
  </si>
  <si>
    <t xml:space="preserve">EV02017</t>
  </si>
  <si>
    <t xml:space="preserve">EV02018</t>
  </si>
  <si>
    <t xml:space="preserve">EV02019</t>
  </si>
  <si>
    <t xml:space="preserve">EV02020</t>
  </si>
  <si>
    <t xml:space="preserve">EV02021</t>
  </si>
  <si>
    <t xml:space="preserve">EV02022</t>
  </si>
  <si>
    <t xml:space="preserve">EV02023</t>
  </si>
  <si>
    <t xml:space="preserve">EV02024</t>
  </si>
  <si>
    <t xml:space="preserve">EV02025</t>
  </si>
  <si>
    <t xml:space="preserve">EV02026</t>
  </si>
  <si>
    <t xml:space="preserve">EV02027</t>
  </si>
  <si>
    <t xml:space="preserve">EV02028</t>
  </si>
  <si>
    <t xml:space="preserve">EV02029</t>
  </si>
  <si>
    <t xml:space="preserve">EV02030</t>
  </si>
  <si>
    <t xml:space="preserve">EV02031</t>
  </si>
  <si>
    <t xml:space="preserve">EV02032</t>
  </si>
  <si>
    <t xml:space="preserve">EV02033</t>
  </si>
  <si>
    <t xml:space="preserve">EV02034</t>
  </si>
  <si>
    <t xml:space="preserve">EV02035</t>
  </si>
  <si>
    <t xml:space="preserve">EV02036</t>
  </si>
  <si>
    <t xml:space="preserve">EV02037</t>
  </si>
  <si>
    <t xml:space="preserve">EV02038</t>
  </si>
  <si>
    <t xml:space="preserve">EV02039</t>
  </si>
  <si>
    <t xml:space="preserve">EV02040</t>
  </si>
  <si>
    <t xml:space="preserve">EV02041</t>
  </si>
  <si>
    <t xml:space="preserve">EV02042</t>
  </si>
  <si>
    <t xml:space="preserve">EV02043</t>
  </si>
  <si>
    <t xml:space="preserve">EV02044</t>
  </si>
  <si>
    <t xml:space="preserve">EV02045</t>
  </si>
  <si>
    <t xml:space="preserve">EV02046</t>
  </si>
  <si>
    <t xml:space="preserve">EV02047</t>
  </si>
  <si>
    <t xml:space="preserve">EV02048</t>
  </si>
  <si>
    <t xml:space="preserve">EV02049</t>
  </si>
  <si>
    <t xml:space="preserve">EV02050</t>
  </si>
  <si>
    <t xml:space="preserve">EV02051</t>
  </si>
  <si>
    <t xml:space="preserve">EV02052</t>
  </si>
  <si>
    <t xml:space="preserve">EV02053</t>
  </si>
  <si>
    <t xml:space="preserve">EV02054</t>
  </si>
  <si>
    <t xml:space="preserve">EV02055</t>
  </si>
  <si>
    <t xml:space="preserve">EV02056</t>
  </si>
  <si>
    <t xml:space="preserve">EV02057</t>
  </si>
  <si>
    <t xml:space="preserve">EV02058</t>
  </si>
  <si>
    <t xml:space="preserve">EV02059</t>
  </si>
  <si>
    <t xml:space="preserve">EV02060</t>
  </si>
  <si>
    <t xml:space="preserve">EV02061</t>
  </si>
  <si>
    <t xml:space="preserve">EV02062</t>
  </si>
  <si>
    <t xml:space="preserve">EV02063</t>
  </si>
  <si>
    <t xml:space="preserve">EV02064</t>
  </si>
  <si>
    <t xml:space="preserve">EV02065</t>
  </si>
  <si>
    <t xml:space="preserve">EV02066</t>
  </si>
  <si>
    <t xml:space="preserve">EV02067</t>
  </si>
  <si>
    <t xml:space="preserve">EV02068</t>
  </si>
  <si>
    <t xml:space="preserve">EV02069</t>
  </si>
  <si>
    <t xml:space="preserve">EV02070</t>
  </si>
  <si>
    <t xml:space="preserve">EV02071</t>
  </si>
  <si>
    <t xml:space="preserve">EV02072</t>
  </si>
  <si>
    <t xml:space="preserve">EV02073</t>
  </si>
  <si>
    <t xml:space="preserve">EV02074</t>
  </si>
  <si>
    <t xml:space="preserve">EV02075</t>
  </si>
  <si>
    <t xml:space="preserve">EV02076</t>
  </si>
  <si>
    <t xml:space="preserve">EV02077</t>
  </si>
  <si>
    <t xml:space="preserve">EV02078</t>
  </si>
  <si>
    <t xml:space="preserve">EV02079</t>
  </si>
  <si>
    <t xml:space="preserve">EV02080</t>
  </si>
  <si>
    <t xml:space="preserve">EV02081</t>
  </si>
  <si>
    <t xml:space="preserve">EV02082</t>
  </si>
  <si>
    <t xml:space="preserve">EV02083</t>
  </si>
  <si>
    <t xml:space="preserve">EV02084</t>
  </si>
  <si>
    <t xml:space="preserve">EV02085</t>
  </si>
  <si>
    <t xml:space="preserve">EV02086</t>
  </si>
  <si>
    <t xml:space="preserve">EV02087</t>
  </si>
  <si>
    <t xml:space="preserve">EV02088</t>
  </si>
  <si>
    <t xml:space="preserve">EV02089</t>
  </si>
  <si>
    <t xml:space="preserve">EV02090</t>
  </si>
  <si>
    <t xml:space="preserve">EV02091</t>
  </si>
  <si>
    <t xml:space="preserve">EV02092</t>
  </si>
  <si>
    <t xml:space="preserve">EV02093</t>
  </si>
  <si>
    <t xml:space="preserve">EV02094</t>
  </si>
  <si>
    <t xml:space="preserve">EV02095</t>
  </si>
  <si>
    <t xml:space="preserve">EV02096</t>
  </si>
  <si>
    <t xml:space="preserve">EV02097</t>
  </si>
  <si>
    <t xml:space="preserve">EV02098</t>
  </si>
  <si>
    <t xml:space="preserve">EV02099</t>
  </si>
  <si>
    <t xml:space="preserve">EV02100</t>
  </si>
  <si>
    <t xml:space="preserve">EV02101</t>
  </si>
  <si>
    <t xml:space="preserve">EV02102</t>
  </si>
  <si>
    <t xml:space="preserve">EV02103</t>
  </si>
  <si>
    <t xml:space="preserve">EV02104</t>
  </si>
  <si>
    <t xml:space="preserve">EV02105</t>
  </si>
  <si>
    <t xml:space="preserve">EV02106</t>
  </si>
  <si>
    <t xml:space="preserve">EV02107</t>
  </si>
  <si>
    <t xml:space="preserve">EV02108</t>
  </si>
  <si>
    <t xml:space="preserve">EV02109</t>
  </si>
  <si>
    <t xml:space="preserve">EV02110</t>
  </si>
  <si>
    <t xml:space="preserve">EV02111</t>
  </si>
  <si>
    <t xml:space="preserve">EV02112</t>
  </si>
  <si>
    <t xml:space="preserve">EV02113</t>
  </si>
  <si>
    <t xml:space="preserve">EV02114</t>
  </si>
  <si>
    <t xml:space="preserve">EV02115</t>
  </si>
  <si>
    <t xml:space="preserve">EV02116</t>
  </si>
  <si>
    <t xml:space="preserve">EV02117</t>
  </si>
  <si>
    <t xml:space="preserve">EV02118</t>
  </si>
  <si>
    <t xml:space="preserve">EV02119</t>
  </si>
  <si>
    <t xml:space="preserve">EV02120</t>
  </si>
  <si>
    <t xml:space="preserve">EV02121</t>
  </si>
  <si>
    <t xml:space="preserve">EV02122</t>
  </si>
  <si>
    <t xml:space="preserve">EV02123</t>
  </si>
  <si>
    <t xml:space="preserve">EV02124</t>
  </si>
  <si>
    <t xml:space="preserve">EV02125</t>
  </si>
  <si>
    <t xml:space="preserve">EV02126</t>
  </si>
  <si>
    <t xml:space="preserve">EV02127</t>
  </si>
  <si>
    <t xml:space="preserve">EV02128</t>
  </si>
  <si>
    <t xml:space="preserve">EV02129</t>
  </si>
  <si>
    <t xml:space="preserve">EV02130</t>
  </si>
  <si>
    <t xml:space="preserve">EV02131</t>
  </si>
  <si>
    <t xml:space="preserve">EV02132</t>
  </si>
  <si>
    <t xml:space="preserve">EV02133</t>
  </si>
  <si>
    <t xml:space="preserve">EV02134</t>
  </si>
  <si>
    <t xml:space="preserve">EV02135</t>
  </si>
  <si>
    <t xml:space="preserve">EV02136</t>
  </si>
  <si>
    <t xml:space="preserve">EV02137</t>
  </si>
  <si>
    <t xml:space="preserve">EV02138</t>
  </si>
  <si>
    <t xml:space="preserve">EV02139</t>
  </si>
  <si>
    <t xml:space="preserve">EV02140</t>
  </si>
  <si>
    <t xml:space="preserve">EV02141</t>
  </si>
  <si>
    <t xml:space="preserve">EV02142</t>
  </si>
  <si>
    <t xml:space="preserve">EV02143</t>
  </si>
  <si>
    <t xml:space="preserve">EV02144</t>
  </si>
  <si>
    <t xml:space="preserve">EV02145</t>
  </si>
  <si>
    <t xml:space="preserve">EV02146</t>
  </si>
  <si>
    <t xml:space="preserve">EV02147</t>
  </si>
  <si>
    <t xml:space="preserve">EV02148</t>
  </si>
  <si>
    <t xml:space="preserve">EV02149</t>
  </si>
  <si>
    <t xml:space="preserve">EV02150</t>
  </si>
  <si>
    <t xml:space="preserve">EV02151</t>
  </si>
  <si>
    <t xml:space="preserve">EV02152</t>
  </si>
  <si>
    <t xml:space="preserve">EV02153</t>
  </si>
  <si>
    <t xml:space="preserve">EV02154</t>
  </si>
  <si>
    <t xml:space="preserve">EV02155</t>
  </si>
  <si>
    <t xml:space="preserve">EV02156</t>
  </si>
  <si>
    <t xml:space="preserve">EV02157</t>
  </si>
  <si>
    <t xml:space="preserve">EV02158</t>
  </si>
  <si>
    <t xml:space="preserve">EV02159</t>
  </si>
  <si>
    <t xml:space="preserve">EV02160</t>
  </si>
  <si>
    <t xml:space="preserve">EV02161</t>
  </si>
  <si>
    <t xml:space="preserve">EV02162</t>
  </si>
  <si>
    <t xml:space="preserve">EV02163</t>
  </si>
  <si>
    <t xml:space="preserve">EV02164</t>
  </si>
  <si>
    <t xml:space="preserve">EV02165</t>
  </si>
  <si>
    <t xml:space="preserve">EV02166</t>
  </si>
  <si>
    <t xml:space="preserve">EV02167</t>
  </si>
  <si>
    <t xml:space="preserve">EV02168</t>
  </si>
  <si>
    <t xml:space="preserve">EV02169</t>
  </si>
  <si>
    <t xml:space="preserve">EV02170</t>
  </si>
  <si>
    <t xml:space="preserve">EV02171</t>
  </si>
  <si>
    <t xml:space="preserve">EV02172</t>
  </si>
  <si>
    <t xml:space="preserve">EV02173</t>
  </si>
  <si>
    <t xml:space="preserve">EV02174</t>
  </si>
  <si>
    <t xml:space="preserve">EV02175</t>
  </si>
  <si>
    <t xml:space="preserve">EV02176</t>
  </si>
  <si>
    <t xml:space="preserve">EV02177</t>
  </si>
  <si>
    <t xml:space="preserve">EV02178</t>
  </si>
  <si>
    <t xml:space="preserve">EV02179</t>
  </si>
  <si>
    <t xml:space="preserve">EV02180</t>
  </si>
  <si>
    <t xml:space="preserve">EV02181</t>
  </si>
  <si>
    <t xml:space="preserve">EV02182</t>
  </si>
  <si>
    <t xml:space="preserve">EV02183</t>
  </si>
  <si>
    <t xml:space="preserve">EV02184</t>
  </si>
  <si>
    <t xml:space="preserve">EV02185</t>
  </si>
  <si>
    <t xml:space="preserve">Semanas</t>
  </si>
  <si>
    <t xml:space="preserve">OEE_Promedio</t>
  </si>
  <si>
    <t xml:space="preserve">Paro_No_Plan_h</t>
  </si>
  <si>
    <t xml:space="preserve">Margen_Pct</t>
  </si>
  <si>
    <t xml:space="preserve">Retorno_Promedio_Sem</t>
  </si>
  <si>
    <t xml:space="preserve">Retorno_Desv_Est_Sem</t>
  </si>
  <si>
    <t xml:space="preserve">Retorno_Min</t>
  </si>
  <si>
    <t xml:space="preserve">Retorno_Max</t>
  </si>
  <si>
    <t xml:space="preserve">Controles de integridad</t>
  </si>
  <si>
    <t xml:space="preserve">Registros en Produccion_Semanal</t>
  </si>
  <si>
    <t xml:space="preserve">Esperado: 832 (104 semanas x 8 líneas)</t>
  </si>
  <si>
    <t xml:space="preserve">Horas de paro en Eventos_Paro</t>
  </si>
  <si>
    <t xml:space="preserve">Debe igualar la fila siguiente</t>
  </si>
  <si>
    <t xml:space="preserve">Horas de paro no planificado en Produccion_Semanal</t>
  </si>
  <si>
    <t xml:space="preserve">Diferencia de conciliación de paros</t>
  </si>
  <si>
    <t xml:space="preserve">Debe ser 0; distinto de 0 = evento fuera de semana o línea válida</t>
  </si>
  <si>
    <t xml:space="preserve">Semanas con tiempo operativo &lt;= 0</t>
  </si>
  <si>
    <t xml:space="preserve">Debe ser 0</t>
  </si>
  <si>
    <t xml:space="preserve">Semanas con Rendimiento &gt; 100%</t>
  </si>
  <si>
    <t xml:space="preserve">Si &gt; 0, revisar tasa estándar</t>
  </si>
  <si>
    <t xml:space="preserve">Registros duplicados (Linea+Semana)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</si>
</sst>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#,##0.0"/>
    <numFmt numFmtId="167" formatCode="#,##0"/>
    <numFmt numFmtId="168" formatCode="0.0%"/>
    <numFmt numFmtId="169" formatCode="\$#,##0;&quot;($&quot;#,##0\);\-"/>
    <numFmt numFmtId="170" formatCode="0.00%"/>
    <numFmt numFmtId="171" formatCode="\$0.000"/>
    <numFmt numFmtId="172" formatCode="\$0.00"/>
    <numFmt numFmtId="173" formatCode="\$#,##0"/>
    <numFmt numFmtId="174" formatCode="0.00\x"/>
    <numFmt numFmtId="175" formatCode="0.00"/>
    <numFmt numFmtId="176" formatCode="0"/>
    <numFmt numFmtId="177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eventos" displayName="tbl_eventos" ref="A1:J2186" headerRowCount="1" totalsRowCount="0" totalsRowShown="0">
  <autoFilter ref="A1:J2186"/>
  <tableColumns count="10">
    <tableColumn id="1" name="Evento_ID"/>
    <tableColumn id="2" name="Semana_Inicio"/>
    <tableColumn id="3" name="Fecha_Evento"/>
    <tableColumn id="4" name="Linea_ID"/>
    <tableColumn id="5" name="Activo"/>
    <tableColumn id="6" name="Causa_ID"/>
    <tableColumn id="7" name="Causa"/>
    <tableColumn id="8" name="Clasificacion"/>
    <tableColumn id="9" name="Minutos_Paro"/>
    <tableColumn id="10" name="Horas_Paro"/>
  </tableColumns>
</table>
</file>

<file path=xl/tables/table2.xml><?xml version="1.0" encoding="utf-8"?>
<table xmlns="http://schemas.openxmlformats.org/spreadsheetml/2006/main" id="2" name="tbl_produccion" displayName="tbl_produccion" ref="A1:AR833" headerRowCount="1" totalsRowCount="0" totalsRowShown="0">
  <autoFilter ref="A1:AR833"/>
  <tableColumns count="44">
    <tableColumn id="1" name="Registro_ID"/>
    <tableColumn id="2" name="Semana_Inicio"/>
    <tableColumn id="3" name="Anio_Calendario"/>
    <tableColumn id="4" name="Semana_Num"/>
    <tableColumn id="5" name="Linea_ID"/>
    <tableColumn id="6" name="Linea"/>
    <tableColumn id="7" name="Horas_Programadas"/>
    <tableColumn id="8" name="Paro_Planificado_h"/>
    <tableColumn id="9" name="Paro_No_Planificado_h"/>
    <tableColumn id="10" name="Tiempo_Operativo_h"/>
    <tableColumn id="11" name="Lbs_Plan"/>
    <tableColumn id="12" name="Lbs_Buenas"/>
    <tableColumn id="13" name="Lbs_Scrap"/>
    <tableColumn id="14" name="Lbs_Totales"/>
    <tableColumn id="15" name="Tasa_Estandar_lbs_h"/>
    <tableColumn id="16" name="Disponibilidad"/>
    <tableColumn id="17" name="Rendimiento"/>
    <tableColumn id="18" name="Calidad"/>
    <tableColumn id="19" name="OEE"/>
    <tableColumn id="20" name="Cumplimiento_Plan"/>
    <tableColumn id="21" name="Horas_MO"/>
    <tableColumn id="22" name="HC"/>
    <tableColumn id="23" name="Horas_Extra"/>
    <tableColumn id="24" name="Pct_Horas_Extra"/>
    <tableColumn id="25" name="Lbs_por_Hora_MO"/>
    <tableColumn id="26" name="Costo_Perfeccion_USD"/>
    <tableColumn id="27" name="Scrap_Estandar_USD"/>
    <tableColumn id="28" name="Costo_Prime_Std_USD"/>
    <tableColumn id="29" name="Material_Real_USD"/>
    <tableColumn id="30" name="MUV_USD"/>
    <tableColumn id="31" name="Perdida_Abs_Real_USD"/>
    <tableColumn id="32" name="YTP_Pct"/>
    <tableColumn id="33" name="Costo_MO_USD"/>
    <tableColumn id="34" name="kWh"/>
    <tableColumn id="35" name="Costo_Energia_USD"/>
    <tableColumn id="36" name="Mant_Planificado_USD"/>
    <tableColumn id="37" name="Mant_No_Planificado_USD"/>
    <tableColumn id="38" name="Costo_Conversion_USD"/>
    <tableColumn id="39" name="Costo_Conversion_USD_lb"/>
    <tableColumn id="40" name="Ingreso_Neto_USD"/>
    <tableColumn id="41" name="Margen_Contribucion_USD"/>
    <tableColumn id="42" name="Margen_Contribucion_Pct"/>
    <tableColumn id="43" name="Capital_Empleado_USD"/>
    <tableColumn id="44" name="Retorno_Semanal_Capit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  <c r="B2" s="2" t="s">
        <v>2</v>
      </c>
      <c r="C2" s="3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  <c r="C3" s="3" t="s">
        <v>6</v>
      </c>
    </row>
    <row r="4" customFormat="false" ht="23.85" hidden="false" customHeight="false" outlineLevel="0" collapsed="false">
      <c r="A4" s="2" t="s">
        <v>7</v>
      </c>
      <c r="B4" s="2" t="s">
        <v>8</v>
      </c>
      <c r="C4" s="3" t="s">
        <v>9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10</v>
      </c>
    </row>
    <row r="7" customFormat="false" ht="15" hidden="false" customHeight="false" outlineLevel="0" collapsed="false">
      <c r="A7" s="5" t="s">
        <v>11</v>
      </c>
      <c r="B7" s="2" t="s">
        <v>12</v>
      </c>
      <c r="C7" s="3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  <c r="C8" s="3" t="s">
        <v>16</v>
      </c>
    </row>
    <row r="9" customFormat="false" ht="15" hidden="false" customHeight="false" outlineLevel="0" collapsed="false">
      <c r="A9" s="6" t="s">
        <v>17</v>
      </c>
      <c r="B9" s="2" t="s">
        <v>18</v>
      </c>
      <c r="C9" s="3" t="s">
        <v>19</v>
      </c>
    </row>
    <row r="10" customFormat="false" ht="15" hidden="false" customHeight="false" outlineLevel="0" collapsed="false">
      <c r="A10" s="7" t="s">
        <v>20</v>
      </c>
      <c r="B10" s="2" t="s">
        <v>21</v>
      </c>
      <c r="C10" s="3" t="s">
        <v>22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23</v>
      </c>
    </row>
    <row r="13" customFormat="false" ht="23.85" hidden="false" customHeight="false" outlineLevel="0" collapsed="false">
      <c r="A13" s="2" t="s">
        <v>24</v>
      </c>
      <c r="B13" s="2" t="s">
        <v>25</v>
      </c>
      <c r="C13" s="3" t="s">
        <v>26</v>
      </c>
    </row>
    <row r="14" customFormat="false" ht="15" hidden="false" customHeight="false" outlineLevel="0" collapsed="false">
      <c r="A14" s="2" t="s">
        <v>27</v>
      </c>
      <c r="B14" s="2" t="s">
        <v>28</v>
      </c>
      <c r="C14" s="3" t="s">
        <v>29</v>
      </c>
    </row>
    <row r="15" customFormat="false" ht="23.85" hidden="false" customHeight="false" outlineLevel="0" collapsed="false">
      <c r="A15" s="2" t="s">
        <v>30</v>
      </c>
      <c r="B15" s="2" t="s">
        <v>31</v>
      </c>
      <c r="C15" s="3" t="s">
        <v>32</v>
      </c>
    </row>
    <row r="16" customFormat="false" ht="15" hidden="false" customHeight="false" outlineLevel="0" collapsed="false">
      <c r="A16" s="2" t="s">
        <v>33</v>
      </c>
      <c r="B16" s="2" t="s">
        <v>31</v>
      </c>
      <c r="C16" s="3" t="s">
        <v>34</v>
      </c>
    </row>
    <row r="17" customFormat="false" ht="23.85" hidden="false" customHeight="false" outlineLevel="0" collapsed="false">
      <c r="A17" s="2" t="s">
        <v>35</v>
      </c>
      <c r="B17" s="2" t="s">
        <v>36</v>
      </c>
      <c r="C17" s="3" t="s">
        <v>37</v>
      </c>
    </row>
    <row r="18" customFormat="false" ht="15" hidden="false" customHeight="false" outlineLevel="0" collapsed="false">
      <c r="A18" s="2" t="s">
        <v>38</v>
      </c>
      <c r="B18" s="2" t="s">
        <v>36</v>
      </c>
      <c r="C18" s="3" t="s">
        <v>39</v>
      </c>
    </row>
    <row r="19" customFormat="false" ht="15" hidden="false" customHeight="false" outlineLevel="0" collapsed="false">
      <c r="A19" s="2" t="s">
        <v>40</v>
      </c>
      <c r="B19" s="2" t="s">
        <v>36</v>
      </c>
      <c r="C19" s="3" t="s">
        <v>41</v>
      </c>
    </row>
    <row r="20" customFormat="false" ht="15" hidden="false" customHeight="false" outlineLevel="0" collapsed="false">
      <c r="A20" s="2" t="s">
        <v>42</v>
      </c>
      <c r="B20" s="2" t="s">
        <v>43</v>
      </c>
      <c r="C20" s="3" t="s">
        <v>44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4" t="s">
        <v>45</v>
      </c>
    </row>
    <row r="23" customFormat="false" ht="15" hidden="false" customHeight="false" outlineLevel="0" collapsed="false">
      <c r="A23" s="2" t="s">
        <v>46</v>
      </c>
      <c r="B23" s="2" t="s">
        <v>15</v>
      </c>
      <c r="C23" s="3" t="s">
        <v>47</v>
      </c>
    </row>
    <row r="24" customFormat="false" ht="15" hidden="false" customHeight="false" outlineLevel="0" collapsed="false">
      <c r="A24" s="2" t="s">
        <v>48</v>
      </c>
      <c r="B24" s="2" t="s">
        <v>15</v>
      </c>
      <c r="C24" s="3" t="s">
        <v>49</v>
      </c>
    </row>
    <row r="25" customFormat="false" ht="23.85" hidden="false" customHeight="false" outlineLevel="0" collapsed="false">
      <c r="A25" s="2" t="s">
        <v>50</v>
      </c>
      <c r="B25" s="2" t="s">
        <v>15</v>
      </c>
      <c r="C25" s="3" t="s">
        <v>51</v>
      </c>
    </row>
    <row r="26" customFormat="false" ht="15" hidden="false" customHeight="false" outlineLevel="0" collapsed="false">
      <c r="A26" s="2" t="s">
        <v>52</v>
      </c>
      <c r="B26" s="2" t="s">
        <v>15</v>
      </c>
      <c r="C26" s="3" t="s">
        <v>53</v>
      </c>
    </row>
    <row r="27" customFormat="false" ht="15" hidden="false" customHeight="false" outlineLevel="0" collapsed="false">
      <c r="A27" s="2" t="s">
        <v>54</v>
      </c>
      <c r="B27" s="2" t="s">
        <v>15</v>
      </c>
      <c r="C27" s="3" t="s">
        <v>55</v>
      </c>
    </row>
    <row r="28" customFormat="false" ht="15" hidden="false" customHeight="false" outlineLevel="0" collapsed="false">
      <c r="A28" s="2" t="s">
        <v>56</v>
      </c>
      <c r="B28" s="2" t="s">
        <v>15</v>
      </c>
      <c r="C28" s="3" t="s">
        <v>57</v>
      </c>
    </row>
    <row r="29" customFormat="false" ht="15" hidden="false" customHeight="false" outlineLevel="0" collapsed="false">
      <c r="A29" s="2" t="s">
        <v>58</v>
      </c>
      <c r="B29" s="2" t="s">
        <v>15</v>
      </c>
      <c r="C29" s="3" t="s">
        <v>59</v>
      </c>
    </row>
    <row r="30" customFormat="false" ht="15" hidden="false" customHeight="false" outlineLevel="0" collapsed="false">
      <c r="A30" s="2" t="s">
        <v>60</v>
      </c>
      <c r="B30" s="2" t="s">
        <v>15</v>
      </c>
      <c r="C30" s="3" t="s">
        <v>61</v>
      </c>
    </row>
    <row r="31" customFormat="false" ht="15" hidden="false" customHeight="false" outlineLevel="0" collapsed="false">
      <c r="A31" s="2" t="s">
        <v>62</v>
      </c>
      <c r="B31" s="2" t="s">
        <v>15</v>
      </c>
      <c r="C31" s="3" t="s">
        <v>63</v>
      </c>
    </row>
    <row r="32" customFormat="false" ht="15" hidden="false" customHeight="false" outlineLevel="0" collapsed="false">
      <c r="A32" s="2" t="s">
        <v>64</v>
      </c>
      <c r="B32" s="2" t="s">
        <v>15</v>
      </c>
      <c r="C32" s="3" t="s">
        <v>65</v>
      </c>
    </row>
    <row r="33" customFormat="false" ht="15" hidden="false" customHeight="false" outlineLevel="0" collapsed="false">
      <c r="A33" s="2" t="s">
        <v>66</v>
      </c>
      <c r="B33" s="2" t="s">
        <v>15</v>
      </c>
      <c r="C33" s="3" t="s">
        <v>67</v>
      </c>
    </row>
    <row r="34" customFormat="false" ht="23.85" hidden="false" customHeight="false" outlineLevel="0" collapsed="false">
      <c r="A34" s="2" t="s">
        <v>68</v>
      </c>
      <c r="B34" s="2" t="s">
        <v>15</v>
      </c>
      <c r="C34" s="3" t="s">
        <v>69</v>
      </c>
    </row>
    <row r="35" customFormat="false" ht="15" hidden="false" customHeight="false" outlineLevel="0" collapsed="false">
      <c r="A35" s="2" t="s">
        <v>70</v>
      </c>
      <c r="B35" s="2" t="s">
        <v>15</v>
      </c>
      <c r="C35" s="3" t="s">
        <v>71</v>
      </c>
    </row>
    <row r="36" customFormat="false" ht="15" hidden="false" customHeight="false" outlineLevel="0" collapsed="false">
      <c r="A36" s="2" t="s">
        <v>72</v>
      </c>
      <c r="B36" s="2" t="s">
        <v>15</v>
      </c>
      <c r="C36" s="3" t="s">
        <v>73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4" t="s">
        <v>74</v>
      </c>
    </row>
    <row r="39" customFormat="false" ht="15" hidden="false" customHeight="false" outlineLevel="0" collapsed="false">
      <c r="A39" s="2" t="s">
        <v>75</v>
      </c>
      <c r="B39" s="2" t="s">
        <v>76</v>
      </c>
      <c r="C39" s="3" t="s">
        <v>77</v>
      </c>
    </row>
    <row r="40" customFormat="false" ht="15" hidden="false" customHeight="false" outlineLevel="0" collapsed="false">
      <c r="A40" s="2" t="s">
        <v>78</v>
      </c>
      <c r="B40" s="2" t="s">
        <v>79</v>
      </c>
      <c r="C40" s="3" t="s">
        <v>80</v>
      </c>
    </row>
    <row r="41" customFormat="false" ht="15" hidden="false" customHeight="false" outlineLevel="0" collapsed="false">
      <c r="A41" s="2" t="s">
        <v>81</v>
      </c>
      <c r="B41" s="2" t="s">
        <v>82</v>
      </c>
      <c r="C41" s="3" t="s">
        <v>83</v>
      </c>
    </row>
    <row r="42" customFormat="false" ht="23.85" hidden="false" customHeight="false" outlineLevel="0" collapsed="false">
      <c r="A42" s="2" t="s">
        <v>84</v>
      </c>
      <c r="B42" s="2" t="s">
        <v>85</v>
      </c>
      <c r="C42" s="3" t="s">
        <v>86</v>
      </c>
    </row>
    <row r="43" customFormat="false" ht="23.85" hidden="false" customHeight="false" outlineLevel="0" collapsed="false">
      <c r="A43" s="2" t="s">
        <v>87</v>
      </c>
      <c r="B43" s="2" t="s">
        <v>88</v>
      </c>
      <c r="C43" s="3" t="s">
        <v>89</v>
      </c>
    </row>
    <row r="44" customFormat="false" ht="15" hidden="false" customHeight="false" outlineLevel="0" collapsed="false">
      <c r="A44" s="2"/>
    </row>
    <row r="45" customFormat="false" ht="15" hidden="false" customHeight="false" outlineLevel="0" collapsed="false">
      <c r="A45" s="4" t="s">
        <v>90</v>
      </c>
    </row>
    <row r="46" customFormat="false" ht="15" hidden="false" customHeight="false" outlineLevel="0" collapsed="false">
      <c r="A46" s="2" t="s">
        <v>91</v>
      </c>
      <c r="B46" s="2" t="s">
        <v>92</v>
      </c>
      <c r="C46" s="3" t="s">
        <v>93</v>
      </c>
    </row>
    <row r="47" customFormat="false" ht="15" hidden="false" customHeight="false" outlineLevel="0" collapsed="false">
      <c r="A47" s="2" t="s">
        <v>94</v>
      </c>
      <c r="B47" s="2" t="s">
        <v>95</v>
      </c>
      <c r="C47" s="3" t="s">
        <v>96</v>
      </c>
    </row>
    <row r="48" customFormat="false" ht="15" hidden="false" customHeight="false" outlineLevel="0" collapsed="false">
      <c r="A48" s="2" t="s">
        <v>97</v>
      </c>
      <c r="B48" s="2" t="s">
        <v>92</v>
      </c>
      <c r="C48" s="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44" min="7" style="0" width="12"/>
  </cols>
  <sheetData>
    <row r="1" customFormat="false" ht="42" hidden="false" customHeight="true" outlineLevel="0" collapsed="false">
      <c r="A1" s="8" t="s">
        <v>99</v>
      </c>
      <c r="B1" s="8" t="s">
        <v>100</v>
      </c>
      <c r="C1" s="8" t="s">
        <v>101</v>
      </c>
      <c r="D1" s="8" t="s">
        <v>102</v>
      </c>
      <c r="E1" s="8" t="s">
        <v>103</v>
      </c>
      <c r="F1" s="8" t="s">
        <v>104</v>
      </c>
      <c r="G1" s="8" t="s">
        <v>105</v>
      </c>
      <c r="H1" s="8" t="s">
        <v>106</v>
      </c>
      <c r="I1" s="8" t="s">
        <v>107</v>
      </c>
      <c r="J1" s="8" t="s">
        <v>46</v>
      </c>
      <c r="K1" s="8" t="s">
        <v>108</v>
      </c>
      <c r="L1" s="8" t="s">
        <v>109</v>
      </c>
      <c r="M1" s="8" t="s">
        <v>110</v>
      </c>
      <c r="N1" s="8" t="s">
        <v>111</v>
      </c>
      <c r="O1" s="8" t="s">
        <v>112</v>
      </c>
      <c r="P1" s="8" t="s">
        <v>48</v>
      </c>
      <c r="Q1" s="8" t="s">
        <v>50</v>
      </c>
      <c r="R1" s="8" t="s">
        <v>52</v>
      </c>
      <c r="S1" s="8" t="s">
        <v>54</v>
      </c>
      <c r="T1" s="8" t="s">
        <v>113</v>
      </c>
      <c r="U1" s="8" t="s">
        <v>114</v>
      </c>
      <c r="V1" s="8" t="s">
        <v>115</v>
      </c>
      <c r="W1" s="8" t="s">
        <v>116</v>
      </c>
      <c r="X1" s="8" t="s">
        <v>117</v>
      </c>
      <c r="Y1" s="8" t="s">
        <v>118</v>
      </c>
      <c r="Z1" s="8" t="s">
        <v>56</v>
      </c>
      <c r="AA1" s="8" t="s">
        <v>58</v>
      </c>
      <c r="AB1" s="8" t="s">
        <v>60</v>
      </c>
      <c r="AC1" s="8" t="s">
        <v>119</v>
      </c>
      <c r="AD1" s="8" t="s">
        <v>62</v>
      </c>
      <c r="AE1" s="8" t="s">
        <v>64</v>
      </c>
      <c r="AF1" s="8" t="s">
        <v>66</v>
      </c>
      <c r="AG1" s="8" t="s">
        <v>120</v>
      </c>
      <c r="AH1" s="8" t="s">
        <v>121</v>
      </c>
      <c r="AI1" s="8" t="s">
        <v>122</v>
      </c>
      <c r="AJ1" s="8" t="s">
        <v>123</v>
      </c>
      <c r="AK1" s="8" t="s">
        <v>124</v>
      </c>
      <c r="AL1" s="8" t="s">
        <v>68</v>
      </c>
      <c r="AM1" s="8" t="s">
        <v>125</v>
      </c>
      <c r="AN1" s="8" t="s">
        <v>126</v>
      </c>
      <c r="AO1" s="8" t="s">
        <v>70</v>
      </c>
      <c r="AP1" s="8" t="s">
        <v>127</v>
      </c>
      <c r="AQ1" s="8" t="s">
        <v>128</v>
      </c>
      <c r="AR1" s="8" t="s">
        <v>72</v>
      </c>
    </row>
    <row r="2" customFormat="false" ht="15" hidden="false" customHeight="false" outlineLevel="0" collapsed="false">
      <c r="A2" s="5" t="s">
        <v>129</v>
      </c>
      <c r="B2" s="9" t="n">
        <v>45551</v>
      </c>
      <c r="C2" s="2" t="str">
        <f aca="false">TEXT(B2,"yyyy")</f>
        <v>2024</v>
      </c>
      <c r="D2" s="2" t="n">
        <f aca="false">WEEKNUM(B2,2)</f>
        <v>38</v>
      </c>
      <c r="E2" s="5" t="s">
        <v>130</v>
      </c>
      <c r="F2" s="6" t="str">
        <f aca="false">INDEX(Parametros!$B$2:$B$9,MATCH($E2,Parametros!$A$2:$A$9,0))</f>
        <v>Ketchup botella</v>
      </c>
      <c r="G2" s="10" t="n">
        <v>117.6</v>
      </c>
      <c r="H2" s="10" t="n">
        <v>10</v>
      </c>
      <c r="I2" s="11" t="n">
        <f aca="false">SUMIFS(Eventos_Paro!$J$2:$J$2186,Eventos_Paro!$D$2:$D$2186,$E2,Eventos_Paro!$B$2:$B$2186,$B2)</f>
        <v>8.55</v>
      </c>
      <c r="J2" s="12" t="n">
        <f aca="false">G2-H2-I2</f>
        <v>99.05</v>
      </c>
      <c r="K2" s="13" t="n">
        <v>786425</v>
      </c>
      <c r="L2" s="13" t="n">
        <v>786669</v>
      </c>
      <c r="M2" s="13" t="n">
        <v>12143</v>
      </c>
      <c r="N2" s="14" t="n">
        <f aca="false">L2+M2</f>
        <v>798812</v>
      </c>
      <c r="O2" s="11" t="n">
        <f aca="false">INDEX(Parametros!$D$2:$D$9,MATCH($E2,Parametros!$A$2:$A$9,0))</f>
        <v>9000</v>
      </c>
      <c r="P2" s="15" t="n">
        <f aca="false">IF((G2-H2)&gt;0,J2/(G2-H2),0)</f>
        <v>0.920539033457249</v>
      </c>
      <c r="Q2" s="15" t="n">
        <f aca="false">IF(J2*O2&gt;0,N2/(O2*J2),0)</f>
        <v>0.896081664703573</v>
      </c>
      <c r="R2" s="15" t="n">
        <f aca="false">IF(N2&gt;0,L2/N2,0)</f>
        <v>0.98479867603391</v>
      </c>
      <c r="S2" s="15" t="n">
        <f aca="false">P2*Q2*R2</f>
        <v>0.812338909541512</v>
      </c>
      <c r="T2" s="15" t="n">
        <f aca="false">IF(K2&gt;0,L2/K2,0)</f>
        <v>1.00031026480593</v>
      </c>
      <c r="U2" s="10" t="n">
        <v>1876.6</v>
      </c>
      <c r="V2" s="5" t="n">
        <v>15</v>
      </c>
      <c r="W2" s="10" t="n">
        <v>112.6</v>
      </c>
      <c r="X2" s="15" t="n">
        <f aca="false">IF(U2&gt;0,W2/U2,0)</f>
        <v>0.060002131514441</v>
      </c>
      <c r="Y2" s="12" t="n">
        <f aca="false">IF(U2&gt;0,L2/U2,0)</f>
        <v>419.19908344879</v>
      </c>
      <c r="Z2" s="16" t="n">
        <f aca="false">L2*INDEX(Parametros!$E$2:$E$9,MATCH($E2,Parametros!$A$2:$A$9,0))</f>
        <v>330400.98</v>
      </c>
      <c r="AA2" s="16" t="n">
        <f aca="false">Z2*INDEX(Parametros!$F$2:$F$9,MATCH($E2,Parametros!$A$2:$A$9,0))</f>
        <v>6608.0196</v>
      </c>
      <c r="AB2" s="17" t="n">
        <f aca="false">Z2+AA2</f>
        <v>337008.9996</v>
      </c>
      <c r="AC2" s="18" t="n">
        <v>346435.64</v>
      </c>
      <c r="AD2" s="17" t="n">
        <f aca="false">AC2-AB2</f>
        <v>9426.64040000003</v>
      </c>
      <c r="AE2" s="17" t="n">
        <f aca="false">AA2+AD2</f>
        <v>16034.66</v>
      </c>
      <c r="AF2" s="19" t="n">
        <f aca="false">IF(Z2&gt;0,AE2/Z2,0)</f>
        <v>0.0485309093211528</v>
      </c>
      <c r="AG2" s="16" t="n">
        <f aca="false">(U2-W2)*INDEX(Parametros!$H$2:$H$9,MATCH($E2,Parametros!$A$2:$A$9,0))+W2*INDEX(Parametros!$H$2:$H$9,MATCH($E2,Parametros!$A$2:$A$9,0))*Parametros!$N$3</f>
        <v>60886.35</v>
      </c>
      <c r="AH2" s="13" t="n">
        <v>42570</v>
      </c>
      <c r="AI2" s="16" t="n">
        <f aca="false">AH2*Parametros!$N$2</f>
        <v>3916.44</v>
      </c>
      <c r="AJ2" s="18" t="n">
        <v>13921</v>
      </c>
      <c r="AK2" s="18" t="n">
        <v>3487</v>
      </c>
      <c r="AL2" s="17" t="n">
        <f aca="false">AG2+AI2+AJ2+AK2</f>
        <v>82210.79</v>
      </c>
      <c r="AM2" s="20" t="n">
        <f aca="false">IF(L2&gt;0,AL2/L2,0)</f>
        <v>0.104504931553169</v>
      </c>
      <c r="AN2" s="16" t="n">
        <f aca="false">L2*INDEX(Parametros!$G$2:$G$9,MATCH($E2,Parametros!$A$2:$A$9,0))</f>
        <v>558534.99</v>
      </c>
      <c r="AO2" s="17" t="n">
        <f aca="false">AN2-AC2-AL2</f>
        <v>129888.56</v>
      </c>
      <c r="AP2" s="15" t="n">
        <f aca="false">IF(AN2&gt;0,AO2/AN2,0)</f>
        <v>0.232552234552038</v>
      </c>
      <c r="AQ2" s="16" t="n">
        <f aca="false">INDEX(Parametros!$I$2:$I$9,MATCH($E2,Parametros!$A$2:$A$9,0))</f>
        <v>29300000</v>
      </c>
      <c r="AR2" s="19" t="n">
        <f aca="false">IF(AQ2&gt;0,AO2/AQ2,0)</f>
        <v>0.0044330566552901</v>
      </c>
    </row>
    <row r="3" customFormat="false" ht="15" hidden="false" customHeight="false" outlineLevel="0" collapsed="false">
      <c r="A3" s="5" t="s">
        <v>131</v>
      </c>
      <c r="B3" s="9" t="n">
        <v>45551</v>
      </c>
      <c r="C3" s="2" t="str">
        <f aca="false">TEXT(B3,"yyyy")</f>
        <v>2024</v>
      </c>
      <c r="D3" s="2" t="n">
        <f aca="false">WEEKNUM(B3,2)</f>
        <v>38</v>
      </c>
      <c r="E3" s="5" t="s">
        <v>132</v>
      </c>
      <c r="F3" s="6" t="str">
        <f aca="false">INDEX(Parametros!$B$2:$B$9,MATCH($E3,Parametros!$A$2:$A$9,0))</f>
        <v>Mayonesa frasco</v>
      </c>
      <c r="G3" s="10" t="n">
        <v>130.5</v>
      </c>
      <c r="H3" s="10" t="n">
        <v>11.8</v>
      </c>
      <c r="I3" s="11" t="n">
        <f aca="false">SUMIFS(Eventos_Paro!$J$2:$J$2186,Eventos_Paro!$D$2:$D$2186,$E3,Eventos_Paro!$B$2:$B$2186,$B3)</f>
        <v>0</v>
      </c>
      <c r="J3" s="12" t="n">
        <f aca="false">G3-H3-I3</f>
        <v>118.7</v>
      </c>
      <c r="K3" s="13" t="n">
        <v>626565</v>
      </c>
      <c r="L3" s="13" t="n">
        <v>650662</v>
      </c>
      <c r="M3" s="13" t="n">
        <v>22497</v>
      </c>
      <c r="N3" s="14" t="n">
        <f aca="false">L3+M3</f>
        <v>673159</v>
      </c>
      <c r="O3" s="11" t="n">
        <f aca="false">INDEX(Parametros!$D$2:$D$9,MATCH($E3,Parametros!$A$2:$A$9,0))</f>
        <v>6500</v>
      </c>
      <c r="P3" s="15" t="n">
        <f aca="false">IF((G3-H3)&gt;0,J3/(G3-H3),0)</f>
        <v>1</v>
      </c>
      <c r="Q3" s="15" t="n">
        <f aca="false">IF(J3*O3&gt;0,N3/(O3*J3),0)</f>
        <v>0.872476184304323</v>
      </c>
      <c r="R3" s="15" t="n">
        <f aca="false">IF(N3&gt;0,L3/N3,0)</f>
        <v>0.966579961049321</v>
      </c>
      <c r="S3" s="15" t="n">
        <f aca="false">P3*Q3*R3</f>
        <v>0.843317996241332</v>
      </c>
      <c r="T3" s="15" t="n">
        <f aca="false">IF(K3&gt;0,L3/K3,0)</f>
        <v>1.03845889891711</v>
      </c>
      <c r="U3" s="10" t="n">
        <v>1770</v>
      </c>
      <c r="V3" s="5" t="n">
        <v>13</v>
      </c>
      <c r="W3" s="10" t="n">
        <v>73.5</v>
      </c>
      <c r="X3" s="15" t="n">
        <f aca="false">IF(U3&gt;0,W3/U3,0)</f>
        <v>0.0415254237288136</v>
      </c>
      <c r="Y3" s="12" t="n">
        <f aca="false">IF(U3&gt;0,L3/U3,0)</f>
        <v>367.605649717514</v>
      </c>
      <c r="Z3" s="16" t="n">
        <f aca="false">L3*INDEX(Parametros!$E$2:$E$9,MATCH($E3,Parametros!$A$2:$A$9,0))</f>
        <v>396903.82</v>
      </c>
      <c r="AA3" s="16" t="n">
        <f aca="false">Z3*INDEX(Parametros!$F$2:$F$9,MATCH($E3,Parametros!$A$2:$A$9,0))</f>
        <v>9922.5955</v>
      </c>
      <c r="AB3" s="17" t="n">
        <f aca="false">Z3+AA3</f>
        <v>406826.4155</v>
      </c>
      <c r="AC3" s="18" t="n">
        <v>408611.16</v>
      </c>
      <c r="AD3" s="17" t="n">
        <f aca="false">AC3-AB3</f>
        <v>1784.74449999997</v>
      </c>
      <c r="AE3" s="17" t="n">
        <f aca="false">AA3+AD3</f>
        <v>11707.34</v>
      </c>
      <c r="AF3" s="19" t="n">
        <f aca="false">IF(Z3&gt;0,AE3/Z3,0)</f>
        <v>0.0294966674797939</v>
      </c>
      <c r="AG3" s="16" t="n">
        <f aca="false">(U3-W3)*INDEX(Parametros!$H$2:$H$9,MATCH($E3,Parametros!$A$2:$A$9,0))+W3*INDEX(Parametros!$H$2:$H$9,MATCH($E3,Parametros!$A$2:$A$9,0))*Parametros!$N$3</f>
        <v>56912.625</v>
      </c>
      <c r="AH3" s="13" t="n">
        <v>31949</v>
      </c>
      <c r="AI3" s="16" t="n">
        <f aca="false">AH3*Parametros!$N$2</f>
        <v>2939.308</v>
      </c>
      <c r="AJ3" s="18" t="n">
        <v>15149</v>
      </c>
      <c r="AK3" s="18" t="n">
        <v>0</v>
      </c>
      <c r="AL3" s="17" t="n">
        <f aca="false">AG3+AI3+AJ3+AK3</f>
        <v>75000.933</v>
      </c>
      <c r="AM3" s="20" t="n">
        <f aca="false">IF(L3&gt;0,AL3/L3,0)</f>
        <v>0.115268654078462</v>
      </c>
      <c r="AN3" s="16" t="n">
        <f aca="false">L3*INDEX(Parametros!$G$2:$G$9,MATCH($E3,Parametros!$A$2:$A$9,0))</f>
        <v>624635.52</v>
      </c>
      <c r="AO3" s="17" t="n">
        <f aca="false">AN3-AC3-AL3</f>
        <v>141023.427</v>
      </c>
      <c r="AP3" s="15" t="n">
        <f aca="false">IF(AN3&gt;0,AO3/AN3,0)</f>
        <v>0.225769144540483</v>
      </c>
      <c r="AQ3" s="16" t="n">
        <f aca="false">INDEX(Parametros!$I$2:$I$9,MATCH($E3,Parametros!$A$2:$A$9,0))</f>
        <v>29700000</v>
      </c>
      <c r="AR3" s="19" t="n">
        <f aca="false">IF(AQ3&gt;0,AO3/AQ3,0)</f>
        <v>0.00474826353535354</v>
      </c>
    </row>
    <row r="4" customFormat="false" ht="15" hidden="false" customHeight="false" outlineLevel="0" collapsed="false">
      <c r="A4" s="5" t="s">
        <v>133</v>
      </c>
      <c r="B4" s="9" t="n">
        <v>45551</v>
      </c>
      <c r="C4" s="2" t="str">
        <f aca="false">TEXT(B4,"yyyy")</f>
        <v>2024</v>
      </c>
      <c r="D4" s="2" t="n">
        <f aca="false">WEEKNUM(B4,2)</f>
        <v>38</v>
      </c>
      <c r="E4" s="5" t="s">
        <v>134</v>
      </c>
      <c r="F4" s="6" t="str">
        <f aca="false">INDEX(Parametros!$B$2:$B$9,MATCH($E4,Parametros!$A$2:$A$9,0))</f>
        <v>Aderezos vertibles</v>
      </c>
      <c r="G4" s="10" t="n">
        <v>111.3</v>
      </c>
      <c r="H4" s="10" t="n">
        <v>11.5</v>
      </c>
      <c r="I4" s="11" t="n">
        <f aca="false">SUMIFS(Eventos_Paro!$J$2:$J$2186,Eventos_Paro!$D$2:$D$2186,$E4,Eventos_Paro!$B$2:$B$2186,$B4)</f>
        <v>2.28333333333333</v>
      </c>
      <c r="J4" s="12" t="n">
        <f aca="false">G4-H4-I4</f>
        <v>97.5166666666667</v>
      </c>
      <c r="K4" s="13" t="n">
        <v>421440</v>
      </c>
      <c r="L4" s="13" t="n">
        <v>411298</v>
      </c>
      <c r="M4" s="13" t="n">
        <v>16616</v>
      </c>
      <c r="N4" s="14" t="n">
        <f aca="false">L4+M4</f>
        <v>427914</v>
      </c>
      <c r="O4" s="11" t="n">
        <f aca="false">INDEX(Parametros!$D$2:$D$9,MATCH($E4,Parametros!$A$2:$A$9,0))</f>
        <v>5200</v>
      </c>
      <c r="P4" s="15" t="n">
        <f aca="false">IF((G4-H4)&gt;0,J4/(G4-H4),0)</f>
        <v>0.977120908483634</v>
      </c>
      <c r="Q4" s="15" t="n">
        <f aca="false">IF(J4*O4&gt;0,N4/(O4*J4),0)</f>
        <v>0.843867583450561</v>
      </c>
      <c r="R4" s="15" t="n">
        <f aca="false">IF(N4&gt;0,L4/N4,0)</f>
        <v>0.961169767757073</v>
      </c>
      <c r="S4" s="15" t="n">
        <f aca="false">P4*Q4*R4</f>
        <v>0.792542777863419</v>
      </c>
      <c r="T4" s="15" t="n">
        <f aca="false">IF(K4&gt;0,L4/K4,0)</f>
        <v>0.975934889901291</v>
      </c>
      <c r="U4" s="10" t="n">
        <v>1590.4</v>
      </c>
      <c r="V4" s="5" t="n">
        <v>13</v>
      </c>
      <c r="W4" s="10" t="n">
        <v>143.5</v>
      </c>
      <c r="X4" s="15" t="n">
        <f aca="false">IF(U4&gt;0,W4/U4,0)</f>
        <v>0.0902288732394366</v>
      </c>
      <c r="Y4" s="12" t="n">
        <f aca="false">IF(U4&gt;0,L4/U4,0)</f>
        <v>258.612927565392</v>
      </c>
      <c r="Z4" s="16" t="n">
        <f aca="false">L4*INDEX(Parametros!$E$2:$E$9,MATCH($E4,Parametros!$A$2:$A$9,0))</f>
        <v>226213.9</v>
      </c>
      <c r="AA4" s="16" t="n">
        <f aca="false">Z4*INDEX(Parametros!$F$2:$F$9,MATCH($E4,Parametros!$A$2:$A$9,0))</f>
        <v>6786.417</v>
      </c>
      <c r="AB4" s="17" t="n">
        <f aca="false">Z4+AA4</f>
        <v>233000.317</v>
      </c>
      <c r="AC4" s="18" t="n">
        <v>240991.47</v>
      </c>
      <c r="AD4" s="17" t="n">
        <f aca="false">AC4-AB4</f>
        <v>7991.15299999999</v>
      </c>
      <c r="AE4" s="17" t="n">
        <f aca="false">AA4+AD4</f>
        <v>14777.57</v>
      </c>
      <c r="AF4" s="19" t="n">
        <f aca="false">IF(Z4&gt;0,AE4/Z4,0)</f>
        <v>0.0653256497500816</v>
      </c>
      <c r="AG4" s="16" t="n">
        <f aca="false">(U4-W4)*INDEX(Parametros!$H$2:$H$9,MATCH($E4,Parametros!$A$2:$A$9,0))+W4*INDEX(Parametros!$H$2:$H$9,MATCH($E4,Parametros!$A$2:$A$9,0))*Parametros!$N$3</f>
        <v>52357.725</v>
      </c>
      <c r="AH4" s="13" t="n">
        <v>21997</v>
      </c>
      <c r="AI4" s="16" t="n">
        <f aca="false">AH4*Parametros!$N$2</f>
        <v>2023.724</v>
      </c>
      <c r="AJ4" s="18" t="n">
        <v>12405</v>
      </c>
      <c r="AK4" s="18" t="n">
        <v>2011</v>
      </c>
      <c r="AL4" s="17" t="n">
        <f aca="false">AG4+AI4+AJ4+AK4</f>
        <v>68797.449</v>
      </c>
      <c r="AM4" s="20" t="n">
        <f aca="false">IF(L4&gt;0,AL4/L4,0)</f>
        <v>0.16726910658452</v>
      </c>
      <c r="AN4" s="16" t="n">
        <f aca="false">L4*INDEX(Parametros!$G$2:$G$9,MATCH($E4,Parametros!$A$2:$A$9,0))</f>
        <v>419523.96</v>
      </c>
      <c r="AO4" s="17" t="n">
        <f aca="false">AN4-AC4-AL4</f>
        <v>109735.041</v>
      </c>
      <c r="AP4" s="15" t="n">
        <f aca="false">IF(AN4&gt;0,AO4/AN4,0)</f>
        <v>0.26157037848327</v>
      </c>
      <c r="AQ4" s="16" t="n">
        <f aca="false">INDEX(Parametros!$I$2:$I$9,MATCH($E4,Parametros!$A$2:$A$9,0))</f>
        <v>19300000</v>
      </c>
      <c r="AR4" s="19" t="n">
        <f aca="false">IF(AQ4&gt;0,AO4/AQ4,0)</f>
        <v>0.00568575341968912</v>
      </c>
    </row>
    <row r="5" customFormat="false" ht="15" hidden="false" customHeight="false" outlineLevel="0" collapsed="false">
      <c r="A5" s="5" t="s">
        <v>135</v>
      </c>
      <c r="B5" s="9" t="n">
        <v>45551</v>
      </c>
      <c r="C5" s="2" t="str">
        <f aca="false">TEXT(B5,"yyyy")</f>
        <v>2024</v>
      </c>
      <c r="D5" s="2" t="n">
        <f aca="false">WEEKNUM(B5,2)</f>
        <v>38</v>
      </c>
      <c r="E5" s="5" t="s">
        <v>136</v>
      </c>
      <c r="F5" s="6" t="str">
        <f aca="false">INDEX(Parametros!$B$2:$B$9,MATCH($E5,Parametros!$A$2:$A$9,0))</f>
        <v>Salsa BBQ</v>
      </c>
      <c r="G5" s="10" t="n">
        <v>92.3</v>
      </c>
      <c r="H5" s="10" t="n">
        <v>10.7</v>
      </c>
      <c r="I5" s="11" t="n">
        <f aca="false">SUMIFS(Eventos_Paro!$J$2:$J$2186,Eventos_Paro!$D$2:$D$2186,$E5,Eventos_Paro!$B$2:$B$2186,$B5)</f>
        <v>2.51666666666667</v>
      </c>
      <c r="J5" s="12" t="n">
        <f aca="false">G5-H5-I5</f>
        <v>79.0833333333333</v>
      </c>
      <c r="K5" s="13" t="n">
        <v>334647</v>
      </c>
      <c r="L5" s="13" t="n">
        <v>288993</v>
      </c>
      <c r="M5" s="13" t="n">
        <v>6406</v>
      </c>
      <c r="N5" s="14" t="n">
        <f aca="false">L5+M5</f>
        <v>295399</v>
      </c>
      <c r="O5" s="11" t="n">
        <f aca="false">INDEX(Parametros!$D$2:$D$9,MATCH($E5,Parametros!$A$2:$A$9,0))</f>
        <v>4800</v>
      </c>
      <c r="P5" s="15" t="n">
        <f aca="false">IF((G5-H5)&gt;0,J5/(G5-H5),0)</f>
        <v>0.969158496732026</v>
      </c>
      <c r="Q5" s="15" t="n">
        <f aca="false">IF(J5*O5&gt;0,N5/(O5*J5),0)</f>
        <v>0.778184931506849</v>
      </c>
      <c r="R5" s="15" t="n">
        <f aca="false">IF(N5&gt;0,L5/N5,0)</f>
        <v>0.97831407689261</v>
      </c>
      <c r="S5" s="15" t="n">
        <f aca="false">P5*Q5*R5</f>
        <v>0.737829350490196</v>
      </c>
      <c r="T5" s="15" t="n">
        <f aca="false">IF(K5&gt;0,L5/K5,0)</f>
        <v>0.863575648369775</v>
      </c>
      <c r="U5" s="10" t="n">
        <v>1027.4</v>
      </c>
      <c r="V5" s="5" t="n">
        <v>10</v>
      </c>
      <c r="W5" s="10" t="n">
        <v>104.4</v>
      </c>
      <c r="X5" s="15" t="n">
        <f aca="false">IF(U5&gt;0,W5/U5,0)</f>
        <v>0.101615729024723</v>
      </c>
      <c r="Y5" s="12" t="n">
        <f aca="false">IF(U5&gt;0,L5/U5,0)</f>
        <v>281.285769904614</v>
      </c>
      <c r="Z5" s="16" t="n">
        <f aca="false">L5*INDEX(Parametros!$E$2:$E$9,MATCH($E5,Parametros!$A$2:$A$9,0))</f>
        <v>167615.94</v>
      </c>
      <c r="AA5" s="16" t="n">
        <f aca="false">Z5*INDEX(Parametros!$F$2:$F$9,MATCH($E5,Parametros!$A$2:$A$9,0))</f>
        <v>4693.24632</v>
      </c>
      <c r="AB5" s="17" t="n">
        <f aca="false">Z5+AA5</f>
        <v>172309.18632</v>
      </c>
      <c r="AC5" s="18" t="n">
        <v>174004.52</v>
      </c>
      <c r="AD5" s="17" t="n">
        <f aca="false">AC5-AB5</f>
        <v>1695.33367999998</v>
      </c>
      <c r="AE5" s="17" t="n">
        <f aca="false">AA5+AD5</f>
        <v>6388.57999999998</v>
      </c>
      <c r="AF5" s="19" t="n">
        <f aca="false">IF(Z5&gt;0,AE5/Z5,0)</f>
        <v>0.0381143941322047</v>
      </c>
      <c r="AG5" s="16" t="n">
        <f aca="false">(U5-W5)*INDEX(Parametros!$H$2:$H$9,MATCH($E5,Parametros!$A$2:$A$9,0))+W5*INDEX(Parametros!$H$2:$H$9,MATCH($E5,Parametros!$A$2:$A$9,0))*Parametros!$N$3</f>
        <v>34007.4</v>
      </c>
      <c r="AH5" s="13" t="n">
        <v>15689</v>
      </c>
      <c r="AI5" s="16" t="n">
        <f aca="false">AH5*Parametros!$N$2</f>
        <v>1443.388</v>
      </c>
      <c r="AJ5" s="18" t="n">
        <v>9783</v>
      </c>
      <c r="AK5" s="18" t="n">
        <v>2478</v>
      </c>
      <c r="AL5" s="17" t="n">
        <f aca="false">AG5+AI5+AJ5+AK5</f>
        <v>47711.788</v>
      </c>
      <c r="AM5" s="20" t="n">
        <f aca="false">IF(L5&gt;0,AL5/L5,0)</f>
        <v>0.16509669092331</v>
      </c>
      <c r="AN5" s="16" t="n">
        <f aca="false">L5*INDEX(Parametros!$G$2:$G$9,MATCH($E5,Parametros!$A$2:$A$9,0))</f>
        <v>283213.14</v>
      </c>
      <c r="AO5" s="17" t="n">
        <f aca="false">AN5-AC5-AL5</f>
        <v>61496.832</v>
      </c>
      <c r="AP5" s="15" t="n">
        <f aca="false">IF(AN5&gt;0,AO5/AN5,0)</f>
        <v>0.217139755591849</v>
      </c>
      <c r="AQ5" s="16" t="n">
        <f aca="false">INDEX(Parametros!$I$2:$I$9,MATCH($E5,Parametros!$A$2:$A$9,0))</f>
        <v>17000000</v>
      </c>
      <c r="AR5" s="19" t="n">
        <f aca="false">IF(AQ5&gt;0,AO5/AQ5,0)</f>
        <v>0.00361746070588235</v>
      </c>
    </row>
    <row r="6" customFormat="false" ht="15" hidden="false" customHeight="false" outlineLevel="0" collapsed="false">
      <c r="A6" s="5" t="s">
        <v>137</v>
      </c>
      <c r="B6" s="9" t="n">
        <v>45551</v>
      </c>
      <c r="C6" s="2" t="str">
        <f aca="false">TEXT(B6,"yyyy")</f>
        <v>2024</v>
      </c>
      <c r="D6" s="2" t="n">
        <f aca="false">WEEKNUM(B6,2)</f>
        <v>38</v>
      </c>
      <c r="E6" s="5" t="s">
        <v>138</v>
      </c>
      <c r="F6" s="6" t="str">
        <f aca="false">INDEX(Parametros!$B$2:$B$9,MATCH($E6,Parametros!$A$2:$A$9,0))</f>
        <v>Queso crema</v>
      </c>
      <c r="G6" s="10" t="n">
        <v>123.9</v>
      </c>
      <c r="H6" s="10" t="n">
        <v>12.6</v>
      </c>
      <c r="I6" s="11" t="n">
        <f aca="false">SUMIFS(Eventos_Paro!$J$2:$J$2186,Eventos_Paro!$D$2:$D$2186,$E6,Eventos_Paro!$B$2:$B$2186,$B6)</f>
        <v>10.5166666666667</v>
      </c>
      <c r="J6" s="12" t="n">
        <f aca="false">G6-H6-I6</f>
        <v>100.783333333333</v>
      </c>
      <c r="K6" s="13" t="n">
        <v>343464</v>
      </c>
      <c r="L6" s="13" t="n">
        <v>308281</v>
      </c>
      <c r="M6" s="13" t="n">
        <v>15474</v>
      </c>
      <c r="N6" s="14" t="n">
        <f aca="false">L6+M6</f>
        <v>323755</v>
      </c>
      <c r="O6" s="11" t="n">
        <f aca="false">INDEX(Parametros!$D$2:$D$9,MATCH($E6,Parametros!$A$2:$A$9,0))</f>
        <v>3800</v>
      </c>
      <c r="P6" s="15" t="n">
        <f aca="false">IF((G6-H6)&gt;0,J6/(G6-H6),0)</f>
        <v>0.905510631925726</v>
      </c>
      <c r="Q6" s="15" t="n">
        <f aca="false">IF(J6*O6&gt;0,N6/(O6*J6),0)</f>
        <v>0.845364817699947</v>
      </c>
      <c r="R6" s="15" t="n">
        <f aca="false">IF(N6&gt;0,L6/N6,0)</f>
        <v>0.95220459915677</v>
      </c>
      <c r="S6" s="15" t="n">
        <f aca="false">P6*Q6*R6</f>
        <v>0.728900080389653</v>
      </c>
      <c r="T6" s="15" t="n">
        <f aca="false">IF(K6&gt;0,L6/K6,0)</f>
        <v>0.897564227983137</v>
      </c>
      <c r="U6" s="10" t="n">
        <v>2076</v>
      </c>
      <c r="V6" s="5" t="n">
        <v>16</v>
      </c>
      <c r="W6" s="10" t="n">
        <v>93.6</v>
      </c>
      <c r="X6" s="15" t="n">
        <f aca="false">IF(U6&gt;0,W6/U6,0)</f>
        <v>0.0450867052023121</v>
      </c>
      <c r="Y6" s="12" t="n">
        <f aca="false">IF(U6&gt;0,L6/U6,0)</f>
        <v>148.497591522158</v>
      </c>
      <c r="Z6" s="16" t="n">
        <f aca="false">L6*INDEX(Parametros!$E$2:$E$9,MATCH($E6,Parametros!$A$2:$A$9,0))</f>
        <v>345274.72</v>
      </c>
      <c r="AA6" s="16" t="n">
        <f aca="false">Z6*INDEX(Parametros!$F$2:$F$9,MATCH($E6,Parametros!$A$2:$A$9,0))</f>
        <v>12084.6152</v>
      </c>
      <c r="AB6" s="17" t="n">
        <f aca="false">Z6+AA6</f>
        <v>357359.3352</v>
      </c>
      <c r="AC6" s="18" t="n">
        <v>358247.03</v>
      </c>
      <c r="AD6" s="17" t="n">
        <f aca="false">AC6-AB6</f>
        <v>887.694799999998</v>
      </c>
      <c r="AE6" s="17" t="n">
        <f aca="false">AA6+AD6</f>
        <v>12972.31</v>
      </c>
      <c r="AF6" s="19" t="n">
        <f aca="false">IF(Z6&gt;0,AE6/Z6,0)</f>
        <v>0.0375709811595821</v>
      </c>
      <c r="AG6" s="16" t="n">
        <f aca="false">(U6-W6)*INDEX(Parametros!$H$2:$H$9,MATCH($E6,Parametros!$A$2:$A$9,0))+W6*INDEX(Parametros!$H$2:$H$9,MATCH($E6,Parametros!$A$2:$A$9,0))*Parametros!$N$3</f>
        <v>70052.4</v>
      </c>
      <c r="AH6" s="13" t="n">
        <v>16603</v>
      </c>
      <c r="AI6" s="16" t="n">
        <f aca="false">AH6*Parametros!$N$2</f>
        <v>1527.476</v>
      </c>
      <c r="AJ6" s="18" t="n">
        <v>21532</v>
      </c>
      <c r="AK6" s="18" t="n">
        <v>4932</v>
      </c>
      <c r="AL6" s="17" t="n">
        <f aca="false">AG6+AI6+AJ6+AK6</f>
        <v>98043.876</v>
      </c>
      <c r="AM6" s="20" t="n">
        <f aca="false">IF(L6&gt;0,AL6/L6,0)</f>
        <v>0.318034118223309</v>
      </c>
      <c r="AN6" s="16" t="n">
        <f aca="false">L6*INDEX(Parametros!$G$2:$G$9,MATCH($E6,Parametros!$A$2:$A$9,0))</f>
        <v>551822.99</v>
      </c>
      <c r="AO6" s="17" t="n">
        <f aca="false">AN6-AC6-AL6</f>
        <v>95532.084</v>
      </c>
      <c r="AP6" s="15" t="n">
        <f aca="false">IF(AN6&gt;0,AO6/AN6,0)</f>
        <v>0.173120884289362</v>
      </c>
      <c r="AQ6" s="16" t="n">
        <f aca="false">INDEX(Parametros!$I$2:$I$9,MATCH($E6,Parametros!$A$2:$A$9,0))</f>
        <v>33200000</v>
      </c>
      <c r="AR6" s="19" t="n">
        <f aca="false">IF(AQ6&gt;0,AO6/AQ6,0)</f>
        <v>0.00287747240963855</v>
      </c>
    </row>
    <row r="7" customFormat="false" ht="15" hidden="false" customHeight="false" outlineLevel="0" collapsed="false">
      <c r="A7" s="5" t="s">
        <v>139</v>
      </c>
      <c r="B7" s="9" t="n">
        <v>45551</v>
      </c>
      <c r="C7" s="2" t="str">
        <f aca="false">TEXT(B7,"yyyy")</f>
        <v>2024</v>
      </c>
      <c r="D7" s="2" t="n">
        <f aca="false">WEEKNUM(B7,2)</f>
        <v>38</v>
      </c>
      <c r="E7" s="5" t="s">
        <v>140</v>
      </c>
      <c r="F7" s="6" t="str">
        <f aca="false">INDEX(Parametros!$B$2:$B$9,MATCH($E7,Parametros!$A$2:$A$9,0))</f>
        <v>Crema de cacahuate</v>
      </c>
      <c r="G7" s="10" t="n">
        <v>120.1</v>
      </c>
      <c r="H7" s="10" t="n">
        <v>12.1</v>
      </c>
      <c r="I7" s="11" t="n">
        <f aca="false">SUMIFS(Eventos_Paro!$J$2:$J$2186,Eventos_Paro!$D$2:$D$2186,$E7,Eventos_Paro!$B$2:$B$2186,$B7)</f>
        <v>2.38333333333333</v>
      </c>
      <c r="J7" s="12" t="n">
        <f aca="false">G7-H7-I7</f>
        <v>105.616666666667</v>
      </c>
      <c r="K7" s="13" t="n">
        <v>368363</v>
      </c>
      <c r="L7" s="13" t="n">
        <v>366918</v>
      </c>
      <c r="M7" s="13" t="n">
        <v>8007</v>
      </c>
      <c r="N7" s="14" t="n">
        <f aca="false">L7+M7</f>
        <v>374925</v>
      </c>
      <c r="O7" s="11" t="n">
        <f aca="false">INDEX(Parametros!$D$2:$D$9,MATCH($E7,Parametros!$A$2:$A$9,0))</f>
        <v>4200</v>
      </c>
      <c r="P7" s="15" t="n">
        <f aca="false">IF((G7-H7)&gt;0,J7/(G7-H7),0)</f>
        <v>0.977932098765432</v>
      </c>
      <c r="Q7" s="15" t="n">
        <f aca="false">IF(J7*O7&gt;0,N7/(O7*J7),0)</f>
        <v>0.845206158840371</v>
      </c>
      <c r="R7" s="15" t="n">
        <f aca="false">IF(N7&gt;0,L7/N7,0)</f>
        <v>0.978643728745749</v>
      </c>
      <c r="S7" s="15" t="n">
        <f aca="false">P7*Q7*R7</f>
        <v>0.808902116402116</v>
      </c>
      <c r="T7" s="15" t="n">
        <f aca="false">IF(K7&gt;0,L7/K7,0)</f>
        <v>0.996077239027807</v>
      </c>
      <c r="U7" s="10" t="n">
        <v>1569.7</v>
      </c>
      <c r="V7" s="5" t="n">
        <v>12</v>
      </c>
      <c r="W7" s="10" t="n">
        <v>128.5</v>
      </c>
      <c r="X7" s="15" t="n">
        <f aca="false">IF(U7&gt;0,W7/U7,0)</f>
        <v>0.0818627763266866</v>
      </c>
      <c r="Y7" s="12" t="n">
        <f aca="false">IF(U7&gt;0,L7/U7,0)</f>
        <v>233.750398165255</v>
      </c>
      <c r="Z7" s="16" t="n">
        <f aca="false">L7*INDEX(Parametros!$E$2:$E$9,MATCH($E7,Parametros!$A$2:$A$9,0))</f>
        <v>355910.46</v>
      </c>
      <c r="AA7" s="16" t="n">
        <f aca="false">Z7*INDEX(Parametros!$F$2:$F$9,MATCH($E7,Parametros!$A$2:$A$9,0))</f>
        <v>7830.03012</v>
      </c>
      <c r="AB7" s="17" t="n">
        <f aca="false">Z7+AA7</f>
        <v>363740.49012</v>
      </c>
      <c r="AC7" s="18" t="n">
        <v>357872.2</v>
      </c>
      <c r="AD7" s="17" t="n">
        <f aca="false">AC7-AB7</f>
        <v>-5868.29011999996</v>
      </c>
      <c r="AE7" s="17" t="n">
        <f aca="false">AA7+AD7</f>
        <v>1961.74000000004</v>
      </c>
      <c r="AF7" s="19" t="n">
        <f aca="false">IF(Z7&gt;0,AE7/Z7,0)</f>
        <v>0.00551189195170054</v>
      </c>
      <c r="AG7" s="16" t="n">
        <f aca="false">(U7-W7)*INDEX(Parametros!$H$2:$H$9,MATCH($E7,Parametros!$A$2:$A$9,0))+W7*INDEX(Parametros!$H$2:$H$9,MATCH($E7,Parametros!$A$2:$A$9,0))*Parametros!$N$3</f>
        <v>51469.425</v>
      </c>
      <c r="AH7" s="13" t="n">
        <v>20173</v>
      </c>
      <c r="AI7" s="16" t="n">
        <f aca="false">AH7*Parametros!$N$2</f>
        <v>1855.916</v>
      </c>
      <c r="AJ7" s="18" t="n">
        <v>11085</v>
      </c>
      <c r="AK7" s="18" t="n">
        <v>1753</v>
      </c>
      <c r="AL7" s="17" t="n">
        <f aca="false">AG7+AI7+AJ7+AK7</f>
        <v>66163.341</v>
      </c>
      <c r="AM7" s="20" t="n">
        <f aca="false">IF(L7&gt;0,AL7/L7,0)</f>
        <v>0.180321873007048</v>
      </c>
      <c r="AN7" s="16" t="n">
        <f aca="false">L7*INDEX(Parametros!$G$2:$G$9,MATCH($E7,Parametros!$A$2:$A$9,0))</f>
        <v>594407.16</v>
      </c>
      <c r="AO7" s="17" t="n">
        <f aca="false">AN7-AC7-AL7</f>
        <v>170371.619</v>
      </c>
      <c r="AP7" s="15" t="n">
        <f aca="false">IF(AN7&gt;0,AO7/AN7,0)</f>
        <v>0.286624439382594</v>
      </c>
      <c r="AQ7" s="16" t="n">
        <f aca="false">INDEX(Parametros!$I$2:$I$9,MATCH($E7,Parametros!$A$2:$A$9,0))</f>
        <v>28000000</v>
      </c>
      <c r="AR7" s="19" t="n">
        <f aca="false">IF(AQ7&gt;0,AO7/AQ7,0)</f>
        <v>0.00608470067857143</v>
      </c>
    </row>
    <row r="8" customFormat="false" ht="15" hidden="false" customHeight="false" outlineLevel="0" collapsed="false">
      <c r="A8" s="5" t="s">
        <v>141</v>
      </c>
      <c r="B8" s="9" t="n">
        <v>45551</v>
      </c>
      <c r="C8" s="2" t="str">
        <f aca="false">TEXT(B8,"yyyy")</f>
        <v>2024</v>
      </c>
      <c r="D8" s="2" t="n">
        <f aca="false">WEEKNUM(B8,2)</f>
        <v>38</v>
      </c>
      <c r="E8" s="5" t="s">
        <v>142</v>
      </c>
      <c r="F8" s="6" t="str">
        <f aca="false">INDEX(Parametros!$B$2:$B$9,MATCH($E8,Parametros!$A$2:$A$9,0))</f>
        <v>Porciones single serve</v>
      </c>
      <c r="G8" s="10" t="n">
        <v>129.1</v>
      </c>
      <c r="H8" s="10" t="n">
        <v>12.2</v>
      </c>
      <c r="I8" s="11" t="n">
        <f aca="false">SUMIFS(Eventos_Paro!$J$2:$J$2186,Eventos_Paro!$D$2:$D$2186,$E8,Eventos_Paro!$B$2:$B$2186,$B8)</f>
        <v>4.76666666666667</v>
      </c>
      <c r="J8" s="12" t="n">
        <f aca="false">G8-H8-I8</f>
        <v>112.133333333333</v>
      </c>
      <c r="K8" s="13" t="n">
        <v>246826</v>
      </c>
      <c r="L8" s="13" t="n">
        <v>223761</v>
      </c>
      <c r="M8" s="13" t="n">
        <v>14128</v>
      </c>
      <c r="N8" s="14" t="n">
        <f aca="false">L8+M8</f>
        <v>237889</v>
      </c>
      <c r="O8" s="11" t="n">
        <f aca="false">INDEX(Parametros!$D$2:$D$9,MATCH($E8,Parametros!$A$2:$A$9,0))</f>
        <v>2600</v>
      </c>
      <c r="P8" s="15" t="n">
        <f aca="false">IF((G8-H8)&gt;0,J8/(G8-H8),0)</f>
        <v>0.959224408326205</v>
      </c>
      <c r="Q8" s="15" t="n">
        <f aca="false">IF(J8*O8&gt;0,N8/(O8*J8),0)</f>
        <v>0.815955135827312</v>
      </c>
      <c r="R8" s="15" t="n">
        <f aca="false">IF(N8&gt;0,L8/N8,0)</f>
        <v>0.940610957211136</v>
      </c>
      <c r="S8" s="15" t="n">
        <f aca="false">P8*Q8*R8</f>
        <v>0.736201223925775</v>
      </c>
      <c r="T8" s="15" t="n">
        <f aca="false">IF(K8&gt;0,L8/K8,0)</f>
        <v>0.906553604563539</v>
      </c>
      <c r="U8" s="10" t="n">
        <v>2189.7</v>
      </c>
      <c r="V8" s="5" t="n">
        <v>16</v>
      </c>
      <c r="W8" s="10" t="n">
        <v>124.1</v>
      </c>
      <c r="X8" s="15" t="n">
        <f aca="false">IF(U8&gt;0,W8/U8,0)</f>
        <v>0.056674430287254</v>
      </c>
      <c r="Y8" s="12" t="n">
        <f aca="false">IF(U8&gt;0,L8/U8,0)</f>
        <v>102.187970954925</v>
      </c>
      <c r="Z8" s="16" t="n">
        <f aca="false">L8*INDEX(Parametros!$E$2:$E$9,MATCH($E8,Parametros!$A$2:$A$9,0))</f>
        <v>165583.14</v>
      </c>
      <c r="AA8" s="16" t="n">
        <f aca="false">Z8*INDEX(Parametros!$F$2:$F$9,MATCH($E8,Parametros!$A$2:$A$9,0))</f>
        <v>7451.2413</v>
      </c>
      <c r="AB8" s="17" t="n">
        <f aca="false">Z8+AA8</f>
        <v>173034.3813</v>
      </c>
      <c r="AC8" s="18" t="n">
        <v>174953.68</v>
      </c>
      <c r="AD8" s="17" t="n">
        <f aca="false">AC8-AB8</f>
        <v>1919.29870000001</v>
      </c>
      <c r="AE8" s="17" t="n">
        <f aca="false">AA8+AD8</f>
        <v>9370.54000000001</v>
      </c>
      <c r="AF8" s="19" t="n">
        <f aca="false">IF(Z8&gt;0,AE8/Z8,0)</f>
        <v>0.0565911481084367</v>
      </c>
      <c r="AG8" s="16" t="n">
        <f aca="false">(U8-W8)*INDEX(Parametros!$H$2:$H$9,MATCH($E8,Parametros!$A$2:$A$9,0))+W8*INDEX(Parametros!$H$2:$H$9,MATCH($E8,Parametros!$A$2:$A$9,0))*Parametros!$N$3</f>
        <v>67552.5</v>
      </c>
      <c r="AH8" s="13" t="n">
        <v>12295</v>
      </c>
      <c r="AI8" s="16" t="n">
        <f aca="false">AH8*Parametros!$N$2</f>
        <v>1131.14</v>
      </c>
      <c r="AJ8" s="18" t="n">
        <v>11659</v>
      </c>
      <c r="AK8" s="18" t="n">
        <v>5197</v>
      </c>
      <c r="AL8" s="17" t="n">
        <f aca="false">AG8+AI8+AJ8+AK8</f>
        <v>85539.64</v>
      </c>
      <c r="AM8" s="20" t="n">
        <f aca="false">IF(L8&gt;0,AL8/L8,0)</f>
        <v>0.382281273322876</v>
      </c>
      <c r="AN8" s="16" t="n">
        <f aca="false">L8*INDEX(Parametros!$G$2:$G$9,MATCH($E8,Parametros!$A$2:$A$9,0))</f>
        <v>384868.92</v>
      </c>
      <c r="AO8" s="17" t="n">
        <f aca="false">AN8-AC8-AL8</f>
        <v>124375.6</v>
      </c>
      <c r="AP8" s="15" t="n">
        <f aca="false">IF(AN8&gt;0,AO8/AN8,0)</f>
        <v>0.323163533184233</v>
      </c>
      <c r="AQ8" s="16" t="n">
        <f aca="false">INDEX(Parametros!$I$2:$I$9,MATCH($E8,Parametros!$A$2:$A$9,0))</f>
        <v>15900000</v>
      </c>
      <c r="AR8" s="19" t="n">
        <f aca="false">IF(AQ8&gt;0,AO8/AQ8,0)</f>
        <v>0.00782236477987421</v>
      </c>
    </row>
    <row r="9" customFormat="false" ht="15" hidden="false" customHeight="false" outlineLevel="0" collapsed="false">
      <c r="A9" s="5" t="s">
        <v>143</v>
      </c>
      <c r="B9" s="9" t="n">
        <v>45551</v>
      </c>
      <c r="C9" s="2" t="str">
        <f aca="false">TEXT(B9,"yyyy")</f>
        <v>2024</v>
      </c>
      <c r="D9" s="2" t="n">
        <f aca="false">WEEKNUM(B9,2)</f>
        <v>38</v>
      </c>
      <c r="E9" s="5" t="s">
        <v>144</v>
      </c>
      <c r="F9" s="6" t="str">
        <f aca="false">INDEX(Parametros!$B$2:$B$9,MATCH($E9,Parametros!$A$2:$A$9,0))</f>
        <v>Salsas picantes</v>
      </c>
      <c r="G9" s="10" t="n">
        <v>76</v>
      </c>
      <c r="H9" s="10" t="n">
        <v>12.5</v>
      </c>
      <c r="I9" s="11" t="n">
        <f aca="false">SUMIFS(Eventos_Paro!$J$2:$J$2186,Eventos_Paro!$D$2:$D$2186,$E9,Eventos_Paro!$B$2:$B$2186,$B9)</f>
        <v>0.983333333333333</v>
      </c>
      <c r="J9" s="12" t="n">
        <f aca="false">G9-H9-I9</f>
        <v>62.5166666666667</v>
      </c>
      <c r="K9" s="13" t="n">
        <v>154291</v>
      </c>
      <c r="L9" s="13" t="n">
        <v>164988</v>
      </c>
      <c r="M9" s="13" t="n">
        <v>6236</v>
      </c>
      <c r="N9" s="14" t="n">
        <f aca="false">L9+M9</f>
        <v>171224</v>
      </c>
      <c r="O9" s="11" t="n">
        <f aca="false">INDEX(Parametros!$D$2:$D$9,MATCH($E9,Parametros!$A$2:$A$9,0))</f>
        <v>3100</v>
      </c>
      <c r="P9" s="15" t="n">
        <f aca="false">IF((G9-H9)&gt;0,J9/(G9-H9),0)</f>
        <v>0.984514435695538</v>
      </c>
      <c r="Q9" s="15" t="n">
        <f aca="false">IF(J9*O9&gt;0,N9/(O9*J9),0)</f>
        <v>0.883501173880514</v>
      </c>
      <c r="R9" s="15" t="n">
        <f aca="false">IF(N9&gt;0,L9/N9,0)</f>
        <v>0.963579871980564</v>
      </c>
      <c r="S9" s="15" t="n">
        <f aca="false">P9*Q9*R9</f>
        <v>0.838140716281433</v>
      </c>
      <c r="T9" s="15" t="n">
        <f aca="false">IF(K9&gt;0,L9/K9,0)</f>
        <v>1.06933003221186</v>
      </c>
      <c r="U9" s="10" t="n">
        <v>704.3</v>
      </c>
      <c r="V9" s="5" t="n">
        <v>9</v>
      </c>
      <c r="W9" s="10" t="n">
        <v>20.3</v>
      </c>
      <c r="X9" s="15" t="n">
        <f aca="false">IF(U9&gt;0,W9/U9,0)</f>
        <v>0.0288229447678546</v>
      </c>
      <c r="Y9" s="12" t="n">
        <f aca="false">IF(U9&gt;0,L9/U9,0)</f>
        <v>234.258128638364</v>
      </c>
      <c r="Z9" s="16" t="n">
        <f aca="false">L9*INDEX(Parametros!$E$2:$E$9,MATCH($E9,Parametros!$A$2:$A$9,0))</f>
        <v>108892.08</v>
      </c>
      <c r="AA9" s="16" t="n">
        <f aca="false">Z9*INDEX(Parametros!$F$2:$F$9,MATCH($E9,Parametros!$A$2:$A$9,0))</f>
        <v>2831.19408</v>
      </c>
      <c r="AB9" s="17" t="n">
        <f aca="false">Z9+AA9</f>
        <v>111723.27408</v>
      </c>
      <c r="AC9" s="18" t="n">
        <v>112020.41</v>
      </c>
      <c r="AD9" s="17" t="n">
        <f aca="false">AC9-AB9</f>
        <v>297.135920000001</v>
      </c>
      <c r="AE9" s="17" t="n">
        <f aca="false">AA9+AD9</f>
        <v>3128.33</v>
      </c>
      <c r="AF9" s="19" t="n">
        <f aca="false">IF(Z9&gt;0,AE9/Z9,0)</f>
        <v>0.0287287192971243</v>
      </c>
      <c r="AG9" s="16" t="n">
        <f aca="false">(U9-W9)*INDEX(Parametros!$H$2:$H$9,MATCH($E9,Parametros!$A$2:$A$9,0))+W9*INDEX(Parametros!$H$2:$H$9,MATCH($E9,Parametros!$A$2:$A$9,0))*Parametros!$N$3</f>
        <v>22505.175</v>
      </c>
      <c r="AH9" s="13" t="n">
        <v>9174</v>
      </c>
      <c r="AI9" s="16" t="n">
        <f aca="false">AH9*Parametros!$N$2</f>
        <v>844.008</v>
      </c>
      <c r="AJ9" s="18" t="n">
        <v>5745</v>
      </c>
      <c r="AK9" s="18" t="n">
        <v>1023</v>
      </c>
      <c r="AL9" s="17" t="n">
        <f aca="false">AG9+AI9+AJ9+AK9</f>
        <v>30117.183</v>
      </c>
      <c r="AM9" s="20" t="n">
        <f aca="false">IF(L9&gt;0,AL9/L9,0)</f>
        <v>0.182541657575096</v>
      </c>
      <c r="AN9" s="16" t="n">
        <f aca="false">L9*INDEX(Parametros!$G$2:$G$9,MATCH($E9,Parametros!$A$2:$A$9,0))</f>
        <v>206235</v>
      </c>
      <c r="AO9" s="17" t="n">
        <f aca="false">AN9-AC9-AL9</f>
        <v>64097.407</v>
      </c>
      <c r="AP9" s="15" t="n">
        <f aca="false">IF(AN9&gt;0,AO9/AN9,0)</f>
        <v>0.310797910151041</v>
      </c>
      <c r="AQ9" s="16" t="n">
        <f aca="false">INDEX(Parametros!$I$2:$I$9,MATCH($E9,Parametros!$A$2:$A$9,0))</f>
        <v>13300000</v>
      </c>
      <c r="AR9" s="19" t="n">
        <f aca="false">IF(AQ9&gt;0,AO9/AQ9,0)</f>
        <v>0.00481935390977444</v>
      </c>
    </row>
    <row r="10" customFormat="false" ht="15" hidden="false" customHeight="false" outlineLevel="0" collapsed="false">
      <c r="A10" s="5" t="s">
        <v>145</v>
      </c>
      <c r="B10" s="9" t="n">
        <v>45558</v>
      </c>
      <c r="C10" s="2" t="str">
        <f aca="false">TEXT(B10,"yyyy")</f>
        <v>2024</v>
      </c>
      <c r="D10" s="2" t="n">
        <f aca="false">WEEKNUM(B10,2)</f>
        <v>39</v>
      </c>
      <c r="E10" s="5" t="s">
        <v>130</v>
      </c>
      <c r="F10" s="6" t="str">
        <f aca="false">INDEX(Parametros!$B$2:$B$9,MATCH($E10,Parametros!$A$2:$A$9,0))</f>
        <v>Ketchup botella</v>
      </c>
      <c r="G10" s="10" t="n">
        <v>124.8</v>
      </c>
      <c r="H10" s="10" t="n">
        <v>8</v>
      </c>
      <c r="I10" s="11" t="n">
        <f aca="false">SUMIFS(Eventos_Paro!$J$2:$J$2186,Eventos_Paro!$D$2:$D$2186,$E10,Eventos_Paro!$B$2:$B$2186,$B10)</f>
        <v>4.06666666666667</v>
      </c>
      <c r="J10" s="12" t="n">
        <f aca="false">G10-H10-I10</f>
        <v>112.733333333333</v>
      </c>
      <c r="K10" s="13" t="n">
        <v>849829</v>
      </c>
      <c r="L10" s="13" t="n">
        <v>904326</v>
      </c>
      <c r="M10" s="13" t="n">
        <v>12120</v>
      </c>
      <c r="N10" s="14" t="n">
        <f aca="false">L10+M10</f>
        <v>916446</v>
      </c>
      <c r="O10" s="11" t="n">
        <f aca="false">INDEX(Parametros!$D$2:$D$9,MATCH($E10,Parametros!$A$2:$A$9,0))</f>
        <v>9000</v>
      </c>
      <c r="P10" s="15" t="n">
        <f aca="false">IF((G10-H10)&gt;0,J10/(G10-H10),0)</f>
        <v>0.965182648401827</v>
      </c>
      <c r="Q10" s="15" t="n">
        <f aca="false">IF(J10*O10&gt;0,N10/(O10*J10),0)</f>
        <v>0.903258426966292</v>
      </c>
      <c r="R10" s="15" t="n">
        <f aca="false">IF(N10&gt;0,L10/N10,0)</f>
        <v>0.986774998199567</v>
      </c>
      <c r="S10" s="15" t="n">
        <f aca="false">P10*Q10*R10</f>
        <v>0.860279680365297</v>
      </c>
      <c r="T10" s="15" t="n">
        <f aca="false">IF(K10&gt;0,L10/K10,0)</f>
        <v>1.06412701849431</v>
      </c>
      <c r="U10" s="10" t="n">
        <v>1957.7</v>
      </c>
      <c r="V10" s="5" t="n">
        <v>14</v>
      </c>
      <c r="W10" s="10" t="n">
        <v>210.5</v>
      </c>
      <c r="X10" s="15" t="n">
        <f aca="false">IF(U10&gt;0,W10/U10,0)</f>
        <v>0.107524135465087</v>
      </c>
      <c r="Y10" s="12" t="n">
        <f aca="false">IF(U10&gt;0,L10/U10,0)</f>
        <v>461.932880420902</v>
      </c>
      <c r="Z10" s="16" t="n">
        <f aca="false">L10*INDEX(Parametros!$E$2:$E$9,MATCH($E10,Parametros!$A$2:$A$9,0))</f>
        <v>379816.92</v>
      </c>
      <c r="AA10" s="16" t="n">
        <f aca="false">Z10*INDEX(Parametros!$F$2:$F$9,MATCH($E10,Parametros!$A$2:$A$9,0))</f>
        <v>7596.3384</v>
      </c>
      <c r="AB10" s="17" t="n">
        <f aca="false">Z10+AA10</f>
        <v>387413.2584</v>
      </c>
      <c r="AC10" s="18" t="n">
        <v>383035.54</v>
      </c>
      <c r="AD10" s="17" t="n">
        <f aca="false">AC10-AB10</f>
        <v>-4377.71840000001</v>
      </c>
      <c r="AE10" s="17" t="n">
        <f aca="false">AA10+AD10</f>
        <v>3218.61999999999</v>
      </c>
      <c r="AF10" s="19" t="n">
        <f aca="false">IF(Z10&gt;0,AE10/Z10,0)</f>
        <v>0.00847413538080396</v>
      </c>
      <c r="AG10" s="16" t="n">
        <f aca="false">(U10-W10)*INDEX(Parametros!$H$2:$H$9,MATCH($E10,Parametros!$A$2:$A$9,0))+W10*INDEX(Parametros!$H$2:$H$9,MATCH($E10,Parametros!$A$2:$A$9,0))*Parametros!$N$3</f>
        <v>64982.925</v>
      </c>
      <c r="AH10" s="13" t="n">
        <v>46656</v>
      </c>
      <c r="AI10" s="16" t="n">
        <f aca="false">AH10*Parametros!$N$2</f>
        <v>4292.352</v>
      </c>
      <c r="AJ10" s="18" t="n">
        <v>15794</v>
      </c>
      <c r="AK10" s="18" t="n">
        <v>2996</v>
      </c>
      <c r="AL10" s="17" t="n">
        <f aca="false">AG10+AI10+AJ10+AK10</f>
        <v>88065.277</v>
      </c>
      <c r="AM10" s="20" t="n">
        <f aca="false">IF(L10&gt;0,AL10/L10,0)</f>
        <v>0.0973822238882881</v>
      </c>
      <c r="AN10" s="16" t="n">
        <f aca="false">L10*INDEX(Parametros!$G$2:$G$9,MATCH($E10,Parametros!$A$2:$A$9,0))</f>
        <v>642071.46</v>
      </c>
      <c r="AO10" s="17" t="n">
        <f aca="false">AN10-AC10-AL10</f>
        <v>170970.643</v>
      </c>
      <c r="AP10" s="15" t="n">
        <f aca="false">IF(AN10&gt;0,AO10/AN10,0)</f>
        <v>0.266279773594048</v>
      </c>
      <c r="AQ10" s="16" t="n">
        <f aca="false">INDEX(Parametros!$I$2:$I$9,MATCH($E10,Parametros!$A$2:$A$9,0))</f>
        <v>29300000</v>
      </c>
      <c r="AR10" s="19" t="n">
        <f aca="false">IF(AQ10&gt;0,AO10/AQ10,0)</f>
        <v>0.00583517552901024</v>
      </c>
    </row>
    <row r="11" customFormat="false" ht="15" hidden="false" customHeight="false" outlineLevel="0" collapsed="false">
      <c r="A11" s="5" t="s">
        <v>146</v>
      </c>
      <c r="B11" s="9" t="n">
        <v>45558</v>
      </c>
      <c r="C11" s="2" t="str">
        <f aca="false">TEXT(B11,"yyyy")</f>
        <v>2024</v>
      </c>
      <c r="D11" s="2" t="n">
        <f aca="false">WEEKNUM(B11,2)</f>
        <v>39</v>
      </c>
      <c r="E11" s="5" t="s">
        <v>132</v>
      </c>
      <c r="F11" s="6" t="str">
        <f aca="false">INDEX(Parametros!$B$2:$B$9,MATCH($E11,Parametros!$A$2:$A$9,0))</f>
        <v>Mayonesa frasco</v>
      </c>
      <c r="G11" s="10" t="n">
        <v>119.3</v>
      </c>
      <c r="H11" s="10" t="n">
        <v>7.3</v>
      </c>
      <c r="I11" s="11" t="n">
        <f aca="false">SUMIFS(Eventos_Paro!$J$2:$J$2186,Eventos_Paro!$D$2:$D$2186,$E11,Eventos_Paro!$B$2:$B$2186,$B11)</f>
        <v>5.08333333333333</v>
      </c>
      <c r="J11" s="12" t="n">
        <f aca="false">G11-H11-I11</f>
        <v>106.916666666667</v>
      </c>
      <c r="K11" s="13" t="n">
        <v>588542</v>
      </c>
      <c r="L11" s="13" t="n">
        <v>574691</v>
      </c>
      <c r="M11" s="13" t="n">
        <v>13212</v>
      </c>
      <c r="N11" s="14" t="n">
        <f aca="false">L11+M11</f>
        <v>587903</v>
      </c>
      <c r="O11" s="11" t="n">
        <f aca="false">INDEX(Parametros!$D$2:$D$9,MATCH($E11,Parametros!$A$2:$A$9,0))</f>
        <v>6500</v>
      </c>
      <c r="P11" s="15" t="n">
        <f aca="false">IF((G11-H11)&gt;0,J11/(G11-H11),0)</f>
        <v>0.954613095238095</v>
      </c>
      <c r="Q11" s="15" t="n">
        <f aca="false">IF(J11*O11&gt;0,N11/(O11*J11),0)</f>
        <v>0.845954313807782</v>
      </c>
      <c r="R11" s="15" t="n">
        <f aca="false">IF(N11&gt;0,L11/N11,0)</f>
        <v>0.977526904948606</v>
      </c>
      <c r="S11" s="15" t="n">
        <f aca="false">P11*Q11*R11</f>
        <v>0.789410714285714</v>
      </c>
      <c r="T11" s="15" t="n">
        <f aca="false">IF(K11&gt;0,L11/K11,0)</f>
        <v>0.976465570851358</v>
      </c>
      <c r="U11" s="10" t="n">
        <v>1496.5</v>
      </c>
      <c r="V11" s="5" t="n">
        <v>12</v>
      </c>
      <c r="W11" s="10" t="n">
        <v>64.9</v>
      </c>
      <c r="X11" s="15" t="n">
        <f aca="false">IF(U11&gt;0,W11/U11,0)</f>
        <v>0.0433678583361176</v>
      </c>
      <c r="Y11" s="12" t="n">
        <f aca="false">IF(U11&gt;0,L11/U11,0)</f>
        <v>384.023387905112</v>
      </c>
      <c r="Z11" s="16" t="n">
        <f aca="false">L11*INDEX(Parametros!$E$2:$E$9,MATCH($E11,Parametros!$A$2:$A$9,0))</f>
        <v>350561.51</v>
      </c>
      <c r="AA11" s="16" t="n">
        <f aca="false">Z11*INDEX(Parametros!$F$2:$F$9,MATCH($E11,Parametros!$A$2:$A$9,0))</f>
        <v>8764.03775</v>
      </c>
      <c r="AB11" s="17" t="n">
        <f aca="false">Z11+AA11</f>
        <v>359325.54775</v>
      </c>
      <c r="AC11" s="18" t="n">
        <v>361510.8</v>
      </c>
      <c r="AD11" s="17" t="n">
        <f aca="false">AC11-AB11</f>
        <v>2185.25224999996</v>
      </c>
      <c r="AE11" s="17" t="n">
        <f aca="false">AA11+AD11</f>
        <v>10949.29</v>
      </c>
      <c r="AF11" s="19" t="n">
        <f aca="false">IF(Z11&gt;0,AE11/Z11,0)</f>
        <v>0.0312335772401253</v>
      </c>
      <c r="AG11" s="16" t="n">
        <f aca="false">(U11-W11)*INDEX(Parametros!$H$2:$H$9,MATCH($E11,Parametros!$A$2:$A$9,0))+W11*INDEX(Parametros!$H$2:$H$9,MATCH($E11,Parametros!$A$2:$A$9,0))*Parametros!$N$3</f>
        <v>48161.925</v>
      </c>
      <c r="AH11" s="13" t="n">
        <v>30337</v>
      </c>
      <c r="AI11" s="16" t="n">
        <f aca="false">AH11*Parametros!$N$2</f>
        <v>2791.004</v>
      </c>
      <c r="AJ11" s="18" t="n">
        <v>13156</v>
      </c>
      <c r="AK11" s="18" t="n">
        <v>5196</v>
      </c>
      <c r="AL11" s="17" t="n">
        <f aca="false">AG11+AI11+AJ11+AK11</f>
        <v>69304.929</v>
      </c>
      <c r="AM11" s="20" t="n">
        <f aca="false">IF(L11&gt;0,AL11/L11,0)</f>
        <v>0.120595118072147</v>
      </c>
      <c r="AN11" s="16" t="n">
        <f aca="false">L11*INDEX(Parametros!$G$2:$G$9,MATCH($E11,Parametros!$A$2:$A$9,0))</f>
        <v>551703.36</v>
      </c>
      <c r="AO11" s="17" t="n">
        <f aca="false">AN11-AC11-AL11</f>
        <v>120887.631</v>
      </c>
      <c r="AP11" s="15" t="n">
        <f aca="false">IF(AN11&gt;0,AO11/AN11,0)</f>
        <v>0.219117083136851</v>
      </c>
      <c r="AQ11" s="16" t="n">
        <f aca="false">INDEX(Parametros!$I$2:$I$9,MATCH($E11,Parametros!$A$2:$A$9,0))</f>
        <v>29700000</v>
      </c>
      <c r="AR11" s="19" t="n">
        <f aca="false">IF(AQ11&gt;0,AO11/AQ11,0)</f>
        <v>0.00407029060606061</v>
      </c>
    </row>
    <row r="12" customFormat="false" ht="15" hidden="false" customHeight="false" outlineLevel="0" collapsed="false">
      <c r="A12" s="5" t="s">
        <v>147</v>
      </c>
      <c r="B12" s="9" t="n">
        <v>45558</v>
      </c>
      <c r="C12" s="2" t="str">
        <f aca="false">TEXT(B12,"yyyy")</f>
        <v>2024</v>
      </c>
      <c r="D12" s="2" t="n">
        <f aca="false">WEEKNUM(B12,2)</f>
        <v>39</v>
      </c>
      <c r="E12" s="5" t="s">
        <v>134</v>
      </c>
      <c r="F12" s="6" t="str">
        <f aca="false">INDEX(Parametros!$B$2:$B$9,MATCH($E12,Parametros!$A$2:$A$9,0))</f>
        <v>Aderezos vertibles</v>
      </c>
      <c r="G12" s="10" t="n">
        <v>118.7</v>
      </c>
      <c r="H12" s="10" t="n">
        <v>7.2</v>
      </c>
      <c r="I12" s="11" t="n">
        <f aca="false">SUMIFS(Eventos_Paro!$J$2:$J$2186,Eventos_Paro!$D$2:$D$2186,$E12,Eventos_Paro!$B$2:$B$2186,$B12)</f>
        <v>2.03333333333333</v>
      </c>
      <c r="J12" s="12" t="n">
        <f aca="false">G12-H12-I12</f>
        <v>109.466666666667</v>
      </c>
      <c r="K12" s="13" t="n">
        <v>468732</v>
      </c>
      <c r="L12" s="13" t="n">
        <v>447940</v>
      </c>
      <c r="M12" s="13" t="n">
        <v>11761</v>
      </c>
      <c r="N12" s="14" t="n">
        <f aca="false">L12+M12</f>
        <v>459701</v>
      </c>
      <c r="O12" s="11" t="n">
        <f aca="false">INDEX(Parametros!$D$2:$D$9,MATCH($E12,Parametros!$A$2:$A$9,0))</f>
        <v>5200</v>
      </c>
      <c r="P12" s="15" t="n">
        <f aca="false">IF((G12-H12)&gt;0,J12/(G12-H12),0)</f>
        <v>0.981763826606876</v>
      </c>
      <c r="Q12" s="15" t="n">
        <f aca="false">IF(J12*O12&gt;0,N12/(O12*J12),0)</f>
        <v>0.807588658296636</v>
      </c>
      <c r="R12" s="15" t="n">
        <f aca="false">IF(N12&gt;0,L12/N12,0)</f>
        <v>0.974415979082056</v>
      </c>
      <c r="S12" s="15" t="n">
        <f aca="false">P12*Q12*R12</f>
        <v>0.772576750603657</v>
      </c>
      <c r="T12" s="15" t="n">
        <f aca="false">IF(K12&gt;0,L12/K12,0)</f>
        <v>0.955642029987285</v>
      </c>
      <c r="U12" s="10" t="n">
        <v>1549.2</v>
      </c>
      <c r="V12" s="5" t="n">
        <v>12</v>
      </c>
      <c r="W12" s="10" t="n">
        <v>124.8</v>
      </c>
      <c r="X12" s="15" t="n">
        <f aca="false">IF(U12&gt;0,W12/U12,0)</f>
        <v>0.0805577072037181</v>
      </c>
      <c r="Y12" s="12" t="n">
        <f aca="false">IF(U12&gt;0,L12/U12,0)</f>
        <v>289.142783372063</v>
      </c>
      <c r="Z12" s="16" t="n">
        <f aca="false">L12*INDEX(Parametros!$E$2:$E$9,MATCH($E12,Parametros!$A$2:$A$9,0))</f>
        <v>246367</v>
      </c>
      <c r="AA12" s="16" t="n">
        <f aca="false">Z12*INDEX(Parametros!$F$2:$F$9,MATCH($E12,Parametros!$A$2:$A$9,0))</f>
        <v>7391.01</v>
      </c>
      <c r="AB12" s="17" t="n">
        <f aca="false">Z12+AA12</f>
        <v>253758.01</v>
      </c>
      <c r="AC12" s="18" t="n">
        <v>255226.51</v>
      </c>
      <c r="AD12" s="17" t="n">
        <f aca="false">AC12-AB12</f>
        <v>1468.49999999997</v>
      </c>
      <c r="AE12" s="17" t="n">
        <f aca="false">AA12+AD12</f>
        <v>8859.50999999997</v>
      </c>
      <c r="AF12" s="19" t="n">
        <f aca="false">IF(Z12&gt;0,AE12/Z12,0)</f>
        <v>0.035960619725856</v>
      </c>
      <c r="AG12" s="16" t="n">
        <f aca="false">(U12-W12)*INDEX(Parametros!$H$2:$H$9,MATCH($E12,Parametros!$A$2:$A$9,0))+W12*INDEX(Parametros!$H$2:$H$9,MATCH($E12,Parametros!$A$2:$A$9,0))*Parametros!$N$3</f>
        <v>50765.4</v>
      </c>
      <c r="AH12" s="13" t="n">
        <v>23860</v>
      </c>
      <c r="AI12" s="16" t="n">
        <f aca="false">AH12*Parametros!$N$2</f>
        <v>2195.12</v>
      </c>
      <c r="AJ12" s="18" t="n">
        <v>10793</v>
      </c>
      <c r="AK12" s="18" t="n">
        <v>1626</v>
      </c>
      <c r="AL12" s="17" t="n">
        <f aca="false">AG12+AI12+AJ12+AK12</f>
        <v>65379.52</v>
      </c>
      <c r="AM12" s="20" t="n">
        <f aca="false">IF(L12&gt;0,AL12/L12,0)</f>
        <v>0.145955976246819</v>
      </c>
      <c r="AN12" s="16" t="n">
        <f aca="false">L12*INDEX(Parametros!$G$2:$G$9,MATCH($E12,Parametros!$A$2:$A$9,0))</f>
        <v>456898.8</v>
      </c>
      <c r="AO12" s="17" t="n">
        <f aca="false">AN12-AC12-AL12</f>
        <v>136292.77</v>
      </c>
      <c r="AP12" s="15" t="n">
        <f aca="false">IF(AN12&gt;0,AO12/AN12,0)</f>
        <v>0.29829968912153</v>
      </c>
      <c r="AQ12" s="16" t="n">
        <f aca="false">INDEX(Parametros!$I$2:$I$9,MATCH($E12,Parametros!$A$2:$A$9,0))</f>
        <v>19300000</v>
      </c>
      <c r="AR12" s="19" t="n">
        <f aca="false">IF(AQ12&gt;0,AO12/AQ12,0)</f>
        <v>0.00706180155440414</v>
      </c>
    </row>
    <row r="13" customFormat="false" ht="15" hidden="false" customHeight="false" outlineLevel="0" collapsed="false">
      <c r="A13" s="5" t="s">
        <v>148</v>
      </c>
      <c r="B13" s="9" t="n">
        <v>45558</v>
      </c>
      <c r="C13" s="2" t="str">
        <f aca="false">TEXT(B13,"yyyy")</f>
        <v>2024</v>
      </c>
      <c r="D13" s="2" t="n">
        <f aca="false">WEEKNUM(B13,2)</f>
        <v>39</v>
      </c>
      <c r="E13" s="5" t="s">
        <v>136</v>
      </c>
      <c r="F13" s="6" t="str">
        <f aca="false">INDEX(Parametros!$B$2:$B$9,MATCH($E13,Parametros!$A$2:$A$9,0))</f>
        <v>Salsa BBQ</v>
      </c>
      <c r="G13" s="10" t="n">
        <v>112.6</v>
      </c>
      <c r="H13" s="10" t="n">
        <v>6.6</v>
      </c>
      <c r="I13" s="11" t="n">
        <f aca="false">SUMIFS(Eventos_Paro!$J$2:$J$2186,Eventos_Paro!$D$2:$D$2186,$E13,Eventos_Paro!$B$2:$B$2186,$B13)</f>
        <v>1.95</v>
      </c>
      <c r="J13" s="12" t="n">
        <f aca="false">G13-H13-I13</f>
        <v>104.05</v>
      </c>
      <c r="K13" s="13" t="n">
        <v>426358</v>
      </c>
      <c r="L13" s="13" t="n">
        <v>420721</v>
      </c>
      <c r="M13" s="13" t="n">
        <v>14121</v>
      </c>
      <c r="N13" s="14" t="n">
        <f aca="false">L13+M13</f>
        <v>434842</v>
      </c>
      <c r="O13" s="11" t="n">
        <f aca="false">INDEX(Parametros!$D$2:$D$9,MATCH($E13,Parametros!$A$2:$A$9,0))</f>
        <v>4800</v>
      </c>
      <c r="P13" s="15" t="n">
        <f aca="false">IF((G13-H13)&gt;0,J13/(G13-H13),0)</f>
        <v>0.981603773584906</v>
      </c>
      <c r="Q13" s="15" t="n">
        <f aca="false">IF(J13*O13&gt;0,N13/(O13*J13),0)</f>
        <v>0.870659138234823</v>
      </c>
      <c r="R13" s="15" t="n">
        <f aca="false">IF(N13&gt;0,L13/N13,0)</f>
        <v>0.967526135929832</v>
      </c>
      <c r="S13" s="15" t="n">
        <f aca="false">P13*Q13*R13</f>
        <v>0.826888757861635</v>
      </c>
      <c r="T13" s="15" t="n">
        <f aca="false">IF(K13&gt;0,L13/K13,0)</f>
        <v>0.986778716477702</v>
      </c>
      <c r="U13" s="10" t="n">
        <v>1464.9</v>
      </c>
      <c r="V13" s="5" t="n">
        <v>12</v>
      </c>
      <c r="W13" s="10" t="n">
        <v>113.7</v>
      </c>
      <c r="X13" s="15" t="n">
        <f aca="false">IF(U13&gt;0,W13/U13,0)</f>
        <v>0.0776162195371698</v>
      </c>
      <c r="Y13" s="12" t="n">
        <f aca="false">IF(U13&gt;0,L13/U13,0)</f>
        <v>287.20117414158</v>
      </c>
      <c r="Z13" s="16" t="n">
        <f aca="false">L13*INDEX(Parametros!$E$2:$E$9,MATCH($E13,Parametros!$A$2:$A$9,0))</f>
        <v>244018.18</v>
      </c>
      <c r="AA13" s="16" t="n">
        <f aca="false">Z13*INDEX(Parametros!$F$2:$F$9,MATCH($E13,Parametros!$A$2:$A$9,0))</f>
        <v>6832.50904</v>
      </c>
      <c r="AB13" s="17" t="n">
        <f aca="false">Z13+AA13</f>
        <v>250850.68904</v>
      </c>
      <c r="AC13" s="18" t="n">
        <v>250583.53</v>
      </c>
      <c r="AD13" s="17" t="n">
        <f aca="false">AC13-AB13</f>
        <v>-267.159039999999</v>
      </c>
      <c r="AE13" s="17" t="n">
        <f aca="false">AA13+AD13</f>
        <v>6565.35</v>
      </c>
      <c r="AF13" s="19" t="n">
        <f aca="false">IF(Z13&gt;0,AE13/Z13,0)</f>
        <v>0.0269051674756365</v>
      </c>
      <c r="AG13" s="16" t="n">
        <f aca="false">(U13-W13)*INDEX(Parametros!$H$2:$H$9,MATCH($E13,Parametros!$A$2:$A$9,0))+W13*INDEX(Parametros!$H$2:$H$9,MATCH($E13,Parametros!$A$2:$A$9,0))*Parametros!$N$3</f>
        <v>47935.125</v>
      </c>
      <c r="AH13" s="13" t="n">
        <v>20543</v>
      </c>
      <c r="AI13" s="16" t="n">
        <f aca="false">AH13*Parametros!$N$2</f>
        <v>1889.956</v>
      </c>
      <c r="AJ13" s="18" t="n">
        <v>10107</v>
      </c>
      <c r="AK13" s="18" t="n">
        <v>2121</v>
      </c>
      <c r="AL13" s="17" t="n">
        <f aca="false">AG13+AI13+AJ13+AK13</f>
        <v>62053.081</v>
      </c>
      <c r="AM13" s="20" t="n">
        <f aca="false">IF(L13&gt;0,AL13/L13,0)</f>
        <v>0.147492235947338</v>
      </c>
      <c r="AN13" s="16" t="n">
        <f aca="false">L13*INDEX(Parametros!$G$2:$G$9,MATCH($E13,Parametros!$A$2:$A$9,0))</f>
        <v>412306.58</v>
      </c>
      <c r="AO13" s="17" t="n">
        <f aca="false">AN13-AC13-AL13</f>
        <v>99669.969</v>
      </c>
      <c r="AP13" s="15" t="n">
        <f aca="false">IF(AN13&gt;0,AO13/AN13,0)</f>
        <v>0.241737517262034</v>
      </c>
      <c r="AQ13" s="16" t="n">
        <f aca="false">INDEX(Parametros!$I$2:$I$9,MATCH($E13,Parametros!$A$2:$A$9,0))</f>
        <v>17000000</v>
      </c>
      <c r="AR13" s="19" t="n">
        <f aca="false">IF(AQ13&gt;0,AO13/AQ13,0)</f>
        <v>0.00586293935294118</v>
      </c>
    </row>
    <row r="14" customFormat="false" ht="15" hidden="false" customHeight="false" outlineLevel="0" collapsed="false">
      <c r="A14" s="5" t="s">
        <v>149</v>
      </c>
      <c r="B14" s="9" t="n">
        <v>45558</v>
      </c>
      <c r="C14" s="2" t="str">
        <f aca="false">TEXT(B14,"yyyy")</f>
        <v>2024</v>
      </c>
      <c r="D14" s="2" t="n">
        <f aca="false">WEEKNUM(B14,2)</f>
        <v>39</v>
      </c>
      <c r="E14" s="5" t="s">
        <v>138</v>
      </c>
      <c r="F14" s="6" t="str">
        <f aca="false">INDEX(Parametros!$B$2:$B$9,MATCH($E14,Parametros!$A$2:$A$9,0))</f>
        <v>Queso crema</v>
      </c>
      <c r="G14" s="10" t="n">
        <v>113.4</v>
      </c>
      <c r="H14" s="10" t="n">
        <v>9</v>
      </c>
      <c r="I14" s="11" t="n">
        <f aca="false">SUMIFS(Eventos_Paro!$J$2:$J$2186,Eventos_Paro!$D$2:$D$2186,$E14,Eventos_Paro!$B$2:$B$2186,$B14)</f>
        <v>4.8</v>
      </c>
      <c r="J14" s="12" t="n">
        <f aca="false">G14-H14-I14</f>
        <v>99.6</v>
      </c>
      <c r="K14" s="13" t="n">
        <v>320723</v>
      </c>
      <c r="L14" s="13" t="n">
        <v>298300</v>
      </c>
      <c r="M14" s="13" t="n">
        <v>11728</v>
      </c>
      <c r="N14" s="14" t="n">
        <f aca="false">L14+M14</f>
        <v>310028</v>
      </c>
      <c r="O14" s="11" t="n">
        <f aca="false">INDEX(Parametros!$D$2:$D$9,MATCH($E14,Parametros!$A$2:$A$9,0))</f>
        <v>3800</v>
      </c>
      <c r="P14" s="15" t="n">
        <f aca="false">IF((G14-H14)&gt;0,J14/(G14-H14),0)</f>
        <v>0.954022988505747</v>
      </c>
      <c r="Q14" s="15" t="n">
        <f aca="false">IF(J14*O14&gt;0,N14/(O14*J14),0)</f>
        <v>0.819139716761784</v>
      </c>
      <c r="R14" s="15" t="n">
        <f aca="false">IF(N14&gt;0,L14/N14,0)</f>
        <v>0.96217115873405</v>
      </c>
      <c r="S14" s="15" t="n">
        <f aca="false">P14*Q14*R14</f>
        <v>0.75191570881226</v>
      </c>
      <c r="T14" s="15" t="n">
        <f aca="false">IF(K14&gt;0,L14/K14,0)</f>
        <v>0.930086086747754</v>
      </c>
      <c r="U14" s="10" t="n">
        <v>1893.1</v>
      </c>
      <c r="V14" s="5" t="n">
        <v>15</v>
      </c>
      <c r="W14" s="10" t="n">
        <v>192.1</v>
      </c>
      <c r="X14" s="15" t="n">
        <f aca="false">IF(U14&gt;0,W14/U14,0)</f>
        <v>0.101473773176272</v>
      </c>
      <c r="Y14" s="12" t="n">
        <f aca="false">IF(U14&gt;0,L14/U14,0)</f>
        <v>157.572236015002</v>
      </c>
      <c r="Z14" s="16" t="n">
        <f aca="false">L14*INDEX(Parametros!$E$2:$E$9,MATCH($E14,Parametros!$A$2:$A$9,0))</f>
        <v>334096</v>
      </c>
      <c r="AA14" s="16" t="n">
        <f aca="false">Z14*INDEX(Parametros!$F$2:$F$9,MATCH($E14,Parametros!$A$2:$A$9,0))</f>
        <v>11693.36</v>
      </c>
      <c r="AB14" s="17" t="n">
        <f aca="false">Z14+AA14</f>
        <v>345789.36</v>
      </c>
      <c r="AC14" s="18" t="n">
        <v>348775.31</v>
      </c>
      <c r="AD14" s="17" t="n">
        <f aca="false">AC14-AB14</f>
        <v>2985.94999999995</v>
      </c>
      <c r="AE14" s="17" t="n">
        <f aca="false">AA14+AD14</f>
        <v>14679.31</v>
      </c>
      <c r="AF14" s="19" t="n">
        <f aca="false">IF(Z14&gt;0,AE14/Z14,0)</f>
        <v>0.0439374012259948</v>
      </c>
      <c r="AG14" s="16" t="n">
        <f aca="false">(U14-W14)*INDEX(Parametros!$H$2:$H$9,MATCH($E14,Parametros!$A$2:$A$9,0))+W14*INDEX(Parametros!$H$2:$H$9,MATCH($E14,Parametros!$A$2:$A$9,0))*Parametros!$N$3</f>
        <v>65641.95</v>
      </c>
      <c r="AH14" s="13" t="n">
        <v>16397</v>
      </c>
      <c r="AI14" s="16" t="n">
        <f aca="false">AH14*Parametros!$N$2</f>
        <v>1508.524</v>
      </c>
      <c r="AJ14" s="18" t="n">
        <v>18427</v>
      </c>
      <c r="AK14" s="18" t="n">
        <v>4094</v>
      </c>
      <c r="AL14" s="17" t="n">
        <f aca="false">AG14+AI14+AJ14+AK14</f>
        <v>89671.474</v>
      </c>
      <c r="AM14" s="20" t="n">
        <f aca="false">IF(L14&gt;0,AL14/L14,0)</f>
        <v>0.300608360710694</v>
      </c>
      <c r="AN14" s="16" t="n">
        <f aca="false">L14*INDEX(Parametros!$G$2:$G$9,MATCH($E14,Parametros!$A$2:$A$9,0))</f>
        <v>533957</v>
      </c>
      <c r="AO14" s="17" t="n">
        <f aca="false">AN14-AC14-AL14</f>
        <v>95510.216</v>
      </c>
      <c r="AP14" s="15" t="n">
        <f aca="false">IF(AN14&gt;0,AO14/AN14,0)</f>
        <v>0.178872485986699</v>
      </c>
      <c r="AQ14" s="16" t="n">
        <f aca="false">INDEX(Parametros!$I$2:$I$9,MATCH($E14,Parametros!$A$2:$A$9,0))</f>
        <v>33200000</v>
      </c>
      <c r="AR14" s="19" t="n">
        <f aca="false">IF(AQ14&gt;0,AO14/AQ14,0)</f>
        <v>0.00287681373493976</v>
      </c>
    </row>
    <row r="15" customFormat="false" ht="15" hidden="false" customHeight="false" outlineLevel="0" collapsed="false">
      <c r="A15" s="5" t="s">
        <v>150</v>
      </c>
      <c r="B15" s="9" t="n">
        <v>45558</v>
      </c>
      <c r="C15" s="2" t="str">
        <f aca="false">TEXT(B15,"yyyy")</f>
        <v>2024</v>
      </c>
      <c r="D15" s="2" t="n">
        <f aca="false">WEEKNUM(B15,2)</f>
        <v>39</v>
      </c>
      <c r="E15" s="5" t="s">
        <v>140</v>
      </c>
      <c r="F15" s="6" t="str">
        <f aca="false">INDEX(Parametros!$B$2:$B$9,MATCH($E15,Parametros!$A$2:$A$9,0))</f>
        <v>Crema de cacahuate</v>
      </c>
      <c r="G15" s="10" t="n">
        <v>112.6</v>
      </c>
      <c r="H15" s="10" t="n">
        <v>6.7</v>
      </c>
      <c r="I15" s="11" t="n">
        <f aca="false">SUMIFS(Eventos_Paro!$J$2:$J$2186,Eventos_Paro!$D$2:$D$2186,$E15,Eventos_Paro!$B$2:$B$2186,$B15)</f>
        <v>3.28333333333333</v>
      </c>
      <c r="J15" s="12" t="n">
        <f aca="false">G15-H15-I15</f>
        <v>102.616666666667</v>
      </c>
      <c r="K15" s="13" t="n">
        <v>359577</v>
      </c>
      <c r="L15" s="13" t="n">
        <v>378401</v>
      </c>
      <c r="M15" s="13" t="n">
        <v>7913</v>
      </c>
      <c r="N15" s="14" t="n">
        <f aca="false">L15+M15</f>
        <v>386314</v>
      </c>
      <c r="O15" s="11" t="n">
        <f aca="false">INDEX(Parametros!$D$2:$D$9,MATCH($E15,Parametros!$A$2:$A$9,0))</f>
        <v>4200</v>
      </c>
      <c r="P15" s="15" t="n">
        <f aca="false">IF((G15-H15)&gt;0,J15/(G15-H15),0)</f>
        <v>0.968995908089393</v>
      </c>
      <c r="Q15" s="15" t="n">
        <f aca="false">IF(J15*O15&gt;0,N15/(O15*J15),0)</f>
        <v>0.896340982389383</v>
      </c>
      <c r="R15" s="15" t="n">
        <f aca="false">IF(N15&gt;0,L15/N15,0)</f>
        <v>0.979516662611244</v>
      </c>
      <c r="S15" s="15" t="n">
        <f aca="false">P15*Q15*R15</f>
        <v>0.850759926255677</v>
      </c>
      <c r="T15" s="15" t="n">
        <f aca="false">IF(K15&gt;0,L15/K15,0)</f>
        <v>1.05235040060961</v>
      </c>
      <c r="U15" s="10" t="n">
        <v>1461.1</v>
      </c>
      <c r="V15" s="5" t="n">
        <v>12</v>
      </c>
      <c r="W15" s="10" t="n">
        <v>109.9</v>
      </c>
      <c r="X15" s="15" t="n">
        <f aca="false">IF(U15&gt;0,W15/U15,0)</f>
        <v>0.0752173020327151</v>
      </c>
      <c r="Y15" s="12" t="n">
        <f aca="false">IF(U15&gt;0,L15/U15,0)</f>
        <v>258.983642461159</v>
      </c>
      <c r="Z15" s="16" t="n">
        <f aca="false">L15*INDEX(Parametros!$E$2:$E$9,MATCH($E15,Parametros!$A$2:$A$9,0))</f>
        <v>367048.97</v>
      </c>
      <c r="AA15" s="16" t="n">
        <f aca="false">Z15*INDEX(Parametros!$F$2:$F$9,MATCH($E15,Parametros!$A$2:$A$9,0))</f>
        <v>8075.07734</v>
      </c>
      <c r="AB15" s="17" t="n">
        <f aca="false">Z15+AA15</f>
        <v>375124.04734</v>
      </c>
      <c r="AC15" s="18" t="n">
        <v>370725.92</v>
      </c>
      <c r="AD15" s="17" t="n">
        <f aca="false">AC15-AB15</f>
        <v>-4398.12734000001</v>
      </c>
      <c r="AE15" s="17" t="n">
        <f aca="false">AA15+AD15</f>
        <v>3676.94999999999</v>
      </c>
      <c r="AF15" s="19" t="n">
        <f aca="false">IF(Z15&gt;0,AE15/Z15,0)</f>
        <v>0.0100176006487636</v>
      </c>
      <c r="AG15" s="16" t="n">
        <f aca="false">(U15-W15)*INDEX(Parametros!$H$2:$H$9,MATCH($E15,Parametros!$A$2:$A$9,0))+W15*INDEX(Parametros!$H$2:$H$9,MATCH($E15,Parametros!$A$2:$A$9,0))*Parametros!$N$3</f>
        <v>47755.575</v>
      </c>
      <c r="AH15" s="13" t="n">
        <v>19750</v>
      </c>
      <c r="AI15" s="16" t="n">
        <f aca="false">AH15*Parametros!$N$2</f>
        <v>1817</v>
      </c>
      <c r="AJ15" s="18" t="n">
        <v>12221</v>
      </c>
      <c r="AK15" s="18" t="n">
        <v>3220</v>
      </c>
      <c r="AL15" s="17" t="n">
        <f aca="false">AG15+AI15+AJ15+AK15</f>
        <v>65013.575</v>
      </c>
      <c r="AM15" s="20" t="n">
        <f aca="false">IF(L15&gt;0,AL15/L15,0)</f>
        <v>0.171811319208987</v>
      </c>
      <c r="AN15" s="16" t="n">
        <f aca="false">L15*INDEX(Parametros!$G$2:$G$9,MATCH($E15,Parametros!$A$2:$A$9,0))</f>
        <v>613009.62</v>
      </c>
      <c r="AO15" s="17" t="n">
        <f aca="false">AN15-AC15-AL15</f>
        <v>177270.125</v>
      </c>
      <c r="AP15" s="15" t="n">
        <f aca="false">IF(AN15&gt;0,AO15/AN15,0)</f>
        <v>0.289180005038094</v>
      </c>
      <c r="AQ15" s="16" t="n">
        <f aca="false">INDEX(Parametros!$I$2:$I$9,MATCH($E15,Parametros!$A$2:$A$9,0))</f>
        <v>28000000</v>
      </c>
      <c r="AR15" s="19" t="n">
        <f aca="false">IF(AQ15&gt;0,AO15/AQ15,0)</f>
        <v>0.00633107589285714</v>
      </c>
    </row>
    <row r="16" customFormat="false" ht="15" hidden="false" customHeight="false" outlineLevel="0" collapsed="false">
      <c r="A16" s="5" t="s">
        <v>151</v>
      </c>
      <c r="B16" s="9" t="n">
        <v>45558</v>
      </c>
      <c r="C16" s="2" t="str">
        <f aca="false">TEXT(B16,"yyyy")</f>
        <v>2024</v>
      </c>
      <c r="D16" s="2" t="n">
        <f aca="false">WEEKNUM(B16,2)</f>
        <v>39</v>
      </c>
      <c r="E16" s="5" t="s">
        <v>142</v>
      </c>
      <c r="F16" s="6" t="str">
        <f aca="false">INDEX(Parametros!$B$2:$B$9,MATCH($E16,Parametros!$A$2:$A$9,0))</f>
        <v>Porciones single serve</v>
      </c>
      <c r="G16" s="10" t="n">
        <v>132.4</v>
      </c>
      <c r="H16" s="10" t="n">
        <v>7.6</v>
      </c>
      <c r="I16" s="11" t="n">
        <f aca="false">SUMIFS(Eventos_Paro!$J$2:$J$2186,Eventos_Paro!$D$2:$D$2186,$E16,Eventos_Paro!$B$2:$B$2186,$B16)</f>
        <v>7.1</v>
      </c>
      <c r="J16" s="12" t="n">
        <f aca="false">G16-H16-I16</f>
        <v>117.7</v>
      </c>
      <c r="K16" s="13" t="n">
        <v>262322</v>
      </c>
      <c r="L16" s="13" t="n">
        <v>206809</v>
      </c>
      <c r="M16" s="13" t="n">
        <v>12121</v>
      </c>
      <c r="N16" s="14" t="n">
        <f aca="false">L16+M16</f>
        <v>218930</v>
      </c>
      <c r="O16" s="11" t="n">
        <f aca="false">INDEX(Parametros!$D$2:$D$9,MATCH($E16,Parametros!$A$2:$A$9,0))</f>
        <v>2600</v>
      </c>
      <c r="P16" s="15" t="n">
        <f aca="false">IF((G16-H16)&gt;0,J16/(G16-H16),0)</f>
        <v>0.943108974358975</v>
      </c>
      <c r="Q16" s="15" t="n">
        <f aca="false">IF(J16*O16&gt;0,N16/(O16*J16),0)</f>
        <v>0.715410757466832</v>
      </c>
      <c r="R16" s="15" t="n">
        <f aca="false">IF(N16&gt;0,L16/N16,0)</f>
        <v>0.944635271547983</v>
      </c>
      <c r="S16" s="15" t="n">
        <f aca="false">P16*Q16*R16</f>
        <v>0.637355152859961</v>
      </c>
      <c r="T16" s="15" t="n">
        <f aca="false">IF(K16&gt;0,L16/K16,0)</f>
        <v>0.78837840516617</v>
      </c>
      <c r="U16" s="10" t="n">
        <v>2442.4</v>
      </c>
      <c r="V16" s="5" t="n">
        <v>17</v>
      </c>
      <c r="W16" s="10" t="n">
        <v>191.6</v>
      </c>
      <c r="X16" s="15" t="n">
        <f aca="false">IF(U16&gt;0,W16/U16,0)</f>
        <v>0.0784474287585981</v>
      </c>
      <c r="Y16" s="12" t="n">
        <f aca="false">IF(U16&gt;0,L16/U16,0)</f>
        <v>84.67450049132</v>
      </c>
      <c r="Z16" s="16" t="n">
        <f aca="false">L16*INDEX(Parametros!$E$2:$E$9,MATCH($E16,Parametros!$A$2:$A$9,0))</f>
        <v>153038.66</v>
      </c>
      <c r="AA16" s="16" t="n">
        <f aca="false">Z16*INDEX(Parametros!$F$2:$F$9,MATCH($E16,Parametros!$A$2:$A$9,0))</f>
        <v>6886.7397</v>
      </c>
      <c r="AB16" s="17" t="n">
        <f aca="false">Z16+AA16</f>
        <v>159925.3997</v>
      </c>
      <c r="AC16" s="18" t="n">
        <v>159605.97</v>
      </c>
      <c r="AD16" s="17" t="n">
        <f aca="false">AC16-AB16</f>
        <v>-319.429700000008</v>
      </c>
      <c r="AE16" s="17" t="n">
        <f aca="false">AA16+AD16</f>
        <v>6567.30999999999</v>
      </c>
      <c r="AF16" s="19" t="n">
        <f aca="false">IF(Z16&gt;0,AE16/Z16,0)</f>
        <v>0.0429127515883895</v>
      </c>
      <c r="AG16" s="16" t="n">
        <f aca="false">(U16-W16)*INDEX(Parametros!$H$2:$H$9,MATCH($E16,Parametros!$A$2:$A$9,0))+W16*INDEX(Parametros!$H$2:$H$9,MATCH($E16,Parametros!$A$2:$A$9,0))*Parametros!$N$3</f>
        <v>76146</v>
      </c>
      <c r="AH16" s="13" t="n">
        <v>11580</v>
      </c>
      <c r="AI16" s="16" t="n">
        <f aca="false">AH16*Parametros!$N$2</f>
        <v>1065.36</v>
      </c>
      <c r="AJ16" s="18" t="n">
        <v>10813</v>
      </c>
      <c r="AK16" s="18" t="n">
        <v>6777</v>
      </c>
      <c r="AL16" s="17" t="n">
        <f aca="false">AG16+AI16+AJ16+AK16</f>
        <v>94801.36</v>
      </c>
      <c r="AM16" s="20" t="n">
        <f aca="false">IF(L16&gt;0,AL16/L16,0)</f>
        <v>0.458400553167415</v>
      </c>
      <c r="AN16" s="16" t="n">
        <f aca="false">L16*INDEX(Parametros!$G$2:$G$9,MATCH($E16,Parametros!$A$2:$A$9,0))</f>
        <v>355711.48</v>
      </c>
      <c r="AO16" s="17" t="n">
        <f aca="false">AN16-AC16-AL16</f>
        <v>101304.15</v>
      </c>
      <c r="AP16" s="15" t="n">
        <f aca="false">IF(AN16&gt;0,AO16/AN16,0)</f>
        <v>0.284793029451847</v>
      </c>
      <c r="AQ16" s="16" t="n">
        <f aca="false">INDEX(Parametros!$I$2:$I$9,MATCH($E16,Parametros!$A$2:$A$9,0))</f>
        <v>15900000</v>
      </c>
      <c r="AR16" s="19" t="n">
        <f aca="false">IF(AQ16&gt;0,AO16/AQ16,0)</f>
        <v>0.00637133018867924</v>
      </c>
    </row>
    <row r="17" customFormat="false" ht="15" hidden="false" customHeight="false" outlineLevel="0" collapsed="false">
      <c r="A17" s="5" t="s">
        <v>152</v>
      </c>
      <c r="B17" s="9" t="n">
        <v>45558</v>
      </c>
      <c r="C17" s="2" t="str">
        <f aca="false">TEXT(B17,"yyyy")</f>
        <v>2024</v>
      </c>
      <c r="D17" s="2" t="n">
        <f aca="false">WEEKNUM(B17,2)</f>
        <v>39</v>
      </c>
      <c r="E17" s="5" t="s">
        <v>144</v>
      </c>
      <c r="F17" s="6" t="str">
        <f aca="false">INDEX(Parametros!$B$2:$B$9,MATCH($E17,Parametros!$A$2:$A$9,0))</f>
        <v>Salsas picantes</v>
      </c>
      <c r="G17" s="10" t="n">
        <v>97.5</v>
      </c>
      <c r="H17" s="10" t="n">
        <v>7.4</v>
      </c>
      <c r="I17" s="11" t="n">
        <f aca="false">SUMIFS(Eventos_Paro!$J$2:$J$2186,Eventos_Paro!$D$2:$D$2186,$E17,Eventos_Paro!$B$2:$B$2186,$B17)</f>
        <v>1.51666666666667</v>
      </c>
      <c r="J17" s="12" t="n">
        <f aca="false">G17-H17-I17</f>
        <v>88.5833333333333</v>
      </c>
      <c r="K17" s="13" t="n">
        <v>220473</v>
      </c>
      <c r="L17" s="13" t="n">
        <v>236407</v>
      </c>
      <c r="M17" s="13" t="n">
        <v>5645</v>
      </c>
      <c r="N17" s="14" t="n">
        <f aca="false">L17+M17</f>
        <v>242052</v>
      </c>
      <c r="O17" s="11" t="n">
        <f aca="false">INDEX(Parametros!$D$2:$D$9,MATCH($E17,Parametros!$A$2:$A$9,0))</f>
        <v>3100</v>
      </c>
      <c r="P17" s="15" t="n">
        <f aca="false">IF((G17-H17)&gt;0,J17/(G17-H17),0)</f>
        <v>0.983166851646319</v>
      </c>
      <c r="Q17" s="15" t="n">
        <f aca="false">IF(J17*O17&gt;0,N17/(O17*J17),0)</f>
        <v>0.881444481534307</v>
      </c>
      <c r="R17" s="15" t="n">
        <f aca="false">IF(N17&gt;0,L17/N17,0)</f>
        <v>0.97667856493646</v>
      </c>
      <c r="S17" s="15" t="n">
        <f aca="false">P17*Q17*R17</f>
        <v>0.846396477032688</v>
      </c>
      <c r="T17" s="15" t="n">
        <f aca="false">IF(K17&gt;0,L17/K17,0)</f>
        <v>1.07227188816771</v>
      </c>
      <c r="U17" s="10" t="n">
        <v>934.3</v>
      </c>
      <c r="V17" s="5" t="n">
        <v>9</v>
      </c>
      <c r="W17" s="10" t="n">
        <v>56.8</v>
      </c>
      <c r="X17" s="15" t="n">
        <f aca="false">IF(U17&gt;0,W17/U17,0)</f>
        <v>0.0607941774590603</v>
      </c>
      <c r="Y17" s="12" t="n">
        <f aca="false">IF(U17&gt;0,L17/U17,0)</f>
        <v>253.031146312748</v>
      </c>
      <c r="Z17" s="16" t="n">
        <f aca="false">L17*INDEX(Parametros!$E$2:$E$9,MATCH($E17,Parametros!$A$2:$A$9,0))</f>
        <v>156028.62</v>
      </c>
      <c r="AA17" s="16" t="n">
        <f aca="false">Z17*INDEX(Parametros!$F$2:$F$9,MATCH($E17,Parametros!$A$2:$A$9,0))</f>
        <v>4056.74412</v>
      </c>
      <c r="AB17" s="17" t="n">
        <f aca="false">Z17+AA17</f>
        <v>160085.36412</v>
      </c>
      <c r="AC17" s="18" t="n">
        <v>159238.53</v>
      </c>
      <c r="AD17" s="17" t="n">
        <f aca="false">AC17-AB17</f>
        <v>-846.834119999985</v>
      </c>
      <c r="AE17" s="17" t="n">
        <f aca="false">AA17+AD17</f>
        <v>3209.91000000002</v>
      </c>
      <c r="AF17" s="19" t="n">
        <f aca="false">IF(Z17&gt;0,AE17/Z17,0)</f>
        <v>0.0205725718781594</v>
      </c>
      <c r="AG17" s="16" t="n">
        <f aca="false">(U17-W17)*INDEX(Parametros!$H$2:$H$9,MATCH($E17,Parametros!$A$2:$A$9,0))+W17*INDEX(Parametros!$H$2:$H$9,MATCH($E17,Parametros!$A$2:$A$9,0))*Parametros!$N$3</f>
        <v>30325.05</v>
      </c>
      <c r="AH17" s="13" t="n">
        <v>12321</v>
      </c>
      <c r="AI17" s="16" t="n">
        <f aca="false">AH17*Parametros!$N$2</f>
        <v>1133.532</v>
      </c>
      <c r="AJ17" s="18" t="n">
        <v>7680</v>
      </c>
      <c r="AK17" s="18" t="n">
        <v>1431</v>
      </c>
      <c r="AL17" s="17" t="n">
        <f aca="false">AG17+AI17+AJ17+AK17</f>
        <v>40569.582</v>
      </c>
      <c r="AM17" s="20" t="n">
        <f aca="false">IF(L17&gt;0,AL17/L17,0)</f>
        <v>0.171609055569421</v>
      </c>
      <c r="AN17" s="16" t="n">
        <f aca="false">L17*INDEX(Parametros!$G$2:$G$9,MATCH($E17,Parametros!$A$2:$A$9,0))</f>
        <v>295508.75</v>
      </c>
      <c r="AO17" s="17" t="n">
        <f aca="false">AN17-AC17-AL17</f>
        <v>95700.638</v>
      </c>
      <c r="AP17" s="15" t="n">
        <f aca="false">IF(AN17&gt;0,AO17/AN17,0)</f>
        <v>0.323850437592795</v>
      </c>
      <c r="AQ17" s="16" t="n">
        <f aca="false">INDEX(Parametros!$I$2:$I$9,MATCH($E17,Parametros!$A$2:$A$9,0))</f>
        <v>13300000</v>
      </c>
      <c r="AR17" s="19" t="n">
        <f aca="false">IF(AQ17&gt;0,AO17/AQ17,0)</f>
        <v>0.00719553669172932</v>
      </c>
    </row>
    <row r="18" customFormat="false" ht="15" hidden="false" customHeight="false" outlineLevel="0" collapsed="false">
      <c r="A18" s="5" t="s">
        <v>153</v>
      </c>
      <c r="B18" s="9" t="n">
        <v>45565</v>
      </c>
      <c r="C18" s="2" t="str">
        <f aca="false">TEXT(B18,"yyyy")</f>
        <v>2024</v>
      </c>
      <c r="D18" s="2" t="n">
        <f aca="false">WEEKNUM(B18,2)</f>
        <v>40</v>
      </c>
      <c r="E18" s="5" t="s">
        <v>130</v>
      </c>
      <c r="F18" s="6" t="str">
        <f aca="false">INDEX(Parametros!$B$2:$B$9,MATCH($E18,Parametros!$A$2:$A$9,0))</f>
        <v>Ketchup botella</v>
      </c>
      <c r="G18" s="10" t="n">
        <v>121.3</v>
      </c>
      <c r="H18" s="10" t="n">
        <v>7.8</v>
      </c>
      <c r="I18" s="11" t="n">
        <f aca="false">SUMIFS(Eventos_Paro!$J$2:$J$2186,Eventos_Paro!$D$2:$D$2186,$E18,Eventos_Paro!$B$2:$B$2186,$B18)</f>
        <v>2.78333333333333</v>
      </c>
      <c r="J18" s="12" t="n">
        <f aca="false">G18-H18-I18</f>
        <v>110.716666666667</v>
      </c>
      <c r="K18" s="13" t="n">
        <v>821966</v>
      </c>
      <c r="L18" s="13" t="n">
        <v>830577</v>
      </c>
      <c r="M18" s="13" t="n">
        <v>20065</v>
      </c>
      <c r="N18" s="14" t="n">
        <f aca="false">L18+M18</f>
        <v>850642</v>
      </c>
      <c r="O18" s="11" t="n">
        <f aca="false">INDEX(Parametros!$D$2:$D$9,MATCH($E18,Parametros!$A$2:$A$9,0))</f>
        <v>9000</v>
      </c>
      <c r="P18" s="15" t="n">
        <f aca="false">IF((G18-H18)&gt;0,J18/(G18-H18),0)</f>
        <v>0.975477239353891</v>
      </c>
      <c r="Q18" s="15" t="n">
        <f aca="false">IF(J18*O18&gt;0,N18/(O18*J18),0)</f>
        <v>0.853672537508154</v>
      </c>
      <c r="R18" s="15" t="n">
        <f aca="false">IF(N18&gt;0,L18/N18,0)</f>
        <v>0.976411933574876</v>
      </c>
      <c r="S18" s="15" t="n">
        <f aca="false">P18*Q18*R18</f>
        <v>0.813095447870778</v>
      </c>
      <c r="T18" s="15" t="n">
        <f aca="false">IF(K18&gt;0,L18/K18,0)</f>
        <v>1.01047610241786</v>
      </c>
      <c r="U18" s="10" t="n">
        <v>1825.5</v>
      </c>
      <c r="V18" s="5" t="n">
        <v>14</v>
      </c>
      <c r="W18" s="10" t="n">
        <v>127.3</v>
      </c>
      <c r="X18" s="15" t="n">
        <f aca="false">IF(U18&gt;0,W18/U18,0)</f>
        <v>0.0697343193645577</v>
      </c>
      <c r="Y18" s="12" t="n">
        <f aca="false">IF(U18&gt;0,L18/U18,0)</f>
        <v>454.986031224322</v>
      </c>
      <c r="Z18" s="16" t="n">
        <f aca="false">L18*INDEX(Parametros!$E$2:$E$9,MATCH($E18,Parametros!$A$2:$A$9,0))</f>
        <v>348842.34</v>
      </c>
      <c r="AA18" s="16" t="n">
        <f aca="false">Z18*INDEX(Parametros!$F$2:$F$9,MATCH($E18,Parametros!$A$2:$A$9,0))</f>
        <v>6976.8468</v>
      </c>
      <c r="AB18" s="17" t="n">
        <f aca="false">Z18+AA18</f>
        <v>355819.1868</v>
      </c>
      <c r="AC18" s="18" t="n">
        <v>353342.54</v>
      </c>
      <c r="AD18" s="17" t="n">
        <f aca="false">AC18-AB18</f>
        <v>-2476.64679999999</v>
      </c>
      <c r="AE18" s="17" t="n">
        <f aca="false">AA18+AD18</f>
        <v>4500.20000000001</v>
      </c>
      <c r="AF18" s="19" t="n">
        <f aca="false">IF(Z18&gt;0,AE18/Z18,0)</f>
        <v>0.0129003835944915</v>
      </c>
      <c r="AG18" s="16" t="n">
        <f aca="false">(U18-W18)*INDEX(Parametros!$H$2:$H$9,MATCH($E18,Parametros!$A$2:$A$9,0))+W18*INDEX(Parametros!$H$2:$H$9,MATCH($E18,Parametros!$A$2:$A$9,0))*Parametros!$N$3</f>
        <v>59508.225</v>
      </c>
      <c r="AH18" s="13" t="n">
        <v>39711</v>
      </c>
      <c r="AI18" s="16" t="n">
        <f aca="false">AH18*Parametros!$N$2</f>
        <v>3653.412</v>
      </c>
      <c r="AJ18" s="18" t="n">
        <v>15586</v>
      </c>
      <c r="AK18" s="18" t="n">
        <v>2497</v>
      </c>
      <c r="AL18" s="17" t="n">
        <f aca="false">AG18+AI18+AJ18+AK18</f>
        <v>81244.637</v>
      </c>
      <c r="AM18" s="20" t="n">
        <f aca="false">IF(L18&gt;0,AL18/L18,0)</f>
        <v>0.0978171042540306</v>
      </c>
      <c r="AN18" s="16" t="n">
        <f aca="false">L18*INDEX(Parametros!$G$2:$G$9,MATCH($E18,Parametros!$A$2:$A$9,0))</f>
        <v>589709.67</v>
      </c>
      <c r="AO18" s="17" t="n">
        <f aca="false">AN18-AC18-AL18</f>
        <v>155122.493</v>
      </c>
      <c r="AP18" s="15" t="n">
        <f aca="false">IF(AN18&gt;0,AO18/AN18,0)</f>
        <v>0.263048922022934</v>
      </c>
      <c r="AQ18" s="16" t="n">
        <f aca="false">INDEX(Parametros!$I$2:$I$9,MATCH($E18,Parametros!$A$2:$A$9,0))</f>
        <v>29300000</v>
      </c>
      <c r="AR18" s="19" t="n">
        <f aca="false">IF(AQ18&gt;0,AO18/AQ18,0)</f>
        <v>0.00529428303754266</v>
      </c>
    </row>
    <row r="19" customFormat="false" ht="15" hidden="false" customHeight="false" outlineLevel="0" collapsed="false">
      <c r="A19" s="5" t="s">
        <v>154</v>
      </c>
      <c r="B19" s="9" t="n">
        <v>45565</v>
      </c>
      <c r="C19" s="2" t="str">
        <f aca="false">TEXT(B19,"yyyy")</f>
        <v>2024</v>
      </c>
      <c r="D19" s="2" t="n">
        <f aca="false">WEEKNUM(B19,2)</f>
        <v>40</v>
      </c>
      <c r="E19" s="5" t="s">
        <v>132</v>
      </c>
      <c r="F19" s="6" t="str">
        <f aca="false">INDEX(Parametros!$B$2:$B$9,MATCH($E19,Parametros!$A$2:$A$9,0))</f>
        <v>Mayonesa frasco</v>
      </c>
      <c r="G19" s="10" t="n">
        <v>119.5</v>
      </c>
      <c r="H19" s="10" t="n">
        <v>7.5</v>
      </c>
      <c r="I19" s="11" t="n">
        <f aca="false">SUMIFS(Eventos_Paro!$J$2:$J$2186,Eventos_Paro!$D$2:$D$2186,$E19,Eventos_Paro!$B$2:$B$2186,$B19)</f>
        <v>0</v>
      </c>
      <c r="J19" s="12" t="n">
        <f aca="false">G19-H19-I19</f>
        <v>112</v>
      </c>
      <c r="K19" s="13" t="n">
        <v>585797</v>
      </c>
      <c r="L19" s="13" t="n">
        <v>626569</v>
      </c>
      <c r="M19" s="13" t="n">
        <v>15050</v>
      </c>
      <c r="N19" s="14" t="n">
        <f aca="false">L19+M19</f>
        <v>641619</v>
      </c>
      <c r="O19" s="11" t="n">
        <f aca="false">INDEX(Parametros!$D$2:$D$9,MATCH($E19,Parametros!$A$2:$A$9,0))</f>
        <v>6500</v>
      </c>
      <c r="P19" s="15" t="n">
        <f aca="false">IF((G19-H19)&gt;0,J19/(G19-H19),0)</f>
        <v>1</v>
      </c>
      <c r="Q19" s="15" t="n">
        <f aca="false">IF(J19*O19&gt;0,N19/(O19*J19),0)</f>
        <v>0.88134478021978</v>
      </c>
      <c r="R19" s="15" t="n">
        <f aca="false">IF(N19&gt;0,L19/N19,0)</f>
        <v>0.976543712078352</v>
      </c>
      <c r="S19" s="15" t="n">
        <f aca="false">P19*Q19*R19</f>
        <v>0.860671703296703</v>
      </c>
      <c r="T19" s="15" t="n">
        <f aca="false">IF(K19&gt;0,L19/K19,0)</f>
        <v>1.06960090270179</v>
      </c>
      <c r="U19" s="10" t="n">
        <v>1817.4</v>
      </c>
      <c r="V19" s="5" t="n">
        <v>14</v>
      </c>
      <c r="W19" s="10" t="n">
        <v>144.4</v>
      </c>
      <c r="X19" s="15" t="n">
        <f aca="false">IF(U19&gt;0,W19/U19,0)</f>
        <v>0.0794541652910752</v>
      </c>
      <c r="Y19" s="12" t="n">
        <f aca="false">IF(U19&gt;0,L19/U19,0)</f>
        <v>344.761197314845</v>
      </c>
      <c r="Z19" s="16" t="n">
        <f aca="false">L19*INDEX(Parametros!$E$2:$E$9,MATCH($E19,Parametros!$A$2:$A$9,0))</f>
        <v>382207.09</v>
      </c>
      <c r="AA19" s="16" t="n">
        <f aca="false">Z19*INDEX(Parametros!$F$2:$F$9,MATCH($E19,Parametros!$A$2:$A$9,0))</f>
        <v>9555.17725</v>
      </c>
      <c r="AB19" s="17" t="n">
        <f aca="false">Z19+AA19</f>
        <v>391762.26725</v>
      </c>
      <c r="AC19" s="18" t="n">
        <v>389971.71</v>
      </c>
      <c r="AD19" s="17" t="n">
        <f aca="false">AC19-AB19</f>
        <v>-1790.55724999995</v>
      </c>
      <c r="AE19" s="17" t="n">
        <f aca="false">AA19+AD19</f>
        <v>7764.62000000004</v>
      </c>
      <c r="AF19" s="19" t="n">
        <f aca="false">IF(Z19&gt;0,AE19/Z19,0)</f>
        <v>0.0203152170725039</v>
      </c>
      <c r="AG19" s="16" t="n">
        <f aca="false">(U19-W19)*INDEX(Parametros!$H$2:$H$9,MATCH($E19,Parametros!$A$2:$A$9,0))+W19*INDEX(Parametros!$H$2:$H$9,MATCH($E19,Parametros!$A$2:$A$9,0))*Parametros!$N$3</f>
        <v>59522.4</v>
      </c>
      <c r="AH19" s="13" t="n">
        <v>31504</v>
      </c>
      <c r="AI19" s="16" t="n">
        <f aca="false">AH19*Parametros!$N$2</f>
        <v>2898.368</v>
      </c>
      <c r="AJ19" s="18" t="n">
        <v>13572</v>
      </c>
      <c r="AK19" s="18" t="n">
        <v>0</v>
      </c>
      <c r="AL19" s="17" t="n">
        <f aca="false">AG19+AI19+AJ19+AK19</f>
        <v>75992.768</v>
      </c>
      <c r="AM19" s="20" t="n">
        <f aca="false">IF(L19&gt;0,AL19/L19,0)</f>
        <v>0.121283957552959</v>
      </c>
      <c r="AN19" s="16" t="n">
        <f aca="false">L19*INDEX(Parametros!$G$2:$G$9,MATCH($E19,Parametros!$A$2:$A$9,0))</f>
        <v>601506.24</v>
      </c>
      <c r="AO19" s="17" t="n">
        <f aca="false">AN19-AC19-AL19</f>
        <v>135541.762</v>
      </c>
      <c r="AP19" s="15" t="n">
        <f aca="false">IF(AN19&gt;0,AO19/AN19,0)</f>
        <v>0.225337250034181</v>
      </c>
      <c r="AQ19" s="16" t="n">
        <f aca="false">INDEX(Parametros!$I$2:$I$9,MATCH($E19,Parametros!$A$2:$A$9,0))</f>
        <v>29700000</v>
      </c>
      <c r="AR19" s="19" t="n">
        <f aca="false">IF(AQ19&gt;0,AO19/AQ19,0)</f>
        <v>0.00456369569023569</v>
      </c>
    </row>
    <row r="20" customFormat="false" ht="15" hidden="false" customHeight="false" outlineLevel="0" collapsed="false">
      <c r="A20" s="5" t="s">
        <v>155</v>
      </c>
      <c r="B20" s="9" t="n">
        <v>45565</v>
      </c>
      <c r="C20" s="2" t="str">
        <f aca="false">TEXT(B20,"yyyy")</f>
        <v>2024</v>
      </c>
      <c r="D20" s="2" t="n">
        <f aca="false">WEEKNUM(B20,2)</f>
        <v>40</v>
      </c>
      <c r="E20" s="5" t="s">
        <v>134</v>
      </c>
      <c r="F20" s="6" t="str">
        <f aca="false">INDEX(Parametros!$B$2:$B$9,MATCH($E20,Parametros!$A$2:$A$9,0))</f>
        <v>Aderezos vertibles</v>
      </c>
      <c r="G20" s="10" t="n">
        <v>114.1</v>
      </c>
      <c r="H20" s="10" t="n">
        <v>7.4</v>
      </c>
      <c r="I20" s="11" t="n">
        <f aca="false">SUMIFS(Eventos_Paro!$J$2:$J$2186,Eventos_Paro!$D$2:$D$2186,$E20,Eventos_Paro!$B$2:$B$2186,$B20)</f>
        <v>3.43333333333333</v>
      </c>
      <c r="J20" s="12" t="n">
        <f aca="false">G20-H20-I20</f>
        <v>103.266666666667</v>
      </c>
      <c r="K20" s="13" t="n">
        <v>446461</v>
      </c>
      <c r="L20" s="13" t="n">
        <v>421549</v>
      </c>
      <c r="M20" s="13" t="n">
        <v>12258</v>
      </c>
      <c r="N20" s="14" t="n">
        <f aca="false">L20+M20</f>
        <v>433807</v>
      </c>
      <c r="O20" s="11" t="n">
        <f aca="false">INDEX(Parametros!$D$2:$D$9,MATCH($E20,Parametros!$A$2:$A$9,0))</f>
        <v>5200</v>
      </c>
      <c r="P20" s="15" t="n">
        <f aca="false">IF((G20-H20)&gt;0,J20/(G20-H20),0)</f>
        <v>0.967822555451421</v>
      </c>
      <c r="Q20" s="15" t="n">
        <f aca="false">IF(J20*O20&gt;0,N20/(O20*J20),0)</f>
        <v>0.807854322888216</v>
      </c>
      <c r="R20" s="15" t="n">
        <f aca="false">IF(N20&gt;0,L20/N20,0)</f>
        <v>0.97174319455426</v>
      </c>
      <c r="S20" s="15" t="n">
        <f aca="false">P20*Q20*R20</f>
        <v>0.759766779612141</v>
      </c>
      <c r="T20" s="15" t="n">
        <f aca="false">IF(K20&gt;0,L20/K20,0)</f>
        <v>0.944201173226777</v>
      </c>
      <c r="U20" s="10" t="n">
        <v>1468.9</v>
      </c>
      <c r="V20" s="5" t="n">
        <v>12</v>
      </c>
      <c r="W20" s="10" t="n">
        <v>99.7</v>
      </c>
      <c r="X20" s="15" t="n">
        <f aca="false">IF(U20&gt;0,W20/U20,0)</f>
        <v>0.0678739192593097</v>
      </c>
      <c r="Y20" s="12" t="n">
        <f aca="false">IF(U20&gt;0,L20/U20,0)</f>
        <v>286.982776227109</v>
      </c>
      <c r="Z20" s="16" t="n">
        <f aca="false">L20*INDEX(Parametros!$E$2:$E$9,MATCH($E20,Parametros!$A$2:$A$9,0))</f>
        <v>231851.95</v>
      </c>
      <c r="AA20" s="16" t="n">
        <f aca="false">Z20*INDEX(Parametros!$F$2:$F$9,MATCH($E20,Parametros!$A$2:$A$9,0))</f>
        <v>6955.5585</v>
      </c>
      <c r="AB20" s="17" t="n">
        <f aca="false">Z20+AA20</f>
        <v>238807.5085</v>
      </c>
      <c r="AC20" s="18" t="n">
        <v>235044.69</v>
      </c>
      <c r="AD20" s="17" t="n">
        <f aca="false">AC20-AB20</f>
        <v>-3762.81850000002</v>
      </c>
      <c r="AE20" s="17" t="n">
        <f aca="false">AA20+AD20</f>
        <v>3192.73999999998</v>
      </c>
      <c r="AF20" s="19" t="n">
        <f aca="false">IF(Z20&gt;0,AE20/Z20,0)</f>
        <v>0.0137705980044592</v>
      </c>
      <c r="AG20" s="16" t="n">
        <f aca="false">(U20-W20)*INDEX(Parametros!$H$2:$H$9,MATCH($E20,Parametros!$A$2:$A$9,0))+W20*INDEX(Parametros!$H$2:$H$9,MATCH($E20,Parametros!$A$2:$A$9,0))*Parametros!$N$3</f>
        <v>47840.625</v>
      </c>
      <c r="AH20" s="13" t="n">
        <v>22942</v>
      </c>
      <c r="AI20" s="16" t="n">
        <f aca="false">AH20*Parametros!$N$2</f>
        <v>2110.664</v>
      </c>
      <c r="AJ20" s="18" t="n">
        <v>11726</v>
      </c>
      <c r="AK20" s="18" t="n">
        <v>2929</v>
      </c>
      <c r="AL20" s="17" t="n">
        <f aca="false">AG20+AI20+AJ20+AK20</f>
        <v>64606.289</v>
      </c>
      <c r="AM20" s="20" t="n">
        <f aca="false">IF(L20&gt;0,AL20/L20,0)</f>
        <v>0.153259262861494</v>
      </c>
      <c r="AN20" s="16" t="n">
        <f aca="false">L20*INDEX(Parametros!$G$2:$G$9,MATCH($E20,Parametros!$A$2:$A$9,0))</f>
        <v>429979.98</v>
      </c>
      <c r="AO20" s="17" t="n">
        <f aca="false">AN20-AC20-AL20</f>
        <v>130329.001</v>
      </c>
      <c r="AP20" s="15" t="n">
        <f aca="false">IF(AN20&gt;0,AO20/AN20,0)</f>
        <v>0.303104811996131</v>
      </c>
      <c r="AQ20" s="16" t="n">
        <f aca="false">INDEX(Parametros!$I$2:$I$9,MATCH($E20,Parametros!$A$2:$A$9,0))</f>
        <v>19300000</v>
      </c>
      <c r="AR20" s="19" t="n">
        <f aca="false">IF(AQ20&gt;0,AO20/AQ20,0)</f>
        <v>0.00675279797927461</v>
      </c>
    </row>
    <row r="21" customFormat="false" ht="15" hidden="false" customHeight="false" outlineLevel="0" collapsed="false">
      <c r="A21" s="5" t="s">
        <v>156</v>
      </c>
      <c r="B21" s="9" t="n">
        <v>45565</v>
      </c>
      <c r="C21" s="2" t="str">
        <f aca="false">TEXT(B21,"yyyy")</f>
        <v>2024</v>
      </c>
      <c r="D21" s="2" t="n">
        <f aca="false">WEEKNUM(B21,2)</f>
        <v>40</v>
      </c>
      <c r="E21" s="5" t="s">
        <v>136</v>
      </c>
      <c r="F21" s="6" t="str">
        <f aca="false">INDEX(Parametros!$B$2:$B$9,MATCH($E21,Parametros!$A$2:$A$9,0))</f>
        <v>Salsa BBQ</v>
      </c>
      <c r="G21" s="10" t="n">
        <v>88.5</v>
      </c>
      <c r="H21" s="10" t="n">
        <v>8.1</v>
      </c>
      <c r="I21" s="11" t="n">
        <f aca="false">SUMIFS(Eventos_Paro!$J$2:$J$2186,Eventos_Paro!$D$2:$D$2186,$E21,Eventos_Paro!$B$2:$B$2186,$B21)</f>
        <v>1.11666666666667</v>
      </c>
      <c r="J21" s="12" t="n">
        <f aca="false">G21-H21-I21</f>
        <v>79.2833333333334</v>
      </c>
      <c r="K21" s="13" t="n">
        <v>316838</v>
      </c>
      <c r="L21" s="13" t="n">
        <v>315259</v>
      </c>
      <c r="M21" s="13" t="n">
        <v>7697</v>
      </c>
      <c r="N21" s="14" t="n">
        <f aca="false">L21+M21</f>
        <v>322956</v>
      </c>
      <c r="O21" s="11" t="n">
        <f aca="false">INDEX(Parametros!$D$2:$D$9,MATCH($E21,Parametros!$A$2:$A$9,0))</f>
        <v>4800</v>
      </c>
      <c r="P21" s="15" t="n">
        <f aca="false">IF((G21-H21)&gt;0,J21/(G21-H21),0)</f>
        <v>0.986111111111111</v>
      </c>
      <c r="Q21" s="15" t="n">
        <f aca="false">IF(J21*O21&gt;0,N21/(O21*J21),0)</f>
        <v>0.848633592600378</v>
      </c>
      <c r="R21" s="15" t="n">
        <f aca="false">IF(N21&gt;0,L21/N21,0)</f>
        <v>0.976167032041516</v>
      </c>
      <c r="S21" s="15" t="n">
        <f aca="false">P21*Q21*R21</f>
        <v>0.816902466832504</v>
      </c>
      <c r="T21" s="15" t="n">
        <f aca="false">IF(K21&gt;0,L21/K21,0)</f>
        <v>0.995016380610912</v>
      </c>
      <c r="U21" s="10" t="n">
        <v>1044.9</v>
      </c>
      <c r="V21" s="5" t="n">
        <v>11</v>
      </c>
      <c r="W21" s="10" t="n">
        <v>71.4</v>
      </c>
      <c r="X21" s="15" t="n">
        <f aca="false">IF(U21&gt;0,W21/U21,0)</f>
        <v>0.0683318977892621</v>
      </c>
      <c r="Y21" s="12" t="n">
        <f aca="false">IF(U21&gt;0,L21/U21,0)</f>
        <v>301.712125562255</v>
      </c>
      <c r="Z21" s="16" t="n">
        <f aca="false">L21*INDEX(Parametros!$E$2:$E$9,MATCH($E21,Parametros!$A$2:$A$9,0))</f>
        <v>182850.22</v>
      </c>
      <c r="AA21" s="16" t="n">
        <f aca="false">Z21*INDEX(Parametros!$F$2:$F$9,MATCH($E21,Parametros!$A$2:$A$9,0))</f>
        <v>5119.80616</v>
      </c>
      <c r="AB21" s="17" t="n">
        <f aca="false">Z21+AA21</f>
        <v>187970.02616</v>
      </c>
      <c r="AC21" s="18" t="n">
        <v>187686.37</v>
      </c>
      <c r="AD21" s="17" t="n">
        <f aca="false">AC21-AB21</f>
        <v>-283.656160000013</v>
      </c>
      <c r="AE21" s="17" t="n">
        <f aca="false">AA21+AD21</f>
        <v>4836.14999999999</v>
      </c>
      <c r="AF21" s="19" t="n">
        <f aca="false">IF(Z21&gt;0,AE21/Z21,0)</f>
        <v>0.0264486966436244</v>
      </c>
      <c r="AG21" s="16" t="n">
        <f aca="false">(U21-W21)*INDEX(Parametros!$H$2:$H$9,MATCH($E21,Parametros!$A$2:$A$9,0))+W21*INDEX(Parametros!$H$2:$H$9,MATCH($E21,Parametros!$A$2:$A$9,0))*Parametros!$N$3</f>
        <v>34038.9</v>
      </c>
      <c r="AH21" s="13" t="n">
        <v>15602</v>
      </c>
      <c r="AI21" s="16" t="n">
        <f aca="false">AH21*Parametros!$N$2</f>
        <v>1435.384</v>
      </c>
      <c r="AJ21" s="18" t="n">
        <v>9621</v>
      </c>
      <c r="AK21" s="18" t="n">
        <v>942</v>
      </c>
      <c r="AL21" s="17" t="n">
        <f aca="false">AG21+AI21+AJ21+AK21</f>
        <v>46037.284</v>
      </c>
      <c r="AM21" s="20" t="n">
        <f aca="false">IF(L21&gt;0,AL21/L21,0)</f>
        <v>0.1460300387935</v>
      </c>
      <c r="AN21" s="16" t="n">
        <f aca="false">L21*INDEX(Parametros!$G$2:$G$9,MATCH($E21,Parametros!$A$2:$A$9,0))</f>
        <v>308953.82</v>
      </c>
      <c r="AO21" s="17" t="n">
        <f aca="false">AN21-AC21-AL21</f>
        <v>75230.166</v>
      </c>
      <c r="AP21" s="15" t="n">
        <f aca="false">IF(AN21&gt;0,AO21/AN21,0)</f>
        <v>0.243499711380814</v>
      </c>
      <c r="AQ21" s="16" t="n">
        <f aca="false">INDEX(Parametros!$I$2:$I$9,MATCH($E21,Parametros!$A$2:$A$9,0))</f>
        <v>17000000</v>
      </c>
      <c r="AR21" s="19" t="n">
        <f aca="false">IF(AQ21&gt;0,AO21/AQ21,0)</f>
        <v>0.00442530388235294</v>
      </c>
    </row>
    <row r="22" customFormat="false" ht="15" hidden="false" customHeight="false" outlineLevel="0" collapsed="false">
      <c r="A22" s="5" t="s">
        <v>157</v>
      </c>
      <c r="B22" s="9" t="n">
        <v>45565</v>
      </c>
      <c r="C22" s="2" t="str">
        <f aca="false">TEXT(B22,"yyyy")</f>
        <v>2024</v>
      </c>
      <c r="D22" s="2" t="n">
        <f aca="false">WEEKNUM(B22,2)</f>
        <v>40</v>
      </c>
      <c r="E22" s="5" t="s">
        <v>138</v>
      </c>
      <c r="F22" s="6" t="str">
        <f aca="false">INDEX(Parametros!$B$2:$B$9,MATCH($E22,Parametros!$A$2:$A$9,0))</f>
        <v>Queso crema</v>
      </c>
      <c r="G22" s="10" t="n">
        <v>118.9</v>
      </c>
      <c r="H22" s="10" t="n">
        <v>6.7</v>
      </c>
      <c r="I22" s="11" t="n">
        <f aca="false">SUMIFS(Eventos_Paro!$J$2:$J$2186,Eventos_Paro!$D$2:$D$2186,$E22,Eventos_Paro!$B$2:$B$2186,$B22)</f>
        <v>1.08333333333333</v>
      </c>
      <c r="J22" s="12" t="n">
        <f aca="false">G22-H22-I22</f>
        <v>111.116666666667</v>
      </c>
      <c r="K22" s="13" t="n">
        <v>343077</v>
      </c>
      <c r="L22" s="13" t="n">
        <v>387338</v>
      </c>
      <c r="M22" s="13" t="n">
        <v>15201</v>
      </c>
      <c r="N22" s="14" t="n">
        <f aca="false">L22+M22</f>
        <v>402539</v>
      </c>
      <c r="O22" s="11" t="n">
        <f aca="false">INDEX(Parametros!$D$2:$D$9,MATCH($E22,Parametros!$A$2:$A$9,0))</f>
        <v>3800</v>
      </c>
      <c r="P22" s="15" t="n">
        <f aca="false">IF((G22-H22)&gt;0,J22/(G22-H22),0)</f>
        <v>0.990344622697564</v>
      </c>
      <c r="Q22" s="15" t="n">
        <f aca="false">IF(J22*O22&gt;0,N22/(O22*J22),0)</f>
        <v>0.953334175396493</v>
      </c>
      <c r="R22" s="15" t="n">
        <f aca="false">IF(N22&gt;0,L22/N22,0)</f>
        <v>0.962237199376955</v>
      </c>
      <c r="S22" s="15" t="n">
        <f aca="false">P22*Q22*R22</f>
        <v>0.908476404916033</v>
      </c>
      <c r="T22" s="15" t="n">
        <f aca="false">IF(K22&gt;0,L22/K22,0)</f>
        <v>1.12901185448165</v>
      </c>
      <c r="U22" s="10" t="n">
        <v>1864</v>
      </c>
      <c r="V22" s="5" t="n">
        <v>15</v>
      </c>
      <c r="W22" s="10" t="n">
        <v>80.5</v>
      </c>
      <c r="X22" s="15" t="n">
        <f aca="false">IF(U22&gt;0,W22/U22,0)</f>
        <v>0.04318669527897</v>
      </c>
      <c r="Y22" s="12" t="n">
        <f aca="false">IF(U22&gt;0,L22/U22,0)</f>
        <v>207.799356223176</v>
      </c>
      <c r="Z22" s="16" t="n">
        <f aca="false">L22*INDEX(Parametros!$E$2:$E$9,MATCH($E22,Parametros!$A$2:$A$9,0))</f>
        <v>433818.56</v>
      </c>
      <c r="AA22" s="16" t="n">
        <f aca="false">Z22*INDEX(Parametros!$F$2:$F$9,MATCH($E22,Parametros!$A$2:$A$9,0))</f>
        <v>15183.6496</v>
      </c>
      <c r="AB22" s="17" t="n">
        <f aca="false">Z22+AA22</f>
        <v>449002.2096</v>
      </c>
      <c r="AC22" s="18" t="n">
        <v>436684.81</v>
      </c>
      <c r="AD22" s="17" t="n">
        <f aca="false">AC22-AB22</f>
        <v>-12317.3996000001</v>
      </c>
      <c r="AE22" s="17" t="n">
        <f aca="false">AA22+AD22</f>
        <v>2866.24999999994</v>
      </c>
      <c r="AF22" s="19" t="n">
        <f aca="false">IF(Z22&gt;0,AE22/Z22,0)</f>
        <v>0.00660702483545181</v>
      </c>
      <c r="AG22" s="16" t="n">
        <f aca="false">(U22-W22)*INDEX(Parametros!$H$2:$H$9,MATCH($E22,Parametros!$A$2:$A$9,0))+W22*INDEX(Parametros!$H$2:$H$9,MATCH($E22,Parametros!$A$2:$A$9,0))*Parametros!$N$3</f>
        <v>62840.25</v>
      </c>
      <c r="AH22" s="13" t="n">
        <v>19775</v>
      </c>
      <c r="AI22" s="16" t="n">
        <f aca="false">AH22*Parametros!$N$2</f>
        <v>1819.3</v>
      </c>
      <c r="AJ22" s="18" t="n">
        <v>18921</v>
      </c>
      <c r="AK22" s="18" t="n">
        <v>1065</v>
      </c>
      <c r="AL22" s="17" t="n">
        <f aca="false">AG22+AI22+AJ22+AK22</f>
        <v>84645.55</v>
      </c>
      <c r="AM22" s="20" t="n">
        <f aca="false">IF(L22&gt;0,AL22/L22,0)</f>
        <v>0.218531489293589</v>
      </c>
      <c r="AN22" s="16" t="n">
        <f aca="false">L22*INDEX(Parametros!$G$2:$G$9,MATCH($E22,Parametros!$A$2:$A$9,0))</f>
        <v>693335.02</v>
      </c>
      <c r="AO22" s="17" t="n">
        <f aca="false">AN22-AC22-AL22</f>
        <v>172004.66</v>
      </c>
      <c r="AP22" s="15" t="n">
        <f aca="false">IF(AN22&gt;0,AO22/AN22,0)</f>
        <v>0.248083040721064</v>
      </c>
      <c r="AQ22" s="16" t="n">
        <f aca="false">INDEX(Parametros!$I$2:$I$9,MATCH($E22,Parametros!$A$2:$A$9,0))</f>
        <v>33200000</v>
      </c>
      <c r="AR22" s="19" t="n">
        <f aca="false">IF(AQ22&gt;0,AO22/AQ22,0)</f>
        <v>0.00518086325301205</v>
      </c>
    </row>
    <row r="23" customFormat="false" ht="15" hidden="false" customHeight="false" outlineLevel="0" collapsed="false">
      <c r="A23" s="5" t="s">
        <v>158</v>
      </c>
      <c r="B23" s="9" t="n">
        <v>45565</v>
      </c>
      <c r="C23" s="2" t="str">
        <f aca="false">TEXT(B23,"yyyy")</f>
        <v>2024</v>
      </c>
      <c r="D23" s="2" t="n">
        <f aca="false">WEEKNUM(B23,2)</f>
        <v>40</v>
      </c>
      <c r="E23" s="5" t="s">
        <v>140</v>
      </c>
      <c r="F23" s="6" t="str">
        <f aca="false">INDEX(Parametros!$B$2:$B$9,MATCH($E23,Parametros!$A$2:$A$9,0))</f>
        <v>Crema de cacahuate</v>
      </c>
      <c r="G23" s="10" t="n">
        <v>101.5</v>
      </c>
      <c r="H23" s="10" t="n">
        <v>8.8</v>
      </c>
      <c r="I23" s="11" t="n">
        <f aca="false">SUMIFS(Eventos_Paro!$J$2:$J$2186,Eventos_Paro!$D$2:$D$2186,$E23,Eventos_Paro!$B$2:$B$2186,$B23)</f>
        <v>2.63333333333333</v>
      </c>
      <c r="J23" s="12" t="n">
        <f aca="false">G23-H23-I23</f>
        <v>90.0666666666667</v>
      </c>
      <c r="K23" s="13" t="n">
        <v>313288</v>
      </c>
      <c r="L23" s="13" t="n">
        <v>319569</v>
      </c>
      <c r="M23" s="13" t="n">
        <v>7636</v>
      </c>
      <c r="N23" s="14" t="n">
        <f aca="false">L23+M23</f>
        <v>327205</v>
      </c>
      <c r="O23" s="11" t="n">
        <f aca="false">INDEX(Parametros!$D$2:$D$9,MATCH($E23,Parametros!$A$2:$A$9,0))</f>
        <v>4200</v>
      </c>
      <c r="P23" s="15" t="n">
        <f aca="false">IF((G23-H23)&gt;0,J23/(G23-H23),0)</f>
        <v>0.971592952175476</v>
      </c>
      <c r="Q23" s="15" t="n">
        <f aca="false">IF(J23*O23&gt;0,N23/(O23*J23),0)</f>
        <v>0.864980966479856</v>
      </c>
      <c r="R23" s="15" t="n">
        <f aca="false">IF(N23&gt;0,L23/N23,0)</f>
        <v>0.97666294830458</v>
      </c>
      <c r="S23" s="15" t="n">
        <f aca="false">P23*Q23*R23</f>
        <v>0.820796732932655</v>
      </c>
      <c r="T23" s="15" t="n">
        <f aca="false">IF(K23&gt;0,L23/K23,0)</f>
        <v>1.02004864533592</v>
      </c>
      <c r="U23" s="10" t="n">
        <v>1377.1</v>
      </c>
      <c r="V23" s="5" t="n">
        <v>13</v>
      </c>
      <c r="W23" s="10" t="n">
        <v>57.6</v>
      </c>
      <c r="X23" s="15" t="n">
        <f aca="false">IF(U23&gt;0,W23/U23,0)</f>
        <v>0.0418270278120688</v>
      </c>
      <c r="Y23" s="12" t="n">
        <f aca="false">IF(U23&gt;0,L23/U23,0)</f>
        <v>232.059400188803</v>
      </c>
      <c r="Z23" s="16" t="n">
        <f aca="false">L23*INDEX(Parametros!$E$2:$E$9,MATCH($E23,Parametros!$A$2:$A$9,0))</f>
        <v>309981.93</v>
      </c>
      <c r="AA23" s="16" t="n">
        <f aca="false">Z23*INDEX(Parametros!$F$2:$F$9,MATCH($E23,Parametros!$A$2:$A$9,0))</f>
        <v>6819.60246</v>
      </c>
      <c r="AB23" s="17" t="n">
        <f aca="false">Z23+AA23</f>
        <v>316801.53246</v>
      </c>
      <c r="AC23" s="18" t="n">
        <v>318578.79</v>
      </c>
      <c r="AD23" s="17" t="n">
        <f aca="false">AC23-AB23</f>
        <v>1777.25753999996</v>
      </c>
      <c r="AE23" s="17" t="n">
        <f aca="false">AA23+AD23</f>
        <v>8596.85999999996</v>
      </c>
      <c r="AF23" s="19" t="n">
        <f aca="false">IF(Z23&gt;0,AE23/Z23,0)</f>
        <v>0.0277334230417882</v>
      </c>
      <c r="AG23" s="16" t="n">
        <f aca="false">(U23-W23)*INDEX(Parametros!$H$2:$H$9,MATCH($E23,Parametros!$A$2:$A$9,0))+W23*INDEX(Parametros!$H$2:$H$9,MATCH($E23,Parametros!$A$2:$A$9,0))*Parametros!$N$3</f>
        <v>44285.85</v>
      </c>
      <c r="AH23" s="13" t="n">
        <v>17235</v>
      </c>
      <c r="AI23" s="16" t="n">
        <f aca="false">AH23*Parametros!$N$2</f>
        <v>1585.62</v>
      </c>
      <c r="AJ23" s="18" t="n">
        <v>13303</v>
      </c>
      <c r="AK23" s="18" t="n">
        <v>1875</v>
      </c>
      <c r="AL23" s="17" t="n">
        <f aca="false">AG23+AI23+AJ23+AK23</f>
        <v>61049.47</v>
      </c>
      <c r="AM23" s="20" t="n">
        <f aca="false">IF(L23&gt;0,AL23/L23,0)</f>
        <v>0.191036896570068</v>
      </c>
      <c r="AN23" s="16" t="n">
        <f aca="false">L23*INDEX(Parametros!$G$2:$G$9,MATCH($E23,Parametros!$A$2:$A$9,0))</f>
        <v>517701.78</v>
      </c>
      <c r="AO23" s="17" t="n">
        <f aca="false">AN23-AC23-AL23</f>
        <v>138073.52</v>
      </c>
      <c r="AP23" s="15" t="n">
        <f aca="false">IF(AN23&gt;0,AO23/AN23,0)</f>
        <v>0.266704742641604</v>
      </c>
      <c r="AQ23" s="16" t="n">
        <f aca="false">INDEX(Parametros!$I$2:$I$9,MATCH($E23,Parametros!$A$2:$A$9,0))</f>
        <v>28000000</v>
      </c>
      <c r="AR23" s="19" t="n">
        <f aca="false">IF(AQ23&gt;0,AO23/AQ23,0)</f>
        <v>0.00493119714285714</v>
      </c>
    </row>
    <row r="24" customFormat="false" ht="15" hidden="false" customHeight="false" outlineLevel="0" collapsed="false">
      <c r="A24" s="5" t="s">
        <v>159</v>
      </c>
      <c r="B24" s="9" t="n">
        <v>45565</v>
      </c>
      <c r="C24" s="2" t="str">
        <f aca="false">TEXT(B24,"yyyy")</f>
        <v>2024</v>
      </c>
      <c r="D24" s="2" t="n">
        <f aca="false">WEEKNUM(B24,2)</f>
        <v>40</v>
      </c>
      <c r="E24" s="5" t="s">
        <v>142</v>
      </c>
      <c r="F24" s="6" t="str">
        <f aca="false">INDEX(Parametros!$B$2:$B$9,MATCH($E24,Parametros!$A$2:$A$9,0))</f>
        <v>Porciones single serve</v>
      </c>
      <c r="G24" s="10" t="n">
        <v>131.8</v>
      </c>
      <c r="H24" s="10" t="n">
        <v>5.8</v>
      </c>
      <c r="I24" s="11" t="n">
        <f aca="false">SUMIFS(Eventos_Paro!$J$2:$J$2186,Eventos_Paro!$D$2:$D$2186,$E24,Eventos_Paro!$B$2:$B$2186,$B24)</f>
        <v>2.78333333333333</v>
      </c>
      <c r="J24" s="12" t="n">
        <f aca="false">G24-H24-I24</f>
        <v>123.216666666667</v>
      </c>
      <c r="K24" s="13" t="n">
        <v>263608</v>
      </c>
      <c r="L24" s="13" t="n">
        <v>237181</v>
      </c>
      <c r="M24" s="13" t="n">
        <v>12083</v>
      </c>
      <c r="N24" s="14" t="n">
        <f aca="false">L24+M24</f>
        <v>249264</v>
      </c>
      <c r="O24" s="11" t="n">
        <f aca="false">INDEX(Parametros!$D$2:$D$9,MATCH($E24,Parametros!$A$2:$A$9,0))</f>
        <v>2600</v>
      </c>
      <c r="P24" s="15" t="n">
        <f aca="false">IF((G24-H24)&gt;0,J24/(G24-H24),0)</f>
        <v>0.977910052910053</v>
      </c>
      <c r="Q24" s="15" t="n">
        <f aca="false">IF(J24*O24&gt;0,N24/(O24*J24),0)</f>
        <v>0.778066570248364</v>
      </c>
      <c r="R24" s="15" t="n">
        <f aca="false">IF(N24&gt;0,L24/N24,0)</f>
        <v>0.9515252904551</v>
      </c>
      <c r="S24" s="15" t="n">
        <f aca="false">P24*Q24*R24</f>
        <v>0.723995726495727</v>
      </c>
      <c r="T24" s="15" t="n">
        <f aca="false">IF(K24&gt;0,L24/K24,0)</f>
        <v>0.89974886953355</v>
      </c>
      <c r="U24" s="10" t="n">
        <v>2248.7</v>
      </c>
      <c r="V24" s="5" t="n">
        <v>16</v>
      </c>
      <c r="W24" s="10" t="n">
        <v>139.9</v>
      </c>
      <c r="X24" s="15" t="n">
        <f aca="false">IF(U24&gt;0,W24/U24,0)</f>
        <v>0.06221372348468</v>
      </c>
      <c r="Y24" s="12" t="n">
        <f aca="false">IF(U24&gt;0,L24/U24,0)</f>
        <v>105.474718726375</v>
      </c>
      <c r="Z24" s="16" t="n">
        <f aca="false">L24*INDEX(Parametros!$E$2:$E$9,MATCH($E24,Parametros!$A$2:$A$9,0))</f>
        <v>175513.94</v>
      </c>
      <c r="AA24" s="16" t="n">
        <f aca="false">Z24*INDEX(Parametros!$F$2:$F$9,MATCH($E24,Parametros!$A$2:$A$9,0))</f>
        <v>7898.1273</v>
      </c>
      <c r="AB24" s="17" t="n">
        <f aca="false">Z24+AA24</f>
        <v>183412.0673</v>
      </c>
      <c r="AC24" s="18" t="n">
        <v>182374.84</v>
      </c>
      <c r="AD24" s="17" t="n">
        <f aca="false">AC24-AB24</f>
        <v>-1037.2273</v>
      </c>
      <c r="AE24" s="17" t="n">
        <f aca="false">AA24+AD24</f>
        <v>6860.9</v>
      </c>
      <c r="AF24" s="19" t="n">
        <f aca="false">IF(Z24&gt;0,AE24/Z24,0)</f>
        <v>0.0390903423397595</v>
      </c>
      <c r="AG24" s="16" t="n">
        <f aca="false">(U24-W24)*INDEX(Parametros!$H$2:$H$9,MATCH($E24,Parametros!$A$2:$A$9,0))+W24*INDEX(Parametros!$H$2:$H$9,MATCH($E24,Parametros!$A$2:$A$9,0))*Parametros!$N$3</f>
        <v>69559.5</v>
      </c>
      <c r="AH24" s="13" t="n">
        <v>13006</v>
      </c>
      <c r="AI24" s="16" t="n">
        <f aca="false">AH24*Parametros!$N$2</f>
        <v>1196.552</v>
      </c>
      <c r="AJ24" s="18" t="n">
        <v>11484</v>
      </c>
      <c r="AK24" s="18" t="n">
        <v>2487</v>
      </c>
      <c r="AL24" s="17" t="n">
        <f aca="false">AG24+AI24+AJ24+AK24</f>
        <v>84727.052</v>
      </c>
      <c r="AM24" s="20" t="n">
        <f aca="false">IF(L24&gt;0,AL24/L24,0)</f>
        <v>0.357225292076515</v>
      </c>
      <c r="AN24" s="16" t="n">
        <f aca="false">L24*INDEX(Parametros!$G$2:$G$9,MATCH($E24,Parametros!$A$2:$A$9,0))</f>
        <v>407951.32</v>
      </c>
      <c r="AO24" s="17" t="n">
        <f aca="false">AN24-AC24-AL24</f>
        <v>140849.428</v>
      </c>
      <c r="AP24" s="15" t="n">
        <f aca="false">IF(AN24&gt;0,AO24/AN24,0)</f>
        <v>0.345260380576781</v>
      </c>
      <c r="AQ24" s="16" t="n">
        <f aca="false">INDEX(Parametros!$I$2:$I$9,MATCH($E24,Parametros!$A$2:$A$9,0))</f>
        <v>15900000</v>
      </c>
      <c r="AR24" s="19" t="n">
        <f aca="false">IF(AQ24&gt;0,AO24/AQ24,0)</f>
        <v>0.00885845459119497</v>
      </c>
    </row>
    <row r="25" customFormat="false" ht="15" hidden="false" customHeight="false" outlineLevel="0" collapsed="false">
      <c r="A25" s="5" t="s">
        <v>160</v>
      </c>
      <c r="B25" s="9" t="n">
        <v>45565</v>
      </c>
      <c r="C25" s="2" t="str">
        <f aca="false">TEXT(B25,"yyyy")</f>
        <v>2024</v>
      </c>
      <c r="D25" s="2" t="n">
        <f aca="false">WEEKNUM(B25,2)</f>
        <v>40</v>
      </c>
      <c r="E25" s="5" t="s">
        <v>144</v>
      </c>
      <c r="F25" s="6" t="str">
        <f aca="false">INDEX(Parametros!$B$2:$B$9,MATCH($E25,Parametros!$A$2:$A$9,0))</f>
        <v>Salsas picantes</v>
      </c>
      <c r="G25" s="10" t="n">
        <v>105.1</v>
      </c>
      <c r="H25" s="10" t="n">
        <v>5.4</v>
      </c>
      <c r="I25" s="11" t="n">
        <f aca="false">SUMIFS(Eventos_Paro!$J$2:$J$2186,Eventos_Paro!$D$2:$D$2186,$E25,Eventos_Paro!$B$2:$B$2186,$B25)</f>
        <v>0.35</v>
      </c>
      <c r="J25" s="12" t="n">
        <f aca="false">G25-H25-I25</f>
        <v>99.35</v>
      </c>
      <c r="K25" s="13" t="n">
        <v>245726</v>
      </c>
      <c r="L25" s="13" t="n">
        <v>269371</v>
      </c>
      <c r="M25" s="13" t="n">
        <v>7766</v>
      </c>
      <c r="N25" s="14" t="n">
        <f aca="false">L25+M25</f>
        <v>277137</v>
      </c>
      <c r="O25" s="11" t="n">
        <f aca="false">INDEX(Parametros!$D$2:$D$9,MATCH($E25,Parametros!$A$2:$A$9,0))</f>
        <v>3100</v>
      </c>
      <c r="P25" s="15" t="n">
        <f aca="false">IF((G25-H25)&gt;0,J25/(G25-H25),0)</f>
        <v>0.996489468405216</v>
      </c>
      <c r="Q25" s="15" t="n">
        <f aca="false">IF(J25*O25&gt;0,N25/(O25*J25),0)</f>
        <v>0.89983927788691</v>
      </c>
      <c r="R25" s="15" t="n">
        <f aca="false">IF(N25&gt;0,L25/N25,0)</f>
        <v>0.97197775829283</v>
      </c>
      <c r="S25" s="15" t="n">
        <f aca="false">P25*Q25*R25</f>
        <v>0.87155336978678</v>
      </c>
      <c r="T25" s="15" t="n">
        <f aca="false">IF(K25&gt;0,L25/K25,0)</f>
        <v>1.09622506368882</v>
      </c>
      <c r="U25" s="10" t="n">
        <v>964.9</v>
      </c>
      <c r="V25" s="5" t="n">
        <v>9</v>
      </c>
      <c r="W25" s="10" t="n">
        <v>19</v>
      </c>
      <c r="X25" s="15" t="n">
        <f aca="false">IF(U25&gt;0,W25/U25,0)</f>
        <v>0.019691159705669</v>
      </c>
      <c r="Y25" s="12" t="n">
        <f aca="false">IF(U25&gt;0,L25/U25,0)</f>
        <v>279.169862161882</v>
      </c>
      <c r="Z25" s="16" t="n">
        <f aca="false">L25*INDEX(Parametros!$E$2:$E$9,MATCH($E25,Parametros!$A$2:$A$9,0))</f>
        <v>177784.86</v>
      </c>
      <c r="AA25" s="16" t="n">
        <f aca="false">Z25*INDEX(Parametros!$F$2:$F$9,MATCH($E25,Parametros!$A$2:$A$9,0))</f>
        <v>4622.40636</v>
      </c>
      <c r="AB25" s="17" t="n">
        <f aca="false">Z25+AA25</f>
        <v>182407.26636</v>
      </c>
      <c r="AC25" s="18" t="n">
        <v>183177.11</v>
      </c>
      <c r="AD25" s="17" t="n">
        <f aca="false">AC25-AB25</f>
        <v>769.843639999977</v>
      </c>
      <c r="AE25" s="17" t="n">
        <f aca="false">AA25+AD25</f>
        <v>5392.24999999998</v>
      </c>
      <c r="AF25" s="19" t="n">
        <f aca="false">IF(Z25&gt;0,AE25/Z25,0)</f>
        <v>0.0303301979707382</v>
      </c>
      <c r="AG25" s="16" t="n">
        <f aca="false">(U25-W25)*INDEX(Parametros!$H$2:$H$9,MATCH($E25,Parametros!$A$2:$A$9,0))+W25*INDEX(Parametros!$H$2:$H$9,MATCH($E25,Parametros!$A$2:$A$9,0))*Parametros!$N$3</f>
        <v>30693.6</v>
      </c>
      <c r="AH25" s="13" t="n">
        <v>13699</v>
      </c>
      <c r="AI25" s="16" t="n">
        <f aca="false">AH25*Parametros!$N$2</f>
        <v>1260.308</v>
      </c>
      <c r="AJ25" s="18" t="n">
        <v>6737</v>
      </c>
      <c r="AK25" s="18" t="n">
        <v>260</v>
      </c>
      <c r="AL25" s="17" t="n">
        <f aca="false">AG25+AI25+AJ25+AK25</f>
        <v>38950.908</v>
      </c>
      <c r="AM25" s="20" t="n">
        <f aca="false">IF(L25&gt;0,AL25/L25,0)</f>
        <v>0.144599485467998</v>
      </c>
      <c r="AN25" s="16" t="n">
        <f aca="false">L25*INDEX(Parametros!$G$2:$G$9,MATCH($E25,Parametros!$A$2:$A$9,0))</f>
        <v>336713.75</v>
      </c>
      <c r="AO25" s="17" t="n">
        <f aca="false">AN25-AC25-AL25</f>
        <v>114585.732</v>
      </c>
      <c r="AP25" s="15" t="n">
        <f aca="false">IF(AN25&gt;0,AO25/AN25,0)</f>
        <v>0.340306067097052</v>
      </c>
      <c r="AQ25" s="16" t="n">
        <f aca="false">INDEX(Parametros!$I$2:$I$9,MATCH($E25,Parametros!$A$2:$A$9,0))</f>
        <v>13300000</v>
      </c>
      <c r="AR25" s="19" t="n">
        <f aca="false">IF(AQ25&gt;0,AO25/AQ25,0)</f>
        <v>0.00861546857142857</v>
      </c>
    </row>
    <row r="26" customFormat="false" ht="15" hidden="false" customHeight="false" outlineLevel="0" collapsed="false">
      <c r="A26" s="5" t="s">
        <v>161</v>
      </c>
      <c r="B26" s="9" t="n">
        <v>45572</v>
      </c>
      <c r="C26" s="2" t="str">
        <f aca="false">TEXT(B26,"yyyy")</f>
        <v>2024</v>
      </c>
      <c r="D26" s="2" t="n">
        <f aca="false">WEEKNUM(B26,2)</f>
        <v>41</v>
      </c>
      <c r="E26" s="5" t="s">
        <v>130</v>
      </c>
      <c r="F26" s="6" t="str">
        <f aca="false">INDEX(Parametros!$B$2:$B$9,MATCH($E26,Parametros!$A$2:$A$9,0))</f>
        <v>Ketchup botella</v>
      </c>
      <c r="G26" s="10" t="n">
        <v>124.1</v>
      </c>
      <c r="H26" s="10" t="n">
        <v>8.8</v>
      </c>
      <c r="I26" s="11" t="n">
        <f aca="false">SUMIFS(Eventos_Paro!$J$2:$J$2186,Eventos_Paro!$D$2:$D$2186,$E26,Eventos_Paro!$B$2:$B$2186,$B26)</f>
        <v>2.53333333333333</v>
      </c>
      <c r="J26" s="12" t="n">
        <f aca="false">G26-H26-I26</f>
        <v>112.766666666667</v>
      </c>
      <c r="K26" s="13" t="n">
        <v>831017</v>
      </c>
      <c r="L26" s="13" t="n">
        <v>856388</v>
      </c>
      <c r="M26" s="13" t="n">
        <v>23781</v>
      </c>
      <c r="N26" s="14" t="n">
        <f aca="false">L26+M26</f>
        <v>880169</v>
      </c>
      <c r="O26" s="11" t="n">
        <f aca="false">INDEX(Parametros!$D$2:$D$9,MATCH($E26,Parametros!$A$2:$A$9,0))</f>
        <v>9000</v>
      </c>
      <c r="P26" s="15" t="n">
        <f aca="false">IF((G26-H26)&gt;0,J26/(G26-H26),0)</f>
        <v>0.978028331887829</v>
      </c>
      <c r="Q26" s="15" t="n">
        <f aca="false">IF(J26*O26&gt;0,N26/(O26*J26),0)</f>
        <v>0.867247019410779</v>
      </c>
      <c r="R26" s="15" t="n">
        <f aca="false">IF(N26&gt;0,L26/N26,0)</f>
        <v>0.972981325177324</v>
      </c>
      <c r="S26" s="15" t="n">
        <f aca="false">P26*Q26*R26</f>
        <v>0.825275127686229</v>
      </c>
      <c r="T26" s="15" t="n">
        <f aca="false">IF(K26&gt;0,L26/K26,0)</f>
        <v>1.03053006135855</v>
      </c>
      <c r="U26" s="10" t="n">
        <v>1771.6</v>
      </c>
      <c r="V26" s="5" t="n">
        <v>13</v>
      </c>
      <c r="W26" s="10" t="n">
        <v>158.3</v>
      </c>
      <c r="X26" s="15" t="n">
        <f aca="false">IF(U26&gt;0,W26/U26,0)</f>
        <v>0.0893542560397381</v>
      </c>
      <c r="Y26" s="12" t="n">
        <f aca="false">IF(U26&gt;0,L26/U26,0)</f>
        <v>483.398058252427</v>
      </c>
      <c r="Z26" s="16" t="n">
        <f aca="false">L26*INDEX(Parametros!$E$2:$E$9,MATCH($E26,Parametros!$A$2:$A$9,0))</f>
        <v>359682.96</v>
      </c>
      <c r="AA26" s="16" t="n">
        <f aca="false">Z26*INDEX(Parametros!$F$2:$F$9,MATCH($E26,Parametros!$A$2:$A$9,0))</f>
        <v>7193.6592</v>
      </c>
      <c r="AB26" s="17" t="n">
        <f aca="false">Z26+AA26</f>
        <v>366876.6192</v>
      </c>
      <c r="AC26" s="18" t="n">
        <v>365659.46</v>
      </c>
      <c r="AD26" s="17" t="n">
        <f aca="false">AC26-AB26</f>
        <v>-1217.15919999994</v>
      </c>
      <c r="AE26" s="17" t="n">
        <f aca="false">AA26+AD26</f>
        <v>5976.50000000006</v>
      </c>
      <c r="AF26" s="19" t="n">
        <f aca="false">IF(Z26&gt;0,AE26/Z26,0)</f>
        <v>0.0166160220656549</v>
      </c>
      <c r="AG26" s="16" t="n">
        <f aca="false">(U26-W26)*INDEX(Parametros!$H$2:$H$9,MATCH($E26,Parametros!$A$2:$A$9,0))+W26*INDEX(Parametros!$H$2:$H$9,MATCH($E26,Parametros!$A$2:$A$9,0))*Parametros!$N$3</f>
        <v>58298.625</v>
      </c>
      <c r="AH26" s="13" t="n">
        <v>40405</v>
      </c>
      <c r="AI26" s="16" t="n">
        <f aca="false">AH26*Parametros!$N$2</f>
        <v>3717.26</v>
      </c>
      <c r="AJ26" s="18" t="n">
        <v>17009</v>
      </c>
      <c r="AK26" s="18" t="n">
        <v>1246</v>
      </c>
      <c r="AL26" s="17" t="n">
        <f aca="false">AG26+AI26+AJ26+AK26</f>
        <v>80270.885</v>
      </c>
      <c r="AM26" s="20" t="n">
        <f aca="false">IF(L26&gt;0,AL26/L26,0)</f>
        <v>0.0937319124041906</v>
      </c>
      <c r="AN26" s="16" t="n">
        <f aca="false">L26*INDEX(Parametros!$G$2:$G$9,MATCH($E26,Parametros!$A$2:$A$9,0))</f>
        <v>608035.48</v>
      </c>
      <c r="AO26" s="17" t="n">
        <f aca="false">AN26-AC26-AL26</f>
        <v>162105.135</v>
      </c>
      <c r="AP26" s="15" t="n">
        <f aca="false">IF(AN26&gt;0,AO26/AN26,0)</f>
        <v>0.266604730039767</v>
      </c>
      <c r="AQ26" s="16" t="n">
        <f aca="false">INDEX(Parametros!$I$2:$I$9,MATCH($E26,Parametros!$A$2:$A$9,0))</f>
        <v>29300000</v>
      </c>
      <c r="AR26" s="19" t="n">
        <f aca="false">IF(AQ26&gt;0,AO26/AQ26,0)</f>
        <v>0.00553259846416382</v>
      </c>
    </row>
    <row r="27" customFormat="false" ht="15" hidden="false" customHeight="false" outlineLevel="0" collapsed="false">
      <c r="A27" s="5" t="s">
        <v>162</v>
      </c>
      <c r="B27" s="9" t="n">
        <v>45572</v>
      </c>
      <c r="C27" s="2" t="str">
        <f aca="false">TEXT(B27,"yyyy")</f>
        <v>2024</v>
      </c>
      <c r="D27" s="2" t="n">
        <f aca="false">WEEKNUM(B27,2)</f>
        <v>41</v>
      </c>
      <c r="E27" s="5" t="s">
        <v>132</v>
      </c>
      <c r="F27" s="6" t="str">
        <f aca="false">INDEX(Parametros!$B$2:$B$9,MATCH($E27,Parametros!$A$2:$A$9,0))</f>
        <v>Mayonesa frasco</v>
      </c>
      <c r="G27" s="10" t="n">
        <v>129.8</v>
      </c>
      <c r="H27" s="10" t="n">
        <v>6.5</v>
      </c>
      <c r="I27" s="11" t="n">
        <f aca="false">SUMIFS(Eventos_Paro!$J$2:$J$2186,Eventos_Paro!$D$2:$D$2186,$E27,Eventos_Paro!$B$2:$B$2186,$B27)</f>
        <v>1.71666666666667</v>
      </c>
      <c r="J27" s="12" t="n">
        <f aca="false">G27-H27-I27</f>
        <v>121.583333333333</v>
      </c>
      <c r="K27" s="13" t="n">
        <v>641822</v>
      </c>
      <c r="L27" s="13" t="n">
        <v>661990</v>
      </c>
      <c r="M27" s="13" t="n">
        <v>20383</v>
      </c>
      <c r="N27" s="14" t="n">
        <f aca="false">L27+M27</f>
        <v>682373</v>
      </c>
      <c r="O27" s="11" t="n">
        <f aca="false">INDEX(Parametros!$D$2:$D$9,MATCH($E27,Parametros!$A$2:$A$9,0))</f>
        <v>6500</v>
      </c>
      <c r="P27" s="15" t="n">
        <f aca="false">IF((G27-H27)&gt;0,J27/(G27-H27),0)</f>
        <v>0.986077318194107</v>
      </c>
      <c r="Q27" s="15" t="n">
        <f aca="false">IF(J27*O27&gt;0,N27/(O27*J27),0)</f>
        <v>0.863444508883851</v>
      </c>
      <c r="R27" s="15" t="n">
        <f aca="false">IF(N27&gt;0,L27/N27,0)</f>
        <v>0.970129240166302</v>
      </c>
      <c r="S27" s="15" t="n">
        <f aca="false">P27*Q27*R27</f>
        <v>0.82599039241375</v>
      </c>
      <c r="T27" s="15" t="n">
        <f aca="false">IF(K27&gt;0,L27/K27,0)</f>
        <v>1.03142304252581</v>
      </c>
      <c r="U27" s="10" t="n">
        <v>1788.8</v>
      </c>
      <c r="V27" s="5" t="n">
        <v>13</v>
      </c>
      <c r="W27" s="10" t="n">
        <v>101.4</v>
      </c>
      <c r="X27" s="15" t="n">
        <f aca="false">IF(U27&gt;0,W27/U27,0)</f>
        <v>0.0566860465116279</v>
      </c>
      <c r="Y27" s="12" t="n">
        <f aca="false">IF(U27&gt;0,L27/U27,0)</f>
        <v>370.074910554562</v>
      </c>
      <c r="Z27" s="16" t="n">
        <f aca="false">L27*INDEX(Parametros!$E$2:$E$9,MATCH($E27,Parametros!$A$2:$A$9,0))</f>
        <v>403813.9</v>
      </c>
      <c r="AA27" s="16" t="n">
        <f aca="false">Z27*INDEX(Parametros!$F$2:$F$9,MATCH($E27,Parametros!$A$2:$A$9,0))</f>
        <v>10095.3475</v>
      </c>
      <c r="AB27" s="17" t="n">
        <f aca="false">Z27+AA27</f>
        <v>413909.2475</v>
      </c>
      <c r="AC27" s="18" t="n">
        <v>418898.63</v>
      </c>
      <c r="AD27" s="17" t="n">
        <f aca="false">AC27-AB27</f>
        <v>4989.38250000007</v>
      </c>
      <c r="AE27" s="17" t="n">
        <f aca="false">AA27+AD27</f>
        <v>15084.7300000001</v>
      </c>
      <c r="AF27" s="19" t="n">
        <f aca="false">IF(Z27&gt;0,AE27/Z27,0)</f>
        <v>0.0373556482330105</v>
      </c>
      <c r="AG27" s="16" t="n">
        <f aca="false">(U27-W27)*INDEX(Parametros!$H$2:$H$9,MATCH($E27,Parametros!$A$2:$A$9,0))+W27*INDEX(Parametros!$H$2:$H$9,MATCH($E27,Parametros!$A$2:$A$9,0))*Parametros!$N$3</f>
        <v>57944.25</v>
      </c>
      <c r="AH27" s="13" t="n">
        <v>32919</v>
      </c>
      <c r="AI27" s="16" t="n">
        <f aca="false">AH27*Parametros!$N$2</f>
        <v>3028.548</v>
      </c>
      <c r="AJ27" s="18" t="n">
        <v>14887</v>
      </c>
      <c r="AK27" s="18" t="n">
        <v>870</v>
      </c>
      <c r="AL27" s="17" t="n">
        <f aca="false">AG27+AI27+AJ27+AK27</f>
        <v>76729.798</v>
      </c>
      <c r="AM27" s="20" t="n">
        <f aca="false">IF(L27&gt;0,AL27/L27,0)</f>
        <v>0.115907790147887</v>
      </c>
      <c r="AN27" s="16" t="n">
        <f aca="false">L27*INDEX(Parametros!$G$2:$G$9,MATCH($E27,Parametros!$A$2:$A$9,0))</f>
        <v>635510.4</v>
      </c>
      <c r="AO27" s="17" t="n">
        <f aca="false">AN27-AC27-AL27</f>
        <v>139881.972</v>
      </c>
      <c r="AP27" s="15" t="n">
        <f aca="false">IF(AN27&gt;0,AO27/AN27,0)</f>
        <v>0.220109650447892</v>
      </c>
      <c r="AQ27" s="16" t="n">
        <f aca="false">INDEX(Parametros!$I$2:$I$9,MATCH($E27,Parametros!$A$2:$A$9,0))</f>
        <v>29700000</v>
      </c>
      <c r="AR27" s="19" t="n">
        <f aca="false">IF(AQ27&gt;0,AO27/AQ27,0)</f>
        <v>0.00470983070707071</v>
      </c>
    </row>
    <row r="28" customFormat="false" ht="15" hidden="false" customHeight="false" outlineLevel="0" collapsed="false">
      <c r="A28" s="5" t="s">
        <v>163</v>
      </c>
      <c r="B28" s="9" t="n">
        <v>45572</v>
      </c>
      <c r="C28" s="2" t="str">
        <f aca="false">TEXT(B28,"yyyy")</f>
        <v>2024</v>
      </c>
      <c r="D28" s="2" t="n">
        <f aca="false">WEEKNUM(B28,2)</f>
        <v>41</v>
      </c>
      <c r="E28" s="5" t="s">
        <v>134</v>
      </c>
      <c r="F28" s="6" t="str">
        <f aca="false">INDEX(Parametros!$B$2:$B$9,MATCH($E28,Parametros!$A$2:$A$9,0))</f>
        <v>Aderezos vertibles</v>
      </c>
      <c r="G28" s="10" t="n">
        <v>111.8</v>
      </c>
      <c r="H28" s="10" t="n">
        <v>8.7</v>
      </c>
      <c r="I28" s="11" t="n">
        <f aca="false">SUMIFS(Eventos_Paro!$J$2:$J$2186,Eventos_Paro!$D$2:$D$2186,$E28,Eventos_Paro!$B$2:$B$2186,$B28)</f>
        <v>0</v>
      </c>
      <c r="J28" s="12" t="n">
        <f aca="false">G28-H28-I28</f>
        <v>103.1</v>
      </c>
      <c r="K28" s="13" t="n">
        <v>429339</v>
      </c>
      <c r="L28" s="13" t="n">
        <v>427462</v>
      </c>
      <c r="M28" s="13" t="n">
        <v>17034</v>
      </c>
      <c r="N28" s="14" t="n">
        <f aca="false">L28+M28</f>
        <v>444496</v>
      </c>
      <c r="O28" s="11" t="n">
        <f aca="false">INDEX(Parametros!$D$2:$D$9,MATCH($E28,Parametros!$A$2:$A$9,0))</f>
        <v>5200</v>
      </c>
      <c r="P28" s="15" t="n">
        <f aca="false">IF((G28-H28)&gt;0,J28/(G28-H28),0)</f>
        <v>1</v>
      </c>
      <c r="Q28" s="15" t="n">
        <f aca="false">IF(J28*O28&gt;0,N28/(O28*J28),0)</f>
        <v>0.82909796314258</v>
      </c>
      <c r="R28" s="15" t="n">
        <f aca="false">IF(N28&gt;0,L28/N28,0)</f>
        <v>0.961677945358338</v>
      </c>
      <c r="S28" s="15" t="n">
        <f aca="false">P28*Q28*R28</f>
        <v>0.79732522569574</v>
      </c>
      <c r="T28" s="15" t="n">
        <f aca="false">IF(K28&gt;0,L28/K28,0)</f>
        <v>0.995628163292876</v>
      </c>
      <c r="U28" s="10" t="n">
        <v>1430</v>
      </c>
      <c r="V28" s="5" t="n">
        <v>12</v>
      </c>
      <c r="W28" s="10" t="n">
        <v>88.4</v>
      </c>
      <c r="X28" s="15" t="n">
        <f aca="false">IF(U28&gt;0,W28/U28,0)</f>
        <v>0.0618181818181818</v>
      </c>
      <c r="Y28" s="12" t="n">
        <f aca="false">IF(U28&gt;0,L28/U28,0)</f>
        <v>298.924475524476</v>
      </c>
      <c r="Z28" s="16" t="n">
        <f aca="false">L28*INDEX(Parametros!$E$2:$E$9,MATCH($E28,Parametros!$A$2:$A$9,0))</f>
        <v>235104.1</v>
      </c>
      <c r="AA28" s="16" t="n">
        <f aca="false">Z28*INDEX(Parametros!$F$2:$F$9,MATCH($E28,Parametros!$A$2:$A$9,0))</f>
        <v>7053.123</v>
      </c>
      <c r="AB28" s="17" t="n">
        <f aca="false">Z28+AA28</f>
        <v>242157.223</v>
      </c>
      <c r="AC28" s="18" t="n">
        <v>240143.61</v>
      </c>
      <c r="AD28" s="17" t="n">
        <f aca="false">AC28-AB28</f>
        <v>-2013.61300000001</v>
      </c>
      <c r="AE28" s="17" t="n">
        <f aca="false">AA28+AD28</f>
        <v>5039.50999999999</v>
      </c>
      <c r="AF28" s="19" t="n">
        <f aca="false">IF(Z28&gt;0,AE28/Z28,0)</f>
        <v>0.0214352280542959</v>
      </c>
      <c r="AG28" s="16" t="n">
        <f aca="false">(U28-W28)*INDEX(Parametros!$H$2:$H$9,MATCH($E28,Parametros!$A$2:$A$9,0))+W28*INDEX(Parametros!$H$2:$H$9,MATCH($E28,Parametros!$A$2:$A$9,0))*Parametros!$N$3</f>
        <v>46437.3</v>
      </c>
      <c r="AH28" s="13" t="n">
        <v>22620</v>
      </c>
      <c r="AI28" s="16" t="n">
        <f aca="false">AH28*Parametros!$N$2</f>
        <v>2081.04</v>
      </c>
      <c r="AJ28" s="18" t="n">
        <v>9864</v>
      </c>
      <c r="AK28" s="18" t="n">
        <v>0</v>
      </c>
      <c r="AL28" s="17" t="n">
        <f aca="false">AG28+AI28+AJ28+AK28</f>
        <v>58382.34</v>
      </c>
      <c r="AM28" s="20" t="n">
        <f aca="false">IF(L28&gt;0,AL28/L28,0)</f>
        <v>0.136579017550098</v>
      </c>
      <c r="AN28" s="16" t="n">
        <f aca="false">L28*INDEX(Parametros!$G$2:$G$9,MATCH($E28,Parametros!$A$2:$A$9,0))</f>
        <v>436011.24</v>
      </c>
      <c r="AO28" s="17" t="n">
        <f aca="false">AN28-AC28-AL28</f>
        <v>137485.29</v>
      </c>
      <c r="AP28" s="15" t="n">
        <f aca="false">IF(AN28&gt;0,AO28/AN28,0)</f>
        <v>0.315325104921607</v>
      </c>
      <c r="AQ28" s="16" t="n">
        <f aca="false">INDEX(Parametros!$I$2:$I$9,MATCH($E28,Parametros!$A$2:$A$9,0))</f>
        <v>19300000</v>
      </c>
      <c r="AR28" s="19" t="n">
        <f aca="false">IF(AQ28&gt;0,AO28/AQ28,0)</f>
        <v>0.00712359015544042</v>
      </c>
    </row>
    <row r="29" customFormat="false" ht="15" hidden="false" customHeight="false" outlineLevel="0" collapsed="false">
      <c r="A29" s="5" t="s">
        <v>164</v>
      </c>
      <c r="B29" s="9" t="n">
        <v>45572</v>
      </c>
      <c r="C29" s="2" t="str">
        <f aca="false">TEXT(B29,"yyyy")</f>
        <v>2024</v>
      </c>
      <c r="D29" s="2" t="n">
        <f aca="false">WEEKNUM(B29,2)</f>
        <v>41</v>
      </c>
      <c r="E29" s="5" t="s">
        <v>136</v>
      </c>
      <c r="F29" s="6" t="str">
        <f aca="false">INDEX(Parametros!$B$2:$B$9,MATCH($E29,Parametros!$A$2:$A$9,0))</f>
        <v>Salsa BBQ</v>
      </c>
      <c r="G29" s="10" t="n">
        <v>86</v>
      </c>
      <c r="H29" s="10" t="n">
        <v>8</v>
      </c>
      <c r="I29" s="11" t="n">
        <f aca="false">SUMIFS(Eventos_Paro!$J$2:$J$2186,Eventos_Paro!$D$2:$D$2186,$E29,Eventos_Paro!$B$2:$B$2186,$B29)</f>
        <v>2.46666666666667</v>
      </c>
      <c r="J29" s="12" t="n">
        <f aca="false">G29-H29-I29</f>
        <v>75.5333333333333</v>
      </c>
      <c r="K29" s="13" t="n">
        <v>300912</v>
      </c>
      <c r="L29" s="13" t="n">
        <v>295692</v>
      </c>
      <c r="M29" s="13" t="n">
        <v>11896</v>
      </c>
      <c r="N29" s="14" t="n">
        <f aca="false">L29+M29</f>
        <v>307588</v>
      </c>
      <c r="O29" s="11" t="n">
        <f aca="false">INDEX(Parametros!$D$2:$D$9,MATCH($E29,Parametros!$A$2:$A$9,0))</f>
        <v>4800</v>
      </c>
      <c r="P29" s="15" t="n">
        <f aca="false">IF((G29-H29)&gt;0,J29/(G29-H29),0)</f>
        <v>0.968376068376068</v>
      </c>
      <c r="Q29" s="15" t="n">
        <f aca="false">IF(J29*O29&gt;0,N29/(O29*J29),0)</f>
        <v>0.848378199470433</v>
      </c>
      <c r="R29" s="15" t="n">
        <f aca="false">IF(N29&gt;0,L29/N29,0)</f>
        <v>0.961324889137418</v>
      </c>
      <c r="S29" s="15" t="n">
        <f aca="false">P29*Q29*R29</f>
        <v>0.789775641025641</v>
      </c>
      <c r="T29" s="15" t="n">
        <f aca="false">IF(K29&gt;0,L29/K29,0)</f>
        <v>0.982652735683522</v>
      </c>
      <c r="U29" s="10" t="n">
        <v>1157.6</v>
      </c>
      <c r="V29" s="5" t="n">
        <v>12</v>
      </c>
      <c r="W29" s="10" t="n">
        <v>125.6</v>
      </c>
      <c r="X29" s="15" t="n">
        <f aca="false">IF(U29&gt;0,W29/U29,0)</f>
        <v>0.108500345542502</v>
      </c>
      <c r="Y29" s="12" t="n">
        <f aca="false">IF(U29&gt;0,L29/U29,0)</f>
        <v>255.435383552177</v>
      </c>
      <c r="Z29" s="16" t="n">
        <f aca="false">L29*INDEX(Parametros!$E$2:$E$9,MATCH($E29,Parametros!$A$2:$A$9,0))</f>
        <v>171501.36</v>
      </c>
      <c r="AA29" s="16" t="n">
        <f aca="false">Z29*INDEX(Parametros!$F$2:$F$9,MATCH($E29,Parametros!$A$2:$A$9,0))</f>
        <v>4802.03808</v>
      </c>
      <c r="AB29" s="17" t="n">
        <f aca="false">Z29+AA29</f>
        <v>176303.39808</v>
      </c>
      <c r="AC29" s="18" t="n">
        <v>178245.46</v>
      </c>
      <c r="AD29" s="17" t="n">
        <f aca="false">AC29-AB29</f>
        <v>1942.06192000001</v>
      </c>
      <c r="AE29" s="17" t="n">
        <f aca="false">AA29+AD29</f>
        <v>6744.10000000001</v>
      </c>
      <c r="AF29" s="19" t="n">
        <f aca="false">IF(Z29&gt;0,AE29/Z29,0)</f>
        <v>0.0393238864111632</v>
      </c>
      <c r="AG29" s="16" t="n">
        <f aca="false">(U29-W29)*INDEX(Parametros!$H$2:$H$9,MATCH($E29,Parametros!$A$2:$A$9,0))+W29*INDEX(Parametros!$H$2:$H$9,MATCH($E29,Parametros!$A$2:$A$9,0))*Parametros!$N$3</f>
        <v>38442.6</v>
      </c>
      <c r="AH29" s="13" t="n">
        <v>16481</v>
      </c>
      <c r="AI29" s="16" t="n">
        <f aca="false">AH29*Parametros!$N$2</f>
        <v>1516.252</v>
      </c>
      <c r="AJ29" s="18" t="n">
        <v>8138</v>
      </c>
      <c r="AK29" s="18" t="n">
        <v>2803</v>
      </c>
      <c r="AL29" s="17" t="n">
        <f aca="false">AG29+AI29+AJ29+AK29</f>
        <v>50899.852</v>
      </c>
      <c r="AM29" s="20" t="n">
        <f aca="false">IF(L29&gt;0,AL29/L29,0)</f>
        <v>0.172138076106219</v>
      </c>
      <c r="AN29" s="16" t="n">
        <f aca="false">L29*INDEX(Parametros!$G$2:$G$9,MATCH($E29,Parametros!$A$2:$A$9,0))</f>
        <v>289778.16</v>
      </c>
      <c r="AO29" s="17" t="n">
        <f aca="false">AN29-AC29-AL29</f>
        <v>60632.848</v>
      </c>
      <c r="AP29" s="15" t="n">
        <f aca="false">IF(AN29&gt;0,AO29/AN29,0)</f>
        <v>0.209238846709497</v>
      </c>
      <c r="AQ29" s="16" t="n">
        <f aca="false">INDEX(Parametros!$I$2:$I$9,MATCH($E29,Parametros!$A$2:$A$9,0))</f>
        <v>17000000</v>
      </c>
      <c r="AR29" s="19" t="n">
        <f aca="false">IF(AQ29&gt;0,AO29/AQ29,0)</f>
        <v>0.00356663811764706</v>
      </c>
    </row>
    <row r="30" customFormat="false" ht="15" hidden="false" customHeight="false" outlineLevel="0" collapsed="false">
      <c r="A30" s="5" t="s">
        <v>165</v>
      </c>
      <c r="B30" s="9" t="n">
        <v>45572</v>
      </c>
      <c r="C30" s="2" t="str">
        <f aca="false">TEXT(B30,"yyyy")</f>
        <v>2024</v>
      </c>
      <c r="D30" s="2" t="n">
        <f aca="false">WEEKNUM(B30,2)</f>
        <v>41</v>
      </c>
      <c r="E30" s="5" t="s">
        <v>138</v>
      </c>
      <c r="F30" s="6" t="str">
        <f aca="false">INDEX(Parametros!$B$2:$B$9,MATCH($E30,Parametros!$A$2:$A$9,0))</f>
        <v>Queso crema</v>
      </c>
      <c r="G30" s="10" t="n">
        <v>123.4</v>
      </c>
      <c r="H30" s="10" t="n">
        <v>7.7</v>
      </c>
      <c r="I30" s="11" t="n">
        <f aca="false">SUMIFS(Eventos_Paro!$J$2:$J$2186,Eventos_Paro!$D$2:$D$2186,$E30,Eventos_Paro!$B$2:$B$2186,$B30)</f>
        <v>1.68333333333333</v>
      </c>
      <c r="J30" s="12" t="n">
        <f aca="false">G30-H30-I30</f>
        <v>114.016666666667</v>
      </c>
      <c r="K30" s="13" t="n">
        <v>352091</v>
      </c>
      <c r="L30" s="13" t="n">
        <v>351314</v>
      </c>
      <c r="M30" s="13" t="n">
        <v>12417</v>
      </c>
      <c r="N30" s="14" t="n">
        <f aca="false">L30+M30</f>
        <v>363731</v>
      </c>
      <c r="O30" s="11" t="n">
        <f aca="false">INDEX(Parametros!$D$2:$D$9,MATCH($E30,Parametros!$A$2:$A$9,0))</f>
        <v>3800</v>
      </c>
      <c r="P30" s="15" t="n">
        <f aca="false">IF((G30-H30)&gt;0,J30/(G30-H30),0)</f>
        <v>0.985450878709306</v>
      </c>
      <c r="Q30" s="15" t="n">
        <f aca="false">IF(J30*O30&gt;0,N30/(O30*J30),0)</f>
        <v>0.839514844705683</v>
      </c>
      <c r="R30" s="15" t="n">
        <f aca="false">IF(N30&gt;0,L30/N30,0)</f>
        <v>0.965862134379528</v>
      </c>
      <c r="S30" s="15" t="n">
        <f aca="false">P30*Q30*R30</f>
        <v>0.799058363280717</v>
      </c>
      <c r="T30" s="15" t="n">
        <f aca="false">IF(K30&gt;0,L30/K30,0)</f>
        <v>0.997793184148416</v>
      </c>
      <c r="U30" s="10" t="n">
        <v>2135.3</v>
      </c>
      <c r="V30" s="5" t="n">
        <v>16</v>
      </c>
      <c r="W30" s="10" t="n">
        <v>160.9</v>
      </c>
      <c r="X30" s="15" t="n">
        <f aca="false">IF(U30&gt;0,W30/U30,0)</f>
        <v>0.0753524094974945</v>
      </c>
      <c r="Y30" s="12" t="n">
        <f aca="false">IF(U30&gt;0,L30/U30,0)</f>
        <v>164.526764389079</v>
      </c>
      <c r="Z30" s="16" t="n">
        <f aca="false">L30*INDEX(Parametros!$E$2:$E$9,MATCH($E30,Parametros!$A$2:$A$9,0))</f>
        <v>393471.68</v>
      </c>
      <c r="AA30" s="16" t="n">
        <f aca="false">Z30*INDEX(Parametros!$F$2:$F$9,MATCH($E30,Parametros!$A$2:$A$9,0))</f>
        <v>13771.5088</v>
      </c>
      <c r="AB30" s="17" t="n">
        <f aca="false">Z30+AA30</f>
        <v>407243.1888</v>
      </c>
      <c r="AC30" s="18" t="n">
        <v>401457.96</v>
      </c>
      <c r="AD30" s="17" t="n">
        <f aca="false">AC30-AB30</f>
        <v>-5785.22880000004</v>
      </c>
      <c r="AE30" s="17" t="n">
        <f aca="false">AA30+AD30</f>
        <v>7986.27999999996</v>
      </c>
      <c r="AF30" s="19" t="n">
        <f aca="false">IF(Z30&gt;0,AE30/Z30,0)</f>
        <v>0.020296962668317</v>
      </c>
      <c r="AG30" s="16" t="n">
        <f aca="false">(U30-W30)*INDEX(Parametros!$H$2:$H$9,MATCH($E30,Parametros!$A$2:$A$9,0))+W30*INDEX(Parametros!$H$2:$H$9,MATCH($E30,Parametros!$A$2:$A$9,0))*Parametros!$N$3</f>
        <v>73119.75</v>
      </c>
      <c r="AH30" s="13" t="n">
        <v>18955</v>
      </c>
      <c r="AI30" s="16" t="n">
        <f aca="false">AH30*Parametros!$N$2</f>
        <v>1743.86</v>
      </c>
      <c r="AJ30" s="18" t="n">
        <v>18696</v>
      </c>
      <c r="AK30" s="18" t="n">
        <v>1730</v>
      </c>
      <c r="AL30" s="17" t="n">
        <f aca="false">AG30+AI30+AJ30+AK30</f>
        <v>95289.61</v>
      </c>
      <c r="AM30" s="20" t="n">
        <f aca="false">IF(L30&gt;0,AL30/L30,0)</f>
        <v>0.271237724656575</v>
      </c>
      <c r="AN30" s="16" t="n">
        <f aca="false">L30*INDEX(Parametros!$G$2:$G$9,MATCH($E30,Parametros!$A$2:$A$9,0))</f>
        <v>628852.06</v>
      </c>
      <c r="AO30" s="17" t="n">
        <f aca="false">AN30-AC30-AL30</f>
        <v>132104.49</v>
      </c>
      <c r="AP30" s="15" t="n">
        <f aca="false">IF(AN30&gt;0,AO30/AN30,0)</f>
        <v>0.210072445337939</v>
      </c>
      <c r="AQ30" s="16" t="n">
        <f aca="false">INDEX(Parametros!$I$2:$I$9,MATCH($E30,Parametros!$A$2:$A$9,0))</f>
        <v>33200000</v>
      </c>
      <c r="AR30" s="19" t="n">
        <f aca="false">IF(AQ30&gt;0,AO30/AQ30,0)</f>
        <v>0.00397905090361446</v>
      </c>
    </row>
    <row r="31" customFormat="false" ht="15" hidden="false" customHeight="false" outlineLevel="0" collapsed="false">
      <c r="A31" s="5" t="s">
        <v>166</v>
      </c>
      <c r="B31" s="9" t="n">
        <v>45572</v>
      </c>
      <c r="C31" s="2" t="str">
        <f aca="false">TEXT(B31,"yyyy")</f>
        <v>2024</v>
      </c>
      <c r="D31" s="2" t="n">
        <f aca="false">WEEKNUM(B31,2)</f>
        <v>41</v>
      </c>
      <c r="E31" s="5" t="s">
        <v>140</v>
      </c>
      <c r="F31" s="6" t="str">
        <f aca="false">INDEX(Parametros!$B$2:$B$9,MATCH($E31,Parametros!$A$2:$A$9,0))</f>
        <v>Crema de cacahuate</v>
      </c>
      <c r="G31" s="10" t="n">
        <v>107.7</v>
      </c>
      <c r="H31" s="10" t="n">
        <v>6.6</v>
      </c>
      <c r="I31" s="11" t="n">
        <f aca="false">SUMIFS(Eventos_Paro!$J$2:$J$2186,Eventos_Paro!$D$2:$D$2186,$E31,Eventos_Paro!$B$2:$B$2186,$B31)</f>
        <v>2.6</v>
      </c>
      <c r="J31" s="12" t="n">
        <f aca="false">G31-H31-I31</f>
        <v>98.5</v>
      </c>
      <c r="K31" s="13" t="n">
        <v>340047</v>
      </c>
      <c r="L31" s="13" t="n">
        <v>342044</v>
      </c>
      <c r="M31" s="13" t="n">
        <v>11128</v>
      </c>
      <c r="N31" s="14" t="n">
        <f aca="false">L31+M31</f>
        <v>353172</v>
      </c>
      <c r="O31" s="11" t="n">
        <f aca="false">INDEX(Parametros!$D$2:$D$9,MATCH($E31,Parametros!$A$2:$A$9,0))</f>
        <v>4200</v>
      </c>
      <c r="P31" s="15" t="n">
        <f aca="false">IF((G31-H31)&gt;0,J31/(G31-H31),0)</f>
        <v>0.974282888229476</v>
      </c>
      <c r="Q31" s="15" t="n">
        <f aca="false">IF(J31*O31&gt;0,N31/(O31*J31),0)</f>
        <v>0.853691080493111</v>
      </c>
      <c r="R31" s="15" t="n">
        <f aca="false">IF(N31&gt;0,L31/N31,0)</f>
        <v>0.96849127337388</v>
      </c>
      <c r="S31" s="15" t="n">
        <f aca="false">P31*Q31*R31</f>
        <v>0.805529650040036</v>
      </c>
      <c r="T31" s="15" t="n">
        <f aca="false">IF(K31&gt;0,L31/K31,0)</f>
        <v>1.00587271759492</v>
      </c>
      <c r="U31" s="10" t="n">
        <v>1350.2</v>
      </c>
      <c r="V31" s="5" t="n">
        <v>12</v>
      </c>
      <c r="W31" s="10" t="n">
        <v>57.8</v>
      </c>
      <c r="X31" s="15" t="n">
        <f aca="false">IF(U31&gt;0,W31/U31,0)</f>
        <v>0.0428084728188417</v>
      </c>
      <c r="Y31" s="12" t="n">
        <f aca="false">IF(U31&gt;0,L31/U31,0)</f>
        <v>253.328395793216</v>
      </c>
      <c r="Z31" s="16" t="n">
        <f aca="false">L31*INDEX(Parametros!$E$2:$E$9,MATCH($E31,Parametros!$A$2:$A$9,0))</f>
        <v>331782.68</v>
      </c>
      <c r="AA31" s="16" t="n">
        <f aca="false">Z31*INDEX(Parametros!$F$2:$F$9,MATCH($E31,Parametros!$A$2:$A$9,0))</f>
        <v>7299.21896</v>
      </c>
      <c r="AB31" s="17" t="n">
        <f aca="false">Z31+AA31</f>
        <v>339081.89896</v>
      </c>
      <c r="AC31" s="18" t="n">
        <v>338820.78</v>
      </c>
      <c r="AD31" s="17" t="n">
        <f aca="false">AC31-AB31</f>
        <v>-261.118959999993</v>
      </c>
      <c r="AE31" s="17" t="n">
        <f aca="false">AA31+AD31</f>
        <v>7038.10000000001</v>
      </c>
      <c r="AF31" s="19" t="n">
        <f aca="false">IF(Z31&gt;0,AE31/Z31,0)</f>
        <v>0.0212129819434818</v>
      </c>
      <c r="AG31" s="16" t="n">
        <f aca="false">(U31-W31)*INDEX(Parametros!$H$2:$H$9,MATCH($E31,Parametros!$A$2:$A$9,0))+W31*INDEX(Parametros!$H$2:$H$9,MATCH($E31,Parametros!$A$2:$A$9,0))*Parametros!$N$3</f>
        <v>43441.65</v>
      </c>
      <c r="AH31" s="13" t="n">
        <v>17087</v>
      </c>
      <c r="AI31" s="16" t="n">
        <f aca="false">AH31*Parametros!$N$2</f>
        <v>1572.004</v>
      </c>
      <c r="AJ31" s="18" t="n">
        <v>12941</v>
      </c>
      <c r="AK31" s="18" t="n">
        <v>2111</v>
      </c>
      <c r="AL31" s="17" t="n">
        <f aca="false">AG31+AI31+AJ31+AK31</f>
        <v>60065.654</v>
      </c>
      <c r="AM31" s="20" t="n">
        <f aca="false">IF(L31&gt;0,AL31/L31,0)</f>
        <v>0.175607974412649</v>
      </c>
      <c r="AN31" s="16" t="n">
        <f aca="false">L31*INDEX(Parametros!$G$2:$G$9,MATCH($E31,Parametros!$A$2:$A$9,0))</f>
        <v>554111.28</v>
      </c>
      <c r="AO31" s="17" t="n">
        <f aca="false">AN31-AC31-AL31</f>
        <v>155224.846</v>
      </c>
      <c r="AP31" s="15" t="n">
        <f aca="false">IF(AN31&gt;0,AO31/AN31,0)</f>
        <v>0.280132983396404</v>
      </c>
      <c r="AQ31" s="16" t="n">
        <f aca="false">INDEX(Parametros!$I$2:$I$9,MATCH($E31,Parametros!$A$2:$A$9,0))</f>
        <v>28000000</v>
      </c>
      <c r="AR31" s="19" t="n">
        <f aca="false">IF(AQ31&gt;0,AO31/AQ31,0)</f>
        <v>0.0055437445</v>
      </c>
    </row>
    <row r="32" customFormat="false" ht="15" hidden="false" customHeight="false" outlineLevel="0" collapsed="false">
      <c r="A32" s="5" t="s">
        <v>167</v>
      </c>
      <c r="B32" s="9" t="n">
        <v>45572</v>
      </c>
      <c r="C32" s="2" t="str">
        <f aca="false">TEXT(B32,"yyyy")</f>
        <v>2024</v>
      </c>
      <c r="D32" s="2" t="n">
        <f aca="false">WEEKNUM(B32,2)</f>
        <v>41</v>
      </c>
      <c r="E32" s="5" t="s">
        <v>142</v>
      </c>
      <c r="F32" s="6" t="str">
        <f aca="false">INDEX(Parametros!$B$2:$B$9,MATCH($E32,Parametros!$A$2:$A$9,0))</f>
        <v>Porciones single serve</v>
      </c>
      <c r="G32" s="10" t="n">
        <v>119.1</v>
      </c>
      <c r="H32" s="10" t="n">
        <v>7.1</v>
      </c>
      <c r="I32" s="11" t="n">
        <f aca="false">SUMIFS(Eventos_Paro!$J$2:$J$2186,Eventos_Paro!$D$2:$D$2186,$E32,Eventos_Paro!$B$2:$B$2186,$B32)</f>
        <v>4.05</v>
      </c>
      <c r="J32" s="12" t="n">
        <f aca="false">G32-H32-I32</f>
        <v>107.95</v>
      </c>
      <c r="K32" s="13" t="n">
        <v>233201</v>
      </c>
      <c r="L32" s="13" t="n">
        <v>214299</v>
      </c>
      <c r="M32" s="13" t="n">
        <v>10665</v>
      </c>
      <c r="N32" s="14" t="n">
        <f aca="false">L32+M32</f>
        <v>224964</v>
      </c>
      <c r="O32" s="11" t="n">
        <f aca="false">INDEX(Parametros!$D$2:$D$9,MATCH($E32,Parametros!$A$2:$A$9,0))</f>
        <v>2600</v>
      </c>
      <c r="P32" s="15" t="n">
        <f aca="false">IF((G32-H32)&gt;0,J32/(G32-H32),0)</f>
        <v>0.963839285714286</v>
      </c>
      <c r="Q32" s="15" t="n">
        <f aca="false">IF(J32*O32&gt;0,N32/(O32*J32),0)</f>
        <v>0.801524922506859</v>
      </c>
      <c r="R32" s="15" t="n">
        <f aca="false">IF(N32&gt;0,L32/N32,0)</f>
        <v>0.952592414786366</v>
      </c>
      <c r="S32" s="15" t="n">
        <f aca="false">P32*Q32*R32</f>
        <v>0.735916895604396</v>
      </c>
      <c r="T32" s="15" t="n">
        <f aca="false">IF(K32&gt;0,L32/K32,0)</f>
        <v>0.9189454590675</v>
      </c>
      <c r="U32" s="10" t="n">
        <v>2033.6</v>
      </c>
      <c r="V32" s="5" t="n">
        <v>16</v>
      </c>
      <c r="W32" s="10" t="n">
        <v>128</v>
      </c>
      <c r="X32" s="15" t="n">
        <f aca="false">IF(U32&gt;0,W32/U32,0)</f>
        <v>0.0629425649095201</v>
      </c>
      <c r="Y32" s="12" t="n">
        <f aca="false">IF(U32&gt;0,L32/U32,0)</f>
        <v>105.379130605822</v>
      </c>
      <c r="Z32" s="16" t="n">
        <f aca="false">L32*INDEX(Parametros!$E$2:$E$9,MATCH($E32,Parametros!$A$2:$A$9,0))</f>
        <v>158581.26</v>
      </c>
      <c r="AA32" s="16" t="n">
        <f aca="false">Z32*INDEX(Parametros!$F$2:$F$9,MATCH($E32,Parametros!$A$2:$A$9,0))</f>
        <v>7136.1567</v>
      </c>
      <c r="AB32" s="17" t="n">
        <f aca="false">Z32+AA32</f>
        <v>165717.4167</v>
      </c>
      <c r="AC32" s="18" t="n">
        <v>163606.96</v>
      </c>
      <c r="AD32" s="17" t="n">
        <f aca="false">AC32-AB32</f>
        <v>-2110.45670000001</v>
      </c>
      <c r="AE32" s="17" t="n">
        <f aca="false">AA32+AD32</f>
        <v>5025.69999999999</v>
      </c>
      <c r="AF32" s="19" t="n">
        <f aca="false">IF(Z32&gt;0,AE32/Z32,0)</f>
        <v>0.0316916387220028</v>
      </c>
      <c r="AG32" s="16" t="n">
        <f aca="false">(U32-W32)*INDEX(Parametros!$H$2:$H$9,MATCH($E32,Parametros!$A$2:$A$9,0))+W32*INDEX(Parametros!$H$2:$H$9,MATCH($E32,Parametros!$A$2:$A$9,0))*Parametros!$N$3</f>
        <v>62928</v>
      </c>
      <c r="AH32" s="13" t="n">
        <v>11635</v>
      </c>
      <c r="AI32" s="16" t="n">
        <f aca="false">AH32*Parametros!$N$2</f>
        <v>1070.42</v>
      </c>
      <c r="AJ32" s="18" t="n">
        <v>11444</v>
      </c>
      <c r="AK32" s="18" t="n">
        <v>3011</v>
      </c>
      <c r="AL32" s="17" t="n">
        <f aca="false">AG32+AI32+AJ32+AK32</f>
        <v>78453.42</v>
      </c>
      <c r="AM32" s="20" t="n">
        <f aca="false">IF(L32&gt;0,AL32/L32,0)</f>
        <v>0.366093262217742</v>
      </c>
      <c r="AN32" s="16" t="n">
        <f aca="false">L32*INDEX(Parametros!$G$2:$G$9,MATCH($E32,Parametros!$A$2:$A$9,0))</f>
        <v>368594.28</v>
      </c>
      <c r="AO32" s="17" t="n">
        <f aca="false">AN32-AC32-AL32</f>
        <v>126533.9</v>
      </c>
      <c r="AP32" s="15" t="n">
        <f aca="false">IF(AN32&gt;0,AO32/AN32,0)</f>
        <v>0.343287747167428</v>
      </c>
      <c r="AQ32" s="16" t="n">
        <f aca="false">INDEX(Parametros!$I$2:$I$9,MATCH($E32,Parametros!$A$2:$A$9,0))</f>
        <v>15900000</v>
      </c>
      <c r="AR32" s="19" t="n">
        <f aca="false">IF(AQ32&gt;0,AO32/AQ32,0)</f>
        <v>0.00795810691823899</v>
      </c>
    </row>
    <row r="33" customFormat="false" ht="15" hidden="false" customHeight="false" outlineLevel="0" collapsed="false">
      <c r="A33" s="5" t="s">
        <v>168</v>
      </c>
      <c r="B33" s="9" t="n">
        <v>45572</v>
      </c>
      <c r="C33" s="2" t="str">
        <f aca="false">TEXT(B33,"yyyy")</f>
        <v>2024</v>
      </c>
      <c r="D33" s="2" t="n">
        <f aca="false">WEEKNUM(B33,2)</f>
        <v>41</v>
      </c>
      <c r="E33" s="5" t="s">
        <v>144</v>
      </c>
      <c r="F33" s="6" t="str">
        <f aca="false">INDEX(Parametros!$B$2:$B$9,MATCH($E33,Parametros!$A$2:$A$9,0))</f>
        <v>Salsas picantes</v>
      </c>
      <c r="G33" s="10" t="n">
        <v>109.1</v>
      </c>
      <c r="H33" s="10" t="n">
        <v>8.8</v>
      </c>
      <c r="I33" s="11" t="n">
        <f aca="false">SUMIFS(Eventos_Paro!$J$2:$J$2186,Eventos_Paro!$D$2:$D$2186,$E33,Eventos_Paro!$B$2:$B$2186,$B33)</f>
        <v>2</v>
      </c>
      <c r="J33" s="12" t="n">
        <f aca="false">G33-H33-I33</f>
        <v>98.3</v>
      </c>
      <c r="K33" s="13" t="n">
        <v>249001</v>
      </c>
      <c r="L33" s="13" t="n">
        <v>252685</v>
      </c>
      <c r="M33" s="13" t="n">
        <v>7073</v>
      </c>
      <c r="N33" s="14" t="n">
        <f aca="false">L33+M33</f>
        <v>259758</v>
      </c>
      <c r="O33" s="11" t="n">
        <f aca="false">INDEX(Parametros!$D$2:$D$9,MATCH($E33,Parametros!$A$2:$A$9,0))</f>
        <v>3100</v>
      </c>
      <c r="P33" s="15" t="n">
        <f aca="false">IF((G33-H33)&gt;0,J33/(G33-H33),0)</f>
        <v>0.980059820538385</v>
      </c>
      <c r="Q33" s="15" t="n">
        <f aca="false">IF(J33*O33&gt;0,N33/(O33*J33),0)</f>
        <v>0.852420175237095</v>
      </c>
      <c r="R33" s="15" t="n">
        <f aca="false">IF(N33&gt;0,L33/N33,0)</f>
        <v>0.972770809753694</v>
      </c>
      <c r="S33" s="15" t="n">
        <f aca="false">P33*Q33*R33</f>
        <v>0.812674878590036</v>
      </c>
      <c r="T33" s="15" t="n">
        <f aca="false">IF(K33&gt;0,L33/K33,0)</f>
        <v>1.01479512130473</v>
      </c>
      <c r="U33" s="10" t="n">
        <v>1067.8</v>
      </c>
      <c r="V33" s="5" t="n">
        <v>9</v>
      </c>
      <c r="W33" s="10" t="n">
        <v>85.9</v>
      </c>
      <c r="X33" s="15" t="n">
        <f aca="false">IF(U33&gt;0,W33/U33,0)</f>
        <v>0.0804457763626147</v>
      </c>
      <c r="Y33" s="12" t="n">
        <f aca="false">IF(U33&gt;0,L33/U33,0)</f>
        <v>236.640756696011</v>
      </c>
      <c r="Z33" s="16" t="n">
        <f aca="false">L33*INDEX(Parametros!$E$2:$E$9,MATCH($E33,Parametros!$A$2:$A$9,0))</f>
        <v>166772.1</v>
      </c>
      <c r="AA33" s="16" t="n">
        <f aca="false">Z33*INDEX(Parametros!$F$2:$F$9,MATCH($E33,Parametros!$A$2:$A$9,0))</f>
        <v>4336.0746</v>
      </c>
      <c r="AB33" s="17" t="n">
        <f aca="false">Z33+AA33</f>
        <v>171108.1746</v>
      </c>
      <c r="AC33" s="18" t="n">
        <v>172156.66</v>
      </c>
      <c r="AD33" s="17" t="n">
        <f aca="false">AC33-AB33</f>
        <v>1048.48540000001</v>
      </c>
      <c r="AE33" s="17" t="n">
        <f aca="false">AA33+AD33</f>
        <v>5384.56000000001</v>
      </c>
      <c r="AF33" s="19" t="n">
        <f aca="false">IF(Z33&gt;0,AE33/Z33,0)</f>
        <v>0.0322869352847389</v>
      </c>
      <c r="AG33" s="16" t="n">
        <f aca="false">(U33-W33)*INDEX(Parametros!$H$2:$H$9,MATCH($E33,Parametros!$A$2:$A$9,0))+W33*INDEX(Parametros!$H$2:$H$9,MATCH($E33,Parametros!$A$2:$A$9,0))*Parametros!$N$3</f>
        <v>34988.625</v>
      </c>
      <c r="AH33" s="13" t="n">
        <v>12897</v>
      </c>
      <c r="AI33" s="16" t="n">
        <f aca="false">AH33*Parametros!$N$2</f>
        <v>1186.524</v>
      </c>
      <c r="AJ33" s="18" t="n">
        <v>7375</v>
      </c>
      <c r="AK33" s="18" t="n">
        <v>1098</v>
      </c>
      <c r="AL33" s="17" t="n">
        <f aca="false">AG33+AI33+AJ33+AK33</f>
        <v>44648.149</v>
      </c>
      <c r="AM33" s="20" t="n">
        <f aca="false">IF(L33&gt;0,AL33/L33,0)</f>
        <v>0.176694892850783</v>
      </c>
      <c r="AN33" s="16" t="n">
        <f aca="false">L33*INDEX(Parametros!$G$2:$G$9,MATCH($E33,Parametros!$A$2:$A$9,0))</f>
        <v>315856.25</v>
      </c>
      <c r="AO33" s="17" t="n">
        <f aca="false">AN33-AC33-AL33</f>
        <v>99051.441</v>
      </c>
      <c r="AP33" s="15" t="n">
        <f aca="false">IF(AN33&gt;0,AO33/AN33,0)</f>
        <v>0.313596583889032</v>
      </c>
      <c r="AQ33" s="16" t="n">
        <f aca="false">INDEX(Parametros!$I$2:$I$9,MATCH($E33,Parametros!$A$2:$A$9,0))</f>
        <v>13300000</v>
      </c>
      <c r="AR33" s="19" t="n">
        <f aca="false">IF(AQ33&gt;0,AO33/AQ33,0)</f>
        <v>0.00744747676691729</v>
      </c>
    </row>
    <row r="34" customFormat="false" ht="15" hidden="false" customHeight="false" outlineLevel="0" collapsed="false">
      <c r="A34" s="5" t="s">
        <v>169</v>
      </c>
      <c r="B34" s="9" t="n">
        <v>45579</v>
      </c>
      <c r="C34" s="2" t="str">
        <f aca="false">TEXT(B34,"yyyy")</f>
        <v>2024</v>
      </c>
      <c r="D34" s="2" t="n">
        <f aca="false">WEEKNUM(B34,2)</f>
        <v>42</v>
      </c>
      <c r="E34" s="5" t="s">
        <v>130</v>
      </c>
      <c r="F34" s="6" t="str">
        <f aca="false">INDEX(Parametros!$B$2:$B$9,MATCH($E34,Parametros!$A$2:$A$9,0))</f>
        <v>Ketchup botella</v>
      </c>
      <c r="G34" s="10" t="n">
        <v>124.7</v>
      </c>
      <c r="H34" s="10" t="n">
        <v>6.6</v>
      </c>
      <c r="I34" s="11" t="n">
        <f aca="false">SUMIFS(Eventos_Paro!$J$2:$J$2186,Eventos_Paro!$D$2:$D$2186,$E34,Eventos_Paro!$B$2:$B$2186,$B34)</f>
        <v>1.65</v>
      </c>
      <c r="J34" s="12" t="n">
        <f aca="false">G34-H34-I34</f>
        <v>116.45</v>
      </c>
      <c r="K34" s="13" t="n">
        <v>847105</v>
      </c>
      <c r="L34" s="13" t="n">
        <v>869860</v>
      </c>
      <c r="M34" s="13" t="n">
        <v>20841</v>
      </c>
      <c r="N34" s="14" t="n">
        <f aca="false">L34+M34</f>
        <v>890701</v>
      </c>
      <c r="O34" s="11" t="n">
        <f aca="false">INDEX(Parametros!$D$2:$D$9,MATCH($E34,Parametros!$A$2:$A$9,0))</f>
        <v>9000</v>
      </c>
      <c r="P34" s="15" t="n">
        <f aca="false">IF((G34-H34)&gt;0,J34/(G34-H34),0)</f>
        <v>0.986028789161727</v>
      </c>
      <c r="Q34" s="15" t="n">
        <f aca="false">IF(J34*O34&gt;0,N34/(O34*J34),0)</f>
        <v>0.849864987357473</v>
      </c>
      <c r="R34" s="15" t="n">
        <f aca="false">IF(N34&gt;0,L34/N34,0)</f>
        <v>0.976601575612916</v>
      </c>
      <c r="S34" s="15" t="n">
        <f aca="false">P34*Q34*R34</f>
        <v>0.818383667325242</v>
      </c>
      <c r="T34" s="15" t="n">
        <f aca="false">IF(K34&gt;0,L34/K34,0)</f>
        <v>1.02686207731037</v>
      </c>
      <c r="U34" s="10" t="n">
        <v>2045.7</v>
      </c>
      <c r="V34" s="5" t="n">
        <v>15</v>
      </c>
      <c r="W34" s="10" t="n">
        <v>175.2</v>
      </c>
      <c r="X34" s="15" t="n">
        <f aca="false">IF(U34&gt;0,W34/U34,0)</f>
        <v>0.0856430561665933</v>
      </c>
      <c r="Y34" s="12" t="n">
        <f aca="false">IF(U34&gt;0,L34/U34,0)</f>
        <v>425.213863225302</v>
      </c>
      <c r="Z34" s="16" t="n">
        <f aca="false">L34*INDEX(Parametros!$E$2:$E$9,MATCH($E34,Parametros!$A$2:$A$9,0))</f>
        <v>365341.2</v>
      </c>
      <c r="AA34" s="16" t="n">
        <f aca="false">Z34*INDEX(Parametros!$F$2:$F$9,MATCH($E34,Parametros!$A$2:$A$9,0))</f>
        <v>7306.824</v>
      </c>
      <c r="AB34" s="17" t="n">
        <f aca="false">Z34+AA34</f>
        <v>372648.024</v>
      </c>
      <c r="AC34" s="18" t="n">
        <v>372539.14</v>
      </c>
      <c r="AD34" s="17" t="n">
        <f aca="false">AC34-AB34</f>
        <v>-108.88400000002</v>
      </c>
      <c r="AE34" s="17" t="n">
        <f aca="false">AA34+AD34</f>
        <v>7197.93999999998</v>
      </c>
      <c r="AF34" s="19" t="n">
        <f aca="false">IF(Z34&gt;0,AE34/Z34,0)</f>
        <v>0.0197019662715291</v>
      </c>
      <c r="AG34" s="16" t="n">
        <f aca="false">(U34-W34)*INDEX(Parametros!$H$2:$H$9,MATCH($E34,Parametros!$A$2:$A$9,0))+W34*INDEX(Parametros!$H$2:$H$9,MATCH($E34,Parametros!$A$2:$A$9,0))*Parametros!$N$3</f>
        <v>67198.95</v>
      </c>
      <c r="AH34" s="13" t="n">
        <v>46607</v>
      </c>
      <c r="AI34" s="16" t="n">
        <f aca="false">AH34*Parametros!$N$2</f>
        <v>4287.844</v>
      </c>
      <c r="AJ34" s="18" t="n">
        <v>13574</v>
      </c>
      <c r="AK34" s="18" t="n">
        <v>1468</v>
      </c>
      <c r="AL34" s="17" t="n">
        <f aca="false">AG34+AI34+AJ34+AK34</f>
        <v>86528.794</v>
      </c>
      <c r="AM34" s="20" t="n">
        <f aca="false">IF(L34&gt;0,AL34/L34,0)</f>
        <v>0.0994743912813556</v>
      </c>
      <c r="AN34" s="16" t="n">
        <f aca="false">L34*INDEX(Parametros!$G$2:$G$9,MATCH($E34,Parametros!$A$2:$A$9,0))</f>
        <v>617600.6</v>
      </c>
      <c r="AO34" s="17" t="n">
        <f aca="false">AN34-AC34-AL34</f>
        <v>158532.666</v>
      </c>
      <c r="AP34" s="15" t="n">
        <f aca="false">IF(AN34&gt;0,AO34/AN34,0)</f>
        <v>0.25669124349944</v>
      </c>
      <c r="AQ34" s="16" t="n">
        <f aca="false">INDEX(Parametros!$I$2:$I$9,MATCH($E34,Parametros!$A$2:$A$9,0))</f>
        <v>29300000</v>
      </c>
      <c r="AR34" s="19" t="n">
        <f aca="false">IF(AQ34&gt;0,AO34/AQ34,0)</f>
        <v>0.00541067119453925</v>
      </c>
    </row>
    <row r="35" customFormat="false" ht="15" hidden="false" customHeight="false" outlineLevel="0" collapsed="false">
      <c r="A35" s="5" t="s">
        <v>170</v>
      </c>
      <c r="B35" s="9" t="n">
        <v>45579</v>
      </c>
      <c r="C35" s="2" t="str">
        <f aca="false">TEXT(B35,"yyyy")</f>
        <v>2024</v>
      </c>
      <c r="D35" s="2" t="n">
        <f aca="false">WEEKNUM(B35,2)</f>
        <v>42</v>
      </c>
      <c r="E35" s="5" t="s">
        <v>132</v>
      </c>
      <c r="F35" s="6" t="str">
        <f aca="false">INDEX(Parametros!$B$2:$B$9,MATCH($E35,Parametros!$A$2:$A$9,0))</f>
        <v>Mayonesa frasco</v>
      </c>
      <c r="G35" s="10" t="n">
        <v>116.1</v>
      </c>
      <c r="H35" s="10" t="n">
        <v>5.9</v>
      </c>
      <c r="I35" s="11" t="n">
        <f aca="false">SUMIFS(Eventos_Paro!$J$2:$J$2186,Eventos_Paro!$D$2:$D$2186,$E35,Eventos_Paro!$B$2:$B$2186,$B35)</f>
        <v>2.7</v>
      </c>
      <c r="J35" s="12" t="n">
        <f aca="false">G35-H35-I35</f>
        <v>107.5</v>
      </c>
      <c r="K35" s="13" t="n">
        <v>570873</v>
      </c>
      <c r="L35" s="13" t="n">
        <v>580991</v>
      </c>
      <c r="M35" s="13" t="n">
        <v>17184</v>
      </c>
      <c r="N35" s="14" t="n">
        <f aca="false">L35+M35</f>
        <v>598175</v>
      </c>
      <c r="O35" s="11" t="n">
        <f aca="false">INDEX(Parametros!$D$2:$D$9,MATCH($E35,Parametros!$A$2:$A$9,0))</f>
        <v>6500</v>
      </c>
      <c r="P35" s="15" t="n">
        <f aca="false">IF((G35-H35)&gt;0,J35/(G35-H35),0)</f>
        <v>0.975499092558984</v>
      </c>
      <c r="Q35" s="15" t="n">
        <f aca="false">IF(J35*O35&gt;0,N35/(O35*J35),0)</f>
        <v>0.856064400715564</v>
      </c>
      <c r="R35" s="15" t="n">
        <f aca="false">IF(N35&gt;0,L35/N35,0)</f>
        <v>0.971272620888536</v>
      </c>
      <c r="S35" s="15" t="n">
        <f aca="false">P35*Q35*R35</f>
        <v>0.811100097724417</v>
      </c>
      <c r="T35" s="15" t="n">
        <f aca="false">IF(K35&gt;0,L35/K35,0)</f>
        <v>1.01772373189834</v>
      </c>
      <c r="U35" s="10" t="n">
        <v>1825.1</v>
      </c>
      <c r="V35" s="5" t="n">
        <v>14</v>
      </c>
      <c r="W35" s="10" t="n">
        <v>199.7</v>
      </c>
      <c r="X35" s="15" t="n">
        <f aca="false">IF(U35&gt;0,W35/U35,0)</f>
        <v>0.109418661991124</v>
      </c>
      <c r="Y35" s="12" t="n">
        <f aca="false">IF(U35&gt;0,L35/U35,0)</f>
        <v>318.333789929319</v>
      </c>
      <c r="Z35" s="16" t="n">
        <f aca="false">L35*INDEX(Parametros!$E$2:$E$9,MATCH($E35,Parametros!$A$2:$A$9,0))</f>
        <v>354404.51</v>
      </c>
      <c r="AA35" s="16" t="n">
        <f aca="false">Z35*INDEX(Parametros!$F$2:$F$9,MATCH($E35,Parametros!$A$2:$A$9,0))</f>
        <v>8860.11275</v>
      </c>
      <c r="AB35" s="17" t="n">
        <f aca="false">Z35+AA35</f>
        <v>363264.62275</v>
      </c>
      <c r="AC35" s="18" t="n">
        <v>366293.3</v>
      </c>
      <c r="AD35" s="17" t="n">
        <f aca="false">AC35-AB35</f>
        <v>3028.67725000001</v>
      </c>
      <c r="AE35" s="17" t="n">
        <f aca="false">AA35+AD35</f>
        <v>11888.79</v>
      </c>
      <c r="AF35" s="19" t="n">
        <f aca="false">IF(Z35&gt;0,AE35/Z35,0)</f>
        <v>0.0335458202831561</v>
      </c>
      <c r="AG35" s="16" t="n">
        <f aca="false">(U35-W35)*INDEX(Parametros!$H$2:$H$9,MATCH($E35,Parametros!$A$2:$A$9,0))+W35*INDEX(Parametros!$H$2:$H$9,MATCH($E35,Parametros!$A$2:$A$9,0))*Parametros!$N$3</f>
        <v>60635.925</v>
      </c>
      <c r="AH35" s="13" t="n">
        <v>30207</v>
      </c>
      <c r="AI35" s="16" t="n">
        <f aca="false">AH35*Parametros!$N$2</f>
        <v>2779.044</v>
      </c>
      <c r="AJ35" s="18" t="n">
        <v>10556</v>
      </c>
      <c r="AK35" s="18" t="n">
        <v>2573</v>
      </c>
      <c r="AL35" s="17" t="n">
        <f aca="false">AG35+AI35+AJ35+AK35</f>
        <v>76543.969</v>
      </c>
      <c r="AM35" s="20" t="n">
        <f aca="false">IF(L35&gt;0,AL35/L35,0)</f>
        <v>0.131747254260393</v>
      </c>
      <c r="AN35" s="16" t="n">
        <f aca="false">L35*INDEX(Parametros!$G$2:$G$9,MATCH($E35,Parametros!$A$2:$A$9,0))</f>
        <v>557751.36</v>
      </c>
      <c r="AO35" s="17" t="n">
        <f aca="false">AN35-AC35-AL35</f>
        <v>114914.091</v>
      </c>
      <c r="AP35" s="15" t="n">
        <f aca="false">IF(AN35&gt;0,AO35/AN35,0)</f>
        <v>0.206031036840502</v>
      </c>
      <c r="AQ35" s="16" t="n">
        <f aca="false">INDEX(Parametros!$I$2:$I$9,MATCH($E35,Parametros!$A$2:$A$9,0))</f>
        <v>29700000</v>
      </c>
      <c r="AR35" s="19" t="n">
        <f aca="false">IF(AQ35&gt;0,AO35/AQ35,0)</f>
        <v>0.00386916131313131</v>
      </c>
    </row>
    <row r="36" customFormat="false" ht="15" hidden="false" customHeight="false" outlineLevel="0" collapsed="false">
      <c r="A36" s="5" t="s">
        <v>171</v>
      </c>
      <c r="B36" s="9" t="n">
        <v>45579</v>
      </c>
      <c r="C36" s="2" t="str">
        <f aca="false">TEXT(B36,"yyyy")</f>
        <v>2024</v>
      </c>
      <c r="D36" s="2" t="n">
        <f aca="false">WEEKNUM(B36,2)</f>
        <v>42</v>
      </c>
      <c r="E36" s="5" t="s">
        <v>134</v>
      </c>
      <c r="F36" s="6" t="str">
        <f aca="false">INDEX(Parametros!$B$2:$B$9,MATCH($E36,Parametros!$A$2:$A$9,0))</f>
        <v>Aderezos vertibles</v>
      </c>
      <c r="G36" s="10" t="n">
        <v>117.4</v>
      </c>
      <c r="H36" s="10" t="n">
        <v>7.4</v>
      </c>
      <c r="I36" s="11" t="n">
        <f aca="false">SUMIFS(Eventos_Paro!$J$2:$J$2186,Eventos_Paro!$D$2:$D$2186,$E36,Eventos_Paro!$B$2:$B$2186,$B36)</f>
        <v>1.85</v>
      </c>
      <c r="J36" s="12" t="n">
        <f aca="false">G36-H36-I36</f>
        <v>108.15</v>
      </c>
      <c r="K36" s="13" t="n">
        <v>455870</v>
      </c>
      <c r="L36" s="13" t="n">
        <v>445150</v>
      </c>
      <c r="M36" s="13" t="n">
        <v>18533</v>
      </c>
      <c r="N36" s="14" t="n">
        <f aca="false">L36+M36</f>
        <v>463683</v>
      </c>
      <c r="O36" s="11" t="n">
        <f aca="false">INDEX(Parametros!$D$2:$D$9,MATCH($E36,Parametros!$A$2:$A$9,0))</f>
        <v>5200</v>
      </c>
      <c r="P36" s="15" t="n">
        <f aca="false">IF((G36-H36)&gt;0,J36/(G36-H36),0)</f>
        <v>0.983181818181818</v>
      </c>
      <c r="Q36" s="15" t="n">
        <f aca="false">IF(J36*O36&gt;0,N36/(O36*J36),0)</f>
        <v>0.824501226928411</v>
      </c>
      <c r="R36" s="15" t="n">
        <f aca="false">IF(N36&gt;0,L36/N36,0)</f>
        <v>0.960030883168026</v>
      </c>
      <c r="S36" s="15" t="n">
        <f aca="false">P36*Q36*R36</f>
        <v>0.778234265734266</v>
      </c>
      <c r="T36" s="15" t="n">
        <f aca="false">IF(K36&gt;0,L36/K36,0)</f>
        <v>0.976484524096782</v>
      </c>
      <c r="U36" s="10" t="n">
        <v>1564</v>
      </c>
      <c r="V36" s="5" t="n">
        <v>13</v>
      </c>
      <c r="W36" s="10" t="n">
        <v>37.8</v>
      </c>
      <c r="X36" s="15" t="n">
        <f aca="false">IF(U36&gt;0,W36/U36,0)</f>
        <v>0.0241687979539642</v>
      </c>
      <c r="Y36" s="12" t="n">
        <f aca="false">IF(U36&gt;0,L36/U36,0)</f>
        <v>284.622762148338</v>
      </c>
      <c r="Z36" s="16" t="n">
        <f aca="false">L36*INDEX(Parametros!$E$2:$E$9,MATCH($E36,Parametros!$A$2:$A$9,0))</f>
        <v>244832.5</v>
      </c>
      <c r="AA36" s="16" t="n">
        <f aca="false">Z36*INDEX(Parametros!$F$2:$F$9,MATCH($E36,Parametros!$A$2:$A$9,0))</f>
        <v>7344.975</v>
      </c>
      <c r="AB36" s="17" t="n">
        <f aca="false">Z36+AA36</f>
        <v>252177.475</v>
      </c>
      <c r="AC36" s="18" t="n">
        <v>250270.46</v>
      </c>
      <c r="AD36" s="17" t="n">
        <f aca="false">AC36-AB36</f>
        <v>-1907.01500000004</v>
      </c>
      <c r="AE36" s="17" t="n">
        <f aca="false">AA36+AD36</f>
        <v>5437.95999999996</v>
      </c>
      <c r="AF36" s="19" t="n">
        <f aca="false">IF(Z36&gt;0,AE36/Z36,0)</f>
        <v>0.0222109401325394</v>
      </c>
      <c r="AG36" s="16" t="n">
        <f aca="false">(U36-W36)*INDEX(Parametros!$H$2:$H$9,MATCH($E36,Parametros!$A$2:$A$9,0))+W36*INDEX(Parametros!$H$2:$H$9,MATCH($E36,Parametros!$A$2:$A$9,0))*Parametros!$N$3</f>
        <v>49861.35</v>
      </c>
      <c r="AH36" s="13" t="n">
        <v>24601</v>
      </c>
      <c r="AI36" s="16" t="n">
        <f aca="false">AH36*Parametros!$N$2</f>
        <v>2263.292</v>
      </c>
      <c r="AJ36" s="18" t="n">
        <v>9816</v>
      </c>
      <c r="AK36" s="18" t="n">
        <v>1676</v>
      </c>
      <c r="AL36" s="17" t="n">
        <f aca="false">AG36+AI36+AJ36+AK36</f>
        <v>63616.642</v>
      </c>
      <c r="AM36" s="20" t="n">
        <f aca="false">IF(L36&gt;0,AL36/L36,0)</f>
        <v>0.142910573963832</v>
      </c>
      <c r="AN36" s="16" t="n">
        <f aca="false">L36*INDEX(Parametros!$G$2:$G$9,MATCH($E36,Parametros!$A$2:$A$9,0))</f>
        <v>454053</v>
      </c>
      <c r="AO36" s="17" t="n">
        <f aca="false">AN36-AC36-AL36</f>
        <v>140165.898</v>
      </c>
      <c r="AP36" s="15" t="n">
        <f aca="false">IF(AN36&gt;0,AO36/AN36,0)</f>
        <v>0.308699420552226</v>
      </c>
      <c r="AQ36" s="16" t="n">
        <f aca="false">INDEX(Parametros!$I$2:$I$9,MATCH($E36,Parametros!$A$2:$A$9,0))</f>
        <v>19300000</v>
      </c>
      <c r="AR36" s="19" t="n">
        <f aca="false">IF(AQ36&gt;0,AO36/AQ36,0)</f>
        <v>0.00726248176165803</v>
      </c>
    </row>
    <row r="37" customFormat="false" ht="15" hidden="false" customHeight="false" outlineLevel="0" collapsed="false">
      <c r="A37" s="5" t="s">
        <v>172</v>
      </c>
      <c r="B37" s="9" t="n">
        <v>45579</v>
      </c>
      <c r="C37" s="2" t="str">
        <f aca="false">TEXT(B37,"yyyy")</f>
        <v>2024</v>
      </c>
      <c r="D37" s="2" t="n">
        <f aca="false">WEEKNUM(B37,2)</f>
        <v>42</v>
      </c>
      <c r="E37" s="5" t="s">
        <v>136</v>
      </c>
      <c r="F37" s="6" t="str">
        <f aca="false">INDEX(Parametros!$B$2:$B$9,MATCH($E37,Parametros!$A$2:$A$9,0))</f>
        <v>Salsa BBQ</v>
      </c>
      <c r="G37" s="10" t="n">
        <v>100.5</v>
      </c>
      <c r="H37" s="10" t="n">
        <v>8.6</v>
      </c>
      <c r="I37" s="11" t="n">
        <f aca="false">SUMIFS(Eventos_Paro!$J$2:$J$2186,Eventos_Paro!$D$2:$D$2186,$E37,Eventos_Paro!$B$2:$B$2186,$B37)</f>
        <v>2.85</v>
      </c>
      <c r="J37" s="12" t="n">
        <f aca="false">G37-H37-I37</f>
        <v>89.05</v>
      </c>
      <c r="K37" s="13" t="n">
        <v>346891</v>
      </c>
      <c r="L37" s="13" t="n">
        <v>339809</v>
      </c>
      <c r="M37" s="13" t="n">
        <v>8109</v>
      </c>
      <c r="N37" s="14" t="n">
        <f aca="false">L37+M37</f>
        <v>347918</v>
      </c>
      <c r="O37" s="11" t="n">
        <f aca="false">INDEX(Parametros!$D$2:$D$9,MATCH($E37,Parametros!$A$2:$A$9,0))</f>
        <v>4800</v>
      </c>
      <c r="P37" s="15" t="n">
        <f aca="false">IF((G37-H37)&gt;0,J37/(G37-H37),0)</f>
        <v>0.9689880304679</v>
      </c>
      <c r="Q37" s="15" t="n">
        <f aca="false">IF(J37*O37&gt;0,N37/(O37*J37),0)</f>
        <v>0.81395751450496</v>
      </c>
      <c r="R37" s="15" t="n">
        <f aca="false">IF(N37&gt;0,L37/N37,0)</f>
        <v>0.976692783931846</v>
      </c>
      <c r="S37" s="15" t="n">
        <f aca="false">P37*Q37*R37</f>
        <v>0.770332335872325</v>
      </c>
      <c r="T37" s="15" t="n">
        <f aca="false">IF(K37&gt;0,L37/K37,0)</f>
        <v>0.979584365117573</v>
      </c>
      <c r="U37" s="10" t="n">
        <v>1137.1</v>
      </c>
      <c r="V37" s="5" t="n">
        <v>11</v>
      </c>
      <c r="W37" s="10" t="n">
        <v>31.6</v>
      </c>
      <c r="X37" s="15" t="n">
        <f aca="false">IF(U37&gt;0,W37/U37,0)</f>
        <v>0.0277899920851288</v>
      </c>
      <c r="Y37" s="12" t="n">
        <f aca="false">IF(U37&gt;0,L37/U37,0)</f>
        <v>298.838272799226</v>
      </c>
      <c r="Z37" s="16" t="n">
        <f aca="false">L37*INDEX(Parametros!$E$2:$E$9,MATCH($E37,Parametros!$A$2:$A$9,0))</f>
        <v>197089.22</v>
      </c>
      <c r="AA37" s="16" t="n">
        <f aca="false">Z37*INDEX(Parametros!$F$2:$F$9,MATCH($E37,Parametros!$A$2:$A$9,0))</f>
        <v>5518.49816</v>
      </c>
      <c r="AB37" s="17" t="n">
        <f aca="false">Z37+AA37</f>
        <v>202607.71816</v>
      </c>
      <c r="AC37" s="18" t="n">
        <v>205074.63</v>
      </c>
      <c r="AD37" s="17" t="n">
        <f aca="false">AC37-AB37</f>
        <v>2466.91184000004</v>
      </c>
      <c r="AE37" s="17" t="n">
        <f aca="false">AA37+AD37</f>
        <v>7985.41000000004</v>
      </c>
      <c r="AF37" s="19" t="n">
        <f aca="false">IF(Z37&gt;0,AE37/Z37,0)</f>
        <v>0.0405167263841221</v>
      </c>
      <c r="AG37" s="16" t="n">
        <f aca="false">(U37-W37)*INDEX(Parametros!$H$2:$H$9,MATCH($E37,Parametros!$A$2:$A$9,0))+W37*INDEX(Parametros!$H$2:$H$9,MATCH($E37,Parametros!$A$2:$A$9,0))*Parametros!$N$3</f>
        <v>36316.35</v>
      </c>
      <c r="AH37" s="13" t="n">
        <v>18385</v>
      </c>
      <c r="AI37" s="16" t="n">
        <f aca="false">AH37*Parametros!$N$2</f>
        <v>1691.42</v>
      </c>
      <c r="AJ37" s="18" t="n">
        <v>7377</v>
      </c>
      <c r="AK37" s="18" t="n">
        <v>1726</v>
      </c>
      <c r="AL37" s="17" t="n">
        <f aca="false">AG37+AI37+AJ37+AK37</f>
        <v>47110.77</v>
      </c>
      <c r="AM37" s="20" t="n">
        <f aca="false">IF(L37&gt;0,AL37/L37,0)</f>
        <v>0.138638970715902</v>
      </c>
      <c r="AN37" s="16" t="n">
        <f aca="false">L37*INDEX(Parametros!$G$2:$G$9,MATCH($E37,Parametros!$A$2:$A$9,0))</f>
        <v>333012.82</v>
      </c>
      <c r="AO37" s="17" t="n">
        <f aca="false">AN37-AC37-AL37</f>
        <v>80827.42</v>
      </c>
      <c r="AP37" s="15" t="n">
        <f aca="false">IF(AN37&gt;0,AO37/AN37,0)</f>
        <v>0.242715640797252</v>
      </c>
      <c r="AQ37" s="16" t="n">
        <f aca="false">INDEX(Parametros!$I$2:$I$9,MATCH($E37,Parametros!$A$2:$A$9,0))</f>
        <v>17000000</v>
      </c>
      <c r="AR37" s="19" t="n">
        <f aca="false">IF(AQ37&gt;0,AO37/AQ37,0)</f>
        <v>0.00475455411764706</v>
      </c>
    </row>
    <row r="38" customFormat="false" ht="15" hidden="false" customHeight="false" outlineLevel="0" collapsed="false">
      <c r="A38" s="5" t="s">
        <v>173</v>
      </c>
      <c r="B38" s="9" t="n">
        <v>45579</v>
      </c>
      <c r="C38" s="2" t="str">
        <f aca="false">TEXT(B38,"yyyy")</f>
        <v>2024</v>
      </c>
      <c r="D38" s="2" t="n">
        <f aca="false">WEEKNUM(B38,2)</f>
        <v>42</v>
      </c>
      <c r="E38" s="5" t="s">
        <v>138</v>
      </c>
      <c r="F38" s="6" t="str">
        <f aca="false">INDEX(Parametros!$B$2:$B$9,MATCH($E38,Parametros!$A$2:$A$9,0))</f>
        <v>Queso crema</v>
      </c>
      <c r="G38" s="10" t="n">
        <v>122.4</v>
      </c>
      <c r="H38" s="10" t="n">
        <v>6.3</v>
      </c>
      <c r="I38" s="11" t="n">
        <f aca="false">SUMIFS(Eventos_Paro!$J$2:$J$2186,Eventos_Paro!$D$2:$D$2186,$E38,Eventos_Paro!$B$2:$B$2186,$B38)</f>
        <v>6.51666666666667</v>
      </c>
      <c r="J38" s="12" t="n">
        <f aca="false">G38-H38-I38</f>
        <v>109.583333333333</v>
      </c>
      <c r="K38" s="13" t="n">
        <v>351609</v>
      </c>
      <c r="L38" s="13" t="n">
        <v>321131</v>
      </c>
      <c r="M38" s="13" t="n">
        <v>9195</v>
      </c>
      <c r="N38" s="14" t="n">
        <f aca="false">L38+M38</f>
        <v>330326</v>
      </c>
      <c r="O38" s="11" t="n">
        <f aca="false">INDEX(Parametros!$D$2:$D$9,MATCH($E38,Parametros!$A$2:$A$9,0))</f>
        <v>3800</v>
      </c>
      <c r="P38" s="15" t="n">
        <f aca="false">IF((G38-H38)&gt;0,J38/(G38-H38),0)</f>
        <v>0.943870226815963</v>
      </c>
      <c r="Q38" s="15" t="n">
        <f aca="false">IF(J38*O38&gt;0,N38/(O38*J38),0)</f>
        <v>0.793258355013008</v>
      </c>
      <c r="R38" s="15" t="n">
        <f aca="false">IF(N38&gt;0,L38/N38,0)</f>
        <v>0.972163862366269</v>
      </c>
      <c r="S38" s="15" t="n">
        <f aca="false">P38*Q38*R38</f>
        <v>0.727891110204452</v>
      </c>
      <c r="T38" s="15" t="n">
        <f aca="false">IF(K38&gt;0,L38/K38,0)</f>
        <v>0.913318487296969</v>
      </c>
      <c r="U38" s="10" t="n">
        <v>2004.8</v>
      </c>
      <c r="V38" s="5" t="n">
        <v>15</v>
      </c>
      <c r="W38" s="10" t="n">
        <v>168.8</v>
      </c>
      <c r="X38" s="15" t="n">
        <f aca="false">IF(U38&gt;0,W38/U38,0)</f>
        <v>0.0841979249800479</v>
      </c>
      <c r="Y38" s="12" t="n">
        <f aca="false">IF(U38&gt;0,L38/U38,0)</f>
        <v>160.181065442937</v>
      </c>
      <c r="Z38" s="16" t="n">
        <f aca="false">L38*INDEX(Parametros!$E$2:$E$9,MATCH($E38,Parametros!$A$2:$A$9,0))</f>
        <v>359666.72</v>
      </c>
      <c r="AA38" s="16" t="n">
        <f aca="false">Z38*INDEX(Parametros!$F$2:$F$9,MATCH($E38,Parametros!$A$2:$A$9,0))</f>
        <v>12588.3352</v>
      </c>
      <c r="AB38" s="17" t="n">
        <f aca="false">Z38+AA38</f>
        <v>372255.0552</v>
      </c>
      <c r="AC38" s="18" t="n">
        <v>375975.22</v>
      </c>
      <c r="AD38" s="17" t="n">
        <f aca="false">AC38-AB38</f>
        <v>3720.16479999991</v>
      </c>
      <c r="AE38" s="17" t="n">
        <f aca="false">AA38+AD38</f>
        <v>16308.4999999999</v>
      </c>
      <c r="AF38" s="19" t="n">
        <f aca="false">IF(Z38&gt;0,AE38/Z38,0)</f>
        <v>0.0453433667702141</v>
      </c>
      <c r="AG38" s="16" t="n">
        <f aca="false">(U38-W38)*INDEX(Parametros!$H$2:$H$9,MATCH($E38,Parametros!$A$2:$A$9,0))+W38*INDEX(Parametros!$H$2:$H$9,MATCH($E38,Parametros!$A$2:$A$9,0))*Parametros!$N$3</f>
        <v>68943.6</v>
      </c>
      <c r="AH38" s="13" t="n">
        <v>15857</v>
      </c>
      <c r="AI38" s="16" t="n">
        <f aca="false">AH38*Parametros!$N$2</f>
        <v>1458.844</v>
      </c>
      <c r="AJ38" s="18" t="n">
        <v>16109</v>
      </c>
      <c r="AK38" s="18" t="n">
        <v>4764</v>
      </c>
      <c r="AL38" s="17" t="n">
        <f aca="false">AG38+AI38+AJ38+AK38</f>
        <v>91275.444</v>
      </c>
      <c r="AM38" s="20" t="n">
        <f aca="false">IF(L38&gt;0,AL38/L38,0)</f>
        <v>0.284231182912892</v>
      </c>
      <c r="AN38" s="16" t="n">
        <f aca="false">L38*INDEX(Parametros!$G$2:$G$9,MATCH($E38,Parametros!$A$2:$A$9,0))</f>
        <v>574824.49</v>
      </c>
      <c r="AO38" s="17" t="n">
        <f aca="false">AN38-AC38-AL38</f>
        <v>107573.826</v>
      </c>
      <c r="AP38" s="15" t="n">
        <f aca="false">IF(AN38&gt;0,AO38/AN38,0)</f>
        <v>0.187142037041602</v>
      </c>
      <c r="AQ38" s="16" t="n">
        <f aca="false">INDEX(Parametros!$I$2:$I$9,MATCH($E38,Parametros!$A$2:$A$9,0))</f>
        <v>33200000</v>
      </c>
      <c r="AR38" s="19" t="n">
        <f aca="false">IF(AQ38&gt;0,AO38/AQ38,0)</f>
        <v>0.00324017548192771</v>
      </c>
    </row>
    <row r="39" customFormat="false" ht="15" hidden="false" customHeight="false" outlineLevel="0" collapsed="false">
      <c r="A39" s="5" t="s">
        <v>174</v>
      </c>
      <c r="B39" s="9" t="n">
        <v>45579</v>
      </c>
      <c r="C39" s="2" t="str">
        <f aca="false">TEXT(B39,"yyyy")</f>
        <v>2024</v>
      </c>
      <c r="D39" s="2" t="n">
        <f aca="false">WEEKNUM(B39,2)</f>
        <v>42</v>
      </c>
      <c r="E39" s="5" t="s">
        <v>140</v>
      </c>
      <c r="F39" s="6" t="str">
        <f aca="false">INDEX(Parametros!$B$2:$B$9,MATCH($E39,Parametros!$A$2:$A$9,0))</f>
        <v>Crema de cacahuate</v>
      </c>
      <c r="G39" s="10" t="n">
        <v>108.2</v>
      </c>
      <c r="H39" s="10" t="n">
        <v>9</v>
      </c>
      <c r="I39" s="11" t="n">
        <f aca="false">SUMIFS(Eventos_Paro!$J$2:$J$2186,Eventos_Paro!$D$2:$D$2186,$E39,Eventos_Paro!$B$2:$B$2186,$B39)</f>
        <v>2.51666666666667</v>
      </c>
      <c r="J39" s="12" t="n">
        <f aca="false">G39-H39-I39</f>
        <v>96.6833333333333</v>
      </c>
      <c r="K39" s="13" t="n">
        <v>332052</v>
      </c>
      <c r="L39" s="13" t="n">
        <v>351932</v>
      </c>
      <c r="M39" s="13" t="n">
        <v>6864</v>
      </c>
      <c r="N39" s="14" t="n">
        <f aca="false">L39+M39</f>
        <v>358796</v>
      </c>
      <c r="O39" s="11" t="n">
        <f aca="false">INDEX(Parametros!$D$2:$D$9,MATCH($E39,Parametros!$A$2:$A$9,0))</f>
        <v>4200</v>
      </c>
      <c r="P39" s="15" t="n">
        <f aca="false">IF((G39-H39)&gt;0,J39/(G39-H39),0)</f>
        <v>0.974630376344086</v>
      </c>
      <c r="Q39" s="15" t="n">
        <f aca="false">IF(J39*O39&gt;0,N39/(O39*J39),0)</f>
        <v>0.883581648484252</v>
      </c>
      <c r="R39" s="15" t="n">
        <f aca="false">IF(N39&gt;0,L39/N39,0)</f>
        <v>0.980869351943723</v>
      </c>
      <c r="S39" s="15" t="n">
        <f aca="false">P39*Q39*R39</f>
        <v>0.844690860215054</v>
      </c>
      <c r="T39" s="15" t="n">
        <f aca="false">IF(K39&gt;0,L39/K39,0)</f>
        <v>1.05987014082132</v>
      </c>
      <c r="U39" s="10" t="n">
        <v>1272.3</v>
      </c>
      <c r="V39" s="5" t="n">
        <v>11</v>
      </c>
      <c r="W39" s="10" t="n">
        <v>82.1</v>
      </c>
      <c r="X39" s="15" t="n">
        <f aca="false">IF(U39&gt;0,W39/U39,0)</f>
        <v>0.0645288060991904</v>
      </c>
      <c r="Y39" s="12" t="n">
        <f aca="false">IF(U39&gt;0,L39/U39,0)</f>
        <v>276.61086221803</v>
      </c>
      <c r="Z39" s="16" t="n">
        <f aca="false">L39*INDEX(Parametros!$E$2:$E$9,MATCH($E39,Parametros!$A$2:$A$9,0))</f>
        <v>341374.04</v>
      </c>
      <c r="AA39" s="16" t="n">
        <f aca="false">Z39*INDEX(Parametros!$F$2:$F$9,MATCH($E39,Parametros!$A$2:$A$9,0))</f>
        <v>7510.22888</v>
      </c>
      <c r="AB39" s="17" t="n">
        <f aca="false">Z39+AA39</f>
        <v>348884.26888</v>
      </c>
      <c r="AC39" s="18" t="n">
        <v>346518.93</v>
      </c>
      <c r="AD39" s="17" t="n">
        <f aca="false">AC39-AB39</f>
        <v>-2365.33888</v>
      </c>
      <c r="AE39" s="17" t="n">
        <f aca="false">AA39+AD39</f>
        <v>5144.89</v>
      </c>
      <c r="AF39" s="19" t="n">
        <f aca="false">IF(Z39&gt;0,AE39/Z39,0)</f>
        <v>0.0150711225727651</v>
      </c>
      <c r="AG39" s="16" t="n">
        <f aca="false">(U39-W39)*INDEX(Parametros!$H$2:$H$9,MATCH($E39,Parametros!$A$2:$A$9,0))+W39*INDEX(Parametros!$H$2:$H$9,MATCH($E39,Parametros!$A$2:$A$9,0))*Parametros!$N$3</f>
        <v>41370.525</v>
      </c>
      <c r="AH39" s="13" t="n">
        <v>17782</v>
      </c>
      <c r="AI39" s="16" t="n">
        <f aca="false">AH39*Parametros!$N$2</f>
        <v>1635.944</v>
      </c>
      <c r="AJ39" s="18" t="n">
        <v>14068</v>
      </c>
      <c r="AK39" s="18" t="n">
        <v>2536</v>
      </c>
      <c r="AL39" s="17" t="n">
        <f aca="false">AG39+AI39+AJ39+AK39</f>
        <v>59610.469</v>
      </c>
      <c r="AM39" s="20" t="n">
        <f aca="false">IF(L39&gt;0,AL39/L39,0)</f>
        <v>0.169380644556335</v>
      </c>
      <c r="AN39" s="16" t="n">
        <f aca="false">L39*INDEX(Parametros!$G$2:$G$9,MATCH($E39,Parametros!$A$2:$A$9,0))</f>
        <v>570129.84</v>
      </c>
      <c r="AO39" s="17" t="n">
        <f aca="false">AN39-AC39-AL39</f>
        <v>164000.441</v>
      </c>
      <c r="AP39" s="15" t="n">
        <f aca="false">IF(AN39&gt;0,AO39/AN39,0)</f>
        <v>0.287654547251903</v>
      </c>
      <c r="AQ39" s="16" t="n">
        <f aca="false">INDEX(Parametros!$I$2:$I$9,MATCH($E39,Parametros!$A$2:$A$9,0))</f>
        <v>28000000</v>
      </c>
      <c r="AR39" s="19" t="n">
        <f aca="false">IF(AQ39&gt;0,AO39/AQ39,0)</f>
        <v>0.00585715860714286</v>
      </c>
    </row>
    <row r="40" customFormat="false" ht="15" hidden="false" customHeight="false" outlineLevel="0" collapsed="false">
      <c r="A40" s="5" t="s">
        <v>175</v>
      </c>
      <c r="B40" s="9" t="n">
        <v>45579</v>
      </c>
      <c r="C40" s="2" t="str">
        <f aca="false">TEXT(B40,"yyyy")</f>
        <v>2024</v>
      </c>
      <c r="D40" s="2" t="n">
        <f aca="false">WEEKNUM(B40,2)</f>
        <v>42</v>
      </c>
      <c r="E40" s="5" t="s">
        <v>142</v>
      </c>
      <c r="F40" s="6" t="str">
        <f aca="false">INDEX(Parametros!$B$2:$B$9,MATCH($E40,Parametros!$A$2:$A$9,0))</f>
        <v>Porciones single serve</v>
      </c>
      <c r="G40" s="10" t="n">
        <v>142.1</v>
      </c>
      <c r="H40" s="10" t="n">
        <v>7.8</v>
      </c>
      <c r="I40" s="11" t="n">
        <f aca="false">SUMIFS(Eventos_Paro!$J$2:$J$2186,Eventos_Paro!$D$2:$D$2186,$E40,Eventos_Paro!$B$2:$B$2186,$B40)</f>
        <v>3.53333333333333</v>
      </c>
      <c r="J40" s="12" t="n">
        <f aca="false">G40-H40-I40</f>
        <v>130.766666666667</v>
      </c>
      <c r="K40" s="13" t="n">
        <v>278288</v>
      </c>
      <c r="L40" s="13" t="n">
        <v>232456</v>
      </c>
      <c r="M40" s="13" t="n">
        <v>12806</v>
      </c>
      <c r="N40" s="14" t="n">
        <f aca="false">L40+M40</f>
        <v>245262</v>
      </c>
      <c r="O40" s="11" t="n">
        <f aca="false">INDEX(Parametros!$D$2:$D$9,MATCH($E40,Parametros!$A$2:$A$9,0))</f>
        <v>2600</v>
      </c>
      <c r="P40" s="15" t="n">
        <f aca="false">IF((G40-H40)&gt;0,J40/(G40-H40),0)</f>
        <v>0.973690742119633</v>
      </c>
      <c r="Q40" s="15" t="n">
        <f aca="false">IF(J40*O40&gt;0,N40/(O40*J40),0)</f>
        <v>0.721372968097414</v>
      </c>
      <c r="R40" s="15" t="n">
        <f aca="false">IF(N40&gt;0,L40/N40,0)</f>
        <v>0.947786448777226</v>
      </c>
      <c r="S40" s="15" t="n">
        <f aca="false">P40*Q40*R40</f>
        <v>0.665719686121771</v>
      </c>
      <c r="T40" s="15" t="n">
        <f aca="false">IF(K40&gt;0,L40/K40,0)</f>
        <v>0.835307307537515</v>
      </c>
      <c r="U40" s="10" t="n">
        <v>2674.7</v>
      </c>
      <c r="V40" s="5" t="n">
        <v>16</v>
      </c>
      <c r="W40" s="10" t="n">
        <v>401.1</v>
      </c>
      <c r="X40" s="15" t="n">
        <f aca="false">IF(U40&gt;0,W40/U40,0)</f>
        <v>0.149960743260926</v>
      </c>
      <c r="Y40" s="12" t="n">
        <f aca="false">IF(U40&gt;0,L40/U40,0)</f>
        <v>86.9091860769432</v>
      </c>
      <c r="Z40" s="16" t="n">
        <f aca="false">L40*INDEX(Parametros!$E$2:$E$9,MATCH($E40,Parametros!$A$2:$A$9,0))</f>
        <v>172017.44</v>
      </c>
      <c r="AA40" s="16" t="n">
        <f aca="false">Z40*INDEX(Parametros!$F$2:$F$9,MATCH($E40,Parametros!$A$2:$A$9,0))</f>
        <v>7740.7848</v>
      </c>
      <c r="AB40" s="17" t="n">
        <f aca="false">Z40+AA40</f>
        <v>179758.2248</v>
      </c>
      <c r="AC40" s="18" t="n">
        <v>182851.78</v>
      </c>
      <c r="AD40" s="17" t="n">
        <f aca="false">AC40-AB40</f>
        <v>3093.5552</v>
      </c>
      <c r="AE40" s="17" t="n">
        <f aca="false">AA40+AD40</f>
        <v>10834.34</v>
      </c>
      <c r="AF40" s="19" t="n">
        <f aca="false">IF(Z40&gt;0,AE40/Z40,0)</f>
        <v>0.0629839625563548</v>
      </c>
      <c r="AG40" s="16" t="n">
        <f aca="false">(U40-W40)*INDEX(Parametros!$H$2:$H$9,MATCH($E40,Parametros!$A$2:$A$9,0))+W40*INDEX(Parametros!$H$2:$H$9,MATCH($E40,Parametros!$A$2:$A$9,0))*Parametros!$N$3</f>
        <v>86257.5</v>
      </c>
      <c r="AH40" s="13" t="n">
        <v>12537</v>
      </c>
      <c r="AI40" s="16" t="n">
        <f aca="false">AH40*Parametros!$N$2</f>
        <v>1153.404</v>
      </c>
      <c r="AJ40" s="18" t="n">
        <v>8926</v>
      </c>
      <c r="AK40" s="18" t="n">
        <v>3831</v>
      </c>
      <c r="AL40" s="17" t="n">
        <f aca="false">AG40+AI40+AJ40+AK40</f>
        <v>100167.904</v>
      </c>
      <c r="AM40" s="20" t="n">
        <f aca="false">IF(L40&gt;0,AL40/L40,0)</f>
        <v>0.430911243418109</v>
      </c>
      <c r="AN40" s="16" t="n">
        <f aca="false">L40*INDEX(Parametros!$G$2:$G$9,MATCH($E40,Parametros!$A$2:$A$9,0))</f>
        <v>399824.32</v>
      </c>
      <c r="AO40" s="17" t="n">
        <f aca="false">AN40-AC40-AL40</f>
        <v>116804.636</v>
      </c>
      <c r="AP40" s="15" t="n">
        <f aca="false">IF(AN40&gt;0,AO40/AN40,0)</f>
        <v>0.292139897843133</v>
      </c>
      <c r="AQ40" s="16" t="n">
        <f aca="false">INDEX(Parametros!$I$2:$I$9,MATCH($E40,Parametros!$A$2:$A$9,0))</f>
        <v>15900000</v>
      </c>
      <c r="AR40" s="19" t="n">
        <f aca="false">IF(AQ40&gt;0,AO40/AQ40,0)</f>
        <v>0.00734620352201258</v>
      </c>
    </row>
    <row r="41" customFormat="false" ht="15" hidden="false" customHeight="false" outlineLevel="0" collapsed="false">
      <c r="A41" s="5" t="s">
        <v>176</v>
      </c>
      <c r="B41" s="9" t="n">
        <v>45579</v>
      </c>
      <c r="C41" s="2" t="str">
        <f aca="false">TEXT(B41,"yyyy")</f>
        <v>2024</v>
      </c>
      <c r="D41" s="2" t="n">
        <f aca="false">WEEKNUM(B41,2)</f>
        <v>42</v>
      </c>
      <c r="E41" s="5" t="s">
        <v>144</v>
      </c>
      <c r="F41" s="6" t="str">
        <f aca="false">INDEX(Parametros!$B$2:$B$9,MATCH($E41,Parametros!$A$2:$A$9,0))</f>
        <v>Salsas picantes</v>
      </c>
      <c r="G41" s="10" t="n">
        <v>103.6</v>
      </c>
      <c r="H41" s="10" t="n">
        <v>6.3</v>
      </c>
      <c r="I41" s="11" t="n">
        <f aca="false">SUMIFS(Eventos_Paro!$J$2:$J$2186,Eventos_Paro!$D$2:$D$2186,$E41,Eventos_Paro!$B$2:$B$2186,$B41)</f>
        <v>4.3</v>
      </c>
      <c r="J41" s="12" t="n">
        <f aca="false">G41-H41-I41</f>
        <v>93</v>
      </c>
      <c r="K41" s="13" t="n">
        <v>243292</v>
      </c>
      <c r="L41" s="13" t="n">
        <v>232550</v>
      </c>
      <c r="M41" s="13" t="n">
        <v>5254</v>
      </c>
      <c r="N41" s="14" t="n">
        <f aca="false">L41+M41</f>
        <v>237804</v>
      </c>
      <c r="O41" s="11" t="n">
        <f aca="false">INDEX(Parametros!$D$2:$D$9,MATCH($E41,Parametros!$A$2:$A$9,0))</f>
        <v>3100</v>
      </c>
      <c r="P41" s="15" t="n">
        <f aca="false">IF((G41-H41)&gt;0,J41/(G41-H41),0)</f>
        <v>0.955806783144913</v>
      </c>
      <c r="Q41" s="15" t="n">
        <f aca="false">IF(J41*O41&gt;0,N41/(O41*J41),0)</f>
        <v>0.824849115504683</v>
      </c>
      <c r="R41" s="15" t="n">
        <f aca="false">IF(N41&gt;0,L41/N41,0)</f>
        <v>0.977906174833056</v>
      </c>
      <c r="S41" s="15" t="n">
        <f aca="false">P41*Q41*R41</f>
        <v>0.770977687895766</v>
      </c>
      <c r="T41" s="15" t="n">
        <f aca="false">IF(K41&gt;0,L41/K41,0)</f>
        <v>0.955847294608947</v>
      </c>
      <c r="U41" s="10" t="n">
        <v>923.4</v>
      </c>
      <c r="V41" s="5" t="n">
        <v>8</v>
      </c>
      <c r="W41" s="10" t="n">
        <v>94.6</v>
      </c>
      <c r="X41" s="15" t="n">
        <f aca="false">IF(U41&gt;0,W41/U41,0)</f>
        <v>0.102447476716483</v>
      </c>
      <c r="Y41" s="12" t="n">
        <f aca="false">IF(U41&gt;0,L41/U41,0)</f>
        <v>251.841022308859</v>
      </c>
      <c r="Z41" s="16" t="n">
        <f aca="false">L41*INDEX(Parametros!$E$2:$E$9,MATCH($E41,Parametros!$A$2:$A$9,0))</f>
        <v>153483</v>
      </c>
      <c r="AA41" s="16" t="n">
        <f aca="false">Z41*INDEX(Parametros!$F$2:$F$9,MATCH($E41,Parametros!$A$2:$A$9,0))</f>
        <v>3990.558</v>
      </c>
      <c r="AB41" s="17" t="n">
        <f aca="false">Z41+AA41</f>
        <v>157473.558</v>
      </c>
      <c r="AC41" s="18" t="n">
        <v>158416.14</v>
      </c>
      <c r="AD41" s="17" t="n">
        <f aca="false">AC41-AB41</f>
        <v>942.582000000024</v>
      </c>
      <c r="AE41" s="17" t="n">
        <f aca="false">AA41+AD41</f>
        <v>4933.14000000002</v>
      </c>
      <c r="AF41" s="19" t="n">
        <f aca="false">IF(Z41&gt;0,AE41/Z41,0)</f>
        <v>0.0321412794902369</v>
      </c>
      <c r="AG41" s="16" t="n">
        <f aca="false">(U41-W41)*INDEX(Parametros!$H$2:$H$9,MATCH($E41,Parametros!$A$2:$A$9,0))+W41*INDEX(Parametros!$H$2:$H$9,MATCH($E41,Parametros!$A$2:$A$9,0))*Parametros!$N$3</f>
        <v>30577.05</v>
      </c>
      <c r="AH41" s="13" t="n">
        <v>11760</v>
      </c>
      <c r="AI41" s="16" t="n">
        <f aca="false">AH41*Parametros!$N$2</f>
        <v>1081.92</v>
      </c>
      <c r="AJ41" s="18" t="n">
        <v>7652</v>
      </c>
      <c r="AK41" s="18" t="n">
        <v>3184</v>
      </c>
      <c r="AL41" s="17" t="n">
        <f aca="false">AG41+AI41+AJ41+AK41</f>
        <v>42494.97</v>
      </c>
      <c r="AM41" s="20" t="n">
        <f aca="false">IF(L41&gt;0,AL41/L41,0)</f>
        <v>0.182734766716835</v>
      </c>
      <c r="AN41" s="16" t="n">
        <f aca="false">L41*INDEX(Parametros!$G$2:$G$9,MATCH($E41,Parametros!$A$2:$A$9,0))</f>
        <v>290687.5</v>
      </c>
      <c r="AO41" s="17" t="n">
        <f aca="false">AN41-AC41-AL41</f>
        <v>89776.39</v>
      </c>
      <c r="AP41" s="15" t="n">
        <f aca="false">IF(AN41&gt;0,AO41/AN41,0)</f>
        <v>0.308841591055687</v>
      </c>
      <c r="AQ41" s="16" t="n">
        <f aca="false">INDEX(Parametros!$I$2:$I$9,MATCH($E41,Parametros!$A$2:$A$9,0))</f>
        <v>13300000</v>
      </c>
      <c r="AR41" s="19" t="n">
        <f aca="false">IF(AQ41&gt;0,AO41/AQ41,0)</f>
        <v>0.00675010451127819</v>
      </c>
    </row>
    <row r="42" customFormat="false" ht="15" hidden="false" customHeight="false" outlineLevel="0" collapsed="false">
      <c r="A42" s="5" t="s">
        <v>177</v>
      </c>
      <c r="B42" s="9" t="n">
        <v>45586</v>
      </c>
      <c r="C42" s="2" t="str">
        <f aca="false">TEXT(B42,"yyyy")</f>
        <v>2024</v>
      </c>
      <c r="D42" s="2" t="n">
        <f aca="false">WEEKNUM(B42,2)</f>
        <v>43</v>
      </c>
      <c r="E42" s="5" t="s">
        <v>130</v>
      </c>
      <c r="F42" s="6" t="str">
        <f aca="false">INDEX(Parametros!$B$2:$B$9,MATCH($E42,Parametros!$A$2:$A$9,0))</f>
        <v>Ketchup botella</v>
      </c>
      <c r="G42" s="10" t="n">
        <v>138.3</v>
      </c>
      <c r="H42" s="10" t="n">
        <v>6.8</v>
      </c>
      <c r="I42" s="11" t="n">
        <f aca="false">SUMIFS(Eventos_Paro!$J$2:$J$2186,Eventos_Paro!$D$2:$D$2186,$E42,Eventos_Paro!$B$2:$B$2186,$B42)</f>
        <v>3.23333333333333</v>
      </c>
      <c r="J42" s="12" t="n">
        <f aca="false">G42-H42-I42</f>
        <v>128.266666666667</v>
      </c>
      <c r="K42" s="13" t="n">
        <v>938714</v>
      </c>
      <c r="L42" s="13" t="n">
        <v>996266</v>
      </c>
      <c r="M42" s="13" t="n">
        <v>29114</v>
      </c>
      <c r="N42" s="14" t="n">
        <f aca="false">L42+M42</f>
        <v>1025380</v>
      </c>
      <c r="O42" s="11" t="n">
        <f aca="false">INDEX(Parametros!$D$2:$D$9,MATCH($E42,Parametros!$A$2:$A$9,0))</f>
        <v>9000</v>
      </c>
      <c r="P42" s="15" t="n">
        <f aca="false">IF((G42-H42)&gt;0,J42/(G42-H42),0)</f>
        <v>0.975411913814956</v>
      </c>
      <c r="Q42" s="15" t="n">
        <f aca="false">IF(J42*O42&gt;0,N42/(O42*J42),0)</f>
        <v>0.888236313236313</v>
      </c>
      <c r="R42" s="15" t="n">
        <f aca="false">IF(N42&gt;0,L42/N42,0)</f>
        <v>0.971606623885779</v>
      </c>
      <c r="S42" s="15" t="n">
        <f aca="false">P42*Q42*R42</f>
        <v>0.841796366708914</v>
      </c>
      <c r="T42" s="15" t="n">
        <f aca="false">IF(K42&gt;0,L42/K42,0)</f>
        <v>1.06130940840341</v>
      </c>
      <c r="U42" s="10" t="n">
        <v>2177.4</v>
      </c>
      <c r="V42" s="5" t="n">
        <v>14</v>
      </c>
      <c r="W42" s="10" t="n">
        <v>241.2</v>
      </c>
      <c r="X42" s="15" t="n">
        <f aca="false">IF(U42&gt;0,W42/U42,0)</f>
        <v>0.110774317993938</v>
      </c>
      <c r="Y42" s="12" t="n">
        <f aca="false">IF(U42&gt;0,L42/U42,0)</f>
        <v>457.548452282539</v>
      </c>
      <c r="Z42" s="16" t="n">
        <f aca="false">L42*INDEX(Parametros!$E$2:$E$9,MATCH($E42,Parametros!$A$2:$A$9,0))</f>
        <v>418431.72</v>
      </c>
      <c r="AA42" s="16" t="n">
        <f aca="false">Z42*INDEX(Parametros!$F$2:$F$9,MATCH($E42,Parametros!$A$2:$A$9,0))</f>
        <v>8368.6344</v>
      </c>
      <c r="AB42" s="17" t="n">
        <f aca="false">Z42+AA42</f>
        <v>426800.3544</v>
      </c>
      <c r="AC42" s="18" t="n">
        <v>430495.31</v>
      </c>
      <c r="AD42" s="17" t="n">
        <f aca="false">AC42-AB42</f>
        <v>3694.95560000005</v>
      </c>
      <c r="AE42" s="17" t="n">
        <f aca="false">AA42+AD42</f>
        <v>12063.59</v>
      </c>
      <c r="AF42" s="19" t="n">
        <f aca="false">IF(Z42&gt;0,AE42/Z42,0)</f>
        <v>0.0288304863694369</v>
      </c>
      <c r="AG42" s="16" t="n">
        <f aca="false">(U42-W42)*INDEX(Parametros!$H$2:$H$9,MATCH($E42,Parametros!$A$2:$A$9,0))+W42*INDEX(Parametros!$H$2:$H$9,MATCH($E42,Parametros!$A$2:$A$9,0))*Parametros!$N$3</f>
        <v>72387</v>
      </c>
      <c r="AH42" s="13" t="n">
        <v>52979</v>
      </c>
      <c r="AI42" s="16" t="n">
        <f aca="false">AH42*Parametros!$N$2</f>
        <v>4874.068</v>
      </c>
      <c r="AJ42" s="18" t="n">
        <v>16286</v>
      </c>
      <c r="AK42" s="18" t="n">
        <v>3222</v>
      </c>
      <c r="AL42" s="17" t="n">
        <f aca="false">AG42+AI42+AJ42+AK42</f>
        <v>96769.068</v>
      </c>
      <c r="AM42" s="20" t="n">
        <f aca="false">IF(L42&gt;0,AL42/L42,0)</f>
        <v>0.0971317579843134</v>
      </c>
      <c r="AN42" s="16" t="n">
        <f aca="false">L42*INDEX(Parametros!$G$2:$G$9,MATCH($E42,Parametros!$A$2:$A$9,0))</f>
        <v>707348.86</v>
      </c>
      <c r="AO42" s="17" t="n">
        <f aca="false">AN42-AC42-AL42</f>
        <v>180084.482</v>
      </c>
      <c r="AP42" s="15" t="n">
        <f aca="false">IF(AN42&gt;0,AO42/AN42,0)</f>
        <v>0.254590757381018</v>
      </c>
      <c r="AQ42" s="16" t="n">
        <f aca="false">INDEX(Parametros!$I$2:$I$9,MATCH($E42,Parametros!$A$2:$A$9,0))</f>
        <v>29300000</v>
      </c>
      <c r="AR42" s="19" t="n">
        <f aca="false">IF(AQ42&gt;0,AO42/AQ42,0)</f>
        <v>0.00614622805460751</v>
      </c>
    </row>
    <row r="43" customFormat="false" ht="15" hidden="false" customHeight="false" outlineLevel="0" collapsed="false">
      <c r="A43" s="5" t="s">
        <v>178</v>
      </c>
      <c r="B43" s="9" t="n">
        <v>45586</v>
      </c>
      <c r="C43" s="2" t="str">
        <f aca="false">TEXT(B43,"yyyy")</f>
        <v>2024</v>
      </c>
      <c r="D43" s="2" t="n">
        <f aca="false">WEEKNUM(B43,2)</f>
        <v>43</v>
      </c>
      <c r="E43" s="5" t="s">
        <v>132</v>
      </c>
      <c r="F43" s="6" t="str">
        <f aca="false">INDEX(Parametros!$B$2:$B$9,MATCH($E43,Parametros!$A$2:$A$9,0))</f>
        <v>Mayonesa frasco</v>
      </c>
      <c r="G43" s="10" t="n">
        <v>142.1</v>
      </c>
      <c r="H43" s="10" t="n">
        <v>5.7</v>
      </c>
      <c r="I43" s="11" t="n">
        <f aca="false">SUMIFS(Eventos_Paro!$J$2:$J$2186,Eventos_Paro!$D$2:$D$2186,$E43,Eventos_Paro!$B$2:$B$2186,$B43)</f>
        <v>4.45</v>
      </c>
      <c r="J43" s="12" t="n">
        <f aca="false">G43-H43-I43</f>
        <v>131.95</v>
      </c>
      <c r="K43" s="13" t="n">
        <v>703222</v>
      </c>
      <c r="L43" s="13" t="n">
        <v>699335</v>
      </c>
      <c r="M43" s="13" t="n">
        <v>21910</v>
      </c>
      <c r="N43" s="14" t="n">
        <f aca="false">L43+M43</f>
        <v>721245</v>
      </c>
      <c r="O43" s="11" t="n">
        <f aca="false">INDEX(Parametros!$D$2:$D$9,MATCH($E43,Parametros!$A$2:$A$9,0))</f>
        <v>6500</v>
      </c>
      <c r="P43" s="15" t="n">
        <f aca="false">IF((G43-H43)&gt;0,J43/(G43-H43),0)</f>
        <v>0.967375366568915</v>
      </c>
      <c r="Q43" s="15" t="n">
        <f aca="false">IF(J43*O43&gt;0,N43/(O43*J43),0)</f>
        <v>0.840930422362783</v>
      </c>
      <c r="R43" s="15" t="n">
        <f aca="false">IF(N43&gt;0,L43/N43,0)</f>
        <v>0.969621973115932</v>
      </c>
      <c r="S43" s="15" t="n">
        <f aca="false">P43*Q43*R43</f>
        <v>0.788782991202346</v>
      </c>
      <c r="T43" s="15" t="n">
        <f aca="false">IF(K43&gt;0,L43/K43,0)</f>
        <v>0.994472584759862</v>
      </c>
      <c r="U43" s="10" t="n">
        <v>2167</v>
      </c>
      <c r="V43" s="5" t="n">
        <v>14</v>
      </c>
      <c r="W43" s="10" t="n">
        <v>177.6</v>
      </c>
      <c r="X43" s="15" t="n">
        <f aca="false">IF(U43&gt;0,W43/U43,0)</f>
        <v>0.0819566220581449</v>
      </c>
      <c r="Y43" s="12" t="n">
        <f aca="false">IF(U43&gt;0,L43/U43,0)</f>
        <v>322.720350715275</v>
      </c>
      <c r="Z43" s="16" t="n">
        <f aca="false">L43*INDEX(Parametros!$E$2:$E$9,MATCH($E43,Parametros!$A$2:$A$9,0))</f>
        <v>426594.35</v>
      </c>
      <c r="AA43" s="16" t="n">
        <f aca="false">Z43*INDEX(Parametros!$F$2:$F$9,MATCH($E43,Parametros!$A$2:$A$9,0))</f>
        <v>10664.85875</v>
      </c>
      <c r="AB43" s="17" t="n">
        <f aca="false">Z43+AA43</f>
        <v>437259.20875</v>
      </c>
      <c r="AC43" s="18" t="n">
        <v>439228.26</v>
      </c>
      <c r="AD43" s="17" t="n">
        <f aca="false">AC43-AB43</f>
        <v>1969.05125000002</v>
      </c>
      <c r="AE43" s="17" t="n">
        <f aca="false">AA43+AD43</f>
        <v>12633.91</v>
      </c>
      <c r="AF43" s="19" t="n">
        <f aca="false">IF(Z43&gt;0,AE43/Z43,0)</f>
        <v>0.0296157462001079</v>
      </c>
      <c r="AG43" s="16" t="n">
        <f aca="false">(U43-W43)*INDEX(Parametros!$H$2:$H$9,MATCH($E43,Parametros!$A$2:$A$9,0))+W43*INDEX(Parametros!$H$2:$H$9,MATCH($E43,Parametros!$A$2:$A$9,0))*Parametros!$N$3</f>
        <v>71057.7</v>
      </c>
      <c r="AH43" s="13" t="n">
        <v>36968</v>
      </c>
      <c r="AI43" s="16" t="n">
        <f aca="false">AH43*Parametros!$N$2</f>
        <v>3401.056</v>
      </c>
      <c r="AJ43" s="18" t="n">
        <v>14698</v>
      </c>
      <c r="AK43" s="18" t="n">
        <v>3977</v>
      </c>
      <c r="AL43" s="17" t="n">
        <f aca="false">AG43+AI43+AJ43+AK43</f>
        <v>93133.756</v>
      </c>
      <c r="AM43" s="20" t="n">
        <f aca="false">IF(L43&gt;0,AL43/L43,0)</f>
        <v>0.133174738859059</v>
      </c>
      <c r="AN43" s="16" t="n">
        <f aca="false">L43*INDEX(Parametros!$G$2:$G$9,MATCH($E43,Parametros!$A$2:$A$9,0))</f>
        <v>671361.6</v>
      </c>
      <c r="AO43" s="17" t="n">
        <f aca="false">AN43-AC43-AL43</f>
        <v>138999.584</v>
      </c>
      <c r="AP43" s="15" t="n">
        <f aca="false">IF(AN43&gt;0,AO43/AN43,0)</f>
        <v>0.207041308290495</v>
      </c>
      <c r="AQ43" s="16" t="n">
        <f aca="false">INDEX(Parametros!$I$2:$I$9,MATCH($E43,Parametros!$A$2:$A$9,0))</f>
        <v>29700000</v>
      </c>
      <c r="AR43" s="19" t="n">
        <f aca="false">IF(AQ43&gt;0,AO43/AQ43,0)</f>
        <v>0.00468012067340067</v>
      </c>
    </row>
    <row r="44" customFormat="false" ht="15" hidden="false" customHeight="false" outlineLevel="0" collapsed="false">
      <c r="A44" s="5" t="s">
        <v>179</v>
      </c>
      <c r="B44" s="9" t="n">
        <v>45586</v>
      </c>
      <c r="C44" s="2" t="str">
        <f aca="false">TEXT(B44,"yyyy")</f>
        <v>2024</v>
      </c>
      <c r="D44" s="2" t="n">
        <f aca="false">WEEKNUM(B44,2)</f>
        <v>43</v>
      </c>
      <c r="E44" s="5" t="s">
        <v>134</v>
      </c>
      <c r="F44" s="6" t="str">
        <f aca="false">INDEX(Parametros!$B$2:$B$9,MATCH($E44,Parametros!$A$2:$A$9,0))</f>
        <v>Aderezos vertibles</v>
      </c>
      <c r="G44" s="10" t="n">
        <v>100.3</v>
      </c>
      <c r="H44" s="10" t="n">
        <v>7.4</v>
      </c>
      <c r="I44" s="11" t="n">
        <f aca="false">SUMIFS(Eventos_Paro!$J$2:$J$2186,Eventos_Paro!$D$2:$D$2186,$E44,Eventos_Paro!$B$2:$B$2186,$B44)</f>
        <v>5.25</v>
      </c>
      <c r="J44" s="12" t="n">
        <f aca="false">G44-H44-I44</f>
        <v>87.65</v>
      </c>
      <c r="K44" s="13" t="n">
        <v>383163</v>
      </c>
      <c r="L44" s="13" t="n">
        <v>352637</v>
      </c>
      <c r="M44" s="13" t="n">
        <v>15464</v>
      </c>
      <c r="N44" s="14" t="n">
        <f aca="false">L44+M44</f>
        <v>368101</v>
      </c>
      <c r="O44" s="11" t="n">
        <f aca="false">INDEX(Parametros!$D$2:$D$9,MATCH($E44,Parametros!$A$2:$A$9,0))</f>
        <v>5200</v>
      </c>
      <c r="P44" s="15" t="n">
        <f aca="false">IF((G44-H44)&gt;0,J44/(G44-H44),0)</f>
        <v>0.943487621097955</v>
      </c>
      <c r="Q44" s="15" t="n">
        <f aca="false">IF(J44*O44&gt;0,N44/(O44*J44),0)</f>
        <v>0.807628680503752</v>
      </c>
      <c r="R44" s="15" t="n">
        <f aca="false">IF(N44&gt;0,L44/N44,0)</f>
        <v>0.957989790845447</v>
      </c>
      <c r="S44" s="15" t="n">
        <f aca="false">P44*Q44*R44</f>
        <v>0.729976401424195</v>
      </c>
      <c r="T44" s="15" t="n">
        <f aca="false">IF(K44&gt;0,L44/K44,0)</f>
        <v>0.92033155602185</v>
      </c>
      <c r="U44" s="10" t="n">
        <v>1317.8</v>
      </c>
      <c r="V44" s="5" t="n">
        <v>12</v>
      </c>
      <c r="W44" s="10" t="n">
        <v>114.2</v>
      </c>
      <c r="X44" s="15" t="n">
        <f aca="false">IF(U44&gt;0,W44/U44,0)</f>
        <v>0.0866595841554105</v>
      </c>
      <c r="Y44" s="12" t="n">
        <f aca="false">IF(U44&gt;0,L44/U44,0)</f>
        <v>267.595234481712</v>
      </c>
      <c r="Z44" s="16" t="n">
        <f aca="false">L44*INDEX(Parametros!$E$2:$E$9,MATCH($E44,Parametros!$A$2:$A$9,0))</f>
        <v>193950.35</v>
      </c>
      <c r="AA44" s="16" t="n">
        <f aca="false">Z44*INDEX(Parametros!$F$2:$F$9,MATCH($E44,Parametros!$A$2:$A$9,0))</f>
        <v>5818.5105</v>
      </c>
      <c r="AB44" s="17" t="n">
        <f aca="false">Z44+AA44</f>
        <v>199768.8605</v>
      </c>
      <c r="AC44" s="18" t="n">
        <v>204158.5</v>
      </c>
      <c r="AD44" s="17" t="n">
        <f aca="false">AC44-AB44</f>
        <v>4389.63949999999</v>
      </c>
      <c r="AE44" s="17" t="n">
        <f aca="false">AA44+AD44</f>
        <v>10208.15</v>
      </c>
      <c r="AF44" s="19" t="n">
        <f aca="false">IF(Z44&gt;0,AE44/Z44,0)</f>
        <v>0.0526328000954883</v>
      </c>
      <c r="AG44" s="16" t="n">
        <f aca="false">(U44-W44)*INDEX(Parametros!$H$2:$H$9,MATCH($E44,Parametros!$A$2:$A$9,0))+W44*INDEX(Parametros!$H$2:$H$9,MATCH($E44,Parametros!$A$2:$A$9,0))*Parametros!$N$3</f>
        <v>43309.35</v>
      </c>
      <c r="AH44" s="13" t="n">
        <v>19556</v>
      </c>
      <c r="AI44" s="16" t="n">
        <f aca="false">AH44*Parametros!$N$2</f>
        <v>1799.152</v>
      </c>
      <c r="AJ44" s="18" t="n">
        <v>11045</v>
      </c>
      <c r="AK44" s="18" t="n">
        <v>5237</v>
      </c>
      <c r="AL44" s="17" t="n">
        <f aca="false">AG44+AI44+AJ44+AK44</f>
        <v>61390.502</v>
      </c>
      <c r="AM44" s="20" t="n">
        <f aca="false">IF(L44&gt;0,AL44/L44,0)</f>
        <v>0.174089792052451</v>
      </c>
      <c r="AN44" s="16" t="n">
        <f aca="false">L44*INDEX(Parametros!$G$2:$G$9,MATCH($E44,Parametros!$A$2:$A$9,0))</f>
        <v>359689.74</v>
      </c>
      <c r="AO44" s="17" t="n">
        <f aca="false">AN44-AC44-AL44</f>
        <v>94140.738</v>
      </c>
      <c r="AP44" s="15" t="n">
        <f aca="false">IF(AN44&gt;0,AO44/AN44,0)</f>
        <v>0.261727615583364</v>
      </c>
      <c r="AQ44" s="16" t="n">
        <f aca="false">INDEX(Parametros!$I$2:$I$9,MATCH($E44,Parametros!$A$2:$A$9,0))</f>
        <v>19300000</v>
      </c>
      <c r="AR44" s="19" t="n">
        <f aca="false">IF(AQ44&gt;0,AO44/AQ44,0)</f>
        <v>0.00487775844559586</v>
      </c>
    </row>
    <row r="45" customFormat="false" ht="15" hidden="false" customHeight="false" outlineLevel="0" collapsed="false">
      <c r="A45" s="5" t="s">
        <v>180</v>
      </c>
      <c r="B45" s="9" t="n">
        <v>45586</v>
      </c>
      <c r="C45" s="2" t="str">
        <f aca="false">TEXT(B45,"yyyy")</f>
        <v>2024</v>
      </c>
      <c r="D45" s="2" t="n">
        <f aca="false">WEEKNUM(B45,2)</f>
        <v>43</v>
      </c>
      <c r="E45" s="5" t="s">
        <v>136</v>
      </c>
      <c r="F45" s="6" t="str">
        <f aca="false">INDEX(Parametros!$B$2:$B$9,MATCH($E45,Parametros!$A$2:$A$9,0))</f>
        <v>Salsa BBQ</v>
      </c>
      <c r="G45" s="10" t="n">
        <v>86.8</v>
      </c>
      <c r="H45" s="10" t="n">
        <v>8.8</v>
      </c>
      <c r="I45" s="11" t="n">
        <f aca="false">SUMIFS(Eventos_Paro!$J$2:$J$2186,Eventos_Paro!$D$2:$D$2186,$E45,Eventos_Paro!$B$2:$B$2186,$B45)</f>
        <v>3.05</v>
      </c>
      <c r="J45" s="12" t="n">
        <f aca="false">G45-H45-I45</f>
        <v>74.95</v>
      </c>
      <c r="K45" s="13" t="n">
        <v>288008</v>
      </c>
      <c r="L45" s="13" t="n">
        <v>286296</v>
      </c>
      <c r="M45" s="13" t="n">
        <v>9642</v>
      </c>
      <c r="N45" s="14" t="n">
        <f aca="false">L45+M45</f>
        <v>295938</v>
      </c>
      <c r="O45" s="11" t="n">
        <f aca="false">INDEX(Parametros!$D$2:$D$9,MATCH($E45,Parametros!$A$2:$A$9,0))</f>
        <v>4800</v>
      </c>
      <c r="P45" s="15" t="n">
        <f aca="false">IF((G45-H45)&gt;0,J45/(G45-H45),0)</f>
        <v>0.960897435897436</v>
      </c>
      <c r="Q45" s="15" t="n">
        <f aca="false">IF(J45*O45&gt;0,N45/(O45*J45),0)</f>
        <v>0.822598398932622</v>
      </c>
      <c r="R45" s="15" t="n">
        <f aca="false">IF(N45&gt;0,L45/N45,0)</f>
        <v>0.967418851245869</v>
      </c>
      <c r="S45" s="15" t="n">
        <f aca="false">P45*Q45*R45</f>
        <v>0.764679487179487</v>
      </c>
      <c r="T45" s="15" t="n">
        <f aca="false">IF(K45&gt;0,L45/K45,0)</f>
        <v>0.994055720674426</v>
      </c>
      <c r="U45" s="10" t="n">
        <v>1041.7</v>
      </c>
      <c r="V45" s="5" t="n">
        <v>11</v>
      </c>
      <c r="W45" s="10" t="n">
        <v>86.9</v>
      </c>
      <c r="X45" s="15" t="n">
        <f aca="false">IF(U45&gt;0,W45/U45,0)</f>
        <v>0.0834213305174234</v>
      </c>
      <c r="Y45" s="12" t="n">
        <f aca="false">IF(U45&gt;0,L45/U45,0)</f>
        <v>274.835365268311</v>
      </c>
      <c r="Z45" s="16" t="n">
        <f aca="false">L45*INDEX(Parametros!$E$2:$E$9,MATCH($E45,Parametros!$A$2:$A$9,0))</f>
        <v>166051.68</v>
      </c>
      <c r="AA45" s="16" t="n">
        <f aca="false">Z45*INDEX(Parametros!$F$2:$F$9,MATCH($E45,Parametros!$A$2:$A$9,0))</f>
        <v>4649.44704</v>
      </c>
      <c r="AB45" s="17" t="n">
        <f aca="false">Z45+AA45</f>
        <v>170701.12704</v>
      </c>
      <c r="AC45" s="18" t="n">
        <v>172843.09</v>
      </c>
      <c r="AD45" s="17" t="n">
        <f aca="false">AC45-AB45</f>
        <v>2141.96296</v>
      </c>
      <c r="AE45" s="17" t="n">
        <f aca="false">AA45+AD45</f>
        <v>6791.41</v>
      </c>
      <c r="AF45" s="19" t="n">
        <f aca="false">IF(Z45&gt;0,AE45/Z45,0)</f>
        <v>0.0408993754233622</v>
      </c>
      <c r="AG45" s="16" t="n">
        <f aca="false">(U45-W45)*INDEX(Parametros!$H$2:$H$9,MATCH($E45,Parametros!$A$2:$A$9,0))+W45*INDEX(Parametros!$H$2:$H$9,MATCH($E45,Parametros!$A$2:$A$9,0))*Parametros!$N$3</f>
        <v>34182.225</v>
      </c>
      <c r="AH45" s="13" t="n">
        <v>15215</v>
      </c>
      <c r="AI45" s="16" t="n">
        <f aca="false">AH45*Parametros!$N$2</f>
        <v>1399.78</v>
      </c>
      <c r="AJ45" s="18" t="n">
        <v>8690</v>
      </c>
      <c r="AK45" s="18" t="n">
        <v>2000</v>
      </c>
      <c r="AL45" s="17" t="n">
        <f aca="false">AG45+AI45+AJ45+AK45</f>
        <v>46272.005</v>
      </c>
      <c r="AM45" s="20" t="n">
        <f aca="false">IF(L45&gt;0,AL45/L45,0)</f>
        <v>0.161622953167351</v>
      </c>
      <c r="AN45" s="16" t="n">
        <f aca="false">L45*INDEX(Parametros!$G$2:$G$9,MATCH($E45,Parametros!$A$2:$A$9,0))</f>
        <v>280570.08</v>
      </c>
      <c r="AO45" s="17" t="n">
        <f aca="false">AN45-AC45-AL45</f>
        <v>61454.985</v>
      </c>
      <c r="AP45" s="15" t="n">
        <f aca="false">IF(AN45&gt;0,AO45/AN45,0)</f>
        <v>0.219036131721529</v>
      </c>
      <c r="AQ45" s="16" t="n">
        <f aca="false">INDEX(Parametros!$I$2:$I$9,MATCH($E45,Parametros!$A$2:$A$9,0))</f>
        <v>17000000</v>
      </c>
      <c r="AR45" s="19" t="n">
        <f aca="false">IF(AQ45&gt;0,AO45/AQ45,0)</f>
        <v>0.00361499911764706</v>
      </c>
    </row>
    <row r="46" customFormat="false" ht="15" hidden="false" customHeight="false" outlineLevel="0" collapsed="false">
      <c r="A46" s="5" t="s">
        <v>181</v>
      </c>
      <c r="B46" s="9" t="n">
        <v>45586</v>
      </c>
      <c r="C46" s="2" t="str">
        <f aca="false">TEXT(B46,"yyyy")</f>
        <v>2024</v>
      </c>
      <c r="D46" s="2" t="n">
        <f aca="false">WEEKNUM(B46,2)</f>
        <v>43</v>
      </c>
      <c r="E46" s="5" t="s">
        <v>138</v>
      </c>
      <c r="F46" s="6" t="str">
        <f aca="false">INDEX(Parametros!$B$2:$B$9,MATCH($E46,Parametros!$A$2:$A$9,0))</f>
        <v>Queso crema</v>
      </c>
      <c r="G46" s="10" t="n">
        <v>126.8</v>
      </c>
      <c r="H46" s="10" t="n">
        <v>6.5</v>
      </c>
      <c r="I46" s="11" t="n">
        <f aca="false">SUMIFS(Eventos_Paro!$J$2:$J$2186,Eventos_Paro!$D$2:$D$2186,$E46,Eventos_Paro!$B$2:$B$2186,$B46)</f>
        <v>8.55</v>
      </c>
      <c r="J46" s="12" t="n">
        <f aca="false">G46-H46-I46</f>
        <v>111.75</v>
      </c>
      <c r="K46" s="13" t="n">
        <v>362589</v>
      </c>
      <c r="L46" s="13" t="n">
        <v>305633</v>
      </c>
      <c r="M46" s="13" t="n">
        <v>13862</v>
      </c>
      <c r="N46" s="14" t="n">
        <f aca="false">L46+M46</f>
        <v>319495</v>
      </c>
      <c r="O46" s="11" t="n">
        <f aca="false">INDEX(Parametros!$D$2:$D$9,MATCH($E46,Parametros!$A$2:$A$9,0))</f>
        <v>3800</v>
      </c>
      <c r="P46" s="15" t="n">
        <f aca="false">IF((G46-H46)&gt;0,J46/(G46-H46),0)</f>
        <v>0.928927680798005</v>
      </c>
      <c r="Q46" s="15" t="n">
        <f aca="false">IF(J46*O46&gt;0,N46/(O46*J46),0)</f>
        <v>0.752372542093489</v>
      </c>
      <c r="R46" s="15" t="n">
        <f aca="false">IF(N46&gt;0,L46/N46,0)</f>
        <v>0.956612779542716</v>
      </c>
      <c r="S46" s="15" t="n">
        <f aca="false">P46*Q46*R46</f>
        <v>0.668576366102288</v>
      </c>
      <c r="T46" s="15" t="n">
        <f aca="false">IF(K46&gt;0,L46/K46,0)</f>
        <v>0.842918566200298</v>
      </c>
      <c r="U46" s="10" t="n">
        <v>2108.7</v>
      </c>
      <c r="V46" s="5" t="n">
        <v>15</v>
      </c>
      <c r="W46" s="10" t="n">
        <v>206.7</v>
      </c>
      <c r="X46" s="15" t="n">
        <f aca="false">IF(U46&gt;0,W46/U46,0)</f>
        <v>0.0980224783041685</v>
      </c>
      <c r="Y46" s="12" t="n">
        <f aca="false">IF(U46&gt;0,L46/U46,0)</f>
        <v>144.939061981316</v>
      </c>
      <c r="Z46" s="16" t="n">
        <f aca="false">L46*INDEX(Parametros!$E$2:$E$9,MATCH($E46,Parametros!$A$2:$A$9,0))</f>
        <v>342308.96</v>
      </c>
      <c r="AA46" s="16" t="n">
        <f aca="false">Z46*INDEX(Parametros!$F$2:$F$9,MATCH($E46,Parametros!$A$2:$A$9,0))</f>
        <v>11980.8136</v>
      </c>
      <c r="AB46" s="17" t="n">
        <f aca="false">Z46+AA46</f>
        <v>354289.7736</v>
      </c>
      <c r="AC46" s="18" t="n">
        <v>355085.67</v>
      </c>
      <c r="AD46" s="17" t="n">
        <f aca="false">AC46-AB46</f>
        <v>795.896399999969</v>
      </c>
      <c r="AE46" s="17" t="n">
        <f aca="false">AA46+AD46</f>
        <v>12776.71</v>
      </c>
      <c r="AF46" s="19" t="n">
        <f aca="false">IF(Z46&gt;0,AE46/Z46,0)</f>
        <v>0.0373250819961007</v>
      </c>
      <c r="AG46" s="16" t="n">
        <f aca="false">(U46-W46)*INDEX(Parametros!$H$2:$H$9,MATCH($E46,Parametros!$A$2:$A$9,0))+W46*INDEX(Parametros!$H$2:$H$9,MATCH($E46,Parametros!$A$2:$A$9,0))*Parametros!$N$3</f>
        <v>72997.65</v>
      </c>
      <c r="AH46" s="13" t="n">
        <v>16860</v>
      </c>
      <c r="AI46" s="16" t="n">
        <f aca="false">AH46*Parametros!$N$2</f>
        <v>1551.12</v>
      </c>
      <c r="AJ46" s="18" t="n">
        <v>17585</v>
      </c>
      <c r="AK46" s="18" t="n">
        <v>6461</v>
      </c>
      <c r="AL46" s="17" t="n">
        <f aca="false">AG46+AI46+AJ46+AK46</f>
        <v>98594.77</v>
      </c>
      <c r="AM46" s="20" t="n">
        <f aca="false">IF(L46&gt;0,AL46/L46,0)</f>
        <v>0.322592030310863</v>
      </c>
      <c r="AN46" s="16" t="n">
        <f aca="false">L46*INDEX(Parametros!$G$2:$G$9,MATCH($E46,Parametros!$A$2:$A$9,0))</f>
        <v>547083.07</v>
      </c>
      <c r="AO46" s="17" t="n">
        <f aca="false">AN46-AC46-AL46</f>
        <v>93402.6300000001</v>
      </c>
      <c r="AP46" s="15" t="n">
        <f aca="false">IF(AN46&gt;0,AO46/AN46,0)</f>
        <v>0.170728423381846</v>
      </c>
      <c r="AQ46" s="16" t="n">
        <f aca="false">INDEX(Parametros!$I$2:$I$9,MATCH($E46,Parametros!$A$2:$A$9,0))</f>
        <v>33200000</v>
      </c>
      <c r="AR46" s="19" t="n">
        <f aca="false">IF(AQ46&gt;0,AO46/AQ46,0)</f>
        <v>0.00281333222891567</v>
      </c>
    </row>
    <row r="47" customFormat="false" ht="15" hidden="false" customHeight="false" outlineLevel="0" collapsed="false">
      <c r="A47" s="5" t="s">
        <v>182</v>
      </c>
      <c r="B47" s="9" t="n">
        <v>45586</v>
      </c>
      <c r="C47" s="2" t="str">
        <f aca="false">TEXT(B47,"yyyy")</f>
        <v>2024</v>
      </c>
      <c r="D47" s="2" t="n">
        <f aca="false">WEEKNUM(B47,2)</f>
        <v>43</v>
      </c>
      <c r="E47" s="5" t="s">
        <v>140</v>
      </c>
      <c r="F47" s="6" t="str">
        <f aca="false">INDEX(Parametros!$B$2:$B$9,MATCH($E47,Parametros!$A$2:$A$9,0))</f>
        <v>Crema de cacahuate</v>
      </c>
      <c r="G47" s="10" t="n">
        <v>105.8</v>
      </c>
      <c r="H47" s="10" t="n">
        <v>7.8</v>
      </c>
      <c r="I47" s="11" t="n">
        <f aca="false">SUMIFS(Eventos_Paro!$J$2:$J$2186,Eventos_Paro!$D$2:$D$2186,$E47,Eventos_Paro!$B$2:$B$2186,$B47)</f>
        <v>1.75</v>
      </c>
      <c r="J47" s="12" t="n">
        <f aca="false">G47-H47-I47</f>
        <v>96.25</v>
      </c>
      <c r="K47" s="13" t="n">
        <v>326468</v>
      </c>
      <c r="L47" s="13" t="n">
        <v>343277</v>
      </c>
      <c r="M47" s="13" t="n">
        <v>5382</v>
      </c>
      <c r="N47" s="14" t="n">
        <f aca="false">L47+M47</f>
        <v>348659</v>
      </c>
      <c r="O47" s="11" t="n">
        <f aca="false">INDEX(Parametros!$D$2:$D$9,MATCH($E47,Parametros!$A$2:$A$9,0))</f>
        <v>4200</v>
      </c>
      <c r="P47" s="15" t="n">
        <f aca="false">IF((G47-H47)&gt;0,J47/(G47-H47),0)</f>
        <v>0.982142857142857</v>
      </c>
      <c r="Q47" s="15" t="n">
        <f aca="false">IF(J47*O47&gt;0,N47/(O47*J47),0)</f>
        <v>0.862483611626469</v>
      </c>
      <c r="R47" s="15" t="n">
        <f aca="false">IF(N47&gt;0,L47/N47,0)</f>
        <v>0.984563714116085</v>
      </c>
      <c r="S47" s="15" t="n">
        <f aca="false">P47*Q47*R47</f>
        <v>0.834006316812439</v>
      </c>
      <c r="T47" s="15" t="n">
        <f aca="false">IF(K47&gt;0,L47/K47,0)</f>
        <v>1.0514874352157</v>
      </c>
      <c r="U47" s="10" t="n">
        <v>1293</v>
      </c>
      <c r="V47" s="5" t="n">
        <v>11</v>
      </c>
      <c r="W47" s="10" t="n">
        <v>129.2</v>
      </c>
      <c r="X47" s="15" t="n">
        <f aca="false">IF(U47&gt;0,W47/U47,0)</f>
        <v>0.099922660479505</v>
      </c>
      <c r="Y47" s="12" t="n">
        <f aca="false">IF(U47&gt;0,L47/U47,0)</f>
        <v>265.488785769528</v>
      </c>
      <c r="Z47" s="16" t="n">
        <f aca="false">L47*INDEX(Parametros!$E$2:$E$9,MATCH($E47,Parametros!$A$2:$A$9,0))</f>
        <v>332978.69</v>
      </c>
      <c r="AA47" s="16" t="n">
        <f aca="false">Z47*INDEX(Parametros!$F$2:$F$9,MATCH($E47,Parametros!$A$2:$A$9,0))</f>
        <v>7325.53118</v>
      </c>
      <c r="AB47" s="17" t="n">
        <f aca="false">Z47+AA47</f>
        <v>340304.22118</v>
      </c>
      <c r="AC47" s="18" t="n">
        <v>335079.34</v>
      </c>
      <c r="AD47" s="17" t="n">
        <f aca="false">AC47-AB47</f>
        <v>-5224.88117999997</v>
      </c>
      <c r="AE47" s="17" t="n">
        <f aca="false">AA47+AD47</f>
        <v>2100.65000000003</v>
      </c>
      <c r="AF47" s="19" t="n">
        <f aca="false">IF(Z47&gt;0,AE47/Z47,0)</f>
        <v>0.00630866197473488</v>
      </c>
      <c r="AG47" s="16" t="n">
        <f aca="false">(U47-W47)*INDEX(Parametros!$H$2:$H$9,MATCH($E47,Parametros!$A$2:$A$9,0))+W47*INDEX(Parametros!$H$2:$H$9,MATCH($E47,Parametros!$A$2:$A$9,0))*Parametros!$N$3</f>
        <v>42764.4</v>
      </c>
      <c r="AH47" s="13" t="n">
        <v>17270</v>
      </c>
      <c r="AI47" s="16" t="n">
        <f aca="false">AH47*Parametros!$N$2</f>
        <v>1588.84</v>
      </c>
      <c r="AJ47" s="18" t="n">
        <v>14047</v>
      </c>
      <c r="AK47" s="18" t="n">
        <v>1983</v>
      </c>
      <c r="AL47" s="17" t="n">
        <f aca="false">AG47+AI47+AJ47+AK47</f>
        <v>60383.24</v>
      </c>
      <c r="AM47" s="20" t="n">
        <f aca="false">IF(L47&gt;0,AL47/L47,0)</f>
        <v>0.175902376215127</v>
      </c>
      <c r="AN47" s="16" t="n">
        <f aca="false">L47*INDEX(Parametros!$G$2:$G$9,MATCH($E47,Parametros!$A$2:$A$9,0))</f>
        <v>556108.74</v>
      </c>
      <c r="AO47" s="17" t="n">
        <f aca="false">AN47-AC47-AL47</f>
        <v>160646.16</v>
      </c>
      <c r="AP47" s="15" t="n">
        <f aca="false">IF(AN47&gt;0,AO47/AN47,0)</f>
        <v>0.288875445474926</v>
      </c>
      <c r="AQ47" s="16" t="n">
        <f aca="false">INDEX(Parametros!$I$2:$I$9,MATCH($E47,Parametros!$A$2:$A$9,0))</f>
        <v>28000000</v>
      </c>
      <c r="AR47" s="19" t="n">
        <f aca="false">IF(AQ47&gt;0,AO47/AQ47,0)</f>
        <v>0.00573736285714286</v>
      </c>
    </row>
    <row r="48" customFormat="false" ht="15" hidden="false" customHeight="false" outlineLevel="0" collapsed="false">
      <c r="A48" s="5" t="s">
        <v>183</v>
      </c>
      <c r="B48" s="9" t="n">
        <v>45586</v>
      </c>
      <c r="C48" s="2" t="str">
        <f aca="false">TEXT(B48,"yyyy")</f>
        <v>2024</v>
      </c>
      <c r="D48" s="2" t="n">
        <f aca="false">WEEKNUM(B48,2)</f>
        <v>43</v>
      </c>
      <c r="E48" s="5" t="s">
        <v>142</v>
      </c>
      <c r="F48" s="6" t="str">
        <f aca="false">INDEX(Parametros!$B$2:$B$9,MATCH($E48,Parametros!$A$2:$A$9,0))</f>
        <v>Porciones single serve</v>
      </c>
      <c r="G48" s="10" t="n">
        <v>122.1</v>
      </c>
      <c r="H48" s="10" t="n">
        <v>6.6</v>
      </c>
      <c r="I48" s="11" t="n">
        <f aca="false">SUMIFS(Eventos_Paro!$J$2:$J$2186,Eventos_Paro!$D$2:$D$2186,$E48,Eventos_Paro!$B$2:$B$2186,$B48)</f>
        <v>2.58333333333333</v>
      </c>
      <c r="J48" s="12" t="n">
        <f aca="false">G48-H48-I48</f>
        <v>112.916666666667</v>
      </c>
      <c r="K48" s="13" t="n">
        <v>238188</v>
      </c>
      <c r="L48" s="13" t="n">
        <v>200336</v>
      </c>
      <c r="M48" s="13" t="n">
        <v>10853</v>
      </c>
      <c r="N48" s="14" t="n">
        <f aca="false">L48+M48</f>
        <v>211189</v>
      </c>
      <c r="O48" s="11" t="n">
        <f aca="false">INDEX(Parametros!$D$2:$D$9,MATCH($E48,Parametros!$A$2:$A$9,0))</f>
        <v>2600</v>
      </c>
      <c r="P48" s="15" t="n">
        <f aca="false">IF((G48-H48)&gt;0,J48/(G48-H48),0)</f>
        <v>0.977633477633478</v>
      </c>
      <c r="Q48" s="15" t="n">
        <f aca="false">IF(J48*O48&gt;0,N48/(O48*J48),0)</f>
        <v>0.719349418109566</v>
      </c>
      <c r="R48" s="15" t="n">
        <f aca="false">IF(N48&gt;0,L48/N48,0)</f>
        <v>0.948610012832108</v>
      </c>
      <c r="S48" s="15" t="n">
        <f aca="false">P48*Q48*R48</f>
        <v>0.667119547119547</v>
      </c>
      <c r="T48" s="15" t="n">
        <f aca="false">IF(K48&gt;0,L48/K48,0)</f>
        <v>0.841083513862999</v>
      </c>
      <c r="U48" s="10" t="n">
        <v>2112.6</v>
      </c>
      <c r="V48" s="5" t="n">
        <v>16</v>
      </c>
      <c r="W48" s="10" t="n">
        <v>159</v>
      </c>
      <c r="X48" s="15" t="n">
        <f aca="false">IF(U48&gt;0,W48/U48,0)</f>
        <v>0.0752627094575405</v>
      </c>
      <c r="Y48" s="12" t="n">
        <f aca="false">IF(U48&gt;0,L48/U48,0)</f>
        <v>94.8291205150052</v>
      </c>
      <c r="Z48" s="16" t="n">
        <f aca="false">L48*INDEX(Parametros!$E$2:$E$9,MATCH($E48,Parametros!$A$2:$A$9,0))</f>
        <v>148248.64</v>
      </c>
      <c r="AA48" s="16" t="n">
        <f aca="false">Z48*INDEX(Parametros!$F$2:$F$9,MATCH($E48,Parametros!$A$2:$A$9,0))</f>
        <v>6671.1888</v>
      </c>
      <c r="AB48" s="17" t="n">
        <f aca="false">Z48+AA48</f>
        <v>154919.8288</v>
      </c>
      <c r="AC48" s="18" t="n">
        <v>156398.31</v>
      </c>
      <c r="AD48" s="17" t="n">
        <f aca="false">AC48-AB48</f>
        <v>1478.48120000001</v>
      </c>
      <c r="AE48" s="17" t="n">
        <f aca="false">AA48+AD48</f>
        <v>8149.67000000001</v>
      </c>
      <c r="AF48" s="19" t="n">
        <f aca="false">IF(Z48&gt;0,AE48/Z48,0)</f>
        <v>0.0549729832260182</v>
      </c>
      <c r="AG48" s="16" t="n">
        <f aca="false">(U48-W48)*INDEX(Parametros!$H$2:$H$9,MATCH($E48,Parametros!$A$2:$A$9,0))+W48*INDEX(Parametros!$H$2:$H$9,MATCH($E48,Parametros!$A$2:$A$9,0))*Parametros!$N$3</f>
        <v>65763</v>
      </c>
      <c r="AH48" s="13" t="n">
        <v>11305</v>
      </c>
      <c r="AI48" s="16" t="n">
        <f aca="false">AH48*Parametros!$N$2</f>
        <v>1040.06</v>
      </c>
      <c r="AJ48" s="18" t="n">
        <v>10784</v>
      </c>
      <c r="AK48" s="18" t="n">
        <v>2590</v>
      </c>
      <c r="AL48" s="17" t="n">
        <f aca="false">AG48+AI48+AJ48+AK48</f>
        <v>80177.06</v>
      </c>
      <c r="AM48" s="20" t="n">
        <f aca="false">IF(L48&gt;0,AL48/L48,0)</f>
        <v>0.400212942257008</v>
      </c>
      <c r="AN48" s="16" t="n">
        <f aca="false">L48*INDEX(Parametros!$G$2:$G$9,MATCH($E48,Parametros!$A$2:$A$9,0))</f>
        <v>344577.92</v>
      </c>
      <c r="AO48" s="17" t="n">
        <f aca="false">AN48-AC48-AL48</f>
        <v>108002.55</v>
      </c>
      <c r="AP48" s="15" t="n">
        <f aca="false">IF(AN48&gt;0,AO48/AN48,0)</f>
        <v>0.313434331485894</v>
      </c>
      <c r="AQ48" s="16" t="n">
        <f aca="false">INDEX(Parametros!$I$2:$I$9,MATCH($E48,Parametros!$A$2:$A$9,0))</f>
        <v>15900000</v>
      </c>
      <c r="AR48" s="19" t="n">
        <f aca="false">IF(AQ48&gt;0,AO48/AQ48,0)</f>
        <v>0.00679261320754717</v>
      </c>
    </row>
    <row r="49" customFormat="false" ht="15" hidden="false" customHeight="false" outlineLevel="0" collapsed="false">
      <c r="A49" s="5" t="s">
        <v>184</v>
      </c>
      <c r="B49" s="9" t="n">
        <v>45586</v>
      </c>
      <c r="C49" s="2" t="str">
        <f aca="false">TEXT(B49,"yyyy")</f>
        <v>2024</v>
      </c>
      <c r="D49" s="2" t="n">
        <f aca="false">WEEKNUM(B49,2)</f>
        <v>43</v>
      </c>
      <c r="E49" s="5" t="s">
        <v>144</v>
      </c>
      <c r="F49" s="6" t="str">
        <f aca="false">INDEX(Parametros!$B$2:$B$9,MATCH($E49,Parametros!$A$2:$A$9,0))</f>
        <v>Salsas picantes</v>
      </c>
      <c r="G49" s="10" t="n">
        <v>93.2</v>
      </c>
      <c r="H49" s="10" t="n">
        <v>6.7</v>
      </c>
      <c r="I49" s="11" t="n">
        <f aca="false">SUMIFS(Eventos_Paro!$J$2:$J$2186,Eventos_Paro!$D$2:$D$2186,$E49,Eventos_Paro!$B$2:$B$2186,$B49)</f>
        <v>1</v>
      </c>
      <c r="J49" s="12" t="n">
        <f aca="false">G49-H49-I49</f>
        <v>85.5</v>
      </c>
      <c r="K49" s="13" t="n">
        <v>217807</v>
      </c>
      <c r="L49" s="13" t="n">
        <v>217445</v>
      </c>
      <c r="M49" s="13" t="n">
        <v>5360</v>
      </c>
      <c r="N49" s="14" t="n">
        <f aca="false">L49+M49</f>
        <v>222805</v>
      </c>
      <c r="O49" s="11" t="n">
        <f aca="false">INDEX(Parametros!$D$2:$D$9,MATCH($E49,Parametros!$A$2:$A$9,0))</f>
        <v>3100</v>
      </c>
      <c r="P49" s="15" t="n">
        <f aca="false">IF((G49-H49)&gt;0,J49/(G49-H49),0)</f>
        <v>0.988439306358382</v>
      </c>
      <c r="Q49" s="15" t="n">
        <f aca="false">IF(J49*O49&gt;0,N49/(O49*J49),0)</f>
        <v>0.84061497830598</v>
      </c>
      <c r="R49" s="15" t="n">
        <f aca="false">IF(N49&gt;0,L49/N49,0)</f>
        <v>0.975943089248446</v>
      </c>
      <c r="S49" s="15" t="n">
        <f aca="false">P49*Q49*R49</f>
        <v>0.810908073839269</v>
      </c>
      <c r="T49" s="15" t="n">
        <f aca="false">IF(K49&gt;0,L49/K49,0)</f>
        <v>0.998337978118242</v>
      </c>
      <c r="U49" s="10" t="n">
        <v>1011</v>
      </c>
      <c r="V49" s="5" t="n">
        <v>10</v>
      </c>
      <c r="W49" s="10" t="n">
        <v>79</v>
      </c>
      <c r="X49" s="15" t="n">
        <f aca="false">IF(U49&gt;0,W49/U49,0)</f>
        <v>0.0781404549950544</v>
      </c>
      <c r="Y49" s="12" t="n">
        <f aca="false">IF(U49&gt;0,L49/U49,0)</f>
        <v>215.079129574679</v>
      </c>
      <c r="Z49" s="16" t="n">
        <f aca="false">L49*INDEX(Parametros!$E$2:$E$9,MATCH($E49,Parametros!$A$2:$A$9,0))</f>
        <v>143513.7</v>
      </c>
      <c r="AA49" s="16" t="n">
        <f aca="false">Z49*INDEX(Parametros!$F$2:$F$9,MATCH($E49,Parametros!$A$2:$A$9,0))</f>
        <v>3731.3562</v>
      </c>
      <c r="AB49" s="17" t="n">
        <f aca="false">Z49+AA49</f>
        <v>147245.0562</v>
      </c>
      <c r="AC49" s="18" t="n">
        <v>147541.74</v>
      </c>
      <c r="AD49" s="17" t="n">
        <f aca="false">AC49-AB49</f>
        <v>296.68379999997</v>
      </c>
      <c r="AE49" s="17" t="n">
        <f aca="false">AA49+AD49</f>
        <v>4028.03999999997</v>
      </c>
      <c r="AF49" s="19" t="n">
        <f aca="false">IF(Z49&gt;0,AE49/Z49,0)</f>
        <v>0.0280672855622841</v>
      </c>
      <c r="AG49" s="16" t="n">
        <f aca="false">(U49-W49)*INDEX(Parametros!$H$2:$H$9,MATCH($E49,Parametros!$A$2:$A$9,0))+W49*INDEX(Parametros!$H$2:$H$9,MATCH($E49,Parametros!$A$2:$A$9,0))*Parametros!$N$3</f>
        <v>33090.75</v>
      </c>
      <c r="AH49" s="13" t="n">
        <v>10991</v>
      </c>
      <c r="AI49" s="16" t="n">
        <f aca="false">AH49*Parametros!$N$2</f>
        <v>1011.172</v>
      </c>
      <c r="AJ49" s="18" t="n">
        <v>7268</v>
      </c>
      <c r="AK49" s="18" t="n">
        <v>699</v>
      </c>
      <c r="AL49" s="17" t="n">
        <f aca="false">AG49+AI49+AJ49+AK49</f>
        <v>42068.922</v>
      </c>
      <c r="AM49" s="20" t="n">
        <f aca="false">IF(L49&gt;0,AL49/L49,0)</f>
        <v>0.193469254294189</v>
      </c>
      <c r="AN49" s="16" t="n">
        <f aca="false">L49*INDEX(Parametros!$G$2:$G$9,MATCH($E49,Parametros!$A$2:$A$9,0))</f>
        <v>271806.25</v>
      </c>
      <c r="AO49" s="17" t="n">
        <f aca="false">AN49-AC49-AL49</f>
        <v>82195.588</v>
      </c>
      <c r="AP49" s="15" t="n">
        <f aca="false">IF(AN49&gt;0,AO49/AN49,0)</f>
        <v>0.302405069787763</v>
      </c>
      <c r="AQ49" s="16" t="n">
        <f aca="false">INDEX(Parametros!$I$2:$I$9,MATCH($E49,Parametros!$A$2:$A$9,0))</f>
        <v>13300000</v>
      </c>
      <c r="AR49" s="19" t="n">
        <f aca="false">IF(AQ49&gt;0,AO49/AQ49,0)</f>
        <v>0.00618011939849624</v>
      </c>
    </row>
    <row r="50" customFormat="false" ht="15" hidden="false" customHeight="false" outlineLevel="0" collapsed="false">
      <c r="A50" s="5" t="s">
        <v>185</v>
      </c>
      <c r="B50" s="9" t="n">
        <v>45593</v>
      </c>
      <c r="C50" s="2" t="str">
        <f aca="false">TEXT(B50,"yyyy")</f>
        <v>2024</v>
      </c>
      <c r="D50" s="2" t="n">
        <f aca="false">WEEKNUM(B50,2)</f>
        <v>44</v>
      </c>
      <c r="E50" s="5" t="s">
        <v>130</v>
      </c>
      <c r="F50" s="6" t="str">
        <f aca="false">INDEX(Parametros!$B$2:$B$9,MATCH($E50,Parametros!$A$2:$A$9,0))</f>
        <v>Ketchup botella</v>
      </c>
      <c r="G50" s="10" t="n">
        <v>112.1</v>
      </c>
      <c r="H50" s="10" t="n">
        <v>6.4</v>
      </c>
      <c r="I50" s="11" t="n">
        <f aca="false">SUMIFS(Eventos_Paro!$J$2:$J$2186,Eventos_Paro!$D$2:$D$2186,$E50,Eventos_Paro!$B$2:$B$2186,$B50)</f>
        <v>3.88333333333333</v>
      </c>
      <c r="J50" s="12" t="n">
        <f aca="false">G50-H50-I50</f>
        <v>101.816666666667</v>
      </c>
      <c r="K50" s="13" t="n">
        <v>751012</v>
      </c>
      <c r="L50" s="13" t="n">
        <v>799652</v>
      </c>
      <c r="M50" s="13" t="n">
        <v>12811</v>
      </c>
      <c r="N50" s="14" t="n">
        <f aca="false">L50+M50</f>
        <v>812463</v>
      </c>
      <c r="O50" s="11" t="n">
        <f aca="false">INDEX(Parametros!$D$2:$D$9,MATCH($E50,Parametros!$A$2:$A$9,0))</f>
        <v>9000</v>
      </c>
      <c r="P50" s="15" t="n">
        <f aca="false">IF((G50-H50)&gt;0,J50/(G50-H50),0)</f>
        <v>0.963260801009145</v>
      </c>
      <c r="Q50" s="15" t="n">
        <f aca="false">IF(J50*O50&gt;0,N50/(O50*J50),0)</f>
        <v>0.886629562939925</v>
      </c>
      <c r="R50" s="15" t="n">
        <f aca="false">IF(N50&gt;0,L50/N50,0)</f>
        <v>0.984231897329478</v>
      </c>
      <c r="S50" s="15" t="n">
        <f aca="false">P50*Q50*R50</f>
        <v>0.840588668138337</v>
      </c>
      <c r="T50" s="15" t="n">
        <f aca="false">IF(K50&gt;0,L50/K50,0)</f>
        <v>1.06476594248827</v>
      </c>
      <c r="U50" s="10" t="n">
        <v>1555.5</v>
      </c>
      <c r="V50" s="5" t="n">
        <v>13</v>
      </c>
      <c r="W50" s="10" t="n">
        <v>98.2</v>
      </c>
      <c r="X50" s="15" t="n">
        <f aca="false">IF(U50&gt;0,W50/U50,0)</f>
        <v>0.0631308261009322</v>
      </c>
      <c r="Y50" s="12" t="n">
        <f aca="false">IF(U50&gt;0,L50/U50,0)</f>
        <v>514.080360012858</v>
      </c>
      <c r="Z50" s="16" t="n">
        <f aca="false">L50*INDEX(Parametros!$E$2:$E$9,MATCH($E50,Parametros!$A$2:$A$9,0))</f>
        <v>335853.84</v>
      </c>
      <c r="AA50" s="16" t="n">
        <f aca="false">Z50*INDEX(Parametros!$F$2:$F$9,MATCH($E50,Parametros!$A$2:$A$9,0))</f>
        <v>6717.0768</v>
      </c>
      <c r="AB50" s="17" t="n">
        <f aca="false">Z50+AA50</f>
        <v>342570.9168</v>
      </c>
      <c r="AC50" s="18" t="n">
        <v>351298.86</v>
      </c>
      <c r="AD50" s="17" t="n">
        <f aca="false">AC50-AB50</f>
        <v>8727.94320000004</v>
      </c>
      <c r="AE50" s="17" t="n">
        <f aca="false">AA50+AD50</f>
        <v>15445.02</v>
      </c>
      <c r="AF50" s="19" t="n">
        <f aca="false">IF(Z50&gt;0,AE50/Z50,0)</f>
        <v>0.0459873259153447</v>
      </c>
      <c r="AG50" s="16" t="n">
        <f aca="false">(U50-W50)*INDEX(Parametros!$H$2:$H$9,MATCH($E50,Parametros!$A$2:$A$9,0))+W50*INDEX(Parametros!$H$2:$H$9,MATCH($E50,Parametros!$A$2:$A$9,0))*Parametros!$N$3</f>
        <v>50544.9</v>
      </c>
      <c r="AH50" s="13" t="n">
        <v>42429</v>
      </c>
      <c r="AI50" s="16" t="n">
        <f aca="false">AH50*Parametros!$N$2</f>
        <v>3903.468</v>
      </c>
      <c r="AJ50" s="18" t="n">
        <v>17507</v>
      </c>
      <c r="AK50" s="18" t="n">
        <v>3220</v>
      </c>
      <c r="AL50" s="17" t="n">
        <f aca="false">AG50+AI50+AJ50+AK50</f>
        <v>75175.368</v>
      </c>
      <c r="AM50" s="20" t="n">
        <f aca="false">IF(L50&gt;0,AL50/L50,0)</f>
        <v>0.094010104395412</v>
      </c>
      <c r="AN50" s="16" t="n">
        <f aca="false">L50*INDEX(Parametros!$G$2:$G$9,MATCH($E50,Parametros!$A$2:$A$9,0))</f>
        <v>567752.92</v>
      </c>
      <c r="AO50" s="17" t="n">
        <f aca="false">AN50-AC50-AL50</f>
        <v>141278.692</v>
      </c>
      <c r="AP50" s="15" t="n">
        <f aca="false">IF(AN50&gt;0,AO50/AN50,0)</f>
        <v>0.248838336225554</v>
      </c>
      <c r="AQ50" s="16" t="n">
        <f aca="false">INDEX(Parametros!$I$2:$I$9,MATCH($E50,Parametros!$A$2:$A$9,0))</f>
        <v>29300000</v>
      </c>
      <c r="AR50" s="19" t="n">
        <f aca="false">IF(AQ50&gt;0,AO50/AQ50,0)</f>
        <v>0.00482179836177474</v>
      </c>
    </row>
    <row r="51" customFormat="false" ht="15" hidden="false" customHeight="false" outlineLevel="0" collapsed="false">
      <c r="A51" s="5" t="s">
        <v>186</v>
      </c>
      <c r="B51" s="9" t="n">
        <v>45593</v>
      </c>
      <c r="C51" s="2" t="str">
        <f aca="false">TEXT(B51,"yyyy")</f>
        <v>2024</v>
      </c>
      <c r="D51" s="2" t="n">
        <f aca="false">WEEKNUM(B51,2)</f>
        <v>44</v>
      </c>
      <c r="E51" s="5" t="s">
        <v>132</v>
      </c>
      <c r="F51" s="6" t="str">
        <f aca="false">INDEX(Parametros!$B$2:$B$9,MATCH($E51,Parametros!$A$2:$A$9,0))</f>
        <v>Mayonesa frasco</v>
      </c>
      <c r="G51" s="10" t="n">
        <v>124</v>
      </c>
      <c r="H51" s="10" t="n">
        <v>9</v>
      </c>
      <c r="I51" s="11" t="n">
        <f aca="false">SUMIFS(Eventos_Paro!$J$2:$J$2186,Eventos_Paro!$D$2:$D$2186,$E51,Eventos_Paro!$B$2:$B$2186,$B51)</f>
        <v>3.25</v>
      </c>
      <c r="J51" s="12" t="n">
        <f aca="false">G51-H51-I51</f>
        <v>111.75</v>
      </c>
      <c r="K51" s="13" t="n">
        <v>590121</v>
      </c>
      <c r="L51" s="13" t="n">
        <v>614406</v>
      </c>
      <c r="M51" s="13" t="n">
        <v>22560</v>
      </c>
      <c r="N51" s="14" t="n">
        <f aca="false">L51+M51</f>
        <v>636966</v>
      </c>
      <c r="O51" s="11" t="n">
        <f aca="false">INDEX(Parametros!$D$2:$D$9,MATCH($E51,Parametros!$A$2:$A$9,0))</f>
        <v>6500</v>
      </c>
      <c r="P51" s="15" t="n">
        <f aca="false">IF((G51-H51)&gt;0,J51/(G51-H51),0)</f>
        <v>0.971739130434783</v>
      </c>
      <c r="Q51" s="15" t="n">
        <f aca="false">IF(J51*O51&gt;0,N51/(O51*J51),0)</f>
        <v>0.876910686628807</v>
      </c>
      <c r="R51" s="15" t="n">
        <f aca="false">IF(N51&gt;0,L51/N51,0)</f>
        <v>0.964582097003608</v>
      </c>
      <c r="S51" s="15" t="n">
        <f aca="false">P51*Q51*R51</f>
        <v>0.821947826086957</v>
      </c>
      <c r="T51" s="15" t="n">
        <f aca="false">IF(K51&gt;0,L51/K51,0)</f>
        <v>1.04115257718332</v>
      </c>
      <c r="U51" s="10" t="n">
        <v>1527.2</v>
      </c>
      <c r="V51" s="5" t="n">
        <v>12</v>
      </c>
      <c r="W51" s="10" t="n">
        <v>39.2</v>
      </c>
      <c r="X51" s="15" t="n">
        <f aca="false">IF(U51&gt;0,W51/U51,0)</f>
        <v>0.0256678889470927</v>
      </c>
      <c r="Y51" s="12" t="n">
        <f aca="false">IF(U51&gt;0,L51/U51,0)</f>
        <v>402.308800419068</v>
      </c>
      <c r="Z51" s="16" t="n">
        <f aca="false">L51*INDEX(Parametros!$E$2:$E$9,MATCH($E51,Parametros!$A$2:$A$9,0))</f>
        <v>374787.66</v>
      </c>
      <c r="AA51" s="16" t="n">
        <f aca="false">Z51*INDEX(Parametros!$F$2:$F$9,MATCH($E51,Parametros!$A$2:$A$9,0))</f>
        <v>9369.6915</v>
      </c>
      <c r="AB51" s="17" t="n">
        <f aca="false">Z51+AA51</f>
        <v>384157.3515</v>
      </c>
      <c r="AC51" s="18" t="n">
        <v>390630.72</v>
      </c>
      <c r="AD51" s="17" t="n">
        <f aca="false">AC51-AB51</f>
        <v>6473.36849999998</v>
      </c>
      <c r="AE51" s="17" t="n">
        <f aca="false">AA51+AD51</f>
        <v>15843.06</v>
      </c>
      <c r="AF51" s="19" t="n">
        <f aca="false">IF(Z51&gt;0,AE51/Z51,0)</f>
        <v>0.0422720961517249</v>
      </c>
      <c r="AG51" s="16" t="n">
        <f aca="false">(U51-W51)*INDEX(Parametros!$H$2:$H$9,MATCH($E51,Parametros!$A$2:$A$9,0))+W51*INDEX(Parametros!$H$2:$H$9,MATCH($E51,Parametros!$A$2:$A$9,0))*Parametros!$N$3</f>
        <v>48724.2</v>
      </c>
      <c r="AH51" s="13" t="n">
        <v>31707</v>
      </c>
      <c r="AI51" s="16" t="n">
        <f aca="false">AH51*Parametros!$N$2</f>
        <v>2917.044</v>
      </c>
      <c r="AJ51" s="18" t="n">
        <v>11612</v>
      </c>
      <c r="AK51" s="18" t="n">
        <v>3566</v>
      </c>
      <c r="AL51" s="17" t="n">
        <f aca="false">AG51+AI51+AJ51+AK51</f>
        <v>66819.244</v>
      </c>
      <c r="AM51" s="20" t="n">
        <f aca="false">IF(L51&gt;0,AL51/L51,0)</f>
        <v>0.108754217895008</v>
      </c>
      <c r="AN51" s="16" t="n">
        <f aca="false">L51*INDEX(Parametros!$G$2:$G$9,MATCH($E51,Parametros!$A$2:$A$9,0))</f>
        <v>589829.76</v>
      </c>
      <c r="AO51" s="17" t="n">
        <f aca="false">AN51-AC51-AL51</f>
        <v>132379.796</v>
      </c>
      <c r="AP51" s="15" t="n">
        <f aca="false">IF(AN51&gt;0,AO51/AN51,0)</f>
        <v>0.224437295262959</v>
      </c>
      <c r="AQ51" s="16" t="n">
        <f aca="false">INDEX(Parametros!$I$2:$I$9,MATCH($E51,Parametros!$A$2:$A$9,0))</f>
        <v>29700000</v>
      </c>
      <c r="AR51" s="19" t="n">
        <f aca="false">IF(AQ51&gt;0,AO51/AQ51,0)</f>
        <v>0.00445723218855219</v>
      </c>
    </row>
    <row r="52" customFormat="false" ht="15" hidden="false" customHeight="false" outlineLevel="0" collapsed="false">
      <c r="A52" s="5" t="s">
        <v>187</v>
      </c>
      <c r="B52" s="9" t="n">
        <v>45593</v>
      </c>
      <c r="C52" s="2" t="str">
        <f aca="false">TEXT(B52,"yyyy")</f>
        <v>2024</v>
      </c>
      <c r="D52" s="2" t="n">
        <f aca="false">WEEKNUM(B52,2)</f>
        <v>44</v>
      </c>
      <c r="E52" s="5" t="s">
        <v>134</v>
      </c>
      <c r="F52" s="6" t="str">
        <f aca="false">INDEX(Parametros!$B$2:$B$9,MATCH($E52,Parametros!$A$2:$A$9,0))</f>
        <v>Aderezos vertibles</v>
      </c>
      <c r="G52" s="10" t="n">
        <v>89.9</v>
      </c>
      <c r="H52" s="10" t="n">
        <v>7.7</v>
      </c>
      <c r="I52" s="11" t="n">
        <f aca="false">SUMIFS(Eventos_Paro!$J$2:$J$2186,Eventos_Paro!$D$2:$D$2186,$E52,Eventos_Paro!$B$2:$B$2186,$B52)</f>
        <v>0</v>
      </c>
      <c r="J52" s="12" t="n">
        <f aca="false">G52-H52-I52</f>
        <v>82.2</v>
      </c>
      <c r="K52" s="13" t="n">
        <v>337446</v>
      </c>
      <c r="L52" s="13" t="n">
        <v>359931</v>
      </c>
      <c r="M52" s="13" t="n">
        <v>15270</v>
      </c>
      <c r="N52" s="14" t="n">
        <f aca="false">L52+M52</f>
        <v>375201</v>
      </c>
      <c r="O52" s="11" t="n">
        <f aca="false">INDEX(Parametros!$D$2:$D$9,MATCH($E52,Parametros!$A$2:$A$9,0))</f>
        <v>5200</v>
      </c>
      <c r="P52" s="15" t="n">
        <f aca="false">IF((G52-H52)&gt;0,J52/(G52-H52),0)</f>
        <v>1</v>
      </c>
      <c r="Q52" s="15" t="n">
        <f aca="false">IF(J52*O52&gt;0,N52/(O52*J52),0)</f>
        <v>0.877786355979787</v>
      </c>
      <c r="R52" s="15" t="n">
        <f aca="false">IF(N52&gt;0,L52/N52,0)</f>
        <v>0.959301814227574</v>
      </c>
      <c r="S52" s="15" t="n">
        <f aca="false">P52*Q52*R52</f>
        <v>0.84206204379562</v>
      </c>
      <c r="T52" s="15" t="n">
        <f aca="false">IF(K52&gt;0,L52/K52,0)</f>
        <v>1.06663288348358</v>
      </c>
      <c r="U52" s="10" t="n">
        <v>1276</v>
      </c>
      <c r="V52" s="5" t="n">
        <v>13</v>
      </c>
      <c r="W52" s="10" t="n">
        <v>107.3</v>
      </c>
      <c r="X52" s="15" t="n">
        <f aca="false">IF(U52&gt;0,W52/U52,0)</f>
        <v>0.0840909090909091</v>
      </c>
      <c r="Y52" s="12" t="n">
        <f aca="false">IF(U52&gt;0,L52/U52,0)</f>
        <v>282.077586206897</v>
      </c>
      <c r="Z52" s="16" t="n">
        <f aca="false">L52*INDEX(Parametros!$E$2:$E$9,MATCH($E52,Parametros!$A$2:$A$9,0))</f>
        <v>197962.05</v>
      </c>
      <c r="AA52" s="16" t="n">
        <f aca="false">Z52*INDEX(Parametros!$F$2:$F$9,MATCH($E52,Parametros!$A$2:$A$9,0))</f>
        <v>5938.8615</v>
      </c>
      <c r="AB52" s="17" t="n">
        <f aca="false">Z52+AA52</f>
        <v>203900.9115</v>
      </c>
      <c r="AC52" s="18" t="n">
        <v>204066.49</v>
      </c>
      <c r="AD52" s="17" t="n">
        <f aca="false">AC52-AB52</f>
        <v>165.578499999974</v>
      </c>
      <c r="AE52" s="17" t="n">
        <f aca="false">AA52+AD52</f>
        <v>6104.43999999997</v>
      </c>
      <c r="AF52" s="19" t="n">
        <f aca="false">IF(Z52&gt;0,AE52/Z52,0)</f>
        <v>0.0308364153634496</v>
      </c>
      <c r="AG52" s="16" t="n">
        <f aca="false">(U52-W52)*INDEX(Parametros!$H$2:$H$9,MATCH($E52,Parametros!$A$2:$A$9,0))+W52*INDEX(Parametros!$H$2:$H$9,MATCH($E52,Parametros!$A$2:$A$9,0))*Parametros!$N$3</f>
        <v>41883.975</v>
      </c>
      <c r="AH52" s="13" t="n">
        <v>18079</v>
      </c>
      <c r="AI52" s="16" t="n">
        <f aca="false">AH52*Parametros!$N$2</f>
        <v>1663.268</v>
      </c>
      <c r="AJ52" s="18" t="n">
        <v>10890</v>
      </c>
      <c r="AK52" s="18" t="n">
        <v>0</v>
      </c>
      <c r="AL52" s="17" t="n">
        <f aca="false">AG52+AI52+AJ52+AK52</f>
        <v>54437.243</v>
      </c>
      <c r="AM52" s="20" t="n">
        <f aca="false">IF(L52&gt;0,AL52/L52,0)</f>
        <v>0.151243552236401</v>
      </c>
      <c r="AN52" s="16" t="n">
        <f aca="false">L52*INDEX(Parametros!$G$2:$G$9,MATCH($E52,Parametros!$A$2:$A$9,0))</f>
        <v>367129.62</v>
      </c>
      <c r="AO52" s="17" t="n">
        <f aca="false">AN52-AC52-AL52</f>
        <v>108625.887</v>
      </c>
      <c r="AP52" s="15" t="n">
        <f aca="false">IF(AN52&gt;0,AO52/AN52,0)</f>
        <v>0.295878842464414</v>
      </c>
      <c r="AQ52" s="16" t="n">
        <f aca="false">INDEX(Parametros!$I$2:$I$9,MATCH($E52,Parametros!$A$2:$A$9,0))</f>
        <v>19300000</v>
      </c>
      <c r="AR52" s="19" t="n">
        <f aca="false">IF(AQ52&gt;0,AO52/AQ52,0)</f>
        <v>0.00562828430051814</v>
      </c>
    </row>
    <row r="53" customFormat="false" ht="15" hidden="false" customHeight="false" outlineLevel="0" collapsed="false">
      <c r="A53" s="5" t="s">
        <v>188</v>
      </c>
      <c r="B53" s="9" t="n">
        <v>45593</v>
      </c>
      <c r="C53" s="2" t="str">
        <f aca="false">TEXT(B53,"yyyy")</f>
        <v>2024</v>
      </c>
      <c r="D53" s="2" t="n">
        <f aca="false">WEEKNUM(B53,2)</f>
        <v>44</v>
      </c>
      <c r="E53" s="5" t="s">
        <v>136</v>
      </c>
      <c r="F53" s="6" t="str">
        <f aca="false">INDEX(Parametros!$B$2:$B$9,MATCH($E53,Parametros!$A$2:$A$9,0))</f>
        <v>Salsa BBQ</v>
      </c>
      <c r="G53" s="10" t="n">
        <v>124.5</v>
      </c>
      <c r="H53" s="10" t="n">
        <v>5.9</v>
      </c>
      <c r="I53" s="11" t="n">
        <f aca="false">SUMIFS(Eventos_Paro!$J$2:$J$2186,Eventos_Paro!$D$2:$D$2186,$E53,Eventos_Paro!$B$2:$B$2186,$B53)</f>
        <v>0</v>
      </c>
      <c r="J53" s="12" t="n">
        <f aca="false">G53-H53-I53</f>
        <v>118.6</v>
      </c>
      <c r="K53" s="13" t="n">
        <v>428420</v>
      </c>
      <c r="L53" s="13" t="n">
        <v>438952</v>
      </c>
      <c r="M53" s="13" t="n">
        <v>16410</v>
      </c>
      <c r="N53" s="14" t="n">
        <f aca="false">L53+M53</f>
        <v>455362</v>
      </c>
      <c r="O53" s="11" t="n">
        <f aca="false">INDEX(Parametros!$D$2:$D$9,MATCH($E53,Parametros!$A$2:$A$9,0))</f>
        <v>4800</v>
      </c>
      <c r="P53" s="15" t="n">
        <f aca="false">IF((G53-H53)&gt;0,J53/(G53-H53),0)</f>
        <v>1</v>
      </c>
      <c r="Q53" s="15" t="n">
        <f aca="false">IF(J53*O53&gt;0,N53/(O53*J53),0)</f>
        <v>0.799891090500281</v>
      </c>
      <c r="R53" s="15" t="n">
        <f aca="false">IF(N53&gt;0,L53/N53,0)</f>
        <v>0.963962737338645</v>
      </c>
      <c r="S53" s="15" t="n">
        <f aca="false">P53*Q53*R53</f>
        <v>0.771065205171445</v>
      </c>
      <c r="T53" s="15" t="n">
        <f aca="false">IF(K53&gt;0,L53/K53,0)</f>
        <v>1.02458335278465</v>
      </c>
      <c r="U53" s="10" t="n">
        <v>1470.2</v>
      </c>
      <c r="V53" s="5" t="n">
        <v>11</v>
      </c>
      <c r="W53" s="10" t="n">
        <v>100.7</v>
      </c>
      <c r="X53" s="15" t="n">
        <f aca="false">IF(U53&gt;0,W53/U53,0)</f>
        <v>0.0684940824377636</v>
      </c>
      <c r="Y53" s="12" t="n">
        <f aca="false">IF(U53&gt;0,L53/U53,0)</f>
        <v>298.566181471909</v>
      </c>
      <c r="Z53" s="16" t="n">
        <f aca="false">L53*INDEX(Parametros!$E$2:$E$9,MATCH($E53,Parametros!$A$2:$A$9,0))</f>
        <v>254592.16</v>
      </c>
      <c r="AA53" s="16" t="n">
        <f aca="false">Z53*INDEX(Parametros!$F$2:$F$9,MATCH($E53,Parametros!$A$2:$A$9,0))</f>
        <v>7128.58048</v>
      </c>
      <c r="AB53" s="17" t="n">
        <f aca="false">Z53+AA53</f>
        <v>261720.74048</v>
      </c>
      <c r="AC53" s="18" t="n">
        <v>266512.19</v>
      </c>
      <c r="AD53" s="17" t="n">
        <f aca="false">AC53-AB53</f>
        <v>4791.44952000002</v>
      </c>
      <c r="AE53" s="17" t="n">
        <f aca="false">AA53+AD53</f>
        <v>11920.03</v>
      </c>
      <c r="AF53" s="19" t="n">
        <f aca="false">IF(Z53&gt;0,AE53/Z53,0)</f>
        <v>0.0468200984665043</v>
      </c>
      <c r="AG53" s="16" t="n">
        <f aca="false">(U53-W53)*INDEX(Parametros!$H$2:$H$9,MATCH($E53,Parametros!$A$2:$A$9,0))+W53*INDEX(Parametros!$H$2:$H$9,MATCH($E53,Parametros!$A$2:$A$9,0))*Parametros!$N$3</f>
        <v>47897.325</v>
      </c>
      <c r="AH53" s="13" t="n">
        <v>22341</v>
      </c>
      <c r="AI53" s="16" t="n">
        <f aca="false">AH53*Parametros!$N$2</f>
        <v>2055.372</v>
      </c>
      <c r="AJ53" s="18" t="n">
        <v>8976</v>
      </c>
      <c r="AK53" s="18" t="n">
        <v>0</v>
      </c>
      <c r="AL53" s="17" t="n">
        <f aca="false">AG53+AI53+AJ53+AK53</f>
        <v>58928.697</v>
      </c>
      <c r="AM53" s="20" t="n">
        <f aca="false">IF(L53&gt;0,AL53/L53,0)</f>
        <v>0.134248612604567</v>
      </c>
      <c r="AN53" s="16" t="n">
        <f aca="false">L53*INDEX(Parametros!$G$2:$G$9,MATCH($E53,Parametros!$A$2:$A$9,0))</f>
        <v>430172.96</v>
      </c>
      <c r="AO53" s="17" t="n">
        <f aca="false">AN53-AC53-AL53</f>
        <v>104732.073</v>
      </c>
      <c r="AP53" s="15" t="n">
        <f aca="false">IF(AN53&gt;0,AO53/AN53,0)</f>
        <v>0.243465030902919</v>
      </c>
      <c r="AQ53" s="16" t="n">
        <f aca="false">INDEX(Parametros!$I$2:$I$9,MATCH($E53,Parametros!$A$2:$A$9,0))</f>
        <v>17000000</v>
      </c>
      <c r="AR53" s="19" t="n">
        <f aca="false">IF(AQ53&gt;0,AO53/AQ53,0)</f>
        <v>0.00616071017647059</v>
      </c>
    </row>
    <row r="54" customFormat="false" ht="15" hidden="false" customHeight="false" outlineLevel="0" collapsed="false">
      <c r="A54" s="5" t="s">
        <v>189</v>
      </c>
      <c r="B54" s="9" t="n">
        <v>45593</v>
      </c>
      <c r="C54" s="2" t="str">
        <f aca="false">TEXT(B54,"yyyy")</f>
        <v>2024</v>
      </c>
      <c r="D54" s="2" t="n">
        <f aca="false">WEEKNUM(B54,2)</f>
        <v>44</v>
      </c>
      <c r="E54" s="5" t="s">
        <v>138</v>
      </c>
      <c r="F54" s="6" t="str">
        <f aca="false">INDEX(Parametros!$B$2:$B$9,MATCH($E54,Parametros!$A$2:$A$9,0))</f>
        <v>Queso crema</v>
      </c>
      <c r="G54" s="10" t="n">
        <v>108.9</v>
      </c>
      <c r="H54" s="10" t="n">
        <v>5.1</v>
      </c>
      <c r="I54" s="11" t="n">
        <f aca="false">SUMIFS(Eventos_Paro!$J$2:$J$2186,Eventos_Paro!$D$2:$D$2186,$E54,Eventos_Paro!$B$2:$B$2186,$B54)</f>
        <v>1.05</v>
      </c>
      <c r="J54" s="12" t="n">
        <f aca="false">G54-H54-I54</f>
        <v>102.75</v>
      </c>
      <c r="K54" s="13" t="n">
        <v>311394</v>
      </c>
      <c r="L54" s="13" t="n">
        <v>303610</v>
      </c>
      <c r="M54" s="13" t="n">
        <v>13552</v>
      </c>
      <c r="N54" s="14" t="n">
        <f aca="false">L54+M54</f>
        <v>317162</v>
      </c>
      <c r="O54" s="11" t="n">
        <f aca="false">INDEX(Parametros!$D$2:$D$9,MATCH($E54,Parametros!$A$2:$A$9,0))</f>
        <v>3800</v>
      </c>
      <c r="P54" s="15" t="n">
        <f aca="false">IF((G54-H54)&gt;0,J54/(G54-H54),0)</f>
        <v>0.989884393063584</v>
      </c>
      <c r="Q54" s="15" t="n">
        <f aca="false">IF(J54*O54&gt;0,N54/(O54*J54),0)</f>
        <v>0.812298629786144</v>
      </c>
      <c r="R54" s="15" t="n">
        <f aca="false">IF(N54&gt;0,L54/N54,0)</f>
        <v>0.957271047603433</v>
      </c>
      <c r="S54" s="15" t="n">
        <f aca="false">P54*Q54*R54</f>
        <v>0.769724165906095</v>
      </c>
      <c r="T54" s="15" t="n">
        <f aca="false">IF(K54&gt;0,L54/K54,0)</f>
        <v>0.975002729660816</v>
      </c>
      <c r="U54" s="10" t="n">
        <v>1620</v>
      </c>
      <c r="V54" s="5" t="n">
        <v>14</v>
      </c>
      <c r="W54" s="10" t="n">
        <v>95.4</v>
      </c>
      <c r="X54" s="15" t="n">
        <f aca="false">IF(U54&gt;0,W54/U54,0)</f>
        <v>0.0588888888888889</v>
      </c>
      <c r="Y54" s="12" t="n">
        <f aca="false">IF(U54&gt;0,L54/U54,0)</f>
        <v>187.413580246914</v>
      </c>
      <c r="Z54" s="16" t="n">
        <f aca="false">L54*INDEX(Parametros!$E$2:$E$9,MATCH($E54,Parametros!$A$2:$A$9,0))</f>
        <v>340043.2</v>
      </c>
      <c r="AA54" s="16" t="n">
        <f aca="false">Z54*INDEX(Parametros!$F$2:$F$9,MATCH($E54,Parametros!$A$2:$A$9,0))</f>
        <v>11901.512</v>
      </c>
      <c r="AB54" s="17" t="n">
        <f aca="false">Z54+AA54</f>
        <v>351944.712</v>
      </c>
      <c r="AC54" s="18" t="n">
        <v>352765.8</v>
      </c>
      <c r="AD54" s="17" t="n">
        <f aca="false">AC54-AB54</f>
        <v>821.087999999989</v>
      </c>
      <c r="AE54" s="17" t="n">
        <f aca="false">AA54+AD54</f>
        <v>12722.6</v>
      </c>
      <c r="AF54" s="19" t="n">
        <f aca="false">IF(Z54&gt;0,AE54/Z54,0)</f>
        <v>0.03741465790229</v>
      </c>
      <c r="AG54" s="16" t="n">
        <f aca="false">(U54-W54)*INDEX(Parametros!$H$2:$H$9,MATCH($E54,Parametros!$A$2:$A$9,0))+W54*INDEX(Parametros!$H$2:$H$9,MATCH($E54,Parametros!$A$2:$A$9,0))*Parametros!$N$3</f>
        <v>55034.1</v>
      </c>
      <c r="AH54" s="13" t="n">
        <v>15993</v>
      </c>
      <c r="AI54" s="16" t="n">
        <f aca="false">AH54*Parametros!$N$2</f>
        <v>1471.356</v>
      </c>
      <c r="AJ54" s="18" t="n">
        <v>20983</v>
      </c>
      <c r="AK54" s="18" t="n">
        <v>915</v>
      </c>
      <c r="AL54" s="17" t="n">
        <f aca="false">AG54+AI54+AJ54+AK54</f>
        <v>78403.456</v>
      </c>
      <c r="AM54" s="20" t="n">
        <f aca="false">IF(L54&gt;0,AL54/L54,0)</f>
        <v>0.258237396660189</v>
      </c>
      <c r="AN54" s="16" t="n">
        <f aca="false">L54*INDEX(Parametros!$G$2:$G$9,MATCH($E54,Parametros!$A$2:$A$9,0))</f>
        <v>543461.9</v>
      </c>
      <c r="AO54" s="17" t="n">
        <f aca="false">AN54-AC54-AL54</f>
        <v>112292.644</v>
      </c>
      <c r="AP54" s="15" t="n">
        <f aca="false">IF(AN54&gt;0,AO54/AN54,0)</f>
        <v>0.206624685189523</v>
      </c>
      <c r="AQ54" s="16" t="n">
        <f aca="false">INDEX(Parametros!$I$2:$I$9,MATCH($E54,Parametros!$A$2:$A$9,0))</f>
        <v>33200000</v>
      </c>
      <c r="AR54" s="19" t="n">
        <f aca="false">IF(AQ54&gt;0,AO54/AQ54,0)</f>
        <v>0.00338230855421687</v>
      </c>
    </row>
    <row r="55" customFormat="false" ht="15" hidden="false" customHeight="false" outlineLevel="0" collapsed="false">
      <c r="A55" s="5" t="s">
        <v>190</v>
      </c>
      <c r="B55" s="9" t="n">
        <v>45593</v>
      </c>
      <c r="C55" s="2" t="str">
        <f aca="false">TEXT(B55,"yyyy")</f>
        <v>2024</v>
      </c>
      <c r="D55" s="2" t="n">
        <f aca="false">WEEKNUM(B55,2)</f>
        <v>44</v>
      </c>
      <c r="E55" s="5" t="s">
        <v>140</v>
      </c>
      <c r="F55" s="6" t="str">
        <f aca="false">INDEX(Parametros!$B$2:$B$9,MATCH($E55,Parametros!$A$2:$A$9,0))</f>
        <v>Crema de cacahuate</v>
      </c>
      <c r="G55" s="10" t="n">
        <v>102.1</v>
      </c>
      <c r="H55" s="10" t="n">
        <v>5.1</v>
      </c>
      <c r="I55" s="11" t="n">
        <f aca="false">SUMIFS(Eventos_Paro!$J$2:$J$2186,Eventos_Paro!$D$2:$D$2186,$E55,Eventos_Paro!$B$2:$B$2186,$B55)</f>
        <v>0.966666666666667</v>
      </c>
      <c r="J55" s="12" t="n">
        <f aca="false">G55-H55-I55</f>
        <v>96.0333333333333</v>
      </c>
      <c r="K55" s="13" t="n">
        <v>321626</v>
      </c>
      <c r="L55" s="13" t="n">
        <v>347652</v>
      </c>
      <c r="M55" s="13" t="n">
        <v>7210</v>
      </c>
      <c r="N55" s="14" t="n">
        <f aca="false">L55+M55</f>
        <v>354862</v>
      </c>
      <c r="O55" s="11" t="n">
        <f aca="false">INDEX(Parametros!$D$2:$D$9,MATCH($E55,Parametros!$A$2:$A$9,0))</f>
        <v>4200</v>
      </c>
      <c r="P55" s="15" t="n">
        <f aca="false">IF((G55-H55)&gt;0,J55/(G55-H55),0)</f>
        <v>0.990034364261168</v>
      </c>
      <c r="Q55" s="15" t="n">
        <f aca="false">IF(J55*O55&gt;0,N55/(O55*J55),0)</f>
        <v>0.879808598204988</v>
      </c>
      <c r="R55" s="15" t="n">
        <f aca="false">IF(N55&gt;0,L55/N55,0)</f>
        <v>0.979682242674617</v>
      </c>
      <c r="S55" s="15" t="n">
        <f aca="false">P55*Q55*R55</f>
        <v>0.853343151693667</v>
      </c>
      <c r="T55" s="15" t="n">
        <f aca="false">IF(K55&gt;0,L55/K55,0)</f>
        <v>1.08092007486957</v>
      </c>
      <c r="U55" s="10" t="n">
        <v>1192.9</v>
      </c>
      <c r="V55" s="5" t="n">
        <v>11</v>
      </c>
      <c r="W55" s="10" t="n">
        <v>69.8</v>
      </c>
      <c r="X55" s="15" t="n">
        <f aca="false">IF(U55&gt;0,W55/U55,0)</f>
        <v>0.0585128678011568</v>
      </c>
      <c r="Y55" s="12" t="n">
        <f aca="false">IF(U55&gt;0,L55/U55,0)</f>
        <v>291.43431972504</v>
      </c>
      <c r="Z55" s="16" t="n">
        <f aca="false">L55*INDEX(Parametros!$E$2:$E$9,MATCH($E55,Parametros!$A$2:$A$9,0))</f>
        <v>337222.44</v>
      </c>
      <c r="AA55" s="16" t="n">
        <f aca="false">Z55*INDEX(Parametros!$F$2:$F$9,MATCH($E55,Parametros!$A$2:$A$9,0))</f>
        <v>7418.89368</v>
      </c>
      <c r="AB55" s="17" t="n">
        <f aca="false">Z55+AA55</f>
        <v>344641.33368</v>
      </c>
      <c r="AC55" s="18" t="n">
        <v>346406.88</v>
      </c>
      <c r="AD55" s="17" t="n">
        <f aca="false">AC55-AB55</f>
        <v>1765.54632000002</v>
      </c>
      <c r="AE55" s="17" t="n">
        <f aca="false">AA55+AD55</f>
        <v>9184.44000000002</v>
      </c>
      <c r="AF55" s="19" t="n">
        <f aca="false">IF(Z55&gt;0,AE55/Z55,0)</f>
        <v>0.0272355540752271</v>
      </c>
      <c r="AG55" s="16" t="n">
        <f aca="false">(U55-W55)*INDEX(Parametros!$H$2:$H$9,MATCH($E55,Parametros!$A$2:$A$9,0))+W55*INDEX(Parametros!$H$2:$H$9,MATCH($E55,Parametros!$A$2:$A$9,0))*Parametros!$N$3</f>
        <v>38675.7</v>
      </c>
      <c r="AH55" s="13" t="n">
        <v>17139</v>
      </c>
      <c r="AI55" s="16" t="n">
        <f aca="false">AH55*Parametros!$N$2</f>
        <v>1576.788</v>
      </c>
      <c r="AJ55" s="18" t="n">
        <v>13117</v>
      </c>
      <c r="AK55" s="18" t="n">
        <v>851</v>
      </c>
      <c r="AL55" s="17" t="n">
        <f aca="false">AG55+AI55+AJ55+AK55</f>
        <v>54220.488</v>
      </c>
      <c r="AM55" s="20" t="n">
        <f aca="false">IF(L55&gt;0,AL55/L55,0)</f>
        <v>0.155961961961962</v>
      </c>
      <c r="AN55" s="16" t="n">
        <f aca="false">L55*INDEX(Parametros!$G$2:$G$9,MATCH($E55,Parametros!$A$2:$A$9,0))</f>
        <v>563196.24</v>
      </c>
      <c r="AO55" s="17" t="n">
        <f aca="false">AN55-AC55-AL55</f>
        <v>162568.872</v>
      </c>
      <c r="AP55" s="15" t="n">
        <f aca="false">IF(AN55&gt;0,AO55/AN55,0)</f>
        <v>0.28865404357103</v>
      </c>
      <c r="AQ55" s="16" t="n">
        <f aca="false">INDEX(Parametros!$I$2:$I$9,MATCH($E55,Parametros!$A$2:$A$9,0))</f>
        <v>28000000</v>
      </c>
      <c r="AR55" s="19" t="n">
        <f aca="false">IF(AQ55&gt;0,AO55/AQ55,0)</f>
        <v>0.00580603114285714</v>
      </c>
    </row>
    <row r="56" customFormat="false" ht="15" hidden="false" customHeight="false" outlineLevel="0" collapsed="false">
      <c r="A56" s="5" t="s">
        <v>191</v>
      </c>
      <c r="B56" s="9" t="n">
        <v>45593</v>
      </c>
      <c r="C56" s="2" t="str">
        <f aca="false">TEXT(B56,"yyyy")</f>
        <v>2024</v>
      </c>
      <c r="D56" s="2" t="n">
        <f aca="false">WEEKNUM(B56,2)</f>
        <v>44</v>
      </c>
      <c r="E56" s="5" t="s">
        <v>142</v>
      </c>
      <c r="F56" s="6" t="str">
        <f aca="false">INDEX(Parametros!$B$2:$B$9,MATCH($E56,Parametros!$A$2:$A$9,0))</f>
        <v>Porciones single serve</v>
      </c>
      <c r="G56" s="10" t="n">
        <v>105.4</v>
      </c>
      <c r="H56" s="10" t="n">
        <v>5.3</v>
      </c>
      <c r="I56" s="11" t="n">
        <f aca="false">SUMIFS(Eventos_Paro!$J$2:$J$2186,Eventos_Paro!$D$2:$D$2186,$E56,Eventos_Paro!$B$2:$B$2186,$B56)</f>
        <v>3.15</v>
      </c>
      <c r="J56" s="12" t="n">
        <f aca="false">G56-H56-I56</f>
        <v>96.95</v>
      </c>
      <c r="K56" s="13" t="n">
        <v>205465</v>
      </c>
      <c r="L56" s="13" t="n">
        <v>205454</v>
      </c>
      <c r="M56" s="13" t="n">
        <v>9789</v>
      </c>
      <c r="N56" s="14" t="n">
        <f aca="false">L56+M56</f>
        <v>215243</v>
      </c>
      <c r="O56" s="11" t="n">
        <f aca="false">INDEX(Parametros!$D$2:$D$9,MATCH($E56,Parametros!$A$2:$A$9,0))</f>
        <v>2600</v>
      </c>
      <c r="P56" s="15" t="n">
        <f aca="false">IF((G56-H56)&gt;0,J56/(G56-H56),0)</f>
        <v>0.968531468531468</v>
      </c>
      <c r="Q56" s="15" t="n">
        <f aca="false">IF(J56*O56&gt;0,N56/(O56*J56),0)</f>
        <v>0.853901693973896</v>
      </c>
      <c r="R56" s="15" t="n">
        <f aca="false">IF(N56&gt;0,L56/N56,0)</f>
        <v>0.954521169097253</v>
      </c>
      <c r="S56" s="15" t="n">
        <f aca="false">P56*Q56*R56</f>
        <v>0.789418274033659</v>
      </c>
      <c r="T56" s="15" t="n">
        <f aca="false">IF(K56&gt;0,L56/K56,0)</f>
        <v>0.999946462901224</v>
      </c>
      <c r="U56" s="10" t="n">
        <v>1832.1</v>
      </c>
      <c r="V56" s="5" t="n">
        <v>16</v>
      </c>
      <c r="W56" s="10" t="n">
        <v>145.7</v>
      </c>
      <c r="X56" s="15" t="n">
        <f aca="false">IF(U56&gt;0,W56/U56,0)</f>
        <v>0.0795262267343486</v>
      </c>
      <c r="Y56" s="12" t="n">
        <f aca="false">IF(U56&gt;0,L56/U56,0)</f>
        <v>112.14125866492</v>
      </c>
      <c r="Z56" s="16" t="n">
        <f aca="false">L56*INDEX(Parametros!$E$2:$E$9,MATCH($E56,Parametros!$A$2:$A$9,0))</f>
        <v>152035.96</v>
      </c>
      <c r="AA56" s="16" t="n">
        <f aca="false">Z56*INDEX(Parametros!$F$2:$F$9,MATCH($E56,Parametros!$A$2:$A$9,0))</f>
        <v>6841.6182</v>
      </c>
      <c r="AB56" s="17" t="n">
        <f aca="false">Z56+AA56</f>
        <v>158877.5782</v>
      </c>
      <c r="AC56" s="18" t="n">
        <v>162089.2</v>
      </c>
      <c r="AD56" s="17" t="n">
        <f aca="false">AC56-AB56</f>
        <v>3211.62180000002</v>
      </c>
      <c r="AE56" s="17" t="n">
        <f aca="false">AA56+AD56</f>
        <v>10053.24</v>
      </c>
      <c r="AF56" s="19" t="n">
        <f aca="false">IF(Z56&gt;0,AE56/Z56,0)</f>
        <v>0.066124093273723</v>
      </c>
      <c r="AG56" s="16" t="n">
        <f aca="false">(U56-W56)*INDEX(Parametros!$H$2:$H$9,MATCH($E56,Parametros!$A$2:$A$9,0))+W56*INDEX(Parametros!$H$2:$H$9,MATCH($E56,Parametros!$A$2:$A$9,0))*Parametros!$N$3</f>
        <v>57148.5</v>
      </c>
      <c r="AH56" s="13" t="n">
        <v>10850</v>
      </c>
      <c r="AI56" s="16" t="n">
        <f aca="false">AH56*Parametros!$N$2</f>
        <v>998.2</v>
      </c>
      <c r="AJ56" s="18" t="n">
        <v>11404</v>
      </c>
      <c r="AK56" s="18" t="n">
        <v>2493</v>
      </c>
      <c r="AL56" s="17" t="n">
        <f aca="false">AG56+AI56+AJ56+AK56</f>
        <v>72043.7</v>
      </c>
      <c r="AM56" s="20" t="n">
        <f aca="false">IF(L56&gt;0,AL56/L56,0)</f>
        <v>0.35065610793657</v>
      </c>
      <c r="AN56" s="16" t="n">
        <f aca="false">L56*INDEX(Parametros!$G$2:$G$9,MATCH($E56,Parametros!$A$2:$A$9,0))</f>
        <v>353380.88</v>
      </c>
      <c r="AO56" s="17" t="n">
        <f aca="false">AN56-AC56-AL56</f>
        <v>119247.98</v>
      </c>
      <c r="AP56" s="15" t="n">
        <f aca="false">IF(AN56&gt;0,AO56/AN56,0)</f>
        <v>0.337448873860974</v>
      </c>
      <c r="AQ56" s="16" t="n">
        <f aca="false">INDEX(Parametros!$I$2:$I$9,MATCH($E56,Parametros!$A$2:$A$9,0))</f>
        <v>15900000</v>
      </c>
      <c r="AR56" s="19" t="n">
        <f aca="false">IF(AQ56&gt;0,AO56/AQ56,0)</f>
        <v>0.00749987295597484</v>
      </c>
    </row>
    <row r="57" customFormat="false" ht="15" hidden="false" customHeight="false" outlineLevel="0" collapsed="false">
      <c r="A57" s="5" t="s">
        <v>192</v>
      </c>
      <c r="B57" s="9" t="n">
        <v>45593</v>
      </c>
      <c r="C57" s="2" t="str">
        <f aca="false">TEXT(B57,"yyyy")</f>
        <v>2024</v>
      </c>
      <c r="D57" s="2" t="n">
        <f aca="false">WEEKNUM(B57,2)</f>
        <v>44</v>
      </c>
      <c r="E57" s="5" t="s">
        <v>144</v>
      </c>
      <c r="F57" s="6" t="str">
        <f aca="false">INDEX(Parametros!$B$2:$B$9,MATCH($E57,Parametros!$A$2:$A$9,0))</f>
        <v>Salsas picantes</v>
      </c>
      <c r="G57" s="10" t="n">
        <v>101.5</v>
      </c>
      <c r="H57" s="10" t="n">
        <v>7.5</v>
      </c>
      <c r="I57" s="11" t="n">
        <f aca="false">SUMIFS(Eventos_Paro!$J$2:$J$2186,Eventos_Paro!$D$2:$D$2186,$E57,Eventos_Paro!$B$2:$B$2186,$B57)</f>
        <v>3.31666666666667</v>
      </c>
      <c r="J57" s="12" t="n">
        <f aca="false">G57-H57-I57</f>
        <v>90.6833333333333</v>
      </c>
      <c r="K57" s="13" t="n">
        <v>238291</v>
      </c>
      <c r="L57" s="13" t="n">
        <v>237184</v>
      </c>
      <c r="M57" s="13" t="n">
        <v>6613</v>
      </c>
      <c r="N57" s="14" t="n">
        <f aca="false">L57+M57</f>
        <v>243797</v>
      </c>
      <c r="O57" s="11" t="n">
        <f aca="false">INDEX(Parametros!$D$2:$D$9,MATCH($E57,Parametros!$A$2:$A$9,0))</f>
        <v>3100</v>
      </c>
      <c r="P57" s="15" t="n">
        <f aca="false">IF((G57-H57)&gt;0,J57/(G57-H57),0)</f>
        <v>0.964716312056738</v>
      </c>
      <c r="Q57" s="15" t="n">
        <f aca="false">IF(J57*O57&gt;0,N57/(O57*J57),0)</f>
        <v>0.867239774472197</v>
      </c>
      <c r="R57" s="15" t="n">
        <f aca="false">IF(N57&gt;0,L57/N57,0)</f>
        <v>0.972874973851196</v>
      </c>
      <c r="S57" s="15" t="n">
        <f aca="false">P57*Q57*R57</f>
        <v>0.813946465339739</v>
      </c>
      <c r="T57" s="15" t="n">
        <f aca="false">IF(K57&gt;0,L57/K57,0)</f>
        <v>0.995354419596208</v>
      </c>
      <c r="U57" s="10" t="n">
        <v>998</v>
      </c>
      <c r="V57" s="5" t="n">
        <v>9</v>
      </c>
      <c r="W57" s="10" t="n">
        <v>84.5</v>
      </c>
      <c r="X57" s="15" t="n">
        <f aca="false">IF(U57&gt;0,W57/U57,0)</f>
        <v>0.0846693386773547</v>
      </c>
      <c r="Y57" s="12" t="n">
        <f aca="false">IF(U57&gt;0,L57/U57,0)</f>
        <v>237.659318637275</v>
      </c>
      <c r="Z57" s="16" t="n">
        <f aca="false">L57*INDEX(Parametros!$E$2:$E$9,MATCH($E57,Parametros!$A$2:$A$9,0))</f>
        <v>156541.44</v>
      </c>
      <c r="AA57" s="16" t="n">
        <f aca="false">Z57*INDEX(Parametros!$F$2:$F$9,MATCH($E57,Parametros!$A$2:$A$9,0))</f>
        <v>4070.07744</v>
      </c>
      <c r="AB57" s="17" t="n">
        <f aca="false">Z57+AA57</f>
        <v>160611.51744</v>
      </c>
      <c r="AC57" s="18" t="n">
        <v>161485.47</v>
      </c>
      <c r="AD57" s="17" t="n">
        <f aca="false">AC57-AB57</f>
        <v>873.952560000005</v>
      </c>
      <c r="AE57" s="17" t="n">
        <f aca="false">AA57+AD57</f>
        <v>4944.03000000001</v>
      </c>
      <c r="AF57" s="19" t="n">
        <f aca="false">IF(Z57&gt;0,AE57/Z57,0)</f>
        <v>0.0315828831011137</v>
      </c>
      <c r="AG57" s="16" t="n">
        <f aca="false">(U57-W57)*INDEX(Parametros!$H$2:$H$9,MATCH($E57,Parametros!$A$2:$A$9,0))+W57*INDEX(Parametros!$H$2:$H$9,MATCH($E57,Parametros!$A$2:$A$9,0))*Parametros!$N$3</f>
        <v>32767.875</v>
      </c>
      <c r="AH57" s="13" t="n">
        <v>12088</v>
      </c>
      <c r="AI57" s="16" t="n">
        <f aca="false">AH57*Parametros!$N$2</f>
        <v>1112.096</v>
      </c>
      <c r="AJ57" s="18" t="n">
        <v>6895</v>
      </c>
      <c r="AK57" s="18" t="n">
        <v>3438</v>
      </c>
      <c r="AL57" s="17" t="n">
        <f aca="false">AG57+AI57+AJ57+AK57</f>
        <v>44212.971</v>
      </c>
      <c r="AM57" s="20" t="n">
        <f aca="false">IF(L57&gt;0,AL57/L57,0)</f>
        <v>0.186407898509174</v>
      </c>
      <c r="AN57" s="16" t="n">
        <f aca="false">L57*INDEX(Parametros!$G$2:$G$9,MATCH($E57,Parametros!$A$2:$A$9,0))</f>
        <v>296480</v>
      </c>
      <c r="AO57" s="17" t="n">
        <f aca="false">AN57-AC57-AL57</f>
        <v>90781.559</v>
      </c>
      <c r="AP57" s="15" t="n">
        <f aca="false">IF(AN57&gt;0,AO57/AN57,0)</f>
        <v>0.306197918915273</v>
      </c>
      <c r="AQ57" s="16" t="n">
        <f aca="false">INDEX(Parametros!$I$2:$I$9,MATCH($E57,Parametros!$A$2:$A$9,0))</f>
        <v>13300000</v>
      </c>
      <c r="AR57" s="19" t="n">
        <f aca="false">IF(AQ57&gt;0,AO57/AQ57,0)</f>
        <v>0.00682568112781955</v>
      </c>
    </row>
    <row r="58" customFormat="false" ht="15" hidden="false" customHeight="false" outlineLevel="0" collapsed="false">
      <c r="A58" s="5" t="s">
        <v>193</v>
      </c>
      <c r="B58" s="9" t="n">
        <v>45600</v>
      </c>
      <c r="C58" s="2" t="str">
        <f aca="false">TEXT(B58,"yyyy")</f>
        <v>2024</v>
      </c>
      <c r="D58" s="2" t="n">
        <f aca="false">WEEKNUM(B58,2)</f>
        <v>45</v>
      </c>
      <c r="E58" s="5" t="s">
        <v>130</v>
      </c>
      <c r="F58" s="6" t="str">
        <f aca="false">INDEX(Parametros!$B$2:$B$9,MATCH($E58,Parametros!$A$2:$A$9,0))</f>
        <v>Ketchup botella</v>
      </c>
      <c r="G58" s="10" t="n">
        <v>110.2</v>
      </c>
      <c r="H58" s="10" t="n">
        <v>7.1</v>
      </c>
      <c r="I58" s="11" t="n">
        <f aca="false">SUMIFS(Eventos_Paro!$J$2:$J$2186,Eventos_Paro!$D$2:$D$2186,$E58,Eventos_Paro!$B$2:$B$2186,$B58)</f>
        <v>2.66666666666667</v>
      </c>
      <c r="J58" s="12" t="n">
        <f aca="false">G58-H58-I58</f>
        <v>100.433333333333</v>
      </c>
      <c r="K58" s="13" t="n">
        <v>729240</v>
      </c>
      <c r="L58" s="13" t="n">
        <v>787754</v>
      </c>
      <c r="M58" s="13" t="n">
        <v>6598</v>
      </c>
      <c r="N58" s="14" t="n">
        <f aca="false">L58+M58</f>
        <v>794352</v>
      </c>
      <c r="O58" s="11" t="n">
        <f aca="false">INDEX(Parametros!$D$2:$D$9,MATCH($E58,Parametros!$A$2:$A$9,0))</f>
        <v>9000</v>
      </c>
      <c r="P58" s="15" t="n">
        <f aca="false">IF((G58-H58)&gt;0,J58/(G58-H58),0)</f>
        <v>0.974135143873262</v>
      </c>
      <c r="Q58" s="15" t="n">
        <f aca="false">IF(J58*O58&gt;0,N58/(O58*J58),0)</f>
        <v>0.87880517756389</v>
      </c>
      <c r="R58" s="15" t="n">
        <f aca="false">IF(N58&gt;0,L58/N58,0)</f>
        <v>0.991693858642013</v>
      </c>
      <c r="S58" s="15" t="n">
        <f aca="false">P58*Q58*R58</f>
        <v>0.848964328052592</v>
      </c>
      <c r="T58" s="15" t="n">
        <f aca="false">IF(K58&gt;0,L58/K58,0)</f>
        <v>1.08023970160715</v>
      </c>
      <c r="U58" s="10" t="n">
        <v>1563.2</v>
      </c>
      <c r="V58" s="5" t="n">
        <v>13</v>
      </c>
      <c r="W58" s="10" t="n">
        <v>130.6</v>
      </c>
      <c r="X58" s="15" t="n">
        <f aca="false">IF(U58&gt;0,W58/U58,0)</f>
        <v>0.083546571136131</v>
      </c>
      <c r="Y58" s="12" t="n">
        <f aca="false">IF(U58&gt;0,L58/U58,0)</f>
        <v>503.936796315251</v>
      </c>
      <c r="Z58" s="16" t="n">
        <f aca="false">L58*INDEX(Parametros!$E$2:$E$9,MATCH($E58,Parametros!$A$2:$A$9,0))</f>
        <v>330856.68</v>
      </c>
      <c r="AA58" s="16" t="n">
        <f aca="false">Z58*INDEX(Parametros!$F$2:$F$9,MATCH($E58,Parametros!$A$2:$A$9,0))</f>
        <v>6617.1336</v>
      </c>
      <c r="AB58" s="17" t="n">
        <f aca="false">Z58+AA58</f>
        <v>337473.8136</v>
      </c>
      <c r="AC58" s="18" t="n">
        <v>338050.9</v>
      </c>
      <c r="AD58" s="17" t="n">
        <f aca="false">AC58-AB58</f>
        <v>577.086400000029</v>
      </c>
      <c r="AE58" s="17" t="n">
        <f aca="false">AA58+AD58</f>
        <v>7194.22000000003</v>
      </c>
      <c r="AF58" s="19" t="n">
        <f aca="false">IF(Z58&gt;0,AE58/Z58,0)</f>
        <v>0.0217442186749865</v>
      </c>
      <c r="AG58" s="16" t="n">
        <f aca="false">(U58-W58)*INDEX(Parametros!$H$2:$H$9,MATCH($E58,Parametros!$A$2:$A$9,0))+W58*INDEX(Parametros!$H$2:$H$9,MATCH($E58,Parametros!$A$2:$A$9,0))*Parametros!$N$3</f>
        <v>51297.75</v>
      </c>
      <c r="AH58" s="13" t="n">
        <v>40777</v>
      </c>
      <c r="AI58" s="16" t="n">
        <f aca="false">AH58*Parametros!$N$2</f>
        <v>3751.484</v>
      </c>
      <c r="AJ58" s="18" t="n">
        <v>16149</v>
      </c>
      <c r="AK58" s="18" t="n">
        <v>2260</v>
      </c>
      <c r="AL58" s="17" t="n">
        <f aca="false">AG58+AI58+AJ58+AK58</f>
        <v>73458.234</v>
      </c>
      <c r="AM58" s="20" t="n">
        <f aca="false">IF(L58&gt;0,AL58/L58,0)</f>
        <v>0.0932502202464221</v>
      </c>
      <c r="AN58" s="16" t="n">
        <f aca="false">L58*INDEX(Parametros!$G$2:$G$9,MATCH($E58,Parametros!$A$2:$A$9,0))</f>
        <v>559305.34</v>
      </c>
      <c r="AO58" s="17" t="n">
        <f aca="false">AN58-AC58-AL58</f>
        <v>147796.206</v>
      </c>
      <c r="AP58" s="15" t="n">
        <f aca="false">IF(AN58&gt;0,AO58/AN58,0)</f>
        <v>0.264249588605752</v>
      </c>
      <c r="AQ58" s="16" t="n">
        <f aca="false">INDEX(Parametros!$I$2:$I$9,MATCH($E58,Parametros!$A$2:$A$9,0))</f>
        <v>29300000</v>
      </c>
      <c r="AR58" s="19" t="n">
        <f aca="false">IF(AQ58&gt;0,AO58/AQ58,0)</f>
        <v>0.00504423911262799</v>
      </c>
    </row>
    <row r="59" customFormat="false" ht="15" hidden="false" customHeight="false" outlineLevel="0" collapsed="false">
      <c r="A59" s="5" t="s">
        <v>194</v>
      </c>
      <c r="B59" s="9" t="n">
        <v>45600</v>
      </c>
      <c r="C59" s="2" t="str">
        <f aca="false">TEXT(B59,"yyyy")</f>
        <v>2024</v>
      </c>
      <c r="D59" s="2" t="n">
        <f aca="false">WEEKNUM(B59,2)</f>
        <v>45</v>
      </c>
      <c r="E59" s="5" t="s">
        <v>132</v>
      </c>
      <c r="F59" s="6" t="str">
        <f aca="false">INDEX(Parametros!$B$2:$B$9,MATCH($E59,Parametros!$A$2:$A$9,0))</f>
        <v>Mayonesa frasco</v>
      </c>
      <c r="G59" s="10" t="n">
        <v>112.9</v>
      </c>
      <c r="H59" s="10" t="n">
        <v>5.2</v>
      </c>
      <c r="I59" s="11" t="n">
        <f aca="false">SUMIFS(Eventos_Paro!$J$2:$J$2186,Eventos_Paro!$D$2:$D$2186,$E59,Eventos_Paro!$B$2:$B$2186,$B59)</f>
        <v>2.78333333333333</v>
      </c>
      <c r="J59" s="12" t="n">
        <f aca="false">G59-H59-I59</f>
        <v>104.916666666667</v>
      </c>
      <c r="K59" s="13" t="n">
        <v>550172</v>
      </c>
      <c r="L59" s="13" t="n">
        <v>567941</v>
      </c>
      <c r="M59" s="13" t="n">
        <v>14804</v>
      </c>
      <c r="N59" s="14" t="n">
        <f aca="false">L59+M59</f>
        <v>582745</v>
      </c>
      <c r="O59" s="11" t="n">
        <f aca="false">INDEX(Parametros!$D$2:$D$9,MATCH($E59,Parametros!$A$2:$A$9,0))</f>
        <v>6500</v>
      </c>
      <c r="P59" s="15" t="n">
        <f aca="false">IF((G59-H59)&gt;0,J59/(G59-H59),0)</f>
        <v>0.974156607861343</v>
      </c>
      <c r="Q59" s="15" t="n">
        <f aca="false">IF(J59*O59&gt;0,N59/(O59*J59),0)</f>
        <v>0.854517015946722</v>
      </c>
      <c r="R59" s="15" t="n">
        <f aca="false">IF(N59&gt;0,L59/N59,0)</f>
        <v>0.974596092630567</v>
      </c>
      <c r="S59" s="15" t="n">
        <f aca="false">P59*Q59*R59</f>
        <v>0.811286336690236</v>
      </c>
      <c r="T59" s="15" t="n">
        <f aca="false">IF(K59&gt;0,L59/K59,0)</f>
        <v>1.03229717252059</v>
      </c>
      <c r="U59" s="10" t="n">
        <v>1381.8</v>
      </c>
      <c r="V59" s="5" t="n">
        <v>12</v>
      </c>
      <c r="W59" s="10" t="n">
        <v>27</v>
      </c>
      <c r="X59" s="15" t="n">
        <f aca="false">IF(U59&gt;0,W59/U59,0)</f>
        <v>0.0195397307859314</v>
      </c>
      <c r="Y59" s="12" t="n">
        <f aca="false">IF(U59&gt;0,L59/U59,0)</f>
        <v>411.015342307136</v>
      </c>
      <c r="Z59" s="16" t="n">
        <f aca="false">L59*INDEX(Parametros!$E$2:$E$9,MATCH($E59,Parametros!$A$2:$A$9,0))</f>
        <v>346444.01</v>
      </c>
      <c r="AA59" s="16" t="n">
        <f aca="false">Z59*INDEX(Parametros!$F$2:$F$9,MATCH($E59,Parametros!$A$2:$A$9,0))</f>
        <v>8661.10025</v>
      </c>
      <c r="AB59" s="17" t="n">
        <f aca="false">Z59+AA59</f>
        <v>355105.11025</v>
      </c>
      <c r="AC59" s="18" t="n">
        <v>356987.97</v>
      </c>
      <c r="AD59" s="17" t="n">
        <f aca="false">AC59-AB59</f>
        <v>1882.85974999995</v>
      </c>
      <c r="AE59" s="17" t="n">
        <f aca="false">AA59+AD59</f>
        <v>10543.9599999999</v>
      </c>
      <c r="AF59" s="19" t="n">
        <f aca="false">IF(Z59&gt;0,AE59/Z59,0)</f>
        <v>0.0304348168698311</v>
      </c>
      <c r="AG59" s="16" t="n">
        <f aca="false">(U59-W59)*INDEX(Parametros!$H$2:$H$9,MATCH($E59,Parametros!$A$2:$A$9,0))+W59*INDEX(Parametros!$H$2:$H$9,MATCH($E59,Parametros!$A$2:$A$9,0))*Parametros!$N$3</f>
        <v>43951.95</v>
      </c>
      <c r="AH59" s="13" t="n">
        <v>28573</v>
      </c>
      <c r="AI59" s="16" t="n">
        <f aca="false">AH59*Parametros!$N$2</f>
        <v>2628.716</v>
      </c>
      <c r="AJ59" s="18" t="n">
        <v>14342</v>
      </c>
      <c r="AK59" s="18" t="n">
        <v>2727</v>
      </c>
      <c r="AL59" s="17" t="n">
        <f aca="false">AG59+AI59+AJ59+AK59</f>
        <v>63649.666</v>
      </c>
      <c r="AM59" s="20" t="n">
        <f aca="false">IF(L59&gt;0,AL59/L59,0)</f>
        <v>0.112070912295467</v>
      </c>
      <c r="AN59" s="16" t="n">
        <f aca="false">L59*INDEX(Parametros!$G$2:$G$9,MATCH($E59,Parametros!$A$2:$A$9,0))</f>
        <v>545223.36</v>
      </c>
      <c r="AO59" s="17" t="n">
        <f aca="false">AN59-AC59-AL59</f>
        <v>124585.724</v>
      </c>
      <c r="AP59" s="15" t="n">
        <f aca="false">IF(AN59&gt;0,AO59/AN59,0)</f>
        <v>0.228504009806183</v>
      </c>
      <c r="AQ59" s="16" t="n">
        <f aca="false">INDEX(Parametros!$I$2:$I$9,MATCH($E59,Parametros!$A$2:$A$9,0))</f>
        <v>29700000</v>
      </c>
      <c r="AR59" s="19" t="n">
        <f aca="false">IF(AQ59&gt;0,AO59/AQ59,0)</f>
        <v>0.00419480552188552</v>
      </c>
    </row>
    <row r="60" customFormat="false" ht="15" hidden="false" customHeight="false" outlineLevel="0" collapsed="false">
      <c r="A60" s="5" t="s">
        <v>195</v>
      </c>
      <c r="B60" s="9" t="n">
        <v>45600</v>
      </c>
      <c r="C60" s="2" t="str">
        <f aca="false">TEXT(B60,"yyyy")</f>
        <v>2024</v>
      </c>
      <c r="D60" s="2" t="n">
        <f aca="false">WEEKNUM(B60,2)</f>
        <v>45</v>
      </c>
      <c r="E60" s="5" t="s">
        <v>134</v>
      </c>
      <c r="F60" s="6" t="str">
        <f aca="false">INDEX(Parametros!$B$2:$B$9,MATCH($E60,Parametros!$A$2:$A$9,0))</f>
        <v>Aderezos vertibles</v>
      </c>
      <c r="G60" s="10" t="n">
        <v>110.2</v>
      </c>
      <c r="H60" s="10" t="n">
        <v>7.3</v>
      </c>
      <c r="I60" s="11" t="n">
        <f aca="false">SUMIFS(Eventos_Paro!$J$2:$J$2186,Eventos_Paro!$D$2:$D$2186,$E60,Eventos_Paro!$B$2:$B$2186,$B60)</f>
        <v>2.88333333333333</v>
      </c>
      <c r="J60" s="12" t="n">
        <f aca="false">G60-H60-I60</f>
        <v>100.016666666667</v>
      </c>
      <c r="K60" s="13" t="n">
        <v>420521</v>
      </c>
      <c r="L60" s="13" t="n">
        <v>422414</v>
      </c>
      <c r="M60" s="13" t="n">
        <v>16996</v>
      </c>
      <c r="N60" s="14" t="n">
        <f aca="false">L60+M60</f>
        <v>439410</v>
      </c>
      <c r="O60" s="11" t="n">
        <f aca="false">INDEX(Parametros!$D$2:$D$9,MATCH($E60,Parametros!$A$2:$A$9,0))</f>
        <v>5200</v>
      </c>
      <c r="P60" s="15" t="n">
        <f aca="false">IF((G60-H60)&gt;0,J60/(G60-H60),0)</f>
        <v>0.971979267897635</v>
      </c>
      <c r="Q60" s="15" t="n">
        <f aca="false">IF(J60*O60&gt;0,N60/(O60*J60),0)</f>
        <v>0.844878417699614</v>
      </c>
      <c r="R60" s="15" t="n">
        <f aca="false">IF(N60&gt;0,L60/N60,0)</f>
        <v>0.961320862065042</v>
      </c>
      <c r="S60" s="15" t="n">
        <f aca="false">P60*Q60*R60</f>
        <v>0.789440831277566</v>
      </c>
      <c r="T60" s="15" t="n">
        <f aca="false">IF(K60&gt;0,L60/K60,0)</f>
        <v>1.00450155878066</v>
      </c>
      <c r="U60" s="10" t="n">
        <v>1549</v>
      </c>
      <c r="V60" s="5" t="n">
        <v>13</v>
      </c>
      <c r="W60" s="10" t="n">
        <v>116.4</v>
      </c>
      <c r="X60" s="15" t="n">
        <f aca="false">IF(U60&gt;0,W60/U60,0)</f>
        <v>0.0751452550032279</v>
      </c>
      <c r="Y60" s="12" t="n">
        <f aca="false">IF(U60&gt;0,L60/U60,0)</f>
        <v>272.701097482247</v>
      </c>
      <c r="Z60" s="16" t="n">
        <f aca="false">L60*INDEX(Parametros!$E$2:$E$9,MATCH($E60,Parametros!$A$2:$A$9,0))</f>
        <v>232327.7</v>
      </c>
      <c r="AA60" s="16" t="n">
        <f aca="false">Z60*INDEX(Parametros!$F$2:$F$9,MATCH($E60,Parametros!$A$2:$A$9,0))</f>
        <v>6969.831</v>
      </c>
      <c r="AB60" s="17" t="n">
        <f aca="false">Z60+AA60</f>
        <v>239297.531</v>
      </c>
      <c r="AC60" s="18" t="n">
        <v>239129.79</v>
      </c>
      <c r="AD60" s="17" t="n">
        <f aca="false">AC60-AB60</f>
        <v>-167.741000000009</v>
      </c>
      <c r="AE60" s="17" t="n">
        <f aca="false">AA60+AD60</f>
        <v>6802.08999999999</v>
      </c>
      <c r="AF60" s="19" t="n">
        <f aca="false">IF(Z60&gt;0,AE60/Z60,0)</f>
        <v>0.0292779982757114</v>
      </c>
      <c r="AG60" s="16" t="n">
        <f aca="false">(U60-W60)*INDEX(Parametros!$H$2:$H$9,MATCH($E60,Parametros!$A$2:$A$9,0))+W60*INDEX(Parametros!$H$2:$H$9,MATCH($E60,Parametros!$A$2:$A$9,0))*Parametros!$N$3</f>
        <v>50626.8</v>
      </c>
      <c r="AH60" s="13" t="n">
        <v>21584</v>
      </c>
      <c r="AI60" s="16" t="n">
        <f aca="false">AH60*Parametros!$N$2</f>
        <v>1985.728</v>
      </c>
      <c r="AJ60" s="18" t="n">
        <v>11118</v>
      </c>
      <c r="AK60" s="18" t="n">
        <v>3420</v>
      </c>
      <c r="AL60" s="17" t="n">
        <f aca="false">AG60+AI60+AJ60+AK60</f>
        <v>67150.528</v>
      </c>
      <c r="AM60" s="20" t="n">
        <f aca="false">IF(L60&gt;0,AL60/L60,0)</f>
        <v>0.158968519035827</v>
      </c>
      <c r="AN60" s="16" t="n">
        <f aca="false">L60*INDEX(Parametros!$G$2:$G$9,MATCH($E60,Parametros!$A$2:$A$9,0))</f>
        <v>430862.28</v>
      </c>
      <c r="AO60" s="17" t="n">
        <f aca="false">AN60-AC60-AL60</f>
        <v>124581.962</v>
      </c>
      <c r="AP60" s="15" t="n">
        <f aca="false">IF(AN60&gt;0,AO60/AN60,0)</f>
        <v>0.289145668541697</v>
      </c>
      <c r="AQ60" s="16" t="n">
        <f aca="false">INDEX(Parametros!$I$2:$I$9,MATCH($E60,Parametros!$A$2:$A$9,0))</f>
        <v>19300000</v>
      </c>
      <c r="AR60" s="19" t="n">
        <f aca="false">IF(AQ60&gt;0,AO60/AQ60,0)</f>
        <v>0.00645502393782384</v>
      </c>
    </row>
    <row r="61" customFormat="false" ht="15" hidden="false" customHeight="false" outlineLevel="0" collapsed="false">
      <c r="A61" s="5" t="s">
        <v>196</v>
      </c>
      <c r="B61" s="9" t="n">
        <v>45600</v>
      </c>
      <c r="C61" s="2" t="str">
        <f aca="false">TEXT(B61,"yyyy")</f>
        <v>2024</v>
      </c>
      <c r="D61" s="2" t="n">
        <f aca="false">WEEKNUM(B61,2)</f>
        <v>45</v>
      </c>
      <c r="E61" s="5" t="s">
        <v>136</v>
      </c>
      <c r="F61" s="6" t="str">
        <f aca="false">INDEX(Parametros!$B$2:$B$9,MATCH($E61,Parametros!$A$2:$A$9,0))</f>
        <v>Salsa BBQ</v>
      </c>
      <c r="G61" s="10" t="n">
        <v>102.7</v>
      </c>
      <c r="H61" s="10" t="n">
        <v>5.8</v>
      </c>
      <c r="I61" s="11" t="n">
        <f aca="false">SUMIFS(Eventos_Paro!$J$2:$J$2186,Eventos_Paro!$D$2:$D$2186,$E61,Eventos_Paro!$B$2:$B$2186,$B61)</f>
        <v>1.75</v>
      </c>
      <c r="J61" s="12" t="n">
        <f aca="false">G61-H61-I61</f>
        <v>95.15</v>
      </c>
      <c r="K61" s="13" t="n">
        <v>342591</v>
      </c>
      <c r="L61" s="13" t="n">
        <v>381442</v>
      </c>
      <c r="M61" s="13" t="n">
        <v>7727</v>
      </c>
      <c r="N61" s="14" t="n">
        <f aca="false">L61+M61</f>
        <v>389169</v>
      </c>
      <c r="O61" s="11" t="n">
        <f aca="false">INDEX(Parametros!$D$2:$D$9,MATCH($E61,Parametros!$A$2:$A$9,0))</f>
        <v>4800</v>
      </c>
      <c r="P61" s="15" t="n">
        <f aca="false">IF((G61-H61)&gt;0,J61/(G61-H61),0)</f>
        <v>0.981940144478844</v>
      </c>
      <c r="Q61" s="15" t="n">
        <f aca="false">IF(J61*O61&gt;0,N61/(O61*J61),0)</f>
        <v>0.852095375722543</v>
      </c>
      <c r="R61" s="15" t="n">
        <f aca="false">IF(N61&gt;0,L61/N61,0)</f>
        <v>0.980144872793054</v>
      </c>
      <c r="S61" s="15" t="n">
        <f aca="false">P61*Q61*R61</f>
        <v>0.820093739250086</v>
      </c>
      <c r="T61" s="15" t="n">
        <f aca="false">IF(K61&gt;0,L61/K61,0)</f>
        <v>1.1134034460917</v>
      </c>
      <c r="U61" s="10" t="n">
        <v>1176.1</v>
      </c>
      <c r="V61" s="5" t="n">
        <v>11</v>
      </c>
      <c r="W61" s="10" t="n">
        <v>46.4</v>
      </c>
      <c r="X61" s="15" t="n">
        <f aca="false">IF(U61&gt;0,W61/U61,0)</f>
        <v>0.0394524275146671</v>
      </c>
      <c r="Y61" s="12" t="n">
        <f aca="false">IF(U61&gt;0,L61/U61,0)</f>
        <v>324.327863276932</v>
      </c>
      <c r="Z61" s="16" t="n">
        <f aca="false">L61*INDEX(Parametros!$E$2:$E$9,MATCH($E61,Parametros!$A$2:$A$9,0))</f>
        <v>221236.36</v>
      </c>
      <c r="AA61" s="16" t="n">
        <f aca="false">Z61*INDEX(Parametros!$F$2:$F$9,MATCH($E61,Parametros!$A$2:$A$9,0))</f>
        <v>6194.61808</v>
      </c>
      <c r="AB61" s="17" t="n">
        <f aca="false">Z61+AA61</f>
        <v>227430.97808</v>
      </c>
      <c r="AC61" s="18" t="n">
        <v>229038.49</v>
      </c>
      <c r="AD61" s="17" t="n">
        <f aca="false">AC61-AB61</f>
        <v>1607.51192000002</v>
      </c>
      <c r="AE61" s="17" t="n">
        <f aca="false">AA61+AD61</f>
        <v>7802.13000000002</v>
      </c>
      <c r="AF61" s="19" t="n">
        <f aca="false">IF(Z61&gt;0,AE61/Z61,0)</f>
        <v>0.0352660385480941</v>
      </c>
      <c r="AG61" s="16" t="n">
        <f aca="false">(U61-W61)*INDEX(Parametros!$H$2:$H$9,MATCH($E61,Parametros!$A$2:$A$9,0))+W61*INDEX(Parametros!$H$2:$H$9,MATCH($E61,Parametros!$A$2:$A$9,0))*Parametros!$N$3</f>
        <v>37777.95</v>
      </c>
      <c r="AH61" s="13" t="n">
        <v>20167</v>
      </c>
      <c r="AI61" s="16" t="n">
        <f aca="false">AH61*Parametros!$N$2</f>
        <v>1855.364</v>
      </c>
      <c r="AJ61" s="18" t="n">
        <v>11086</v>
      </c>
      <c r="AK61" s="18" t="n">
        <v>1040</v>
      </c>
      <c r="AL61" s="17" t="n">
        <f aca="false">AG61+AI61+AJ61+AK61</f>
        <v>51759.314</v>
      </c>
      <c r="AM61" s="20" t="n">
        <f aca="false">IF(L61&gt;0,AL61/L61,0)</f>
        <v>0.135693798795099</v>
      </c>
      <c r="AN61" s="16" t="n">
        <f aca="false">L61*INDEX(Parametros!$G$2:$G$9,MATCH($E61,Parametros!$A$2:$A$9,0))</f>
        <v>373813.16</v>
      </c>
      <c r="AO61" s="17" t="n">
        <f aca="false">AN61-AC61-AL61</f>
        <v>93015.356</v>
      </c>
      <c r="AP61" s="15" t="n">
        <f aca="false">IF(AN61&gt;0,AO61/AN61,0)</f>
        <v>0.248828468211232</v>
      </c>
      <c r="AQ61" s="16" t="n">
        <f aca="false">INDEX(Parametros!$I$2:$I$9,MATCH($E61,Parametros!$A$2:$A$9,0))</f>
        <v>17000000</v>
      </c>
      <c r="AR61" s="19" t="n">
        <f aca="false">IF(AQ61&gt;0,AO61/AQ61,0)</f>
        <v>0.00547149152941176</v>
      </c>
    </row>
    <row r="62" customFormat="false" ht="15" hidden="false" customHeight="false" outlineLevel="0" collapsed="false">
      <c r="A62" s="5" t="s">
        <v>197</v>
      </c>
      <c r="B62" s="9" t="n">
        <v>45600</v>
      </c>
      <c r="C62" s="2" t="str">
        <f aca="false">TEXT(B62,"yyyy")</f>
        <v>2024</v>
      </c>
      <c r="D62" s="2" t="n">
        <f aca="false">WEEKNUM(B62,2)</f>
        <v>45</v>
      </c>
      <c r="E62" s="5" t="s">
        <v>138</v>
      </c>
      <c r="F62" s="6" t="str">
        <f aca="false">INDEX(Parametros!$B$2:$B$9,MATCH($E62,Parametros!$A$2:$A$9,0))</f>
        <v>Queso crema</v>
      </c>
      <c r="G62" s="10" t="n">
        <v>130.2</v>
      </c>
      <c r="H62" s="10" t="n">
        <v>6.8</v>
      </c>
      <c r="I62" s="11" t="n">
        <f aca="false">SUMIFS(Eventos_Paro!$J$2:$J$2186,Eventos_Paro!$D$2:$D$2186,$E62,Eventos_Paro!$B$2:$B$2186,$B62)</f>
        <v>1.53333333333333</v>
      </c>
      <c r="J62" s="12" t="n">
        <f aca="false">G62-H62-I62</f>
        <v>121.866666666667</v>
      </c>
      <c r="K62" s="13" t="n">
        <v>368526</v>
      </c>
      <c r="L62" s="13" t="n">
        <v>356696</v>
      </c>
      <c r="M62" s="13" t="n">
        <v>15703</v>
      </c>
      <c r="N62" s="14" t="n">
        <f aca="false">L62+M62</f>
        <v>372399</v>
      </c>
      <c r="O62" s="11" t="n">
        <f aca="false">INDEX(Parametros!$D$2:$D$9,MATCH($E62,Parametros!$A$2:$A$9,0))</f>
        <v>3800</v>
      </c>
      <c r="P62" s="15" t="n">
        <f aca="false">IF((G62-H62)&gt;0,J62/(G62-H62),0)</f>
        <v>0.987574284170719</v>
      </c>
      <c r="Q62" s="15" t="n">
        <f aca="false">IF(J62*O62&gt;0,N62/(O62*J62),0)</f>
        <v>0.804155389842221</v>
      </c>
      <c r="R62" s="15" t="n">
        <f aca="false">IF(N62&gt;0,L62/N62,0)</f>
        <v>0.957832862064614</v>
      </c>
      <c r="S62" s="15" t="n">
        <f aca="false">P62*Q62*R62</f>
        <v>0.760675594984219</v>
      </c>
      <c r="T62" s="15" t="n">
        <f aca="false">IF(K62&gt;0,L62/K62,0)</f>
        <v>0.967899144158078</v>
      </c>
      <c r="U62" s="10" t="n">
        <v>2066.2</v>
      </c>
      <c r="V62" s="5" t="n">
        <v>15</v>
      </c>
      <c r="W62" s="10" t="n">
        <v>113.2</v>
      </c>
      <c r="X62" s="15" t="n">
        <f aca="false">IF(U62&gt;0,W62/U62,0)</f>
        <v>0.0547865647081599</v>
      </c>
      <c r="Y62" s="12" t="n">
        <f aca="false">IF(U62&gt;0,L62/U62,0)</f>
        <v>172.633820540122</v>
      </c>
      <c r="Z62" s="16" t="n">
        <f aca="false">L62*INDEX(Parametros!$E$2:$E$9,MATCH($E62,Parametros!$A$2:$A$9,0))</f>
        <v>399499.52</v>
      </c>
      <c r="AA62" s="16" t="n">
        <f aca="false">Z62*INDEX(Parametros!$F$2:$F$9,MATCH($E62,Parametros!$A$2:$A$9,0))</f>
        <v>13982.4832</v>
      </c>
      <c r="AB62" s="17" t="n">
        <f aca="false">Z62+AA62</f>
        <v>413482.0032</v>
      </c>
      <c r="AC62" s="18" t="n">
        <v>420969.7</v>
      </c>
      <c r="AD62" s="17" t="n">
        <f aca="false">AC62-AB62</f>
        <v>7487.69679999998</v>
      </c>
      <c r="AE62" s="17" t="n">
        <f aca="false">AA62+AD62</f>
        <v>21470.18</v>
      </c>
      <c r="AF62" s="19" t="n">
        <f aca="false">IF(Z62&gt;0,AE62/Z62,0)</f>
        <v>0.053742692857303</v>
      </c>
      <c r="AG62" s="16" t="n">
        <f aca="false">(U62-W62)*INDEX(Parametros!$H$2:$H$9,MATCH($E62,Parametros!$A$2:$A$9,0))+W62*INDEX(Parametros!$H$2:$H$9,MATCH($E62,Parametros!$A$2:$A$9,0))*Parametros!$N$3</f>
        <v>70052.4</v>
      </c>
      <c r="AH62" s="13" t="n">
        <v>19157</v>
      </c>
      <c r="AI62" s="16" t="n">
        <f aca="false">AH62*Parametros!$N$2</f>
        <v>1762.444</v>
      </c>
      <c r="AJ62" s="18" t="n">
        <v>19191</v>
      </c>
      <c r="AK62" s="18" t="n">
        <v>604</v>
      </c>
      <c r="AL62" s="17" t="n">
        <f aca="false">AG62+AI62+AJ62+AK62</f>
        <v>91609.844</v>
      </c>
      <c r="AM62" s="20" t="n">
        <f aca="false">IF(L62&gt;0,AL62/L62,0)</f>
        <v>0.2568289075291</v>
      </c>
      <c r="AN62" s="16" t="n">
        <f aca="false">L62*INDEX(Parametros!$G$2:$G$9,MATCH($E62,Parametros!$A$2:$A$9,0))</f>
        <v>638485.84</v>
      </c>
      <c r="AO62" s="17" t="n">
        <f aca="false">AN62-AC62-AL62</f>
        <v>125906.296</v>
      </c>
      <c r="AP62" s="15" t="n">
        <f aca="false">IF(AN62&gt;0,AO62/AN62,0)</f>
        <v>0.197195126519955</v>
      </c>
      <c r="AQ62" s="16" t="n">
        <f aca="false">INDEX(Parametros!$I$2:$I$9,MATCH($E62,Parametros!$A$2:$A$9,0))</f>
        <v>33200000</v>
      </c>
      <c r="AR62" s="19" t="n">
        <f aca="false">IF(AQ62&gt;0,AO62/AQ62,0)</f>
        <v>0.00379235831325301</v>
      </c>
    </row>
    <row r="63" customFormat="false" ht="15" hidden="false" customHeight="false" outlineLevel="0" collapsed="false">
      <c r="A63" s="5" t="s">
        <v>198</v>
      </c>
      <c r="B63" s="9" t="n">
        <v>45600</v>
      </c>
      <c r="C63" s="2" t="str">
        <f aca="false">TEXT(B63,"yyyy")</f>
        <v>2024</v>
      </c>
      <c r="D63" s="2" t="n">
        <f aca="false">WEEKNUM(B63,2)</f>
        <v>45</v>
      </c>
      <c r="E63" s="5" t="s">
        <v>140</v>
      </c>
      <c r="F63" s="6" t="str">
        <f aca="false">INDEX(Parametros!$B$2:$B$9,MATCH($E63,Parametros!$A$2:$A$9,0))</f>
        <v>Crema de cacahuate</v>
      </c>
      <c r="G63" s="10" t="n">
        <v>119.5</v>
      </c>
      <c r="H63" s="10" t="n">
        <v>5.6</v>
      </c>
      <c r="I63" s="11" t="n">
        <f aca="false">SUMIFS(Eventos_Paro!$J$2:$J$2186,Eventos_Paro!$D$2:$D$2186,$E63,Eventos_Paro!$B$2:$B$2186,$B63)</f>
        <v>1.18333333333333</v>
      </c>
      <c r="J63" s="12" t="n">
        <f aca="false">G63-H63-I63</f>
        <v>112.716666666667</v>
      </c>
      <c r="K63" s="13" t="n">
        <v>375960</v>
      </c>
      <c r="L63" s="13" t="n">
        <v>414378</v>
      </c>
      <c r="M63" s="13" t="n">
        <v>7350</v>
      </c>
      <c r="N63" s="14" t="n">
        <f aca="false">L63+M63</f>
        <v>421728</v>
      </c>
      <c r="O63" s="11" t="n">
        <f aca="false">INDEX(Parametros!$D$2:$D$9,MATCH($E63,Parametros!$A$2:$A$9,0))</f>
        <v>4200</v>
      </c>
      <c r="P63" s="15" t="n">
        <f aca="false">IF((G63-H63)&gt;0,J63/(G63-H63),0)</f>
        <v>0.989610769681007</v>
      </c>
      <c r="Q63" s="15" t="n">
        <f aca="false">IF(J63*O63&gt;0,N63/(O63*J63),0)</f>
        <v>0.890830358463066</v>
      </c>
      <c r="R63" s="15" t="n">
        <f aca="false">IF(N63&gt;0,L63/N63,0)</f>
        <v>0.982571704985204</v>
      </c>
      <c r="S63" s="15" t="n">
        <f aca="false">P63*Q63*R63</f>
        <v>0.866210961996739</v>
      </c>
      <c r="T63" s="15" t="n">
        <f aca="false">IF(K63&gt;0,L63/K63,0)</f>
        <v>1.10218640280881</v>
      </c>
      <c r="U63" s="10" t="n">
        <v>1611.7</v>
      </c>
      <c r="V63" s="5" t="n">
        <v>12</v>
      </c>
      <c r="W63" s="10" t="n">
        <v>177.7</v>
      </c>
      <c r="X63" s="15" t="n">
        <f aca="false">IF(U63&gt;0,W63/U63,0)</f>
        <v>0.110256251163368</v>
      </c>
      <c r="Y63" s="12" t="n">
        <f aca="false">IF(U63&gt;0,L63/U63,0)</f>
        <v>257.106161196252</v>
      </c>
      <c r="Z63" s="16" t="n">
        <f aca="false">L63*INDEX(Parametros!$E$2:$E$9,MATCH($E63,Parametros!$A$2:$A$9,0))</f>
        <v>401946.66</v>
      </c>
      <c r="AA63" s="16" t="n">
        <f aca="false">Z63*INDEX(Parametros!$F$2:$F$9,MATCH($E63,Parametros!$A$2:$A$9,0))</f>
        <v>8842.82652</v>
      </c>
      <c r="AB63" s="17" t="n">
        <f aca="false">Z63+AA63</f>
        <v>410789.48652</v>
      </c>
      <c r="AC63" s="18" t="n">
        <v>407914.45</v>
      </c>
      <c r="AD63" s="17" t="n">
        <f aca="false">AC63-AB63</f>
        <v>-2875.03651999997</v>
      </c>
      <c r="AE63" s="17" t="n">
        <f aca="false">AA63+AD63</f>
        <v>5967.79000000003</v>
      </c>
      <c r="AF63" s="19" t="n">
        <f aca="false">IF(Z63&gt;0,AE63/Z63,0)</f>
        <v>0.0148472187827112</v>
      </c>
      <c r="AG63" s="16" t="n">
        <f aca="false">(U63-W63)*INDEX(Parametros!$H$2:$H$9,MATCH($E63,Parametros!$A$2:$A$9,0))+W63*INDEX(Parametros!$H$2:$H$9,MATCH($E63,Parametros!$A$2:$A$9,0))*Parametros!$N$3</f>
        <v>53567.325</v>
      </c>
      <c r="AH63" s="13" t="n">
        <v>21235</v>
      </c>
      <c r="AI63" s="16" t="n">
        <f aca="false">AH63*Parametros!$N$2</f>
        <v>1953.62</v>
      </c>
      <c r="AJ63" s="18" t="n">
        <v>12074</v>
      </c>
      <c r="AK63" s="18" t="n">
        <v>779</v>
      </c>
      <c r="AL63" s="17" t="n">
        <f aca="false">AG63+AI63+AJ63+AK63</f>
        <v>68373.945</v>
      </c>
      <c r="AM63" s="20" t="n">
        <f aca="false">IF(L63&gt;0,AL63/L63,0)</f>
        <v>0.16500380087746</v>
      </c>
      <c r="AN63" s="16" t="n">
        <f aca="false">L63*INDEX(Parametros!$G$2:$G$9,MATCH($E63,Parametros!$A$2:$A$9,0))</f>
        <v>671292.36</v>
      </c>
      <c r="AO63" s="17" t="n">
        <f aca="false">AN63-AC63-AL63</f>
        <v>195003.965</v>
      </c>
      <c r="AP63" s="15" t="n">
        <f aca="false">IF(AN63&gt;0,AO63/AN63,0)</f>
        <v>0.290490368458834</v>
      </c>
      <c r="AQ63" s="16" t="n">
        <f aca="false">INDEX(Parametros!$I$2:$I$9,MATCH($E63,Parametros!$A$2:$A$9,0))</f>
        <v>28000000</v>
      </c>
      <c r="AR63" s="19" t="n">
        <f aca="false">IF(AQ63&gt;0,AO63/AQ63,0)</f>
        <v>0.00696442732142857</v>
      </c>
    </row>
    <row r="64" customFormat="false" ht="15" hidden="false" customHeight="false" outlineLevel="0" collapsed="false">
      <c r="A64" s="5" t="s">
        <v>199</v>
      </c>
      <c r="B64" s="9" t="n">
        <v>45600</v>
      </c>
      <c r="C64" s="2" t="str">
        <f aca="false">TEXT(B64,"yyyy")</f>
        <v>2024</v>
      </c>
      <c r="D64" s="2" t="n">
        <f aca="false">WEEKNUM(B64,2)</f>
        <v>45</v>
      </c>
      <c r="E64" s="5" t="s">
        <v>142</v>
      </c>
      <c r="F64" s="6" t="str">
        <f aca="false">INDEX(Parametros!$B$2:$B$9,MATCH($E64,Parametros!$A$2:$A$9,0))</f>
        <v>Porciones single serve</v>
      </c>
      <c r="G64" s="10" t="n">
        <v>91.8</v>
      </c>
      <c r="H64" s="10" t="n">
        <v>6.4</v>
      </c>
      <c r="I64" s="11" t="n">
        <f aca="false">SUMIFS(Eventos_Paro!$J$2:$J$2186,Eventos_Paro!$D$2:$D$2186,$E64,Eventos_Paro!$B$2:$B$2186,$B64)</f>
        <v>5.85</v>
      </c>
      <c r="J64" s="12" t="n">
        <f aca="false">G64-H64-I64</f>
        <v>79.55</v>
      </c>
      <c r="K64" s="13" t="n">
        <v>174502</v>
      </c>
      <c r="L64" s="13" t="n">
        <v>136127</v>
      </c>
      <c r="M64" s="13" t="n">
        <v>6585</v>
      </c>
      <c r="N64" s="14" t="n">
        <f aca="false">L64+M64</f>
        <v>142712</v>
      </c>
      <c r="O64" s="11" t="n">
        <f aca="false">INDEX(Parametros!$D$2:$D$9,MATCH($E64,Parametros!$A$2:$A$9,0))</f>
        <v>2600</v>
      </c>
      <c r="P64" s="15" t="n">
        <f aca="false">IF((G64-H64)&gt;0,J64/(G64-H64),0)</f>
        <v>0.931498829039813</v>
      </c>
      <c r="Q64" s="15" t="n">
        <f aca="false">IF(J64*O64&gt;0,N64/(O64*J64),0)</f>
        <v>0.689996615578011</v>
      </c>
      <c r="R64" s="15" t="n">
        <f aca="false">IF(N64&gt;0,L64/N64,0)</f>
        <v>0.953858119849767</v>
      </c>
      <c r="S64" s="15" t="n">
        <f aca="false">P64*Q64*R64</f>
        <v>0.613074220861106</v>
      </c>
      <c r="T64" s="15" t="n">
        <f aca="false">IF(K64&gt;0,L64/K64,0)</f>
        <v>0.780088480361257</v>
      </c>
      <c r="U64" s="10" t="n">
        <v>1631.5</v>
      </c>
      <c r="V64" s="5" t="n">
        <v>16</v>
      </c>
      <c r="W64" s="10" t="n">
        <v>162.7</v>
      </c>
      <c r="X64" s="15" t="n">
        <f aca="false">IF(U64&gt;0,W64/U64,0)</f>
        <v>0.0997241802022679</v>
      </c>
      <c r="Y64" s="12" t="n">
        <f aca="false">IF(U64&gt;0,L64/U64,0)</f>
        <v>83.4367146797426</v>
      </c>
      <c r="Z64" s="16" t="n">
        <f aca="false">L64*INDEX(Parametros!$E$2:$E$9,MATCH($E64,Parametros!$A$2:$A$9,0))</f>
        <v>100733.98</v>
      </c>
      <c r="AA64" s="16" t="n">
        <f aca="false">Z64*INDEX(Parametros!$F$2:$F$9,MATCH($E64,Parametros!$A$2:$A$9,0))</f>
        <v>4533.0291</v>
      </c>
      <c r="AB64" s="17" t="n">
        <f aca="false">Z64+AA64</f>
        <v>105267.0091</v>
      </c>
      <c r="AC64" s="18" t="n">
        <v>107518.9</v>
      </c>
      <c r="AD64" s="17" t="n">
        <f aca="false">AC64-AB64</f>
        <v>2251.8909</v>
      </c>
      <c r="AE64" s="17" t="n">
        <f aca="false">AA64+AD64</f>
        <v>6784.92</v>
      </c>
      <c r="AF64" s="19" t="n">
        <f aca="false">IF(Z64&gt;0,AE64/Z64,0)</f>
        <v>0.0673548290259156</v>
      </c>
      <c r="AG64" s="16" t="n">
        <f aca="false">(U64-W64)*INDEX(Parametros!$H$2:$H$9,MATCH($E64,Parametros!$A$2:$A$9,0))+W64*INDEX(Parametros!$H$2:$H$9,MATCH($E64,Parametros!$A$2:$A$9,0))*Parametros!$N$3</f>
        <v>51385.5</v>
      </c>
      <c r="AH64" s="13" t="n">
        <v>7684</v>
      </c>
      <c r="AI64" s="16" t="n">
        <f aca="false">AH64*Parametros!$N$2</f>
        <v>706.928</v>
      </c>
      <c r="AJ64" s="18" t="n">
        <v>13009</v>
      </c>
      <c r="AK64" s="18" t="n">
        <v>5702</v>
      </c>
      <c r="AL64" s="17" t="n">
        <f aca="false">AG64+AI64+AJ64+AK64</f>
        <v>70803.428</v>
      </c>
      <c r="AM64" s="20" t="n">
        <f aca="false">IF(L64&gt;0,AL64/L64,0)</f>
        <v>0.520127733660479</v>
      </c>
      <c r="AN64" s="16" t="n">
        <f aca="false">L64*INDEX(Parametros!$G$2:$G$9,MATCH($E64,Parametros!$A$2:$A$9,0))</f>
        <v>234138.44</v>
      </c>
      <c r="AO64" s="17" t="n">
        <f aca="false">AN64-AC64-AL64</f>
        <v>55816.112</v>
      </c>
      <c r="AP64" s="15" t="n">
        <f aca="false">IF(AN64&gt;0,AO64/AN64,0)</f>
        <v>0.238389356314153</v>
      </c>
      <c r="AQ64" s="16" t="n">
        <f aca="false">INDEX(Parametros!$I$2:$I$9,MATCH($E64,Parametros!$A$2:$A$9,0))</f>
        <v>15900000</v>
      </c>
      <c r="AR64" s="19" t="n">
        <f aca="false">IF(AQ64&gt;0,AO64/AQ64,0)</f>
        <v>0.00351044729559748</v>
      </c>
    </row>
    <row r="65" customFormat="false" ht="15" hidden="false" customHeight="false" outlineLevel="0" collapsed="false">
      <c r="A65" s="5" t="s">
        <v>200</v>
      </c>
      <c r="B65" s="9" t="n">
        <v>45600</v>
      </c>
      <c r="C65" s="2" t="str">
        <f aca="false">TEXT(B65,"yyyy")</f>
        <v>2024</v>
      </c>
      <c r="D65" s="2" t="n">
        <f aca="false">WEEKNUM(B65,2)</f>
        <v>45</v>
      </c>
      <c r="E65" s="5" t="s">
        <v>144</v>
      </c>
      <c r="F65" s="6" t="str">
        <f aca="false">INDEX(Parametros!$B$2:$B$9,MATCH($E65,Parametros!$A$2:$A$9,0))</f>
        <v>Salsas picantes</v>
      </c>
      <c r="G65" s="10" t="n">
        <v>86.8</v>
      </c>
      <c r="H65" s="10" t="n">
        <v>8</v>
      </c>
      <c r="I65" s="11" t="n">
        <f aca="false">SUMIFS(Eventos_Paro!$J$2:$J$2186,Eventos_Paro!$D$2:$D$2186,$E65,Eventos_Paro!$B$2:$B$2186,$B65)</f>
        <v>1.1</v>
      </c>
      <c r="J65" s="12" t="n">
        <f aca="false">G65-H65-I65</f>
        <v>77.7</v>
      </c>
      <c r="K65" s="13" t="n">
        <v>201037</v>
      </c>
      <c r="L65" s="13" t="n">
        <v>203192</v>
      </c>
      <c r="M65" s="13" t="n">
        <v>4045</v>
      </c>
      <c r="N65" s="14" t="n">
        <f aca="false">L65+M65</f>
        <v>207237</v>
      </c>
      <c r="O65" s="11" t="n">
        <f aca="false">INDEX(Parametros!$D$2:$D$9,MATCH($E65,Parametros!$A$2:$A$9,0))</f>
        <v>3100</v>
      </c>
      <c r="P65" s="15" t="n">
        <f aca="false">IF((G65-H65)&gt;0,J65/(G65-H65),0)</f>
        <v>0.986040609137056</v>
      </c>
      <c r="Q65" s="15" t="n">
        <f aca="false">IF(J65*O65&gt;0,N65/(O65*J65),0)</f>
        <v>0.86036866359447</v>
      </c>
      <c r="R65" s="15" t="n">
        <f aca="false">IF(N65&gt;0,L65/N65,0)</f>
        <v>0.980481284712672</v>
      </c>
      <c r="S65" s="15" t="n">
        <f aca="false">P65*Q65*R65</f>
        <v>0.831799574259047</v>
      </c>
      <c r="T65" s="15" t="n">
        <f aca="false">IF(K65&gt;0,L65/K65,0)</f>
        <v>1.01071941980829</v>
      </c>
      <c r="U65" s="10" t="n">
        <v>850.7</v>
      </c>
      <c r="V65" s="5" t="n">
        <v>9</v>
      </c>
      <c r="W65" s="10" t="n">
        <v>69.5</v>
      </c>
      <c r="X65" s="15" t="n">
        <f aca="false">IF(U65&gt;0,W65/U65,0)</f>
        <v>0.0816974256494651</v>
      </c>
      <c r="Y65" s="12" t="n">
        <f aca="false">IF(U65&gt;0,L65/U65,0)</f>
        <v>238.852709533325</v>
      </c>
      <c r="Z65" s="16" t="n">
        <f aca="false">L65*INDEX(Parametros!$E$2:$E$9,MATCH($E65,Parametros!$A$2:$A$9,0))</f>
        <v>134106.72</v>
      </c>
      <c r="AA65" s="16" t="n">
        <f aca="false">Z65*INDEX(Parametros!$F$2:$F$9,MATCH($E65,Parametros!$A$2:$A$9,0))</f>
        <v>3486.77472</v>
      </c>
      <c r="AB65" s="17" t="n">
        <f aca="false">Z65+AA65</f>
        <v>137593.49472</v>
      </c>
      <c r="AC65" s="18" t="n">
        <v>135801.46</v>
      </c>
      <c r="AD65" s="17" t="n">
        <f aca="false">AC65-AB65</f>
        <v>-1792.03472</v>
      </c>
      <c r="AE65" s="17" t="n">
        <f aca="false">AA65+AD65</f>
        <v>1694.74</v>
      </c>
      <c r="AF65" s="19" t="n">
        <f aca="false">IF(Z65&gt;0,AE65/Z65,0)</f>
        <v>0.0126372489014719</v>
      </c>
      <c r="AG65" s="16" t="n">
        <f aca="false">(U65-W65)*INDEX(Parametros!$H$2:$H$9,MATCH($E65,Parametros!$A$2:$A$9,0))+W65*INDEX(Parametros!$H$2:$H$9,MATCH($E65,Parametros!$A$2:$A$9,0))*Parametros!$N$3</f>
        <v>27891.675</v>
      </c>
      <c r="AH65" s="13" t="n">
        <v>10486</v>
      </c>
      <c r="AI65" s="16" t="n">
        <f aca="false">AH65*Parametros!$N$2</f>
        <v>964.712</v>
      </c>
      <c r="AJ65" s="18" t="n">
        <v>7378</v>
      </c>
      <c r="AK65" s="18" t="n">
        <v>1120</v>
      </c>
      <c r="AL65" s="17" t="n">
        <f aca="false">AG65+AI65+AJ65+AK65</f>
        <v>37354.387</v>
      </c>
      <c r="AM65" s="20" t="n">
        <f aca="false">IF(L65&gt;0,AL65/L65,0)</f>
        <v>0.183837882396945</v>
      </c>
      <c r="AN65" s="16" t="n">
        <f aca="false">L65*INDEX(Parametros!$G$2:$G$9,MATCH($E65,Parametros!$A$2:$A$9,0))</f>
        <v>253990</v>
      </c>
      <c r="AO65" s="17" t="n">
        <f aca="false">AN65-AC65-AL65</f>
        <v>80834.153</v>
      </c>
      <c r="AP65" s="15" t="n">
        <f aca="false">IF(AN65&gt;0,AO65/AN65,0)</f>
        <v>0.318257226662467</v>
      </c>
      <c r="AQ65" s="16" t="n">
        <f aca="false">INDEX(Parametros!$I$2:$I$9,MATCH($E65,Parametros!$A$2:$A$9,0))</f>
        <v>13300000</v>
      </c>
      <c r="AR65" s="19" t="n">
        <f aca="false">IF(AQ65&gt;0,AO65/AQ65,0)</f>
        <v>0.00607775586466165</v>
      </c>
    </row>
    <row r="66" customFormat="false" ht="15" hidden="false" customHeight="false" outlineLevel="0" collapsed="false">
      <c r="A66" s="5" t="s">
        <v>201</v>
      </c>
      <c r="B66" s="9" t="n">
        <v>45607</v>
      </c>
      <c r="C66" s="2" t="str">
        <f aca="false">TEXT(B66,"yyyy")</f>
        <v>2024</v>
      </c>
      <c r="D66" s="2" t="n">
        <f aca="false">WEEKNUM(B66,2)</f>
        <v>46</v>
      </c>
      <c r="E66" s="5" t="s">
        <v>130</v>
      </c>
      <c r="F66" s="6" t="str">
        <f aca="false">INDEX(Parametros!$B$2:$B$9,MATCH($E66,Parametros!$A$2:$A$9,0))</f>
        <v>Ketchup botella</v>
      </c>
      <c r="G66" s="10" t="n">
        <v>120.6</v>
      </c>
      <c r="H66" s="10" t="n">
        <v>6.4</v>
      </c>
      <c r="I66" s="11" t="n">
        <f aca="false">SUMIFS(Eventos_Paro!$J$2:$J$2186,Eventos_Paro!$D$2:$D$2186,$E66,Eventos_Paro!$B$2:$B$2186,$B66)</f>
        <v>2.95</v>
      </c>
      <c r="J66" s="12" t="n">
        <f aca="false">G66-H66-I66</f>
        <v>111.25</v>
      </c>
      <c r="K66" s="13" t="n">
        <v>804307</v>
      </c>
      <c r="L66" s="13" t="n">
        <v>866361</v>
      </c>
      <c r="M66" s="13" t="n">
        <v>18765</v>
      </c>
      <c r="N66" s="14" t="n">
        <f aca="false">L66+M66</f>
        <v>885126</v>
      </c>
      <c r="O66" s="11" t="n">
        <f aca="false">INDEX(Parametros!$D$2:$D$9,MATCH($E66,Parametros!$A$2:$A$9,0))</f>
        <v>9000</v>
      </c>
      <c r="P66" s="15" t="n">
        <f aca="false">IF((G66-H66)&gt;0,J66/(G66-H66),0)</f>
        <v>0.974168126094571</v>
      </c>
      <c r="Q66" s="15" t="n">
        <f aca="false">IF(J66*O66&gt;0,N66/(O66*J66),0)</f>
        <v>0.884020973782772</v>
      </c>
      <c r="R66" s="15" t="n">
        <f aca="false">IF(N66&gt;0,L66/N66,0)</f>
        <v>0.978799628527464</v>
      </c>
      <c r="S66" s="15" t="n">
        <f aca="false">P66*Q66*R66</f>
        <v>0.842927612375949</v>
      </c>
      <c r="T66" s="15" t="n">
        <f aca="false">IF(K66&gt;0,L66/K66,0)</f>
        <v>1.07715213220822</v>
      </c>
      <c r="U66" s="10" t="n">
        <v>1783.8</v>
      </c>
      <c r="V66" s="5" t="n">
        <v>14</v>
      </c>
      <c r="W66" s="10" t="n">
        <v>95.4</v>
      </c>
      <c r="X66" s="15" t="n">
        <f aca="false">IF(U66&gt;0,W66/U66,0)</f>
        <v>0.053481331987891</v>
      </c>
      <c r="Y66" s="12" t="n">
        <f aca="false">IF(U66&gt;0,L66/U66,0)</f>
        <v>485.682811974437</v>
      </c>
      <c r="Z66" s="16" t="n">
        <f aca="false">L66*INDEX(Parametros!$E$2:$E$9,MATCH($E66,Parametros!$A$2:$A$9,0))</f>
        <v>363871.62</v>
      </c>
      <c r="AA66" s="16" t="n">
        <f aca="false">Z66*INDEX(Parametros!$F$2:$F$9,MATCH($E66,Parametros!$A$2:$A$9,0))</f>
        <v>7277.4324</v>
      </c>
      <c r="AB66" s="17" t="n">
        <f aca="false">Z66+AA66</f>
        <v>371149.0524</v>
      </c>
      <c r="AC66" s="18" t="n">
        <v>370973.91</v>
      </c>
      <c r="AD66" s="17" t="n">
        <f aca="false">AC66-AB66</f>
        <v>-175.142400000012</v>
      </c>
      <c r="AE66" s="17" t="n">
        <f aca="false">AA66+AD66</f>
        <v>7102.28999999999</v>
      </c>
      <c r="AF66" s="19" t="n">
        <f aca="false">IF(Z66&gt;0,AE66/Z66,0)</f>
        <v>0.0195186697989802</v>
      </c>
      <c r="AG66" s="16" t="n">
        <f aca="false">(U66-W66)*INDEX(Parametros!$H$2:$H$9,MATCH($E66,Parametros!$A$2:$A$9,0))+W66*INDEX(Parametros!$H$2:$H$9,MATCH($E66,Parametros!$A$2:$A$9,0))*Parametros!$N$3</f>
        <v>57692.25</v>
      </c>
      <c r="AH66" s="13" t="n">
        <v>46342</v>
      </c>
      <c r="AI66" s="16" t="n">
        <f aca="false">AH66*Parametros!$N$2</f>
        <v>4263.464</v>
      </c>
      <c r="AJ66" s="18" t="n">
        <v>14982</v>
      </c>
      <c r="AK66" s="18" t="n">
        <v>2054</v>
      </c>
      <c r="AL66" s="17" t="n">
        <f aca="false">AG66+AI66+AJ66+AK66</f>
        <v>78991.714</v>
      </c>
      <c r="AM66" s="20" t="n">
        <f aca="false">IF(L66&gt;0,AL66/L66,0)</f>
        <v>0.0911764426145683</v>
      </c>
      <c r="AN66" s="16" t="n">
        <f aca="false">L66*INDEX(Parametros!$G$2:$G$9,MATCH($E66,Parametros!$A$2:$A$9,0))</f>
        <v>615116.31</v>
      </c>
      <c r="AO66" s="17" t="n">
        <f aca="false">AN66-AC66-AL66</f>
        <v>165150.686</v>
      </c>
      <c r="AP66" s="15" t="n">
        <f aca="false">IF(AN66&gt;0,AO66/AN66,0)</f>
        <v>0.268486924042056</v>
      </c>
      <c r="AQ66" s="16" t="n">
        <f aca="false">INDEX(Parametros!$I$2:$I$9,MATCH($E66,Parametros!$A$2:$A$9,0))</f>
        <v>29300000</v>
      </c>
      <c r="AR66" s="19" t="n">
        <f aca="false">IF(AQ66&gt;0,AO66/AQ66,0)</f>
        <v>0.00563654218430034</v>
      </c>
    </row>
    <row r="67" customFormat="false" ht="15" hidden="false" customHeight="false" outlineLevel="0" collapsed="false">
      <c r="A67" s="5" t="s">
        <v>202</v>
      </c>
      <c r="B67" s="9" t="n">
        <v>45607</v>
      </c>
      <c r="C67" s="2" t="str">
        <f aca="false">TEXT(B67,"yyyy")</f>
        <v>2024</v>
      </c>
      <c r="D67" s="2" t="n">
        <f aca="false">WEEKNUM(B67,2)</f>
        <v>46</v>
      </c>
      <c r="E67" s="5" t="s">
        <v>132</v>
      </c>
      <c r="F67" s="6" t="str">
        <f aca="false">INDEX(Parametros!$B$2:$B$9,MATCH($E67,Parametros!$A$2:$A$9,0))</f>
        <v>Mayonesa frasco</v>
      </c>
      <c r="G67" s="10" t="n">
        <v>127</v>
      </c>
      <c r="H67" s="10" t="n">
        <v>8.6</v>
      </c>
      <c r="I67" s="11" t="n">
        <f aca="false">SUMIFS(Eventos_Paro!$J$2:$J$2186,Eventos_Paro!$D$2:$D$2186,$E67,Eventos_Paro!$B$2:$B$2186,$B67)</f>
        <v>0.5</v>
      </c>
      <c r="J67" s="12" t="n">
        <f aca="false">G67-H67-I67</f>
        <v>117.9</v>
      </c>
      <c r="K67" s="13" t="n">
        <v>602252</v>
      </c>
      <c r="L67" s="13" t="n">
        <v>650707</v>
      </c>
      <c r="M67" s="13" t="n">
        <v>30052</v>
      </c>
      <c r="N67" s="14" t="n">
        <f aca="false">L67+M67</f>
        <v>680759</v>
      </c>
      <c r="O67" s="11" t="n">
        <f aca="false">INDEX(Parametros!$D$2:$D$9,MATCH($E67,Parametros!$A$2:$A$9,0))</f>
        <v>6500</v>
      </c>
      <c r="P67" s="15" t="n">
        <f aca="false">IF((G67-H67)&gt;0,J67/(G67-H67),0)</f>
        <v>0.995777027027027</v>
      </c>
      <c r="Q67" s="15" t="n">
        <f aca="false">IF(J67*O67&gt;0,N67/(O67*J67),0)</f>
        <v>0.888313433809617</v>
      </c>
      <c r="R67" s="15" t="n">
        <f aca="false">IF(N67&gt;0,L67/N67,0)</f>
        <v>0.955855155789347</v>
      </c>
      <c r="S67" s="15" t="n">
        <f aca="false">P67*Q67*R67</f>
        <v>0.845513253638254</v>
      </c>
      <c r="T67" s="15" t="n">
        <f aca="false">IF(K67&gt;0,L67/K67,0)</f>
        <v>1.08045635381867</v>
      </c>
      <c r="U67" s="10" t="n">
        <v>1918.8</v>
      </c>
      <c r="V67" s="5" t="n">
        <v>14</v>
      </c>
      <c r="W67" s="10" t="n">
        <v>140.8</v>
      </c>
      <c r="X67" s="15" t="n">
        <f aca="false">IF(U67&gt;0,W67/U67,0)</f>
        <v>0.0733791953304149</v>
      </c>
      <c r="Y67" s="12" t="n">
        <f aca="false">IF(U67&gt;0,L67/U67,0)</f>
        <v>339.121846987701</v>
      </c>
      <c r="Z67" s="16" t="n">
        <f aca="false">L67*INDEX(Parametros!$E$2:$E$9,MATCH($E67,Parametros!$A$2:$A$9,0))</f>
        <v>396931.27</v>
      </c>
      <c r="AA67" s="16" t="n">
        <f aca="false">Z67*INDEX(Parametros!$F$2:$F$9,MATCH($E67,Parametros!$A$2:$A$9,0))</f>
        <v>9923.28175</v>
      </c>
      <c r="AB67" s="17" t="n">
        <f aca="false">Z67+AA67</f>
        <v>406854.55175</v>
      </c>
      <c r="AC67" s="18" t="n">
        <v>402884.94</v>
      </c>
      <c r="AD67" s="17" t="n">
        <f aca="false">AC67-AB67</f>
        <v>-3969.61175000004</v>
      </c>
      <c r="AE67" s="17" t="n">
        <f aca="false">AA67+AD67</f>
        <v>5953.66999999996</v>
      </c>
      <c r="AF67" s="19" t="n">
        <f aca="false">IF(Z67&gt;0,AE67/Z67,0)</f>
        <v>0.0149992465950087</v>
      </c>
      <c r="AG67" s="16" t="n">
        <f aca="false">(U67-W67)*INDEX(Parametros!$H$2:$H$9,MATCH($E67,Parametros!$A$2:$A$9,0))+W67*INDEX(Parametros!$H$2:$H$9,MATCH($E67,Parametros!$A$2:$A$9,0))*Parametros!$N$3</f>
        <v>62659.8</v>
      </c>
      <c r="AH67" s="13" t="n">
        <v>34625</v>
      </c>
      <c r="AI67" s="16" t="n">
        <f aca="false">AH67*Parametros!$N$2</f>
        <v>3185.5</v>
      </c>
      <c r="AJ67" s="18" t="n">
        <v>13978</v>
      </c>
      <c r="AK67" s="18" t="n">
        <v>295</v>
      </c>
      <c r="AL67" s="17" t="n">
        <f aca="false">AG67+AI67+AJ67+AK67</f>
        <v>80118.3</v>
      </c>
      <c r="AM67" s="20" t="n">
        <f aca="false">IF(L67&gt;0,AL67/L67,0)</f>
        <v>0.123125000960494</v>
      </c>
      <c r="AN67" s="16" t="n">
        <f aca="false">L67*INDEX(Parametros!$G$2:$G$9,MATCH($E67,Parametros!$A$2:$A$9,0))</f>
        <v>624678.72</v>
      </c>
      <c r="AO67" s="17" t="n">
        <f aca="false">AN67-AC67-AL67</f>
        <v>141675.48</v>
      </c>
      <c r="AP67" s="15" t="n">
        <f aca="false">IF(AN67&gt;0,AO67/AN67,0)</f>
        <v>0.226797352725574</v>
      </c>
      <c r="AQ67" s="16" t="n">
        <f aca="false">INDEX(Parametros!$I$2:$I$9,MATCH($E67,Parametros!$A$2:$A$9,0))</f>
        <v>29700000</v>
      </c>
      <c r="AR67" s="19" t="n">
        <f aca="false">IF(AQ67&gt;0,AO67/AQ67,0)</f>
        <v>0.00477021818181818</v>
      </c>
    </row>
    <row r="68" customFormat="false" ht="15" hidden="false" customHeight="false" outlineLevel="0" collapsed="false">
      <c r="A68" s="5" t="s">
        <v>203</v>
      </c>
      <c r="B68" s="9" t="n">
        <v>45607</v>
      </c>
      <c r="C68" s="2" t="str">
        <f aca="false">TEXT(B68,"yyyy")</f>
        <v>2024</v>
      </c>
      <c r="D68" s="2" t="n">
        <f aca="false">WEEKNUM(B68,2)</f>
        <v>46</v>
      </c>
      <c r="E68" s="5" t="s">
        <v>134</v>
      </c>
      <c r="F68" s="6" t="str">
        <f aca="false">INDEX(Parametros!$B$2:$B$9,MATCH($E68,Parametros!$A$2:$A$9,0))</f>
        <v>Aderezos vertibles</v>
      </c>
      <c r="G68" s="10" t="n">
        <v>118.7</v>
      </c>
      <c r="H68" s="10" t="n">
        <v>7.7</v>
      </c>
      <c r="I68" s="11" t="n">
        <f aca="false">SUMIFS(Eventos_Paro!$J$2:$J$2186,Eventos_Paro!$D$2:$D$2186,$E68,Eventos_Paro!$B$2:$B$2186,$B68)</f>
        <v>1.75</v>
      </c>
      <c r="J68" s="12" t="n">
        <f aca="false">G68-H68-I68</f>
        <v>109.25</v>
      </c>
      <c r="K68" s="13" t="n">
        <v>451689</v>
      </c>
      <c r="L68" s="13" t="n">
        <v>490813</v>
      </c>
      <c r="M68" s="13" t="n">
        <v>15275</v>
      </c>
      <c r="N68" s="14" t="n">
        <f aca="false">L68+M68</f>
        <v>506088</v>
      </c>
      <c r="O68" s="11" t="n">
        <f aca="false">INDEX(Parametros!$D$2:$D$9,MATCH($E68,Parametros!$A$2:$A$9,0))</f>
        <v>5200</v>
      </c>
      <c r="P68" s="15" t="n">
        <f aca="false">IF((G68-H68)&gt;0,J68/(G68-H68),0)</f>
        <v>0.984234234234234</v>
      </c>
      <c r="Q68" s="15" t="n">
        <f aca="false">IF(J68*O68&gt;0,N68/(O68*J68),0)</f>
        <v>0.890843161415244</v>
      </c>
      <c r="R68" s="15" t="n">
        <f aca="false">IF(N68&gt;0,L68/N68,0)</f>
        <v>0.969817502094497</v>
      </c>
      <c r="S68" s="15" t="n">
        <f aca="false">P68*Q68*R68</f>
        <v>0.850334372834373</v>
      </c>
      <c r="T68" s="15" t="n">
        <f aca="false">IF(K68&gt;0,L68/K68,0)</f>
        <v>1.08661711930111</v>
      </c>
      <c r="U68" s="10" t="n">
        <v>1478.6</v>
      </c>
      <c r="V68" s="5" t="n">
        <v>12</v>
      </c>
      <c r="W68" s="10" t="n">
        <v>54.2</v>
      </c>
      <c r="X68" s="15" t="n">
        <f aca="false">IF(U68&gt;0,W68/U68,0)</f>
        <v>0.0366562964966861</v>
      </c>
      <c r="Y68" s="12" t="n">
        <f aca="false">IF(U68&gt;0,L68/U68,0)</f>
        <v>331.944406871365</v>
      </c>
      <c r="Z68" s="16" t="n">
        <f aca="false">L68*INDEX(Parametros!$E$2:$E$9,MATCH($E68,Parametros!$A$2:$A$9,0))</f>
        <v>269947.15</v>
      </c>
      <c r="AA68" s="16" t="n">
        <f aca="false">Z68*INDEX(Parametros!$F$2:$F$9,MATCH($E68,Parametros!$A$2:$A$9,0))</f>
        <v>8098.4145</v>
      </c>
      <c r="AB68" s="17" t="n">
        <f aca="false">Z68+AA68</f>
        <v>278045.5645</v>
      </c>
      <c r="AC68" s="18" t="n">
        <v>278537.65</v>
      </c>
      <c r="AD68" s="17" t="n">
        <f aca="false">AC68-AB68</f>
        <v>492.085499999987</v>
      </c>
      <c r="AE68" s="17" t="n">
        <f aca="false">AA68+AD68</f>
        <v>8590.49999999999</v>
      </c>
      <c r="AF68" s="19" t="n">
        <f aca="false">IF(Z68&gt;0,AE68/Z68,0)</f>
        <v>0.0318228957038442</v>
      </c>
      <c r="AG68" s="16" t="n">
        <f aca="false">(U68-W68)*INDEX(Parametros!$H$2:$H$9,MATCH($E68,Parametros!$A$2:$A$9,0))+W68*INDEX(Parametros!$H$2:$H$9,MATCH($E68,Parametros!$A$2:$A$9,0))*Parametros!$N$3</f>
        <v>47429.55</v>
      </c>
      <c r="AH68" s="13" t="n">
        <v>24844</v>
      </c>
      <c r="AI68" s="16" t="n">
        <f aca="false">AH68*Parametros!$N$2</f>
        <v>2285.648</v>
      </c>
      <c r="AJ68" s="18" t="n">
        <v>11593</v>
      </c>
      <c r="AK68" s="18" t="n">
        <v>928</v>
      </c>
      <c r="AL68" s="17" t="n">
        <f aca="false">AG68+AI68+AJ68+AK68</f>
        <v>62236.198</v>
      </c>
      <c r="AM68" s="20" t="n">
        <f aca="false">IF(L68&gt;0,AL68/L68,0)</f>
        <v>0.126802260738815</v>
      </c>
      <c r="AN68" s="16" t="n">
        <f aca="false">L68*INDEX(Parametros!$G$2:$G$9,MATCH($E68,Parametros!$A$2:$A$9,0))</f>
        <v>500629.26</v>
      </c>
      <c r="AO68" s="17" t="n">
        <f aca="false">AN68-AC68-AL68</f>
        <v>159855.412</v>
      </c>
      <c r="AP68" s="15" t="n">
        <f aca="false">IF(AN68&gt;0,AO68/AN68,0)</f>
        <v>0.319308967278501</v>
      </c>
      <c r="AQ68" s="16" t="n">
        <f aca="false">INDEX(Parametros!$I$2:$I$9,MATCH($E68,Parametros!$A$2:$A$9,0))</f>
        <v>19300000</v>
      </c>
      <c r="AR68" s="19" t="n">
        <f aca="false">IF(AQ68&gt;0,AO68/AQ68,0)</f>
        <v>0.00828266383419689</v>
      </c>
    </row>
    <row r="69" customFormat="false" ht="15" hidden="false" customHeight="false" outlineLevel="0" collapsed="false">
      <c r="A69" s="5" t="s">
        <v>204</v>
      </c>
      <c r="B69" s="9" t="n">
        <v>45607</v>
      </c>
      <c r="C69" s="2" t="str">
        <f aca="false">TEXT(B69,"yyyy")</f>
        <v>2024</v>
      </c>
      <c r="D69" s="2" t="n">
        <f aca="false">WEEKNUM(B69,2)</f>
        <v>46</v>
      </c>
      <c r="E69" s="5" t="s">
        <v>136</v>
      </c>
      <c r="F69" s="6" t="str">
        <f aca="false">INDEX(Parametros!$B$2:$B$9,MATCH($E69,Parametros!$A$2:$A$9,0))</f>
        <v>Salsa BBQ</v>
      </c>
      <c r="G69" s="10" t="n">
        <v>102.5</v>
      </c>
      <c r="H69" s="10" t="n">
        <v>8.5</v>
      </c>
      <c r="I69" s="11" t="n">
        <f aca="false">SUMIFS(Eventos_Paro!$J$2:$J$2186,Eventos_Paro!$D$2:$D$2186,$E69,Eventos_Paro!$B$2:$B$2186,$B69)</f>
        <v>2.51666666666667</v>
      </c>
      <c r="J69" s="12" t="n">
        <f aca="false">G69-H69-I69</f>
        <v>91.4833333333333</v>
      </c>
      <c r="K69" s="13" t="n">
        <v>325534</v>
      </c>
      <c r="L69" s="13" t="n">
        <v>336237</v>
      </c>
      <c r="M69" s="13" t="n">
        <v>5604</v>
      </c>
      <c r="N69" s="14" t="n">
        <f aca="false">L69+M69</f>
        <v>341841</v>
      </c>
      <c r="O69" s="11" t="n">
        <f aca="false">INDEX(Parametros!$D$2:$D$9,MATCH($E69,Parametros!$A$2:$A$9,0))</f>
        <v>4800</v>
      </c>
      <c r="P69" s="15" t="n">
        <f aca="false">IF((G69-H69)&gt;0,J69/(G69-H69),0)</f>
        <v>0.97322695035461</v>
      </c>
      <c r="Q69" s="15" t="n">
        <f aca="false">IF(J69*O69&gt;0,N69/(O69*J69),0)</f>
        <v>0.778468300236837</v>
      </c>
      <c r="R69" s="15" t="n">
        <f aca="false">IF(N69&gt;0,L69/N69,0)</f>
        <v>0.983606413508035</v>
      </c>
      <c r="S69" s="15" t="n">
        <f aca="false">P69*Q69*R69</f>
        <v>0.745206117021277</v>
      </c>
      <c r="T69" s="15" t="n">
        <f aca="false">IF(K69&gt;0,L69/K69,0)</f>
        <v>1.03287828613908</v>
      </c>
      <c r="U69" s="10" t="n">
        <v>1098.3</v>
      </c>
      <c r="V69" s="5" t="n">
        <v>10</v>
      </c>
      <c r="W69" s="10" t="n">
        <v>73.3</v>
      </c>
      <c r="X69" s="15" t="n">
        <f aca="false">IF(U69&gt;0,W69/U69,0)</f>
        <v>0.066739506510061</v>
      </c>
      <c r="Y69" s="12" t="n">
        <f aca="false">IF(U69&gt;0,L69/U69,0)</f>
        <v>306.14313029227</v>
      </c>
      <c r="Z69" s="16" t="n">
        <f aca="false">L69*INDEX(Parametros!$E$2:$E$9,MATCH($E69,Parametros!$A$2:$A$9,0))</f>
        <v>195017.46</v>
      </c>
      <c r="AA69" s="16" t="n">
        <f aca="false">Z69*INDEX(Parametros!$F$2:$F$9,MATCH($E69,Parametros!$A$2:$A$9,0))</f>
        <v>5460.48888</v>
      </c>
      <c r="AB69" s="17" t="n">
        <f aca="false">Z69+AA69</f>
        <v>200477.94888</v>
      </c>
      <c r="AC69" s="18" t="n">
        <v>201156.02</v>
      </c>
      <c r="AD69" s="17" t="n">
        <f aca="false">AC69-AB69</f>
        <v>678.071120000008</v>
      </c>
      <c r="AE69" s="17" t="n">
        <f aca="false">AA69+AD69</f>
        <v>6138.56000000001</v>
      </c>
      <c r="AF69" s="19" t="n">
        <f aca="false">IF(Z69&gt;0,AE69/Z69,0)</f>
        <v>0.0314769764717478</v>
      </c>
      <c r="AG69" s="16" t="n">
        <f aca="false">(U69-W69)*INDEX(Parametros!$H$2:$H$9,MATCH($E69,Parametros!$A$2:$A$9,0))+W69*INDEX(Parametros!$H$2:$H$9,MATCH($E69,Parametros!$A$2:$A$9,0))*Parametros!$N$3</f>
        <v>35750.925</v>
      </c>
      <c r="AH69" s="13" t="n">
        <v>17523</v>
      </c>
      <c r="AI69" s="16" t="n">
        <f aca="false">AH69*Parametros!$N$2</f>
        <v>1612.116</v>
      </c>
      <c r="AJ69" s="18" t="n">
        <v>9116</v>
      </c>
      <c r="AK69" s="18" t="n">
        <v>2232</v>
      </c>
      <c r="AL69" s="17" t="n">
        <f aca="false">AG69+AI69+AJ69+AK69</f>
        <v>48711.041</v>
      </c>
      <c r="AM69" s="20" t="n">
        <f aca="false">IF(L69&gt;0,AL69/L69,0)</f>
        <v>0.144871150408789</v>
      </c>
      <c r="AN69" s="16" t="n">
        <f aca="false">L69*INDEX(Parametros!$G$2:$G$9,MATCH($E69,Parametros!$A$2:$A$9,0))</f>
        <v>329512.26</v>
      </c>
      <c r="AO69" s="17" t="n">
        <f aca="false">AN69-AC69-AL69</f>
        <v>79645.199</v>
      </c>
      <c r="AP69" s="15" t="n">
        <f aca="false">IF(AN69&gt;0,AO69/AN69,0)</f>
        <v>0.241706329834283</v>
      </c>
      <c r="AQ69" s="16" t="n">
        <f aca="false">INDEX(Parametros!$I$2:$I$9,MATCH($E69,Parametros!$A$2:$A$9,0))</f>
        <v>17000000</v>
      </c>
      <c r="AR69" s="19" t="n">
        <f aca="false">IF(AQ69&gt;0,AO69/AQ69,0)</f>
        <v>0.00468501170588235</v>
      </c>
    </row>
    <row r="70" customFormat="false" ht="15" hidden="false" customHeight="false" outlineLevel="0" collapsed="false">
      <c r="A70" s="5" t="s">
        <v>205</v>
      </c>
      <c r="B70" s="9" t="n">
        <v>45607</v>
      </c>
      <c r="C70" s="2" t="str">
        <f aca="false">TEXT(B70,"yyyy")</f>
        <v>2024</v>
      </c>
      <c r="D70" s="2" t="n">
        <f aca="false">WEEKNUM(B70,2)</f>
        <v>46</v>
      </c>
      <c r="E70" s="5" t="s">
        <v>138</v>
      </c>
      <c r="F70" s="6" t="str">
        <f aca="false">INDEX(Parametros!$B$2:$B$9,MATCH($E70,Parametros!$A$2:$A$9,0))</f>
        <v>Queso crema</v>
      </c>
      <c r="G70" s="10" t="n">
        <v>130.5</v>
      </c>
      <c r="H70" s="10" t="n">
        <v>6.1</v>
      </c>
      <c r="I70" s="11" t="n">
        <f aca="false">SUMIFS(Eventos_Paro!$J$2:$J$2186,Eventos_Paro!$D$2:$D$2186,$E70,Eventos_Paro!$B$2:$B$2186,$B70)</f>
        <v>7.81666666666667</v>
      </c>
      <c r="J70" s="12" t="n">
        <f aca="false">G70-H70-I70</f>
        <v>116.583333333333</v>
      </c>
      <c r="K70" s="13" t="n">
        <v>369928</v>
      </c>
      <c r="L70" s="13" t="n">
        <v>363592</v>
      </c>
      <c r="M70" s="13" t="n">
        <v>14186</v>
      </c>
      <c r="N70" s="14" t="n">
        <f aca="false">L70+M70</f>
        <v>377778</v>
      </c>
      <c r="O70" s="11" t="n">
        <f aca="false">INDEX(Parametros!$D$2:$D$9,MATCH($E70,Parametros!$A$2:$A$9,0))</f>
        <v>3800</v>
      </c>
      <c r="P70" s="15" t="n">
        <f aca="false">IF((G70-H70)&gt;0,J70/(G70-H70),0)</f>
        <v>0.937165058949625</v>
      </c>
      <c r="Q70" s="15" t="n">
        <f aca="false">IF(J70*O70&gt;0,N70/(O70*J70),0)</f>
        <v>0.852739927015537</v>
      </c>
      <c r="R70" s="15" t="n">
        <f aca="false">IF(N70&gt;0,L70/N70,0)</f>
        <v>0.962448845618326</v>
      </c>
      <c r="S70" s="15" t="n">
        <f aca="false">P70*Q70*R70</f>
        <v>0.76914875613471</v>
      </c>
      <c r="T70" s="15" t="n">
        <f aca="false">IF(K70&gt;0,L70/K70,0)</f>
        <v>0.982872342726152</v>
      </c>
      <c r="U70" s="10" t="n">
        <v>2050</v>
      </c>
      <c r="V70" s="5" t="n">
        <v>15</v>
      </c>
      <c r="W70" s="10" t="n">
        <v>92.5</v>
      </c>
      <c r="X70" s="15" t="n">
        <f aca="false">IF(U70&gt;0,W70/U70,0)</f>
        <v>0.0451219512195122</v>
      </c>
      <c r="Y70" s="12" t="n">
        <f aca="false">IF(U70&gt;0,L70/U70,0)</f>
        <v>177.361951219512</v>
      </c>
      <c r="Z70" s="16" t="n">
        <f aca="false">L70*INDEX(Parametros!$E$2:$E$9,MATCH($E70,Parametros!$A$2:$A$9,0))</f>
        <v>407223.04</v>
      </c>
      <c r="AA70" s="16" t="n">
        <f aca="false">Z70*INDEX(Parametros!$F$2:$F$9,MATCH($E70,Parametros!$A$2:$A$9,0))</f>
        <v>14252.8064</v>
      </c>
      <c r="AB70" s="17" t="n">
        <f aca="false">Z70+AA70</f>
        <v>421475.8464</v>
      </c>
      <c r="AC70" s="18" t="n">
        <v>428668.09</v>
      </c>
      <c r="AD70" s="17" t="n">
        <f aca="false">AC70-AB70</f>
        <v>7192.24359999999</v>
      </c>
      <c r="AE70" s="17" t="n">
        <f aca="false">AA70+AD70</f>
        <v>21445.05</v>
      </c>
      <c r="AF70" s="19" t="n">
        <f aca="false">IF(Z70&gt;0,AE70/Z70,0)</f>
        <v>0.052661681421562</v>
      </c>
      <c r="AG70" s="16" t="n">
        <f aca="false">(U70-W70)*INDEX(Parametros!$H$2:$H$9,MATCH($E70,Parametros!$A$2:$A$9,0))+W70*INDEX(Parametros!$H$2:$H$9,MATCH($E70,Parametros!$A$2:$A$9,0))*Parametros!$N$3</f>
        <v>69176.25</v>
      </c>
      <c r="AH70" s="13" t="n">
        <v>18451</v>
      </c>
      <c r="AI70" s="16" t="n">
        <f aca="false">AH70*Parametros!$N$2</f>
        <v>1697.492</v>
      </c>
      <c r="AJ70" s="18" t="n">
        <v>19948</v>
      </c>
      <c r="AK70" s="18" t="n">
        <v>5400</v>
      </c>
      <c r="AL70" s="17" t="n">
        <f aca="false">AG70+AI70+AJ70+AK70</f>
        <v>96221.742</v>
      </c>
      <c r="AM70" s="20" t="n">
        <f aca="false">IF(L70&gt;0,AL70/L70,0)</f>
        <v>0.264642076833374</v>
      </c>
      <c r="AN70" s="16" t="n">
        <f aca="false">L70*INDEX(Parametros!$G$2:$G$9,MATCH($E70,Parametros!$A$2:$A$9,0))</f>
        <v>650829.68</v>
      </c>
      <c r="AO70" s="17" t="n">
        <f aca="false">AN70-AC70-AL70</f>
        <v>125939.848</v>
      </c>
      <c r="AP70" s="15" t="n">
        <f aca="false">IF(AN70&gt;0,AO70/AN70,0)</f>
        <v>0.193506614510881</v>
      </c>
      <c r="AQ70" s="16" t="n">
        <f aca="false">INDEX(Parametros!$I$2:$I$9,MATCH($E70,Parametros!$A$2:$A$9,0))</f>
        <v>33200000</v>
      </c>
      <c r="AR70" s="19" t="n">
        <f aca="false">IF(AQ70&gt;0,AO70/AQ70,0)</f>
        <v>0.00379336891566265</v>
      </c>
    </row>
    <row r="71" customFormat="false" ht="15" hidden="false" customHeight="false" outlineLevel="0" collapsed="false">
      <c r="A71" s="5" t="s">
        <v>206</v>
      </c>
      <c r="B71" s="9" t="n">
        <v>45607</v>
      </c>
      <c r="C71" s="2" t="str">
        <f aca="false">TEXT(B71,"yyyy")</f>
        <v>2024</v>
      </c>
      <c r="D71" s="2" t="n">
        <f aca="false">WEEKNUM(B71,2)</f>
        <v>46</v>
      </c>
      <c r="E71" s="5" t="s">
        <v>140</v>
      </c>
      <c r="F71" s="6" t="str">
        <f aca="false">INDEX(Parametros!$B$2:$B$9,MATCH($E71,Parametros!$A$2:$A$9,0))</f>
        <v>Crema de cacahuate</v>
      </c>
      <c r="G71" s="10" t="n">
        <v>109.7</v>
      </c>
      <c r="H71" s="10" t="n">
        <v>6.1</v>
      </c>
      <c r="I71" s="11" t="n">
        <f aca="false">SUMIFS(Eventos_Paro!$J$2:$J$2186,Eventos_Paro!$D$2:$D$2186,$E71,Eventos_Paro!$B$2:$B$2186,$B71)</f>
        <v>1.13333333333333</v>
      </c>
      <c r="J71" s="12" t="n">
        <f aca="false">G71-H71-I71</f>
        <v>102.466666666667</v>
      </c>
      <c r="K71" s="13" t="n">
        <v>340504</v>
      </c>
      <c r="L71" s="13" t="n">
        <v>362452</v>
      </c>
      <c r="M71" s="13" t="n">
        <v>9494</v>
      </c>
      <c r="N71" s="14" t="n">
        <f aca="false">L71+M71</f>
        <v>371946</v>
      </c>
      <c r="O71" s="11" t="n">
        <f aca="false">INDEX(Parametros!$D$2:$D$9,MATCH($E71,Parametros!$A$2:$A$9,0))</f>
        <v>4200</v>
      </c>
      <c r="P71" s="15" t="n">
        <f aca="false">IF((G71-H71)&gt;0,J71/(G71-H71),0)</f>
        <v>0.989060489060489</v>
      </c>
      <c r="Q71" s="15" t="n">
        <f aca="false">IF(J71*O71&gt;0,N71/(O71*J71),0)</f>
        <v>0.864267125197509</v>
      </c>
      <c r="R71" s="15" t="n">
        <f aca="false">IF(N71&gt;0,L71/N71,0)</f>
        <v>0.974474789351142</v>
      </c>
      <c r="S71" s="15" t="n">
        <f aca="false">P71*Q71*R71</f>
        <v>0.832993197278912</v>
      </c>
      <c r="T71" s="15" t="n">
        <f aca="false">IF(K71&gt;0,L71/K71,0)</f>
        <v>1.06445739257101</v>
      </c>
      <c r="U71" s="10" t="n">
        <v>1393.9</v>
      </c>
      <c r="V71" s="5" t="n">
        <v>12</v>
      </c>
      <c r="W71" s="10" t="n">
        <v>77.5</v>
      </c>
      <c r="X71" s="15" t="n">
        <f aca="false">IF(U71&gt;0,W71/U71,0)</f>
        <v>0.0555993973742736</v>
      </c>
      <c r="Y71" s="12" t="n">
        <f aca="false">IF(U71&gt;0,L71/U71,0)</f>
        <v>260.027261640003</v>
      </c>
      <c r="Z71" s="16" t="n">
        <f aca="false">L71*INDEX(Parametros!$E$2:$E$9,MATCH($E71,Parametros!$A$2:$A$9,0))</f>
        <v>351578.44</v>
      </c>
      <c r="AA71" s="16" t="n">
        <f aca="false">Z71*INDEX(Parametros!$F$2:$F$9,MATCH($E71,Parametros!$A$2:$A$9,0))</f>
        <v>7734.72568</v>
      </c>
      <c r="AB71" s="17" t="n">
        <f aca="false">Z71+AA71</f>
        <v>359313.16568</v>
      </c>
      <c r="AC71" s="18" t="n">
        <v>362081.49</v>
      </c>
      <c r="AD71" s="17" t="n">
        <f aca="false">AC71-AB71</f>
        <v>2768.32432000001</v>
      </c>
      <c r="AE71" s="17" t="n">
        <f aca="false">AA71+AD71</f>
        <v>10503.05</v>
      </c>
      <c r="AF71" s="19" t="n">
        <f aca="false">IF(Z71&gt;0,AE71/Z71,0)</f>
        <v>0.0298739877223416</v>
      </c>
      <c r="AG71" s="16" t="n">
        <f aca="false">(U71-W71)*INDEX(Parametros!$H$2:$H$9,MATCH($E71,Parametros!$A$2:$A$9,0))+W71*INDEX(Parametros!$H$2:$H$9,MATCH($E71,Parametros!$A$2:$A$9,0))*Parametros!$N$3</f>
        <v>45128.475</v>
      </c>
      <c r="AH71" s="13" t="n">
        <v>18732</v>
      </c>
      <c r="AI71" s="16" t="n">
        <f aca="false">AH71*Parametros!$N$2</f>
        <v>1723.344</v>
      </c>
      <c r="AJ71" s="18" t="n">
        <v>11793</v>
      </c>
      <c r="AK71" s="18" t="n">
        <v>947</v>
      </c>
      <c r="AL71" s="17" t="n">
        <f aca="false">AG71+AI71+AJ71+AK71</f>
        <v>59591.819</v>
      </c>
      <c r="AM71" s="20" t="n">
        <f aca="false">IF(L71&gt;0,AL71/L71,0)</f>
        <v>0.164412995375939</v>
      </c>
      <c r="AN71" s="16" t="n">
        <f aca="false">L71*INDEX(Parametros!$G$2:$G$9,MATCH($E71,Parametros!$A$2:$A$9,0))</f>
        <v>587172.24</v>
      </c>
      <c r="AO71" s="17" t="n">
        <f aca="false">AN71-AC71-AL71</f>
        <v>165498.931</v>
      </c>
      <c r="AP71" s="15" t="n">
        <f aca="false">IF(AN71&gt;0,AO71/AN71,0)</f>
        <v>0.281857553415672</v>
      </c>
      <c r="AQ71" s="16" t="n">
        <f aca="false">INDEX(Parametros!$I$2:$I$9,MATCH($E71,Parametros!$A$2:$A$9,0))</f>
        <v>28000000</v>
      </c>
      <c r="AR71" s="19" t="n">
        <f aca="false">IF(AQ71&gt;0,AO71/AQ71,0)</f>
        <v>0.00591067610714286</v>
      </c>
    </row>
    <row r="72" customFormat="false" ht="15" hidden="false" customHeight="false" outlineLevel="0" collapsed="false">
      <c r="A72" s="5" t="s">
        <v>207</v>
      </c>
      <c r="B72" s="9" t="n">
        <v>45607</v>
      </c>
      <c r="C72" s="2" t="str">
        <f aca="false">TEXT(B72,"yyyy")</f>
        <v>2024</v>
      </c>
      <c r="D72" s="2" t="n">
        <f aca="false">WEEKNUM(B72,2)</f>
        <v>46</v>
      </c>
      <c r="E72" s="5" t="s">
        <v>142</v>
      </c>
      <c r="F72" s="6" t="str">
        <f aca="false">INDEX(Parametros!$B$2:$B$9,MATCH($E72,Parametros!$A$2:$A$9,0))</f>
        <v>Porciones single serve</v>
      </c>
      <c r="G72" s="10" t="n">
        <v>92.5</v>
      </c>
      <c r="H72" s="10" t="n">
        <v>5</v>
      </c>
      <c r="I72" s="11" t="n">
        <f aca="false">SUMIFS(Eventos_Paro!$J$2:$J$2186,Eventos_Paro!$D$2:$D$2186,$E72,Eventos_Paro!$B$2:$B$2186,$B72)</f>
        <v>5.05</v>
      </c>
      <c r="J72" s="12" t="n">
        <f aca="false">G72-H72-I72</f>
        <v>82.45</v>
      </c>
      <c r="K72" s="13" t="n">
        <v>178031</v>
      </c>
      <c r="L72" s="13" t="n">
        <v>159312</v>
      </c>
      <c r="M72" s="13" t="n">
        <v>10748</v>
      </c>
      <c r="N72" s="14" t="n">
        <f aca="false">L72+M72</f>
        <v>170060</v>
      </c>
      <c r="O72" s="11" t="n">
        <f aca="false">INDEX(Parametros!$D$2:$D$9,MATCH($E72,Parametros!$A$2:$A$9,0))</f>
        <v>2600</v>
      </c>
      <c r="P72" s="15" t="n">
        <f aca="false">IF((G72-H72)&gt;0,J72/(G72-H72),0)</f>
        <v>0.942285714285714</v>
      </c>
      <c r="Q72" s="15" t="n">
        <f aca="false">IF(J72*O72&gt;0,N72/(O72*J72),0)</f>
        <v>0.793301301488081</v>
      </c>
      <c r="R72" s="15" t="n">
        <f aca="false">IF(N72&gt;0,L72/N72,0)</f>
        <v>0.93679877690227</v>
      </c>
      <c r="S72" s="15" t="n">
        <f aca="false">P72*Q72*R72</f>
        <v>0.700272527472527</v>
      </c>
      <c r="T72" s="15" t="n">
        <f aca="false">IF(K72&gt;0,L72/K72,0)</f>
        <v>0.894855390353366</v>
      </c>
      <c r="U72" s="10" t="n">
        <v>1604.2</v>
      </c>
      <c r="V72" s="5" t="n">
        <v>17</v>
      </c>
      <c r="W72" s="10" t="n">
        <v>31.7</v>
      </c>
      <c r="X72" s="15" t="n">
        <f aca="false">IF(U72&gt;0,W72/U72,0)</f>
        <v>0.0197606283505797</v>
      </c>
      <c r="Y72" s="12" t="n">
        <f aca="false">IF(U72&gt;0,L72/U72,0)</f>
        <v>99.3093130532353</v>
      </c>
      <c r="Z72" s="16" t="n">
        <f aca="false">L72*INDEX(Parametros!$E$2:$E$9,MATCH($E72,Parametros!$A$2:$A$9,0))</f>
        <v>117890.88</v>
      </c>
      <c r="AA72" s="16" t="n">
        <f aca="false">Z72*INDEX(Parametros!$F$2:$F$9,MATCH($E72,Parametros!$A$2:$A$9,0))</f>
        <v>5305.0896</v>
      </c>
      <c r="AB72" s="17" t="n">
        <f aca="false">Z72+AA72</f>
        <v>123195.9696</v>
      </c>
      <c r="AC72" s="18" t="n">
        <v>125667.56</v>
      </c>
      <c r="AD72" s="17" t="n">
        <f aca="false">AC72-AB72</f>
        <v>2471.59039999999</v>
      </c>
      <c r="AE72" s="17" t="n">
        <f aca="false">AA72+AD72</f>
        <v>7776.67999999999</v>
      </c>
      <c r="AF72" s="19" t="n">
        <f aca="false">IF(Z72&gt;0,AE72/Z72,0)</f>
        <v>0.0659650687143907</v>
      </c>
      <c r="AG72" s="16" t="n">
        <f aca="false">(U72-W72)*INDEX(Parametros!$H$2:$H$9,MATCH($E72,Parametros!$A$2:$A$9,0))+W72*INDEX(Parametros!$H$2:$H$9,MATCH($E72,Parametros!$A$2:$A$9,0))*Parametros!$N$3</f>
        <v>48601.5</v>
      </c>
      <c r="AH72" s="13" t="n">
        <v>8903</v>
      </c>
      <c r="AI72" s="16" t="n">
        <f aca="false">AH72*Parametros!$N$2</f>
        <v>819.076</v>
      </c>
      <c r="AJ72" s="18" t="n">
        <v>12647</v>
      </c>
      <c r="AK72" s="18" t="n">
        <v>5584</v>
      </c>
      <c r="AL72" s="17" t="n">
        <f aca="false">AG72+AI72+AJ72+AK72</f>
        <v>67651.576</v>
      </c>
      <c r="AM72" s="20" t="n">
        <f aca="false">IF(L72&gt;0,AL72/L72,0)</f>
        <v>0.424648337852767</v>
      </c>
      <c r="AN72" s="16" t="n">
        <f aca="false">L72*INDEX(Parametros!$G$2:$G$9,MATCH($E72,Parametros!$A$2:$A$9,0))</f>
        <v>274016.64</v>
      </c>
      <c r="AO72" s="17" t="n">
        <f aca="false">AN72-AC72-AL72</f>
        <v>80697.504</v>
      </c>
      <c r="AP72" s="15" t="n">
        <f aca="false">IF(AN72&gt;0,AO72/AN72,0)</f>
        <v>0.294498553080572</v>
      </c>
      <c r="AQ72" s="16" t="n">
        <f aca="false">INDEX(Parametros!$I$2:$I$9,MATCH($E72,Parametros!$A$2:$A$9,0))</f>
        <v>15900000</v>
      </c>
      <c r="AR72" s="19" t="n">
        <f aca="false">IF(AQ72&gt;0,AO72/AQ72,0)</f>
        <v>0.00507531471698113</v>
      </c>
    </row>
    <row r="73" customFormat="false" ht="15" hidden="false" customHeight="false" outlineLevel="0" collapsed="false">
      <c r="A73" s="5" t="s">
        <v>208</v>
      </c>
      <c r="B73" s="9" t="n">
        <v>45607</v>
      </c>
      <c r="C73" s="2" t="str">
        <f aca="false">TEXT(B73,"yyyy")</f>
        <v>2024</v>
      </c>
      <c r="D73" s="2" t="n">
        <f aca="false">WEEKNUM(B73,2)</f>
        <v>46</v>
      </c>
      <c r="E73" s="5" t="s">
        <v>144</v>
      </c>
      <c r="F73" s="6" t="str">
        <f aca="false">INDEX(Parametros!$B$2:$B$9,MATCH($E73,Parametros!$A$2:$A$9,0))</f>
        <v>Salsas picantes</v>
      </c>
      <c r="G73" s="10" t="n">
        <v>88.5</v>
      </c>
      <c r="H73" s="10" t="n">
        <v>7.1</v>
      </c>
      <c r="I73" s="11" t="n">
        <f aca="false">SUMIFS(Eventos_Paro!$J$2:$J$2186,Eventos_Paro!$D$2:$D$2186,$E73,Eventos_Paro!$B$2:$B$2186,$B73)</f>
        <v>2.13333333333333</v>
      </c>
      <c r="J73" s="12" t="n">
        <f aca="false">G73-H73-I73</f>
        <v>79.2666666666667</v>
      </c>
      <c r="K73" s="13" t="n">
        <v>208907</v>
      </c>
      <c r="L73" s="13" t="n">
        <v>187151</v>
      </c>
      <c r="M73" s="13" t="n">
        <v>4644</v>
      </c>
      <c r="N73" s="14" t="n">
        <f aca="false">L73+M73</f>
        <v>191795</v>
      </c>
      <c r="O73" s="11" t="n">
        <f aca="false">INDEX(Parametros!$D$2:$D$9,MATCH($E73,Parametros!$A$2:$A$9,0))</f>
        <v>3100</v>
      </c>
      <c r="P73" s="15" t="n">
        <f aca="false">IF((G73-H73)&gt;0,J73/(G73-H73),0)</f>
        <v>0.973791973791974</v>
      </c>
      <c r="Q73" s="15" t="n">
        <f aca="false">IF(J73*O73&gt;0,N73/(O73*J73),0)</f>
        <v>0.780521717897936</v>
      </c>
      <c r="R73" s="15" t="n">
        <f aca="false">IF(N73&gt;0,L73/N73,0)</f>
        <v>0.975786647201439</v>
      </c>
      <c r="S73" s="15" t="n">
        <f aca="false">P73*Q73*R73</f>
        <v>0.741662043274947</v>
      </c>
      <c r="T73" s="15" t="n">
        <f aca="false">IF(K73&gt;0,L73/K73,0)</f>
        <v>0.895857965506182</v>
      </c>
      <c r="U73" s="10" t="n">
        <v>824.3</v>
      </c>
      <c r="V73" s="5" t="n">
        <v>9</v>
      </c>
      <c r="W73" s="10" t="n">
        <v>27.8</v>
      </c>
      <c r="X73" s="15" t="n">
        <f aca="false">IF(U73&gt;0,W73/U73,0)</f>
        <v>0.0337255853451413</v>
      </c>
      <c r="Y73" s="12" t="n">
        <f aca="false">IF(U73&gt;0,L73/U73,0)</f>
        <v>227.042338954264</v>
      </c>
      <c r="Z73" s="16" t="n">
        <f aca="false">L73*INDEX(Parametros!$E$2:$E$9,MATCH($E73,Parametros!$A$2:$A$9,0))</f>
        <v>123519.66</v>
      </c>
      <c r="AA73" s="16" t="n">
        <f aca="false">Z73*INDEX(Parametros!$F$2:$F$9,MATCH($E73,Parametros!$A$2:$A$9,0))</f>
        <v>3211.51116</v>
      </c>
      <c r="AB73" s="17" t="n">
        <f aca="false">Z73+AA73</f>
        <v>126731.17116</v>
      </c>
      <c r="AC73" s="18" t="n">
        <v>129258.68</v>
      </c>
      <c r="AD73" s="17" t="n">
        <f aca="false">AC73-AB73</f>
        <v>2527.50884</v>
      </c>
      <c r="AE73" s="17" t="n">
        <f aca="false">AA73+AD73</f>
        <v>5739.02</v>
      </c>
      <c r="AF73" s="19" t="n">
        <f aca="false">IF(Z73&gt;0,AE73/Z73,0)</f>
        <v>0.0464624012080344</v>
      </c>
      <c r="AG73" s="16" t="n">
        <f aca="false">(U73-W73)*INDEX(Parametros!$H$2:$H$9,MATCH($E73,Parametros!$A$2:$A$9,0))+W73*INDEX(Parametros!$H$2:$H$9,MATCH($E73,Parametros!$A$2:$A$9,0))*Parametros!$N$3</f>
        <v>26403.3</v>
      </c>
      <c r="AH73" s="13" t="n">
        <v>9731</v>
      </c>
      <c r="AI73" s="16" t="n">
        <f aca="false">AH73*Parametros!$N$2</f>
        <v>895.252</v>
      </c>
      <c r="AJ73" s="18" t="n">
        <v>6997</v>
      </c>
      <c r="AK73" s="18" t="n">
        <v>2163</v>
      </c>
      <c r="AL73" s="17" t="n">
        <f aca="false">AG73+AI73+AJ73+AK73</f>
        <v>36458.552</v>
      </c>
      <c r="AM73" s="20" t="n">
        <f aca="false">IF(L73&gt;0,AL73/L73,0)</f>
        <v>0.194808213688412</v>
      </c>
      <c r="AN73" s="16" t="n">
        <f aca="false">L73*INDEX(Parametros!$G$2:$G$9,MATCH($E73,Parametros!$A$2:$A$9,0))</f>
        <v>233938.75</v>
      </c>
      <c r="AO73" s="17" t="n">
        <f aca="false">AN73-AC73-AL73</f>
        <v>68221.518</v>
      </c>
      <c r="AP73" s="15" t="n">
        <f aca="false">IF(AN73&gt;0,AO73/AN73,0)</f>
        <v>0.291621281211428</v>
      </c>
      <c r="AQ73" s="16" t="n">
        <f aca="false">INDEX(Parametros!$I$2:$I$9,MATCH($E73,Parametros!$A$2:$A$9,0))</f>
        <v>13300000</v>
      </c>
      <c r="AR73" s="19" t="n">
        <f aca="false">IF(AQ73&gt;0,AO73/AQ73,0)</f>
        <v>0.00512943744360902</v>
      </c>
    </row>
    <row r="74" customFormat="false" ht="15" hidden="false" customHeight="false" outlineLevel="0" collapsed="false">
      <c r="A74" s="5" t="s">
        <v>209</v>
      </c>
      <c r="B74" s="9" t="n">
        <v>45614</v>
      </c>
      <c r="C74" s="2" t="str">
        <f aca="false">TEXT(B74,"yyyy")</f>
        <v>2024</v>
      </c>
      <c r="D74" s="2" t="n">
        <f aca="false">WEEKNUM(B74,2)</f>
        <v>47</v>
      </c>
      <c r="E74" s="5" t="s">
        <v>130</v>
      </c>
      <c r="F74" s="6" t="str">
        <f aca="false">INDEX(Parametros!$B$2:$B$9,MATCH($E74,Parametros!$A$2:$A$9,0))</f>
        <v>Ketchup botella</v>
      </c>
      <c r="G74" s="10" t="n">
        <v>108.1</v>
      </c>
      <c r="H74" s="10" t="n">
        <v>8.6</v>
      </c>
      <c r="I74" s="11" t="n">
        <f aca="false">SUMIFS(Eventos_Paro!$J$2:$J$2186,Eventos_Paro!$D$2:$D$2186,$E74,Eventos_Paro!$B$2:$B$2186,$B74)</f>
        <v>0.216666666666667</v>
      </c>
      <c r="J74" s="12" t="n">
        <f aca="false">G74-H74-I74</f>
        <v>99.2833333333333</v>
      </c>
      <c r="K74" s="13" t="n">
        <v>698001</v>
      </c>
      <c r="L74" s="13" t="n">
        <v>780191</v>
      </c>
      <c r="M74" s="13" t="n">
        <v>11495</v>
      </c>
      <c r="N74" s="14" t="n">
        <f aca="false">L74+M74</f>
        <v>791686</v>
      </c>
      <c r="O74" s="11" t="n">
        <f aca="false">INDEX(Parametros!$D$2:$D$9,MATCH($E74,Parametros!$A$2:$A$9,0))</f>
        <v>9000</v>
      </c>
      <c r="P74" s="15" t="n">
        <f aca="false">IF((G74-H74)&gt;0,J74/(G74-H74),0)</f>
        <v>0.997822445561139</v>
      </c>
      <c r="Q74" s="15" t="n">
        <f aca="false">IF(J74*O74&gt;0,N74/(O74*J74),0)</f>
        <v>0.886000783392088</v>
      </c>
      <c r="R74" s="15" t="n">
        <f aca="false">IF(N74&gt;0,L74/N74,0)</f>
        <v>0.985480354585025</v>
      </c>
      <c r="S74" s="15" t="n">
        <f aca="false">P74*Q74*R74</f>
        <v>0.871235064209939</v>
      </c>
      <c r="T74" s="15" t="n">
        <f aca="false">IF(K74&gt;0,L74/K74,0)</f>
        <v>1.11775054763532</v>
      </c>
      <c r="U74" s="10" t="n">
        <v>1603.5</v>
      </c>
      <c r="V74" s="5" t="n">
        <v>14</v>
      </c>
      <c r="W74" s="10" t="n">
        <v>90.1</v>
      </c>
      <c r="X74" s="15" t="n">
        <f aca="false">IF(U74&gt;0,W74/U74,0)</f>
        <v>0.0561895852821952</v>
      </c>
      <c r="Y74" s="12" t="n">
        <f aca="false">IF(U74&gt;0,L74/U74,0)</f>
        <v>486.555035859058</v>
      </c>
      <c r="Z74" s="16" t="n">
        <f aca="false">L74*INDEX(Parametros!$E$2:$E$9,MATCH($E74,Parametros!$A$2:$A$9,0))</f>
        <v>327680.22</v>
      </c>
      <c r="AA74" s="16" t="n">
        <f aca="false">Z74*INDEX(Parametros!$F$2:$F$9,MATCH($E74,Parametros!$A$2:$A$9,0))</f>
        <v>6553.6044</v>
      </c>
      <c r="AB74" s="17" t="n">
        <f aca="false">Z74+AA74</f>
        <v>334233.8244</v>
      </c>
      <c r="AC74" s="18" t="n">
        <v>337570.24</v>
      </c>
      <c r="AD74" s="17" t="n">
        <f aca="false">AC74-AB74</f>
        <v>3336.41560000001</v>
      </c>
      <c r="AE74" s="17" t="n">
        <f aca="false">AA74+AD74</f>
        <v>9890.02000000001</v>
      </c>
      <c r="AF74" s="19" t="n">
        <f aca="false">IF(Z74&gt;0,AE74/Z74,0)</f>
        <v>0.0301819255370373</v>
      </c>
      <c r="AG74" s="16" t="n">
        <f aca="false">(U74-W74)*INDEX(Parametros!$H$2:$H$9,MATCH($E74,Parametros!$A$2:$A$9,0))+W74*INDEX(Parametros!$H$2:$H$9,MATCH($E74,Parametros!$A$2:$A$9,0))*Parametros!$N$3</f>
        <v>51929.325</v>
      </c>
      <c r="AH74" s="13" t="n">
        <v>40982</v>
      </c>
      <c r="AI74" s="16" t="n">
        <f aca="false">AH74*Parametros!$N$2</f>
        <v>3770.344</v>
      </c>
      <c r="AJ74" s="18" t="n">
        <v>14722</v>
      </c>
      <c r="AK74" s="18" t="n">
        <v>188</v>
      </c>
      <c r="AL74" s="17" t="n">
        <f aca="false">AG74+AI74+AJ74+AK74</f>
        <v>70609.669</v>
      </c>
      <c r="AM74" s="20" t="n">
        <f aca="false">IF(L74&gt;0,AL74/L74,0)</f>
        <v>0.0905030550211423</v>
      </c>
      <c r="AN74" s="16" t="n">
        <f aca="false">L74*INDEX(Parametros!$G$2:$G$9,MATCH($E74,Parametros!$A$2:$A$9,0))</f>
        <v>553935.61</v>
      </c>
      <c r="AO74" s="17" t="n">
        <f aca="false">AN74-AC74-AL74</f>
        <v>145755.701</v>
      </c>
      <c r="AP74" s="15" t="n">
        <f aca="false">IF(AN74&gt;0,AO74/AN74,0)</f>
        <v>0.263127515849721</v>
      </c>
      <c r="AQ74" s="16" t="n">
        <f aca="false">INDEX(Parametros!$I$2:$I$9,MATCH($E74,Parametros!$A$2:$A$9,0))</f>
        <v>29300000</v>
      </c>
      <c r="AR74" s="19" t="n">
        <f aca="false">IF(AQ74&gt;0,AO74/AQ74,0)</f>
        <v>0.00497459730375427</v>
      </c>
    </row>
    <row r="75" customFormat="false" ht="15" hidden="false" customHeight="false" outlineLevel="0" collapsed="false">
      <c r="A75" s="5" t="s">
        <v>210</v>
      </c>
      <c r="B75" s="9" t="n">
        <v>45614</v>
      </c>
      <c r="C75" s="2" t="str">
        <f aca="false">TEXT(B75,"yyyy")</f>
        <v>2024</v>
      </c>
      <c r="D75" s="2" t="n">
        <f aca="false">WEEKNUM(B75,2)</f>
        <v>47</v>
      </c>
      <c r="E75" s="5" t="s">
        <v>132</v>
      </c>
      <c r="F75" s="6" t="str">
        <f aca="false">INDEX(Parametros!$B$2:$B$9,MATCH($E75,Parametros!$A$2:$A$9,0))</f>
        <v>Mayonesa frasco</v>
      </c>
      <c r="G75" s="10" t="n">
        <v>118.3</v>
      </c>
      <c r="H75" s="10" t="n">
        <v>5.7</v>
      </c>
      <c r="I75" s="11" t="n">
        <f aca="false">SUMIFS(Eventos_Paro!$J$2:$J$2186,Eventos_Paro!$D$2:$D$2186,$E75,Eventos_Paro!$B$2:$B$2186,$B75)</f>
        <v>0</v>
      </c>
      <c r="J75" s="12" t="n">
        <f aca="false">G75-H75-I75</f>
        <v>112.6</v>
      </c>
      <c r="K75" s="13" t="n">
        <v>570483</v>
      </c>
      <c r="L75" s="13" t="n">
        <v>611303</v>
      </c>
      <c r="M75" s="13" t="n">
        <v>17114</v>
      </c>
      <c r="N75" s="14" t="n">
        <f aca="false">L75+M75</f>
        <v>628417</v>
      </c>
      <c r="O75" s="11" t="n">
        <f aca="false">INDEX(Parametros!$D$2:$D$9,MATCH($E75,Parametros!$A$2:$A$9,0))</f>
        <v>6500</v>
      </c>
      <c r="P75" s="15" t="n">
        <f aca="false">IF((G75-H75)&gt;0,J75/(G75-H75),0)</f>
        <v>1</v>
      </c>
      <c r="Q75" s="15" t="n">
        <f aca="false">IF(J75*O75&gt;0,N75/(O75*J75),0)</f>
        <v>0.858610465910644</v>
      </c>
      <c r="R75" s="15" t="n">
        <f aca="false">IF(N75&gt;0,L75/N75,0)</f>
        <v>0.972766491040185</v>
      </c>
      <c r="S75" s="15" t="n">
        <f aca="false">P75*Q75*R75</f>
        <v>0.835227490094275</v>
      </c>
      <c r="T75" s="15" t="n">
        <f aca="false">IF(K75&gt;0,L75/K75,0)</f>
        <v>1.0715534029936</v>
      </c>
      <c r="U75" s="10" t="n">
        <v>1592.5</v>
      </c>
      <c r="V75" s="5" t="n">
        <v>13</v>
      </c>
      <c r="W75" s="10" t="n">
        <v>54.6</v>
      </c>
      <c r="X75" s="15" t="n">
        <f aca="false">IF(U75&gt;0,W75/U75,0)</f>
        <v>0.0342857142857143</v>
      </c>
      <c r="Y75" s="12" t="n">
        <f aca="false">IF(U75&gt;0,L75/U75,0)</f>
        <v>383.863736263736</v>
      </c>
      <c r="Z75" s="16" t="n">
        <f aca="false">L75*INDEX(Parametros!$E$2:$E$9,MATCH($E75,Parametros!$A$2:$A$9,0))</f>
        <v>372894.83</v>
      </c>
      <c r="AA75" s="16" t="n">
        <f aca="false">Z75*INDEX(Parametros!$F$2:$F$9,MATCH($E75,Parametros!$A$2:$A$9,0))</f>
        <v>9322.37075</v>
      </c>
      <c r="AB75" s="17" t="n">
        <f aca="false">Z75+AA75</f>
        <v>382217.20075</v>
      </c>
      <c r="AC75" s="18" t="n">
        <v>383655.24</v>
      </c>
      <c r="AD75" s="17" t="n">
        <f aca="false">AC75-AB75</f>
        <v>1438.03924999997</v>
      </c>
      <c r="AE75" s="17" t="n">
        <f aca="false">AA75+AD75</f>
        <v>10760.41</v>
      </c>
      <c r="AF75" s="19" t="n">
        <f aca="false">IF(Z75&gt;0,AE75/Z75,0)</f>
        <v>0.028856420455065</v>
      </c>
      <c r="AG75" s="16" t="n">
        <f aca="false">(U75-W75)*INDEX(Parametros!$H$2:$H$9,MATCH($E75,Parametros!$A$2:$A$9,0))+W75*INDEX(Parametros!$H$2:$H$9,MATCH($E75,Parametros!$A$2:$A$9,0))*Parametros!$N$3</f>
        <v>51023.7</v>
      </c>
      <c r="AH75" s="13" t="n">
        <v>31075</v>
      </c>
      <c r="AI75" s="16" t="n">
        <f aca="false">AH75*Parametros!$N$2</f>
        <v>2858.9</v>
      </c>
      <c r="AJ75" s="18" t="n">
        <v>14923</v>
      </c>
      <c r="AK75" s="18" t="n">
        <v>0</v>
      </c>
      <c r="AL75" s="17" t="n">
        <f aca="false">AG75+AI75+AJ75+AK75</f>
        <v>68805.6</v>
      </c>
      <c r="AM75" s="20" t="n">
        <f aca="false">IF(L75&gt;0,AL75/L75,0)</f>
        <v>0.112555639347427</v>
      </c>
      <c r="AN75" s="16" t="n">
        <f aca="false">L75*INDEX(Parametros!$G$2:$G$9,MATCH($E75,Parametros!$A$2:$A$9,0))</f>
        <v>586850.88</v>
      </c>
      <c r="AO75" s="17" t="n">
        <f aca="false">AN75-AC75-AL75</f>
        <v>134390.04</v>
      </c>
      <c r="AP75" s="15" t="n">
        <f aca="false">IF(AN75&gt;0,AO75/AN75,0)</f>
        <v>0.229002025182275</v>
      </c>
      <c r="AQ75" s="16" t="n">
        <f aca="false">INDEX(Parametros!$I$2:$I$9,MATCH($E75,Parametros!$A$2:$A$9,0))</f>
        <v>29700000</v>
      </c>
      <c r="AR75" s="19" t="n">
        <f aca="false">IF(AQ75&gt;0,AO75/AQ75,0)</f>
        <v>0.00452491717171717</v>
      </c>
    </row>
    <row r="76" customFormat="false" ht="15" hidden="false" customHeight="false" outlineLevel="0" collapsed="false">
      <c r="A76" s="5" t="s">
        <v>211</v>
      </c>
      <c r="B76" s="9" t="n">
        <v>45614</v>
      </c>
      <c r="C76" s="2" t="str">
        <f aca="false">TEXT(B76,"yyyy")</f>
        <v>2024</v>
      </c>
      <c r="D76" s="2" t="n">
        <f aca="false">WEEKNUM(B76,2)</f>
        <v>47</v>
      </c>
      <c r="E76" s="5" t="s">
        <v>134</v>
      </c>
      <c r="F76" s="6" t="str">
        <f aca="false">INDEX(Parametros!$B$2:$B$9,MATCH($E76,Parametros!$A$2:$A$9,0))</f>
        <v>Aderezos vertibles</v>
      </c>
      <c r="G76" s="10" t="n">
        <v>108.3</v>
      </c>
      <c r="H76" s="10" t="n">
        <v>8.9</v>
      </c>
      <c r="I76" s="11" t="n">
        <f aca="false">SUMIFS(Eventos_Paro!$J$2:$J$2186,Eventos_Paro!$D$2:$D$2186,$E76,Eventos_Paro!$B$2:$B$2186,$B76)</f>
        <v>2.13333333333333</v>
      </c>
      <c r="J76" s="12" t="n">
        <f aca="false">G76-H76-I76</f>
        <v>97.2666666666667</v>
      </c>
      <c r="K76" s="13" t="n">
        <v>402884</v>
      </c>
      <c r="L76" s="13" t="n">
        <v>434262</v>
      </c>
      <c r="M76" s="13" t="n">
        <v>11371</v>
      </c>
      <c r="N76" s="14" t="n">
        <f aca="false">L76+M76</f>
        <v>445633</v>
      </c>
      <c r="O76" s="11" t="n">
        <f aca="false">INDEX(Parametros!$D$2:$D$9,MATCH($E76,Parametros!$A$2:$A$9,0))</f>
        <v>5200</v>
      </c>
      <c r="P76" s="15" t="n">
        <f aca="false">IF((G76-H76)&gt;0,J76/(G76-H76),0)</f>
        <v>0.978537894030852</v>
      </c>
      <c r="Q76" s="15" t="n">
        <f aca="false">IF(J76*O76&gt;0,N76/(O76*J76),0)</f>
        <v>0.881069093689039</v>
      </c>
      <c r="R76" s="15" t="n">
        <f aca="false">IF(N76&gt;0,L76/N76,0)</f>
        <v>0.974483487533464</v>
      </c>
      <c r="S76" s="15" t="n">
        <f aca="false">P76*Q76*R76</f>
        <v>0.840160191920755</v>
      </c>
      <c r="T76" s="15" t="n">
        <f aca="false">IF(K76&gt;0,L76/K76,0)</f>
        <v>1.07788346025159</v>
      </c>
      <c r="U76" s="10" t="n">
        <v>1341.6</v>
      </c>
      <c r="V76" s="5" t="n">
        <v>12</v>
      </c>
      <c r="W76" s="10" t="n">
        <v>42</v>
      </c>
      <c r="X76" s="15" t="n">
        <f aca="false">IF(U76&gt;0,W76/U76,0)</f>
        <v>0.0313059033989267</v>
      </c>
      <c r="Y76" s="12" t="n">
        <f aca="false">IF(U76&gt;0,L76/U76,0)</f>
        <v>323.689624329159</v>
      </c>
      <c r="Z76" s="16" t="n">
        <f aca="false">L76*INDEX(Parametros!$E$2:$E$9,MATCH($E76,Parametros!$A$2:$A$9,0))</f>
        <v>238844.1</v>
      </c>
      <c r="AA76" s="16" t="n">
        <f aca="false">Z76*INDEX(Parametros!$F$2:$F$9,MATCH($E76,Parametros!$A$2:$A$9,0))</f>
        <v>7165.323</v>
      </c>
      <c r="AB76" s="17" t="n">
        <f aca="false">Z76+AA76</f>
        <v>246009.423</v>
      </c>
      <c r="AC76" s="18" t="n">
        <v>242761.32</v>
      </c>
      <c r="AD76" s="17" t="n">
        <f aca="false">AC76-AB76</f>
        <v>-3248.103</v>
      </c>
      <c r="AE76" s="17" t="n">
        <f aca="false">AA76+AD76</f>
        <v>3917.22</v>
      </c>
      <c r="AF76" s="19" t="n">
        <f aca="false">IF(Z76&gt;0,AE76/Z76,0)</f>
        <v>0.0164007400643348</v>
      </c>
      <c r="AG76" s="16" t="n">
        <f aca="false">(U76-W76)*INDEX(Parametros!$H$2:$H$9,MATCH($E76,Parametros!$A$2:$A$9,0))+W76*INDEX(Parametros!$H$2:$H$9,MATCH($E76,Parametros!$A$2:$A$9,0))*Parametros!$N$3</f>
        <v>42921.9</v>
      </c>
      <c r="AH76" s="13" t="n">
        <v>21923</v>
      </c>
      <c r="AI76" s="16" t="n">
        <f aca="false">AH76*Parametros!$N$2</f>
        <v>2016.916</v>
      </c>
      <c r="AJ76" s="18" t="n">
        <v>11128</v>
      </c>
      <c r="AK76" s="18" t="n">
        <v>1253</v>
      </c>
      <c r="AL76" s="17" t="n">
        <f aca="false">AG76+AI76+AJ76+AK76</f>
        <v>57319.816</v>
      </c>
      <c r="AM76" s="20" t="n">
        <f aca="false">IF(L76&gt;0,AL76/L76,0)</f>
        <v>0.131993625967734</v>
      </c>
      <c r="AN76" s="16" t="n">
        <f aca="false">L76*INDEX(Parametros!$G$2:$G$9,MATCH($E76,Parametros!$A$2:$A$9,0))</f>
        <v>442947.24</v>
      </c>
      <c r="AO76" s="17" t="n">
        <f aca="false">AN76-AC76-AL76</f>
        <v>142866.104</v>
      </c>
      <c r="AP76" s="15" t="n">
        <f aca="false">IF(AN76&gt;0,AO76/AN76,0)</f>
        <v>0.322535261761649</v>
      </c>
      <c r="AQ76" s="16" t="n">
        <f aca="false">INDEX(Parametros!$I$2:$I$9,MATCH($E76,Parametros!$A$2:$A$9,0))</f>
        <v>19300000</v>
      </c>
      <c r="AR76" s="19" t="n">
        <f aca="false">IF(AQ76&gt;0,AO76/AQ76,0)</f>
        <v>0.00740238880829016</v>
      </c>
    </row>
    <row r="77" customFormat="false" ht="15" hidden="false" customHeight="false" outlineLevel="0" collapsed="false">
      <c r="A77" s="5" t="s">
        <v>212</v>
      </c>
      <c r="B77" s="9" t="n">
        <v>45614</v>
      </c>
      <c r="C77" s="2" t="str">
        <f aca="false">TEXT(B77,"yyyy")</f>
        <v>2024</v>
      </c>
      <c r="D77" s="2" t="n">
        <f aca="false">WEEKNUM(B77,2)</f>
        <v>47</v>
      </c>
      <c r="E77" s="5" t="s">
        <v>136</v>
      </c>
      <c r="F77" s="6" t="str">
        <f aca="false">INDEX(Parametros!$B$2:$B$9,MATCH($E77,Parametros!$A$2:$A$9,0))</f>
        <v>Salsa BBQ</v>
      </c>
      <c r="G77" s="10" t="n">
        <v>78.7</v>
      </c>
      <c r="H77" s="10" t="n">
        <v>7.4</v>
      </c>
      <c r="I77" s="11" t="n">
        <f aca="false">SUMIFS(Eventos_Paro!$J$2:$J$2186,Eventos_Paro!$D$2:$D$2186,$E77,Eventos_Paro!$B$2:$B$2186,$B77)</f>
        <v>0.466666666666667</v>
      </c>
      <c r="J77" s="12" t="n">
        <f aca="false">G77-H77-I77</f>
        <v>70.8333333333333</v>
      </c>
      <c r="K77" s="13" t="n">
        <v>242150</v>
      </c>
      <c r="L77" s="13" t="n">
        <v>271278</v>
      </c>
      <c r="M77" s="13" t="n">
        <v>7085</v>
      </c>
      <c r="N77" s="14" t="n">
        <f aca="false">L77+M77</f>
        <v>278363</v>
      </c>
      <c r="O77" s="11" t="n">
        <f aca="false">INDEX(Parametros!$D$2:$D$9,MATCH($E77,Parametros!$A$2:$A$9,0))</f>
        <v>4800</v>
      </c>
      <c r="P77" s="15" t="n">
        <f aca="false">IF((G77-H77)&gt;0,J77/(G77-H77),0)</f>
        <v>0.993454885460496</v>
      </c>
      <c r="Q77" s="15" t="n">
        <f aca="false">IF(J77*O77&gt;0,N77/(O77*J77),0)</f>
        <v>0.818714705882353</v>
      </c>
      <c r="R77" s="15" t="n">
        <f aca="false">IF(N77&gt;0,L77/N77,0)</f>
        <v>0.974547623067721</v>
      </c>
      <c r="S77" s="15" t="n">
        <f aca="false">P77*Q77*R77</f>
        <v>0.79265427769986</v>
      </c>
      <c r="T77" s="15" t="n">
        <f aca="false">IF(K77&gt;0,L77/K77,0)</f>
        <v>1.12028907701838</v>
      </c>
      <c r="U77" s="10" t="n">
        <v>938.4</v>
      </c>
      <c r="V77" s="5" t="n">
        <v>11</v>
      </c>
      <c r="W77" s="10" t="n">
        <v>72.7</v>
      </c>
      <c r="X77" s="15" t="n">
        <f aca="false">IF(U77&gt;0,W77/U77,0)</f>
        <v>0.0774722932651322</v>
      </c>
      <c r="Y77" s="12" t="n">
        <f aca="false">IF(U77&gt;0,L77/U77,0)</f>
        <v>289.085677749361</v>
      </c>
      <c r="Z77" s="16" t="n">
        <f aca="false">L77*INDEX(Parametros!$E$2:$E$9,MATCH($E77,Parametros!$A$2:$A$9,0))</f>
        <v>157341.24</v>
      </c>
      <c r="AA77" s="16" t="n">
        <f aca="false">Z77*INDEX(Parametros!$F$2:$F$9,MATCH($E77,Parametros!$A$2:$A$9,0))</f>
        <v>4405.55472</v>
      </c>
      <c r="AB77" s="17" t="n">
        <f aca="false">Z77+AA77</f>
        <v>161746.79472</v>
      </c>
      <c r="AC77" s="18" t="n">
        <v>161462.23</v>
      </c>
      <c r="AD77" s="17" t="n">
        <f aca="false">AC77-AB77</f>
        <v>-284.564719999995</v>
      </c>
      <c r="AE77" s="17" t="n">
        <f aca="false">AA77+AD77</f>
        <v>4120.99000000001</v>
      </c>
      <c r="AF77" s="19" t="n">
        <f aca="false">IF(Z77&gt;0,AE77/Z77,0)</f>
        <v>0.0261914168211717</v>
      </c>
      <c r="AG77" s="16" t="n">
        <f aca="false">(U77-W77)*INDEX(Parametros!$H$2:$H$9,MATCH($E77,Parametros!$A$2:$A$9,0))+W77*INDEX(Parametros!$H$2:$H$9,MATCH($E77,Parametros!$A$2:$A$9,0))*Parametros!$N$3</f>
        <v>30704.625</v>
      </c>
      <c r="AH77" s="13" t="n">
        <v>13691</v>
      </c>
      <c r="AI77" s="16" t="n">
        <f aca="false">AH77*Parametros!$N$2</f>
        <v>1259.572</v>
      </c>
      <c r="AJ77" s="18" t="n">
        <v>9671</v>
      </c>
      <c r="AK77" s="18" t="n">
        <v>461</v>
      </c>
      <c r="AL77" s="17" t="n">
        <f aca="false">AG77+AI77+AJ77+AK77</f>
        <v>42096.197</v>
      </c>
      <c r="AM77" s="20" t="n">
        <f aca="false">IF(L77&gt;0,AL77/L77,0)</f>
        <v>0.155177334689875</v>
      </c>
      <c r="AN77" s="16" t="n">
        <f aca="false">L77*INDEX(Parametros!$G$2:$G$9,MATCH($E77,Parametros!$A$2:$A$9,0))</f>
        <v>265852.44</v>
      </c>
      <c r="AO77" s="17" t="n">
        <f aca="false">AN77-AC77-AL77</f>
        <v>62294.013</v>
      </c>
      <c r="AP77" s="15" t="n">
        <f aca="false">IF(AN77&gt;0,AO77/AN77,0)</f>
        <v>0.234318003626373</v>
      </c>
      <c r="AQ77" s="16" t="n">
        <f aca="false">INDEX(Parametros!$I$2:$I$9,MATCH($E77,Parametros!$A$2:$A$9,0))</f>
        <v>17000000</v>
      </c>
      <c r="AR77" s="19" t="n">
        <f aca="false">IF(AQ77&gt;0,AO77/AQ77,0)</f>
        <v>0.00366435370588235</v>
      </c>
    </row>
    <row r="78" customFormat="false" ht="15" hidden="false" customHeight="false" outlineLevel="0" collapsed="false">
      <c r="A78" s="5" t="s">
        <v>213</v>
      </c>
      <c r="B78" s="9" t="n">
        <v>45614</v>
      </c>
      <c r="C78" s="2" t="str">
        <f aca="false">TEXT(B78,"yyyy")</f>
        <v>2024</v>
      </c>
      <c r="D78" s="2" t="n">
        <f aca="false">WEEKNUM(B78,2)</f>
        <v>47</v>
      </c>
      <c r="E78" s="5" t="s">
        <v>138</v>
      </c>
      <c r="F78" s="6" t="str">
        <f aca="false">INDEX(Parametros!$B$2:$B$9,MATCH($E78,Parametros!$A$2:$A$9,0))</f>
        <v>Queso crema</v>
      </c>
      <c r="G78" s="10" t="n">
        <v>133.3</v>
      </c>
      <c r="H78" s="10" t="n">
        <v>6.9</v>
      </c>
      <c r="I78" s="11" t="n">
        <f aca="false">SUMIFS(Eventos_Paro!$J$2:$J$2186,Eventos_Paro!$D$2:$D$2186,$E78,Eventos_Paro!$B$2:$B$2186,$B78)</f>
        <v>1.36666666666667</v>
      </c>
      <c r="J78" s="12" t="n">
        <f aca="false">G78-H78-I78</f>
        <v>125.033333333333</v>
      </c>
      <c r="K78" s="13" t="n">
        <v>374387</v>
      </c>
      <c r="L78" s="13" t="n">
        <v>353553</v>
      </c>
      <c r="M78" s="13" t="n">
        <v>10021</v>
      </c>
      <c r="N78" s="14" t="n">
        <f aca="false">L78+M78</f>
        <v>363574</v>
      </c>
      <c r="O78" s="11" t="n">
        <f aca="false">INDEX(Parametros!$D$2:$D$9,MATCH($E78,Parametros!$A$2:$A$9,0))</f>
        <v>3800</v>
      </c>
      <c r="P78" s="15" t="n">
        <f aca="false">IF((G78-H78)&gt;0,J78/(G78-H78),0)</f>
        <v>0.98918776371308</v>
      </c>
      <c r="Q78" s="15" t="n">
        <f aca="false">IF(J78*O78&gt;0,N78/(O78*J78),0)</f>
        <v>0.765214890064404</v>
      </c>
      <c r="R78" s="15" t="n">
        <f aca="false">IF(N78&gt;0,L78/N78,0)</f>
        <v>0.972437523035201</v>
      </c>
      <c r="S78" s="15" t="n">
        <f aca="false">P78*Q78*R78</f>
        <v>0.736078031312458</v>
      </c>
      <c r="T78" s="15" t="n">
        <f aca="false">IF(K78&gt;0,L78/K78,0)</f>
        <v>0.944351700246002</v>
      </c>
      <c r="U78" s="10" t="n">
        <v>2332.6</v>
      </c>
      <c r="V78" s="5" t="n">
        <v>16</v>
      </c>
      <c r="W78" s="10" t="n">
        <v>199.8</v>
      </c>
      <c r="X78" s="15" t="n">
        <f aca="false">IF(U78&gt;0,W78/U78,0)</f>
        <v>0.085655491725971</v>
      </c>
      <c r="Y78" s="12" t="n">
        <f aca="false">IF(U78&gt;0,L78/U78,0)</f>
        <v>151.570350681643</v>
      </c>
      <c r="Z78" s="16" t="n">
        <f aca="false">L78*INDEX(Parametros!$E$2:$E$9,MATCH($E78,Parametros!$A$2:$A$9,0))</f>
        <v>395979.36</v>
      </c>
      <c r="AA78" s="16" t="n">
        <f aca="false">Z78*INDEX(Parametros!$F$2:$F$9,MATCH($E78,Parametros!$A$2:$A$9,0))</f>
        <v>13859.2776</v>
      </c>
      <c r="AB78" s="17" t="n">
        <f aca="false">Z78+AA78</f>
        <v>409838.6376</v>
      </c>
      <c r="AC78" s="18" t="n">
        <v>403065.57</v>
      </c>
      <c r="AD78" s="17" t="n">
        <f aca="false">AC78-AB78</f>
        <v>-6773.06760000007</v>
      </c>
      <c r="AE78" s="17" t="n">
        <f aca="false">AA78+AD78</f>
        <v>7086.20999999994</v>
      </c>
      <c r="AF78" s="19" t="n">
        <f aca="false">IF(Z78&gt;0,AE78/Z78,0)</f>
        <v>0.0178954024270354</v>
      </c>
      <c r="AG78" s="16" t="n">
        <f aca="false">(U78-W78)*INDEX(Parametros!$H$2:$H$9,MATCH($E78,Parametros!$A$2:$A$9,0))+W78*INDEX(Parametros!$H$2:$H$9,MATCH($E78,Parametros!$A$2:$A$9,0))*Parametros!$N$3</f>
        <v>80272.5</v>
      </c>
      <c r="AH78" s="13" t="n">
        <v>19308</v>
      </c>
      <c r="AI78" s="16" t="n">
        <f aca="false">AH78*Parametros!$N$2</f>
        <v>1776.336</v>
      </c>
      <c r="AJ78" s="18" t="n">
        <v>18559</v>
      </c>
      <c r="AK78" s="18" t="n">
        <v>1351</v>
      </c>
      <c r="AL78" s="17" t="n">
        <f aca="false">AG78+AI78+AJ78+AK78</f>
        <v>101958.836</v>
      </c>
      <c r="AM78" s="20" t="n">
        <f aca="false">IF(L78&gt;0,AL78/L78,0)</f>
        <v>0.288383455945785</v>
      </c>
      <c r="AN78" s="16" t="n">
        <f aca="false">L78*INDEX(Parametros!$G$2:$G$9,MATCH($E78,Parametros!$A$2:$A$9,0))</f>
        <v>632859.87</v>
      </c>
      <c r="AO78" s="17" t="n">
        <f aca="false">AN78-AC78-AL78</f>
        <v>127835.464</v>
      </c>
      <c r="AP78" s="15" t="n">
        <f aca="false">IF(AN78&gt;0,AO78/AN78,0)</f>
        <v>0.201996476723986</v>
      </c>
      <c r="AQ78" s="16" t="n">
        <f aca="false">INDEX(Parametros!$I$2:$I$9,MATCH($E78,Parametros!$A$2:$A$9,0))</f>
        <v>33200000</v>
      </c>
      <c r="AR78" s="19" t="n">
        <f aca="false">IF(AQ78&gt;0,AO78/AQ78,0)</f>
        <v>0.00385046578313253</v>
      </c>
    </row>
    <row r="79" customFormat="false" ht="15" hidden="false" customHeight="false" outlineLevel="0" collapsed="false">
      <c r="A79" s="5" t="s">
        <v>214</v>
      </c>
      <c r="B79" s="9" t="n">
        <v>45614</v>
      </c>
      <c r="C79" s="2" t="str">
        <f aca="false">TEXT(B79,"yyyy")</f>
        <v>2024</v>
      </c>
      <c r="D79" s="2" t="n">
        <f aca="false">WEEKNUM(B79,2)</f>
        <v>47</v>
      </c>
      <c r="E79" s="5" t="s">
        <v>140</v>
      </c>
      <c r="F79" s="6" t="str">
        <f aca="false">INDEX(Parametros!$B$2:$B$9,MATCH($E79,Parametros!$A$2:$A$9,0))</f>
        <v>Crema de cacahuate</v>
      </c>
      <c r="G79" s="10" t="n">
        <v>104.5</v>
      </c>
      <c r="H79" s="10" t="n">
        <v>7.6</v>
      </c>
      <c r="I79" s="11" t="n">
        <f aca="false">SUMIFS(Eventos_Paro!$J$2:$J$2186,Eventos_Paro!$D$2:$D$2186,$E79,Eventos_Paro!$B$2:$B$2186,$B79)</f>
        <v>0.4</v>
      </c>
      <c r="J79" s="12" t="n">
        <f aca="false">G79-H79-I79</f>
        <v>96.5</v>
      </c>
      <c r="K79" s="13" t="n">
        <v>317222</v>
      </c>
      <c r="L79" s="13" t="n">
        <v>366589</v>
      </c>
      <c r="M79" s="13" t="n">
        <v>5552</v>
      </c>
      <c r="N79" s="14" t="n">
        <f aca="false">L79+M79</f>
        <v>372141</v>
      </c>
      <c r="O79" s="11" t="n">
        <f aca="false">INDEX(Parametros!$D$2:$D$9,MATCH($E79,Parametros!$A$2:$A$9,0))</f>
        <v>4200</v>
      </c>
      <c r="P79" s="15" t="n">
        <f aca="false">IF((G79-H79)&gt;0,J79/(G79-H79),0)</f>
        <v>0.995872033023736</v>
      </c>
      <c r="Q79" s="15" t="n">
        <f aca="false">IF(J79*O79&gt;0,N79/(O79*J79),0)</f>
        <v>0.918186528497409</v>
      </c>
      <c r="R79" s="15" t="n">
        <f aca="false">IF(N79&gt;0,L79/N79,0)</f>
        <v>0.98508092362841</v>
      </c>
      <c r="S79" s="15" t="n">
        <f aca="false">P79*Q79*R79</f>
        <v>0.900754336822448</v>
      </c>
      <c r="T79" s="15" t="n">
        <f aca="false">IF(K79&gt;0,L79/K79,0)</f>
        <v>1.15562287609308</v>
      </c>
      <c r="U79" s="10" t="n">
        <v>1372.7</v>
      </c>
      <c r="V79" s="5" t="n">
        <v>12</v>
      </c>
      <c r="W79" s="10" t="n">
        <v>118.7</v>
      </c>
      <c r="X79" s="15" t="n">
        <f aca="false">IF(U79&gt;0,W79/U79,0)</f>
        <v>0.0864719166605959</v>
      </c>
      <c r="Y79" s="12" t="n">
        <f aca="false">IF(U79&gt;0,L79/U79,0)</f>
        <v>267.056895170103</v>
      </c>
      <c r="Z79" s="16" t="n">
        <f aca="false">L79*INDEX(Parametros!$E$2:$E$9,MATCH($E79,Parametros!$A$2:$A$9,0))</f>
        <v>355591.33</v>
      </c>
      <c r="AA79" s="16" t="n">
        <f aca="false">Z79*INDEX(Parametros!$F$2:$F$9,MATCH($E79,Parametros!$A$2:$A$9,0))</f>
        <v>7823.00926</v>
      </c>
      <c r="AB79" s="17" t="n">
        <f aca="false">Z79+AA79</f>
        <v>363414.33926</v>
      </c>
      <c r="AC79" s="18" t="n">
        <v>357183.25</v>
      </c>
      <c r="AD79" s="17" t="n">
        <f aca="false">AC79-AB79</f>
        <v>-6231.08926000004</v>
      </c>
      <c r="AE79" s="17" t="n">
        <f aca="false">AA79+AD79</f>
        <v>1591.91999999996</v>
      </c>
      <c r="AF79" s="19" t="n">
        <f aca="false">IF(Z79&gt;0,AE79/Z79,0)</f>
        <v>0.00447682456149862</v>
      </c>
      <c r="AG79" s="16" t="n">
        <f aca="false">(U79-W79)*INDEX(Parametros!$H$2:$H$9,MATCH($E79,Parametros!$A$2:$A$9,0))+W79*INDEX(Parametros!$H$2:$H$9,MATCH($E79,Parametros!$A$2:$A$9,0))*Parametros!$N$3</f>
        <v>45109.575</v>
      </c>
      <c r="AH79" s="13" t="n">
        <v>17957</v>
      </c>
      <c r="AI79" s="16" t="n">
        <f aca="false">AH79*Parametros!$N$2</f>
        <v>1652.044</v>
      </c>
      <c r="AJ79" s="18" t="n">
        <v>12274</v>
      </c>
      <c r="AK79" s="18" t="n">
        <v>485</v>
      </c>
      <c r="AL79" s="17" t="n">
        <f aca="false">AG79+AI79+AJ79+AK79</f>
        <v>59520.619</v>
      </c>
      <c r="AM79" s="20" t="n">
        <f aca="false">IF(L79&gt;0,AL79/L79,0)</f>
        <v>0.162363352419194</v>
      </c>
      <c r="AN79" s="16" t="n">
        <f aca="false">L79*INDEX(Parametros!$G$2:$G$9,MATCH($E79,Parametros!$A$2:$A$9,0))</f>
        <v>593874.18</v>
      </c>
      <c r="AO79" s="17" t="n">
        <f aca="false">AN79-AC79-AL79</f>
        <v>177170.311</v>
      </c>
      <c r="AP79" s="15" t="n">
        <f aca="false">IF(AN79&gt;0,AO79/AN79,0)</f>
        <v>0.298329708491452</v>
      </c>
      <c r="AQ79" s="16" t="n">
        <f aca="false">INDEX(Parametros!$I$2:$I$9,MATCH($E79,Parametros!$A$2:$A$9,0))</f>
        <v>28000000</v>
      </c>
      <c r="AR79" s="19" t="n">
        <f aca="false">IF(AQ79&gt;0,AO79/AQ79,0)</f>
        <v>0.00632751110714286</v>
      </c>
    </row>
    <row r="80" customFormat="false" ht="15" hidden="false" customHeight="false" outlineLevel="0" collapsed="false">
      <c r="A80" s="5" t="s">
        <v>215</v>
      </c>
      <c r="B80" s="9" t="n">
        <v>45614</v>
      </c>
      <c r="C80" s="2" t="str">
        <f aca="false">TEXT(B80,"yyyy")</f>
        <v>2024</v>
      </c>
      <c r="D80" s="2" t="n">
        <f aca="false">WEEKNUM(B80,2)</f>
        <v>47</v>
      </c>
      <c r="E80" s="5" t="s">
        <v>142</v>
      </c>
      <c r="F80" s="6" t="str">
        <f aca="false">INDEX(Parametros!$B$2:$B$9,MATCH($E80,Parametros!$A$2:$A$9,0))</f>
        <v>Porciones single serve</v>
      </c>
      <c r="G80" s="10" t="n">
        <v>111.2</v>
      </c>
      <c r="H80" s="10" t="n">
        <v>5.2</v>
      </c>
      <c r="I80" s="11" t="n">
        <f aca="false">SUMIFS(Eventos_Paro!$J$2:$J$2186,Eventos_Paro!$D$2:$D$2186,$E80,Eventos_Paro!$B$2:$B$2186,$B80)</f>
        <v>2.23333333333333</v>
      </c>
      <c r="J80" s="12" t="n">
        <f aca="false">G80-H80-I80</f>
        <v>103.766666666667</v>
      </c>
      <c r="K80" s="13" t="n">
        <v>214818</v>
      </c>
      <c r="L80" s="13" t="n">
        <v>203347</v>
      </c>
      <c r="M80" s="13" t="n">
        <v>11172</v>
      </c>
      <c r="N80" s="14" t="n">
        <f aca="false">L80+M80</f>
        <v>214519</v>
      </c>
      <c r="O80" s="11" t="n">
        <f aca="false">INDEX(Parametros!$D$2:$D$9,MATCH($E80,Parametros!$A$2:$A$9,0))</f>
        <v>2600</v>
      </c>
      <c r="P80" s="15" t="n">
        <f aca="false">IF((G80-H80)&gt;0,J80/(G80-H80),0)</f>
        <v>0.978930817610063</v>
      </c>
      <c r="Q80" s="15" t="n">
        <f aca="false">IF(J80*O80&gt;0,N80/(O80*J80),0)</f>
        <v>0.79512342780894</v>
      </c>
      <c r="R80" s="15" t="n">
        <f aca="false">IF(N80&gt;0,L80/N80,0)</f>
        <v>0.947920697001198</v>
      </c>
      <c r="S80" s="15" t="n">
        <f aca="false">P80*Q80*R80</f>
        <v>0.73783381712627</v>
      </c>
      <c r="T80" s="15" t="n">
        <f aca="false">IF(K80&gt;0,L80/K80,0)</f>
        <v>0.946601309015073</v>
      </c>
      <c r="U80" s="10" t="n">
        <v>1965.2</v>
      </c>
      <c r="V80" s="5" t="n">
        <v>16</v>
      </c>
      <c r="W80" s="10" t="n">
        <v>186</v>
      </c>
      <c r="X80" s="15" t="n">
        <f aca="false">IF(U80&gt;0,W80/U80,0)</f>
        <v>0.0946468552819052</v>
      </c>
      <c r="Y80" s="12" t="n">
        <f aca="false">IF(U80&gt;0,L80/U80,0)</f>
        <v>103.473946672094</v>
      </c>
      <c r="Z80" s="16" t="n">
        <f aca="false">L80*INDEX(Parametros!$E$2:$E$9,MATCH($E80,Parametros!$A$2:$A$9,0))</f>
        <v>150476.78</v>
      </c>
      <c r="AA80" s="16" t="n">
        <f aca="false">Z80*INDEX(Parametros!$F$2:$F$9,MATCH($E80,Parametros!$A$2:$A$9,0))</f>
        <v>6771.4551</v>
      </c>
      <c r="AB80" s="17" t="n">
        <f aca="false">Z80+AA80</f>
        <v>157248.2351</v>
      </c>
      <c r="AC80" s="18" t="n">
        <v>154160.03</v>
      </c>
      <c r="AD80" s="17" t="n">
        <f aca="false">AC80-AB80</f>
        <v>-3088.20509999999</v>
      </c>
      <c r="AE80" s="17" t="n">
        <f aca="false">AA80+AD80</f>
        <v>3683.25000000001</v>
      </c>
      <c r="AF80" s="19" t="n">
        <f aca="false">IF(Z80&gt;0,AE80/Z80,0)</f>
        <v>0.0244771984089506</v>
      </c>
      <c r="AG80" s="16" t="n">
        <f aca="false">(U80-W80)*INDEX(Parametros!$H$2:$H$9,MATCH($E80,Parametros!$A$2:$A$9,0))+W80*INDEX(Parametros!$H$2:$H$9,MATCH($E80,Parametros!$A$2:$A$9,0))*Parametros!$N$3</f>
        <v>61746</v>
      </c>
      <c r="AH80" s="13" t="n">
        <v>10667</v>
      </c>
      <c r="AI80" s="16" t="n">
        <f aca="false">AH80*Parametros!$N$2</f>
        <v>981.364</v>
      </c>
      <c r="AJ80" s="18" t="n">
        <v>10530</v>
      </c>
      <c r="AK80" s="18" t="n">
        <v>1981</v>
      </c>
      <c r="AL80" s="17" t="n">
        <f aca="false">AG80+AI80+AJ80+AK80</f>
        <v>75238.364</v>
      </c>
      <c r="AM80" s="20" t="n">
        <f aca="false">IF(L80&gt;0,AL80/L80,0)</f>
        <v>0.369999872139741</v>
      </c>
      <c r="AN80" s="16" t="n">
        <f aca="false">L80*INDEX(Parametros!$G$2:$G$9,MATCH($E80,Parametros!$A$2:$A$9,0))</f>
        <v>349756.84</v>
      </c>
      <c r="AO80" s="17" t="n">
        <f aca="false">AN80-AC80-AL80</f>
        <v>120358.446</v>
      </c>
      <c r="AP80" s="15" t="n">
        <f aca="false">IF(AN80&gt;0,AO80/AN80,0)</f>
        <v>0.344120349440486</v>
      </c>
      <c r="AQ80" s="16" t="n">
        <f aca="false">INDEX(Parametros!$I$2:$I$9,MATCH($E80,Parametros!$A$2:$A$9,0))</f>
        <v>15900000</v>
      </c>
      <c r="AR80" s="19" t="n">
        <f aca="false">IF(AQ80&gt;0,AO80/AQ80,0)</f>
        <v>0.00756971358490566</v>
      </c>
    </row>
    <row r="81" customFormat="false" ht="15" hidden="false" customHeight="false" outlineLevel="0" collapsed="false">
      <c r="A81" s="5" t="s">
        <v>216</v>
      </c>
      <c r="B81" s="9" t="n">
        <v>45614</v>
      </c>
      <c r="C81" s="2" t="str">
        <f aca="false">TEXT(B81,"yyyy")</f>
        <v>2024</v>
      </c>
      <c r="D81" s="2" t="n">
        <f aca="false">WEEKNUM(B81,2)</f>
        <v>47</v>
      </c>
      <c r="E81" s="5" t="s">
        <v>144</v>
      </c>
      <c r="F81" s="6" t="str">
        <f aca="false">INDEX(Parametros!$B$2:$B$9,MATCH($E81,Parametros!$A$2:$A$9,0))</f>
        <v>Salsas picantes</v>
      </c>
      <c r="G81" s="10" t="n">
        <v>82.3</v>
      </c>
      <c r="H81" s="10" t="n">
        <v>5.2</v>
      </c>
      <c r="I81" s="11" t="n">
        <f aca="false">SUMIFS(Eventos_Paro!$J$2:$J$2186,Eventos_Paro!$D$2:$D$2186,$E81,Eventos_Paro!$B$2:$B$2186,$B81)</f>
        <v>2.78333333333333</v>
      </c>
      <c r="J81" s="12" t="n">
        <f aca="false">G81-H81-I81</f>
        <v>74.3166666666667</v>
      </c>
      <c r="K81" s="13" t="n">
        <v>198946</v>
      </c>
      <c r="L81" s="13" t="n">
        <v>189910</v>
      </c>
      <c r="M81" s="13" t="n">
        <v>5055</v>
      </c>
      <c r="N81" s="14" t="n">
        <f aca="false">L81+M81</f>
        <v>194965</v>
      </c>
      <c r="O81" s="11" t="n">
        <f aca="false">INDEX(Parametros!$D$2:$D$9,MATCH($E81,Parametros!$A$2:$A$9,0))</f>
        <v>3100</v>
      </c>
      <c r="P81" s="15" t="n">
        <f aca="false">IF((G81-H81)&gt;0,J81/(G81-H81),0)</f>
        <v>0.963899697362732</v>
      </c>
      <c r="Q81" s="15" t="n">
        <f aca="false">IF(J81*O81&gt;0,N81/(O81*J81),0)</f>
        <v>0.846269596105014</v>
      </c>
      <c r="R81" s="15" t="n">
        <f aca="false">IF(N81&gt;0,L81/N81,0)</f>
        <v>0.974072269381684</v>
      </c>
      <c r="S81" s="15" t="n">
        <f aca="false">P81*Q81*R81</f>
        <v>0.794569264884315</v>
      </c>
      <c r="T81" s="15" t="n">
        <f aca="false">IF(K81&gt;0,L81/K81,0)</f>
        <v>0.954580639972656</v>
      </c>
      <c r="U81" s="10" t="n">
        <v>788.4</v>
      </c>
      <c r="V81" s="5" t="n">
        <v>9</v>
      </c>
      <c r="W81" s="10" t="n">
        <v>47.7</v>
      </c>
      <c r="X81" s="15" t="n">
        <f aca="false">IF(U81&gt;0,W81/U81,0)</f>
        <v>0.0605022831050228</v>
      </c>
      <c r="Y81" s="12" t="n">
        <f aca="false">IF(U81&gt;0,L81/U81,0)</f>
        <v>240.880263825469</v>
      </c>
      <c r="Z81" s="16" t="n">
        <f aca="false">L81*INDEX(Parametros!$E$2:$E$9,MATCH($E81,Parametros!$A$2:$A$9,0))</f>
        <v>125340.6</v>
      </c>
      <c r="AA81" s="16" t="n">
        <f aca="false">Z81*INDEX(Parametros!$F$2:$F$9,MATCH($E81,Parametros!$A$2:$A$9,0))</f>
        <v>3258.8556</v>
      </c>
      <c r="AB81" s="17" t="n">
        <f aca="false">Z81+AA81</f>
        <v>128599.4556</v>
      </c>
      <c r="AC81" s="18" t="n">
        <v>129356.61</v>
      </c>
      <c r="AD81" s="17" t="n">
        <f aca="false">AC81-AB81</f>
        <v>757.154399999999</v>
      </c>
      <c r="AE81" s="17" t="n">
        <f aca="false">AA81+AD81</f>
        <v>4016.01</v>
      </c>
      <c r="AF81" s="19" t="n">
        <f aca="false">IF(Z81&gt;0,AE81/Z81,0)</f>
        <v>0.0320407752954749</v>
      </c>
      <c r="AG81" s="16" t="n">
        <f aca="false">(U81-W81)*INDEX(Parametros!$H$2:$H$9,MATCH($E81,Parametros!$A$2:$A$9,0))+W81*INDEX(Parametros!$H$2:$H$9,MATCH($E81,Parametros!$A$2:$A$9,0))*Parametros!$N$3</f>
        <v>25585.875</v>
      </c>
      <c r="AH81" s="13" t="n">
        <v>10053</v>
      </c>
      <c r="AI81" s="16" t="n">
        <f aca="false">AH81*Parametros!$N$2</f>
        <v>924.876</v>
      </c>
      <c r="AJ81" s="18" t="n">
        <v>7110</v>
      </c>
      <c r="AK81" s="18" t="n">
        <v>2090</v>
      </c>
      <c r="AL81" s="17" t="n">
        <f aca="false">AG81+AI81+AJ81+AK81</f>
        <v>35710.751</v>
      </c>
      <c r="AM81" s="20" t="n">
        <f aca="false">IF(L81&gt;0,AL81/L81,0)</f>
        <v>0.18804039281765</v>
      </c>
      <c r="AN81" s="16" t="n">
        <f aca="false">L81*INDEX(Parametros!$G$2:$G$9,MATCH($E81,Parametros!$A$2:$A$9,0))</f>
        <v>237387.5</v>
      </c>
      <c r="AO81" s="17" t="n">
        <f aca="false">AN81-AC81-AL81</f>
        <v>72320.139</v>
      </c>
      <c r="AP81" s="15" t="n">
        <f aca="false">IF(AN81&gt;0,AO81/AN81,0)</f>
        <v>0.304650156389869</v>
      </c>
      <c r="AQ81" s="16" t="n">
        <f aca="false">INDEX(Parametros!$I$2:$I$9,MATCH($E81,Parametros!$A$2:$A$9,0))</f>
        <v>13300000</v>
      </c>
      <c r="AR81" s="19" t="n">
        <f aca="false">IF(AQ81&gt;0,AO81/AQ81,0)</f>
        <v>0.00543760443609023</v>
      </c>
    </row>
    <row r="82" customFormat="false" ht="15" hidden="false" customHeight="false" outlineLevel="0" collapsed="false">
      <c r="A82" s="5" t="s">
        <v>217</v>
      </c>
      <c r="B82" s="9" t="n">
        <v>45621</v>
      </c>
      <c r="C82" s="2" t="str">
        <f aca="false">TEXT(B82,"yyyy")</f>
        <v>2024</v>
      </c>
      <c r="D82" s="2" t="n">
        <f aca="false">WEEKNUM(B82,2)</f>
        <v>48</v>
      </c>
      <c r="E82" s="5" t="s">
        <v>130</v>
      </c>
      <c r="F82" s="6" t="str">
        <f aca="false">INDEX(Parametros!$B$2:$B$9,MATCH($E82,Parametros!$A$2:$A$9,0))</f>
        <v>Ketchup botella</v>
      </c>
      <c r="G82" s="10" t="n">
        <v>123.8</v>
      </c>
      <c r="H82" s="10" t="n">
        <v>6.2</v>
      </c>
      <c r="I82" s="11" t="n">
        <f aca="false">SUMIFS(Eventos_Paro!$J$2:$J$2186,Eventos_Paro!$D$2:$D$2186,$E82,Eventos_Paro!$B$2:$B$2186,$B82)</f>
        <v>5.83333333333333</v>
      </c>
      <c r="J82" s="12" t="n">
        <f aca="false">G82-H82-I82</f>
        <v>111.766666666667</v>
      </c>
      <c r="K82" s="13" t="n">
        <v>822011</v>
      </c>
      <c r="L82" s="13" t="n">
        <v>886323</v>
      </c>
      <c r="M82" s="13" t="n">
        <v>16251</v>
      </c>
      <c r="N82" s="14" t="n">
        <f aca="false">L82+M82</f>
        <v>902574</v>
      </c>
      <c r="O82" s="11" t="n">
        <f aca="false">INDEX(Parametros!$D$2:$D$9,MATCH($E82,Parametros!$A$2:$A$9,0))</f>
        <v>9000</v>
      </c>
      <c r="P82" s="15" t="n">
        <f aca="false">IF((G82-H82)&gt;0,J82/(G82-H82),0)</f>
        <v>0.950396825396826</v>
      </c>
      <c r="Q82" s="15" t="n">
        <f aca="false">IF(J82*O82&gt;0,N82/(O82*J82),0)</f>
        <v>0.897280047718461</v>
      </c>
      <c r="R82" s="15" t="n">
        <f aca="false">IF(N82&gt;0,L82/N82,0)</f>
        <v>0.981994828124896</v>
      </c>
      <c r="S82" s="15" t="n">
        <f aca="false">P82*Q82*R82</f>
        <v>0.837417800453515</v>
      </c>
      <c r="T82" s="15" t="n">
        <f aca="false">IF(K82&gt;0,L82/K82,0)</f>
        <v>1.07823739584993</v>
      </c>
      <c r="U82" s="10" t="n">
        <v>1795.7</v>
      </c>
      <c r="V82" s="5" t="n">
        <v>14</v>
      </c>
      <c r="W82" s="10" t="n">
        <v>62.5</v>
      </c>
      <c r="X82" s="15" t="n">
        <f aca="false">IF(U82&gt;0,W82/U82,0)</f>
        <v>0.0348053683800189</v>
      </c>
      <c r="Y82" s="12" t="n">
        <f aca="false">IF(U82&gt;0,L82/U82,0)</f>
        <v>493.580776298936</v>
      </c>
      <c r="Z82" s="16" t="n">
        <f aca="false">L82*INDEX(Parametros!$E$2:$E$9,MATCH($E82,Parametros!$A$2:$A$9,0))</f>
        <v>372255.66</v>
      </c>
      <c r="AA82" s="16" t="n">
        <f aca="false">Z82*INDEX(Parametros!$F$2:$F$9,MATCH($E82,Parametros!$A$2:$A$9,0))</f>
        <v>7445.1132</v>
      </c>
      <c r="AB82" s="17" t="n">
        <f aca="false">Z82+AA82</f>
        <v>379700.7732</v>
      </c>
      <c r="AC82" s="18" t="n">
        <v>386253.22</v>
      </c>
      <c r="AD82" s="17" t="n">
        <f aca="false">AC82-AB82</f>
        <v>6552.44679999998</v>
      </c>
      <c r="AE82" s="17" t="n">
        <f aca="false">AA82+AD82</f>
        <v>13997.56</v>
      </c>
      <c r="AF82" s="19" t="n">
        <f aca="false">IF(Z82&gt;0,AE82/Z82,0)</f>
        <v>0.0376020071796893</v>
      </c>
      <c r="AG82" s="16" t="n">
        <f aca="false">(U82-W82)*INDEX(Parametros!$H$2:$H$9,MATCH($E82,Parametros!$A$2:$A$9,0))+W82*INDEX(Parametros!$H$2:$H$9,MATCH($E82,Parametros!$A$2:$A$9,0))*Parametros!$N$3</f>
        <v>57548.925</v>
      </c>
      <c r="AH82" s="13" t="n">
        <v>45834</v>
      </c>
      <c r="AI82" s="16" t="n">
        <f aca="false">AH82*Parametros!$N$2</f>
        <v>4216.728</v>
      </c>
      <c r="AJ82" s="18" t="n">
        <v>15134</v>
      </c>
      <c r="AK82" s="18" t="n">
        <v>4138</v>
      </c>
      <c r="AL82" s="17" t="n">
        <f aca="false">AG82+AI82+AJ82+AK82</f>
        <v>81037.653</v>
      </c>
      <c r="AM82" s="20" t="n">
        <f aca="false">IF(L82&gt;0,AL82/L82,0)</f>
        <v>0.0914312874651792</v>
      </c>
      <c r="AN82" s="16" t="n">
        <f aca="false">L82*INDEX(Parametros!$G$2:$G$9,MATCH($E82,Parametros!$A$2:$A$9,0))</f>
        <v>629289.33</v>
      </c>
      <c r="AO82" s="17" t="n">
        <f aca="false">AN82-AC82-AL82</f>
        <v>161998.457</v>
      </c>
      <c r="AP82" s="15" t="n">
        <f aca="false">IF(AN82&gt;0,AO82/AN82,0)</f>
        <v>0.257430802139931</v>
      </c>
      <c r="AQ82" s="16" t="n">
        <f aca="false">INDEX(Parametros!$I$2:$I$9,MATCH($E82,Parametros!$A$2:$A$9,0))</f>
        <v>29300000</v>
      </c>
      <c r="AR82" s="19" t="n">
        <f aca="false">IF(AQ82&gt;0,AO82/AQ82,0)</f>
        <v>0.00552895757679181</v>
      </c>
    </row>
    <row r="83" customFormat="false" ht="15" hidden="false" customHeight="false" outlineLevel="0" collapsed="false">
      <c r="A83" s="5" t="s">
        <v>218</v>
      </c>
      <c r="B83" s="9" t="n">
        <v>45621</v>
      </c>
      <c r="C83" s="2" t="str">
        <f aca="false">TEXT(B83,"yyyy")</f>
        <v>2024</v>
      </c>
      <c r="D83" s="2" t="n">
        <f aca="false">WEEKNUM(B83,2)</f>
        <v>48</v>
      </c>
      <c r="E83" s="5" t="s">
        <v>132</v>
      </c>
      <c r="F83" s="6" t="str">
        <f aca="false">INDEX(Parametros!$B$2:$B$9,MATCH($E83,Parametros!$A$2:$A$9,0))</f>
        <v>Mayonesa frasco</v>
      </c>
      <c r="G83" s="10" t="n">
        <v>109.1</v>
      </c>
      <c r="H83" s="10" t="n">
        <v>8</v>
      </c>
      <c r="I83" s="11" t="n">
        <f aca="false">SUMIFS(Eventos_Paro!$J$2:$J$2186,Eventos_Paro!$D$2:$D$2186,$E83,Eventos_Paro!$B$2:$B$2186,$B83)</f>
        <v>2.91666666666667</v>
      </c>
      <c r="J83" s="12" t="n">
        <f aca="false">G83-H83-I83</f>
        <v>98.1833333333333</v>
      </c>
      <c r="K83" s="13" t="n">
        <v>510378</v>
      </c>
      <c r="L83" s="13" t="n">
        <v>552649</v>
      </c>
      <c r="M83" s="13" t="n">
        <v>15311</v>
      </c>
      <c r="N83" s="14" t="n">
        <f aca="false">L83+M83</f>
        <v>567960</v>
      </c>
      <c r="O83" s="11" t="n">
        <f aca="false">INDEX(Parametros!$D$2:$D$9,MATCH($E83,Parametros!$A$2:$A$9,0))</f>
        <v>6500</v>
      </c>
      <c r="P83" s="15" t="n">
        <f aca="false">IF((G83-H83)&gt;0,J83/(G83-H83),0)</f>
        <v>0.97115067589845</v>
      </c>
      <c r="Q83" s="15" t="n">
        <f aca="false">IF(J83*O83&gt;0,N83/(O83*J83),0)</f>
        <v>0.889952078137446</v>
      </c>
      <c r="R83" s="15" t="n">
        <f aca="false">IF(N83&gt;0,L83/N83,0)</f>
        <v>0.973042115641947</v>
      </c>
      <c r="S83" s="15" t="n">
        <f aca="false">P83*Q83*R83</f>
        <v>0.840978467625352</v>
      </c>
      <c r="T83" s="15" t="n">
        <f aca="false">IF(K83&gt;0,L83/K83,0)</f>
        <v>1.08282292732054</v>
      </c>
      <c r="U83" s="10" t="n">
        <v>1427.2</v>
      </c>
      <c r="V83" s="5" t="n">
        <v>12</v>
      </c>
      <c r="W83" s="10" t="n">
        <v>118</v>
      </c>
      <c r="X83" s="15" t="n">
        <f aca="false">IF(U83&gt;0,W83/U83,0)</f>
        <v>0.0826793721973094</v>
      </c>
      <c r="Y83" s="12" t="n">
        <f aca="false">IF(U83&gt;0,L83/U83,0)</f>
        <v>387.226036995516</v>
      </c>
      <c r="Z83" s="16" t="n">
        <f aca="false">L83*INDEX(Parametros!$E$2:$E$9,MATCH($E83,Parametros!$A$2:$A$9,0))</f>
        <v>337115.89</v>
      </c>
      <c r="AA83" s="16" t="n">
        <f aca="false">Z83*INDEX(Parametros!$F$2:$F$9,MATCH($E83,Parametros!$A$2:$A$9,0))</f>
        <v>8427.89725</v>
      </c>
      <c r="AB83" s="17" t="n">
        <f aca="false">Z83+AA83</f>
        <v>345543.78725</v>
      </c>
      <c r="AC83" s="18" t="n">
        <v>340618</v>
      </c>
      <c r="AD83" s="17" t="n">
        <f aca="false">AC83-AB83</f>
        <v>-4925.78724999999</v>
      </c>
      <c r="AE83" s="17" t="n">
        <f aca="false">AA83+AD83</f>
        <v>3502.11000000001</v>
      </c>
      <c r="AF83" s="19" t="n">
        <f aca="false">IF(Z83&gt;0,AE83/Z83,0)</f>
        <v>0.0103884453503512</v>
      </c>
      <c r="AG83" s="16" t="n">
        <f aca="false">(U83-W83)*INDEX(Parametros!$H$2:$H$9,MATCH($E83,Parametros!$A$2:$A$9,0))+W83*INDEX(Parametros!$H$2:$H$9,MATCH($E83,Parametros!$A$2:$A$9,0))*Parametros!$N$3</f>
        <v>46815.3</v>
      </c>
      <c r="AH83" s="13" t="n">
        <v>29637</v>
      </c>
      <c r="AI83" s="16" t="n">
        <f aca="false">AH83*Parametros!$N$2</f>
        <v>2726.604</v>
      </c>
      <c r="AJ83" s="18" t="n">
        <v>14744</v>
      </c>
      <c r="AK83" s="18" t="n">
        <v>3022</v>
      </c>
      <c r="AL83" s="17" t="n">
        <f aca="false">AG83+AI83+AJ83+AK83</f>
        <v>67307.904</v>
      </c>
      <c r="AM83" s="20" t="n">
        <f aca="false">IF(L83&gt;0,AL83/L83,0)</f>
        <v>0.121791415527758</v>
      </c>
      <c r="AN83" s="16" t="n">
        <f aca="false">L83*INDEX(Parametros!$G$2:$G$9,MATCH($E83,Parametros!$A$2:$A$9,0))</f>
        <v>530543.04</v>
      </c>
      <c r="AO83" s="17" t="n">
        <f aca="false">AN83-AC83-AL83</f>
        <v>122617.136</v>
      </c>
      <c r="AP83" s="15" t="n">
        <f aca="false">IF(AN83&gt;0,AO83/AN83,0)</f>
        <v>0.23111628417555</v>
      </c>
      <c r="AQ83" s="16" t="n">
        <f aca="false">INDEX(Parametros!$I$2:$I$9,MATCH($E83,Parametros!$A$2:$A$9,0))</f>
        <v>29700000</v>
      </c>
      <c r="AR83" s="19" t="n">
        <f aca="false">IF(AQ83&gt;0,AO83/AQ83,0)</f>
        <v>0.0041285230976431</v>
      </c>
    </row>
    <row r="84" customFormat="false" ht="15" hidden="false" customHeight="false" outlineLevel="0" collapsed="false">
      <c r="A84" s="5" t="s">
        <v>219</v>
      </c>
      <c r="B84" s="9" t="n">
        <v>45621</v>
      </c>
      <c r="C84" s="2" t="str">
        <f aca="false">TEXT(B84,"yyyy")</f>
        <v>2024</v>
      </c>
      <c r="D84" s="2" t="n">
        <f aca="false">WEEKNUM(B84,2)</f>
        <v>48</v>
      </c>
      <c r="E84" s="5" t="s">
        <v>134</v>
      </c>
      <c r="F84" s="6" t="str">
        <f aca="false">INDEX(Parametros!$B$2:$B$9,MATCH($E84,Parametros!$A$2:$A$9,0))</f>
        <v>Aderezos vertibles</v>
      </c>
      <c r="G84" s="10" t="n">
        <v>91.4</v>
      </c>
      <c r="H84" s="10" t="n">
        <v>8.5</v>
      </c>
      <c r="I84" s="11" t="n">
        <f aca="false">SUMIFS(Eventos_Paro!$J$2:$J$2186,Eventos_Paro!$D$2:$D$2186,$E84,Eventos_Paro!$B$2:$B$2186,$B84)</f>
        <v>3.15</v>
      </c>
      <c r="J84" s="12" t="n">
        <f aca="false">G84-H84-I84</f>
        <v>79.75</v>
      </c>
      <c r="K84" s="13" t="n">
        <v>334800</v>
      </c>
      <c r="L84" s="13" t="n">
        <v>320943</v>
      </c>
      <c r="M84" s="13" t="n">
        <v>13449</v>
      </c>
      <c r="N84" s="14" t="n">
        <f aca="false">L84+M84</f>
        <v>334392</v>
      </c>
      <c r="O84" s="11" t="n">
        <f aca="false">INDEX(Parametros!$D$2:$D$9,MATCH($E84,Parametros!$A$2:$A$9,0))</f>
        <v>5200</v>
      </c>
      <c r="P84" s="15" t="n">
        <f aca="false">IF((G84-H84)&gt;0,J84/(G84-H84),0)</f>
        <v>0.962002412545235</v>
      </c>
      <c r="Q84" s="15" t="n">
        <f aca="false">IF(J84*O84&gt;0,N84/(O84*J84),0)</f>
        <v>0.806346756691584</v>
      </c>
      <c r="R84" s="15" t="n">
        <f aca="false">IF(N84&gt;0,L84/N84,0)</f>
        <v>0.959780736381253</v>
      </c>
      <c r="S84" s="15" t="n">
        <f aca="false">P84*Q84*R84</f>
        <v>0.744509139834834</v>
      </c>
      <c r="T84" s="15" t="n">
        <f aca="false">IF(K84&gt;0,L84/K84,0)</f>
        <v>0.958611111111111</v>
      </c>
      <c r="U84" s="10" t="n">
        <v>1223.6</v>
      </c>
      <c r="V84" s="5" t="n">
        <v>12</v>
      </c>
      <c r="W84" s="10" t="n">
        <v>126.8</v>
      </c>
      <c r="X84" s="15" t="n">
        <f aca="false">IF(U84&gt;0,W84/U84,0)</f>
        <v>0.103628636809415</v>
      </c>
      <c r="Y84" s="12" t="n">
        <f aca="false">IF(U84&gt;0,L84/U84,0)</f>
        <v>262.294050343249</v>
      </c>
      <c r="Z84" s="16" t="n">
        <f aca="false">L84*INDEX(Parametros!$E$2:$E$9,MATCH($E84,Parametros!$A$2:$A$9,0))</f>
        <v>176518.65</v>
      </c>
      <c r="AA84" s="16" t="n">
        <f aca="false">Z84*INDEX(Parametros!$F$2:$F$9,MATCH($E84,Parametros!$A$2:$A$9,0))</f>
        <v>5295.5595</v>
      </c>
      <c r="AB84" s="17" t="n">
        <f aca="false">Z84+AA84</f>
        <v>181814.2095</v>
      </c>
      <c r="AC84" s="18" t="n">
        <v>183852.49</v>
      </c>
      <c r="AD84" s="17" t="n">
        <f aca="false">AC84-AB84</f>
        <v>2038.28049999996</v>
      </c>
      <c r="AE84" s="17" t="n">
        <f aca="false">AA84+AD84</f>
        <v>7333.83999999997</v>
      </c>
      <c r="AF84" s="19" t="n">
        <f aca="false">IF(Z84&gt;0,AE84/Z84,0)</f>
        <v>0.0415471113109009</v>
      </c>
      <c r="AG84" s="16" t="n">
        <f aca="false">(U84-W84)*INDEX(Parametros!$H$2:$H$9,MATCH($E84,Parametros!$A$2:$A$9,0))+W84*INDEX(Parametros!$H$2:$H$9,MATCH($E84,Parametros!$A$2:$A$9,0))*Parametros!$N$3</f>
        <v>40540.5</v>
      </c>
      <c r="AH84" s="13" t="n">
        <v>17629</v>
      </c>
      <c r="AI84" s="16" t="n">
        <f aca="false">AH84*Parametros!$N$2</f>
        <v>1621.868</v>
      </c>
      <c r="AJ84" s="18" t="n">
        <v>8763</v>
      </c>
      <c r="AK84" s="18" t="n">
        <v>3306</v>
      </c>
      <c r="AL84" s="17" t="n">
        <f aca="false">AG84+AI84+AJ84+AK84</f>
        <v>54231.368</v>
      </c>
      <c r="AM84" s="20" t="n">
        <f aca="false">IF(L84&gt;0,AL84/L84,0)</f>
        <v>0.168975076571229</v>
      </c>
      <c r="AN84" s="16" t="n">
        <f aca="false">L84*INDEX(Parametros!$G$2:$G$9,MATCH($E84,Parametros!$A$2:$A$9,0))</f>
        <v>327361.86</v>
      </c>
      <c r="AO84" s="17" t="n">
        <f aca="false">AN84-AC84-AL84</f>
        <v>89278.002</v>
      </c>
      <c r="AP84" s="15" t="n">
        <f aca="false">IF(AN84&gt;0,AO84/AN84,0)</f>
        <v>0.272719619811544</v>
      </c>
      <c r="AQ84" s="16" t="n">
        <f aca="false">INDEX(Parametros!$I$2:$I$9,MATCH($E84,Parametros!$A$2:$A$9,0))</f>
        <v>19300000</v>
      </c>
      <c r="AR84" s="19" t="n">
        <f aca="false">IF(AQ84&gt;0,AO84/AQ84,0)</f>
        <v>0.00462580321243523</v>
      </c>
    </row>
    <row r="85" customFormat="false" ht="15" hidden="false" customHeight="false" outlineLevel="0" collapsed="false">
      <c r="A85" s="5" t="s">
        <v>220</v>
      </c>
      <c r="B85" s="9" t="n">
        <v>45621</v>
      </c>
      <c r="C85" s="2" t="str">
        <f aca="false">TEXT(B85,"yyyy")</f>
        <v>2024</v>
      </c>
      <c r="D85" s="2" t="n">
        <f aca="false">WEEKNUM(B85,2)</f>
        <v>48</v>
      </c>
      <c r="E85" s="5" t="s">
        <v>136</v>
      </c>
      <c r="F85" s="6" t="str">
        <f aca="false">INDEX(Parametros!$B$2:$B$9,MATCH($E85,Parametros!$A$2:$A$9,0))</f>
        <v>Salsa BBQ</v>
      </c>
      <c r="G85" s="10" t="n">
        <v>89.6</v>
      </c>
      <c r="H85" s="10" t="n">
        <v>5.2</v>
      </c>
      <c r="I85" s="11" t="n">
        <f aca="false">SUMIFS(Eventos_Paro!$J$2:$J$2186,Eventos_Paro!$D$2:$D$2186,$E85,Eventos_Paro!$B$2:$B$2186,$B85)</f>
        <v>4.43333333333333</v>
      </c>
      <c r="J85" s="12" t="n">
        <f aca="false">G85-H85-I85</f>
        <v>79.9666666666667</v>
      </c>
      <c r="K85" s="13" t="n">
        <v>281536</v>
      </c>
      <c r="L85" s="13" t="n">
        <v>298531</v>
      </c>
      <c r="M85" s="13" t="n">
        <v>9472</v>
      </c>
      <c r="N85" s="14" t="n">
        <f aca="false">L85+M85</f>
        <v>308003</v>
      </c>
      <c r="O85" s="11" t="n">
        <f aca="false">INDEX(Parametros!$D$2:$D$9,MATCH($E85,Parametros!$A$2:$A$9,0))</f>
        <v>4800</v>
      </c>
      <c r="P85" s="15" t="n">
        <f aca="false">IF((G85-H85)&gt;0,J85/(G85-H85),0)</f>
        <v>0.947472353870458</v>
      </c>
      <c r="Q85" s="15" t="n">
        <f aca="false">IF(J85*O85&gt;0,N85/(O85*J85),0)</f>
        <v>0.802425489787412</v>
      </c>
      <c r="R85" s="15" t="n">
        <f aca="false">IF(N85&gt;0,L85/N85,0)</f>
        <v>0.969247052788447</v>
      </c>
      <c r="S85" s="15" t="n">
        <f aca="false">P85*Q85*R85</f>
        <v>0.736895240916272</v>
      </c>
      <c r="T85" s="15" t="n">
        <f aca="false">IF(K85&gt;0,L85/K85,0)</f>
        <v>1.06036528188225</v>
      </c>
      <c r="U85" s="10" t="n">
        <v>928.2</v>
      </c>
      <c r="V85" s="5" t="n">
        <v>10</v>
      </c>
      <c r="W85" s="10" t="n">
        <v>32.2</v>
      </c>
      <c r="X85" s="15" t="n">
        <f aca="false">IF(U85&gt;0,W85/U85,0)</f>
        <v>0.0346907993966818</v>
      </c>
      <c r="Y85" s="12" t="n">
        <f aca="false">IF(U85&gt;0,L85/U85,0)</f>
        <v>321.623572505925</v>
      </c>
      <c r="Z85" s="16" t="n">
        <f aca="false">L85*INDEX(Parametros!$E$2:$E$9,MATCH($E85,Parametros!$A$2:$A$9,0))</f>
        <v>173147.98</v>
      </c>
      <c r="AA85" s="16" t="n">
        <f aca="false">Z85*INDEX(Parametros!$F$2:$F$9,MATCH($E85,Parametros!$A$2:$A$9,0))</f>
        <v>4848.14344</v>
      </c>
      <c r="AB85" s="17" t="n">
        <f aca="false">Z85+AA85</f>
        <v>177996.12344</v>
      </c>
      <c r="AC85" s="18" t="n">
        <v>177027.24</v>
      </c>
      <c r="AD85" s="17" t="n">
        <f aca="false">AC85-AB85</f>
        <v>-968.883440000005</v>
      </c>
      <c r="AE85" s="17" t="n">
        <f aca="false">AA85+AD85</f>
        <v>3879.25999999999</v>
      </c>
      <c r="AF85" s="19" t="n">
        <f aca="false">IF(Z85&gt;0,AE85/Z85,0)</f>
        <v>0.0224043041102761</v>
      </c>
      <c r="AG85" s="16" t="n">
        <f aca="false">(U85-W85)*INDEX(Parametros!$H$2:$H$9,MATCH($E85,Parametros!$A$2:$A$9,0))+W85*INDEX(Parametros!$H$2:$H$9,MATCH($E85,Parametros!$A$2:$A$9,0))*Parametros!$N$3</f>
        <v>29745.45</v>
      </c>
      <c r="AH85" s="13" t="n">
        <v>15403</v>
      </c>
      <c r="AI85" s="16" t="n">
        <f aca="false">AH85*Parametros!$N$2</f>
        <v>1417.076</v>
      </c>
      <c r="AJ85" s="18" t="n">
        <v>9131</v>
      </c>
      <c r="AK85" s="18" t="n">
        <v>2724</v>
      </c>
      <c r="AL85" s="17" t="n">
        <f aca="false">AG85+AI85+AJ85+AK85</f>
        <v>43017.526</v>
      </c>
      <c r="AM85" s="20" t="n">
        <f aca="false">IF(L85&gt;0,AL85/L85,0)</f>
        <v>0.144097350023951</v>
      </c>
      <c r="AN85" s="16" t="n">
        <f aca="false">L85*INDEX(Parametros!$G$2:$G$9,MATCH($E85,Parametros!$A$2:$A$9,0))</f>
        <v>292560.38</v>
      </c>
      <c r="AO85" s="17" t="n">
        <f aca="false">AN85-AC85-AL85</f>
        <v>72515.614</v>
      </c>
      <c r="AP85" s="15" t="n">
        <f aca="false">IF(AN85&gt;0,AO85/AN85,0)</f>
        <v>0.247865462849071</v>
      </c>
      <c r="AQ85" s="16" t="n">
        <f aca="false">INDEX(Parametros!$I$2:$I$9,MATCH($E85,Parametros!$A$2:$A$9,0))</f>
        <v>17000000</v>
      </c>
      <c r="AR85" s="19" t="n">
        <f aca="false">IF(AQ85&gt;0,AO85/AQ85,0)</f>
        <v>0.00426562435294118</v>
      </c>
    </row>
    <row r="86" customFormat="false" ht="15" hidden="false" customHeight="false" outlineLevel="0" collapsed="false">
      <c r="A86" s="5" t="s">
        <v>221</v>
      </c>
      <c r="B86" s="9" t="n">
        <v>45621</v>
      </c>
      <c r="C86" s="2" t="str">
        <f aca="false">TEXT(B86,"yyyy")</f>
        <v>2024</v>
      </c>
      <c r="D86" s="2" t="n">
        <f aca="false">WEEKNUM(B86,2)</f>
        <v>48</v>
      </c>
      <c r="E86" s="5" t="s">
        <v>138</v>
      </c>
      <c r="F86" s="6" t="str">
        <f aca="false">INDEX(Parametros!$B$2:$B$9,MATCH($E86,Parametros!$A$2:$A$9,0))</f>
        <v>Queso crema</v>
      </c>
      <c r="G86" s="10" t="n">
        <v>117.7</v>
      </c>
      <c r="H86" s="10" t="n">
        <v>5</v>
      </c>
      <c r="I86" s="11" t="n">
        <f aca="false">SUMIFS(Eventos_Paro!$J$2:$J$2186,Eventos_Paro!$D$2:$D$2186,$E86,Eventos_Paro!$B$2:$B$2186,$B86)</f>
        <v>5.93333333333333</v>
      </c>
      <c r="J86" s="12" t="n">
        <f aca="false">G86-H86-I86</f>
        <v>106.766666666667</v>
      </c>
      <c r="K86" s="13" t="n">
        <v>332610</v>
      </c>
      <c r="L86" s="13" t="n">
        <v>355366</v>
      </c>
      <c r="M86" s="13" t="n">
        <v>14534</v>
      </c>
      <c r="N86" s="14" t="n">
        <f aca="false">L86+M86</f>
        <v>369900</v>
      </c>
      <c r="O86" s="11" t="n">
        <f aca="false">INDEX(Parametros!$D$2:$D$9,MATCH($E86,Parametros!$A$2:$A$9,0))</f>
        <v>3800</v>
      </c>
      <c r="P86" s="15" t="n">
        <f aca="false">IF((G86-H86)&gt;0,J86/(G86-H86),0)</f>
        <v>0.947352854185152</v>
      </c>
      <c r="Q86" s="15" t="n">
        <f aca="false">IF(J86*O86&gt;0,N86/(O86*J86),0)</f>
        <v>0.911727492318057</v>
      </c>
      <c r="R86" s="15" t="n">
        <f aca="false">IF(N86&gt;0,L86/N86,0)</f>
        <v>0.960708299540416</v>
      </c>
      <c r="S86" s="15" t="n">
        <f aca="false">P86*Q86*R86</f>
        <v>0.829790314295055</v>
      </c>
      <c r="T86" s="15" t="n">
        <f aca="false">IF(K86&gt;0,L86/K86,0)</f>
        <v>1.06841646372629</v>
      </c>
      <c r="U86" s="10" t="n">
        <v>2003.5</v>
      </c>
      <c r="V86" s="5" t="n">
        <v>16</v>
      </c>
      <c r="W86" s="10" t="n">
        <v>120.3</v>
      </c>
      <c r="X86" s="15" t="n">
        <f aca="false">IF(U86&gt;0,W86/U86,0)</f>
        <v>0.0600449213875718</v>
      </c>
      <c r="Y86" s="12" t="n">
        <f aca="false">IF(U86&gt;0,L86/U86,0)</f>
        <v>177.372597953581</v>
      </c>
      <c r="Z86" s="16" t="n">
        <f aca="false">L86*INDEX(Parametros!$E$2:$E$9,MATCH($E86,Parametros!$A$2:$A$9,0))</f>
        <v>398009.92</v>
      </c>
      <c r="AA86" s="16" t="n">
        <f aca="false">Z86*INDEX(Parametros!$F$2:$F$9,MATCH($E86,Parametros!$A$2:$A$9,0))</f>
        <v>13930.3472</v>
      </c>
      <c r="AB86" s="17" t="n">
        <f aca="false">Z86+AA86</f>
        <v>411940.2672</v>
      </c>
      <c r="AC86" s="18" t="n">
        <v>409316.61</v>
      </c>
      <c r="AD86" s="17" t="n">
        <f aca="false">AC86-AB86</f>
        <v>-2623.65720000007</v>
      </c>
      <c r="AE86" s="17" t="n">
        <f aca="false">AA86+AD86</f>
        <v>11306.6899999999</v>
      </c>
      <c r="AF86" s="19" t="n">
        <f aca="false">IF(Z86&gt;0,AE86/Z86,0)</f>
        <v>0.0284080607840124</v>
      </c>
      <c r="AG86" s="16" t="n">
        <f aca="false">(U86-W86)*INDEX(Parametros!$H$2:$H$9,MATCH($E86,Parametros!$A$2:$A$9,0))+W86*INDEX(Parametros!$H$2:$H$9,MATCH($E86,Parametros!$A$2:$A$9,0))*Parametros!$N$3</f>
        <v>68100.45</v>
      </c>
      <c r="AH86" s="13" t="n">
        <v>16901</v>
      </c>
      <c r="AI86" s="16" t="n">
        <f aca="false">AH86*Parametros!$N$2</f>
        <v>1554.892</v>
      </c>
      <c r="AJ86" s="18" t="n">
        <v>20475</v>
      </c>
      <c r="AK86" s="18" t="n">
        <v>4903</v>
      </c>
      <c r="AL86" s="17" t="n">
        <f aca="false">AG86+AI86+AJ86+AK86</f>
        <v>95033.342</v>
      </c>
      <c r="AM86" s="20" t="n">
        <f aca="false">IF(L86&gt;0,AL86/L86,0)</f>
        <v>0.267423844712212</v>
      </c>
      <c r="AN86" s="16" t="n">
        <f aca="false">L86*INDEX(Parametros!$G$2:$G$9,MATCH($E86,Parametros!$A$2:$A$9,0))</f>
        <v>636105.14</v>
      </c>
      <c r="AO86" s="17" t="n">
        <f aca="false">AN86-AC86-AL86</f>
        <v>131755.188</v>
      </c>
      <c r="AP86" s="15" t="n">
        <f aca="false">IF(AN86&gt;0,AO86/AN86,0)</f>
        <v>0.207128004027762</v>
      </c>
      <c r="AQ86" s="16" t="n">
        <f aca="false">INDEX(Parametros!$I$2:$I$9,MATCH($E86,Parametros!$A$2:$A$9,0))</f>
        <v>33200000</v>
      </c>
      <c r="AR86" s="19" t="n">
        <f aca="false">IF(AQ86&gt;0,AO86/AQ86,0)</f>
        <v>0.00396852975903615</v>
      </c>
    </row>
    <row r="87" customFormat="false" ht="15" hidden="false" customHeight="false" outlineLevel="0" collapsed="false">
      <c r="A87" s="5" t="s">
        <v>222</v>
      </c>
      <c r="B87" s="9" t="n">
        <v>45621</v>
      </c>
      <c r="C87" s="2" t="str">
        <f aca="false">TEXT(B87,"yyyy")</f>
        <v>2024</v>
      </c>
      <c r="D87" s="2" t="n">
        <f aca="false">WEEKNUM(B87,2)</f>
        <v>48</v>
      </c>
      <c r="E87" s="5" t="s">
        <v>140</v>
      </c>
      <c r="F87" s="6" t="str">
        <f aca="false">INDEX(Parametros!$B$2:$B$9,MATCH($E87,Parametros!$A$2:$A$9,0))</f>
        <v>Crema de cacahuate</v>
      </c>
      <c r="G87" s="10" t="n">
        <v>101.4</v>
      </c>
      <c r="H87" s="10" t="n">
        <v>5.1</v>
      </c>
      <c r="I87" s="11" t="n">
        <f aca="false">SUMIFS(Eventos_Paro!$J$2:$J$2186,Eventos_Paro!$D$2:$D$2186,$E87,Eventos_Paro!$B$2:$B$2186,$B87)</f>
        <v>5.21666666666667</v>
      </c>
      <c r="J87" s="12" t="n">
        <f aca="false">G87-H87-I87</f>
        <v>91.0833333333333</v>
      </c>
      <c r="K87" s="13" t="n">
        <v>314126</v>
      </c>
      <c r="L87" s="13" t="n">
        <v>313697</v>
      </c>
      <c r="M87" s="13" t="n">
        <v>7562</v>
      </c>
      <c r="N87" s="14" t="n">
        <f aca="false">L87+M87</f>
        <v>321259</v>
      </c>
      <c r="O87" s="11" t="n">
        <f aca="false">INDEX(Parametros!$D$2:$D$9,MATCH($E87,Parametros!$A$2:$A$9,0))</f>
        <v>4200</v>
      </c>
      <c r="P87" s="15" t="n">
        <f aca="false">IF((G87-H87)&gt;0,J87/(G87-H87),0)</f>
        <v>0.94582900657667</v>
      </c>
      <c r="Q87" s="15" t="n">
        <f aca="false">IF(J87*O87&gt;0,N87/(O87*J87),0)</f>
        <v>0.839783034897399</v>
      </c>
      <c r="R87" s="15" t="n">
        <f aca="false">IF(N87&gt;0,L87/N87,0)</f>
        <v>0.97646135983739</v>
      </c>
      <c r="S87" s="15" t="n">
        <f aca="false">P87*Q87*R87</f>
        <v>0.775594619987143</v>
      </c>
      <c r="T87" s="15" t="n">
        <f aca="false">IF(K87&gt;0,L87/K87,0)</f>
        <v>0.998634305979129</v>
      </c>
      <c r="U87" s="10" t="n">
        <v>1357.8</v>
      </c>
      <c r="V87" s="5" t="n">
        <v>13</v>
      </c>
      <c r="W87" s="10" t="n">
        <v>39.6</v>
      </c>
      <c r="X87" s="15" t="n">
        <f aca="false">IF(U87&gt;0,W87/U87,0)</f>
        <v>0.0291648254529386</v>
      </c>
      <c r="Y87" s="12" t="n">
        <f aca="false">IF(U87&gt;0,L87/U87,0)</f>
        <v>231.033289144204</v>
      </c>
      <c r="Z87" s="16" t="n">
        <f aca="false">L87*INDEX(Parametros!$E$2:$E$9,MATCH($E87,Parametros!$A$2:$A$9,0))</f>
        <v>304286.09</v>
      </c>
      <c r="AA87" s="16" t="n">
        <f aca="false">Z87*INDEX(Parametros!$F$2:$F$9,MATCH($E87,Parametros!$A$2:$A$9,0))</f>
        <v>6694.29398</v>
      </c>
      <c r="AB87" s="17" t="n">
        <f aca="false">Z87+AA87</f>
        <v>310980.38398</v>
      </c>
      <c r="AC87" s="18" t="n">
        <v>311375.1</v>
      </c>
      <c r="AD87" s="17" t="n">
        <f aca="false">AC87-AB87</f>
        <v>394.716019999993</v>
      </c>
      <c r="AE87" s="17" t="n">
        <f aca="false">AA87+AD87</f>
        <v>7089.00999999999</v>
      </c>
      <c r="AF87" s="19" t="n">
        <f aca="false">IF(Z87&gt;0,AE87/Z87,0)</f>
        <v>0.0232971871964308</v>
      </c>
      <c r="AG87" s="16" t="n">
        <f aca="false">(U87-W87)*INDEX(Parametros!$H$2:$H$9,MATCH($E87,Parametros!$A$2:$A$9,0))+W87*INDEX(Parametros!$H$2:$H$9,MATCH($E87,Parametros!$A$2:$A$9,0))*Parametros!$N$3</f>
        <v>43394.4</v>
      </c>
      <c r="AH87" s="13" t="n">
        <v>16464</v>
      </c>
      <c r="AI87" s="16" t="n">
        <f aca="false">AH87*Parametros!$N$2</f>
        <v>1514.688</v>
      </c>
      <c r="AJ87" s="18" t="n">
        <v>15086</v>
      </c>
      <c r="AK87" s="18" t="n">
        <v>4814</v>
      </c>
      <c r="AL87" s="17" t="n">
        <f aca="false">AG87+AI87+AJ87+AK87</f>
        <v>64809.088</v>
      </c>
      <c r="AM87" s="20" t="n">
        <f aca="false">IF(L87&gt;0,AL87/L87,0)</f>
        <v>0.206597729656324</v>
      </c>
      <c r="AN87" s="16" t="n">
        <f aca="false">L87*INDEX(Parametros!$G$2:$G$9,MATCH($E87,Parametros!$A$2:$A$9,0))</f>
        <v>508189.14</v>
      </c>
      <c r="AO87" s="17" t="n">
        <f aca="false">AN87-AC87-AL87</f>
        <v>132004.952</v>
      </c>
      <c r="AP87" s="15" t="n">
        <f aca="false">IF(AN87&gt;0,AO87/AN87,0)</f>
        <v>0.25975555479206</v>
      </c>
      <c r="AQ87" s="16" t="n">
        <f aca="false">INDEX(Parametros!$I$2:$I$9,MATCH($E87,Parametros!$A$2:$A$9,0))</f>
        <v>28000000</v>
      </c>
      <c r="AR87" s="19" t="n">
        <f aca="false">IF(AQ87&gt;0,AO87/AQ87,0)</f>
        <v>0.00471446257142857</v>
      </c>
    </row>
    <row r="88" customFormat="false" ht="15" hidden="false" customHeight="false" outlineLevel="0" collapsed="false">
      <c r="A88" s="5" t="s">
        <v>223</v>
      </c>
      <c r="B88" s="9" t="n">
        <v>45621</v>
      </c>
      <c r="C88" s="2" t="str">
        <f aca="false">TEXT(B88,"yyyy")</f>
        <v>2024</v>
      </c>
      <c r="D88" s="2" t="n">
        <f aca="false">WEEKNUM(B88,2)</f>
        <v>48</v>
      </c>
      <c r="E88" s="5" t="s">
        <v>142</v>
      </c>
      <c r="F88" s="6" t="str">
        <f aca="false">INDEX(Parametros!$B$2:$B$9,MATCH($E88,Parametros!$A$2:$A$9,0))</f>
        <v>Porciones single serve</v>
      </c>
      <c r="G88" s="10" t="n">
        <v>123.7</v>
      </c>
      <c r="H88" s="10" t="n">
        <v>8.2</v>
      </c>
      <c r="I88" s="11" t="n">
        <f aca="false">SUMIFS(Eventos_Paro!$J$2:$J$2186,Eventos_Paro!$D$2:$D$2186,$E88,Eventos_Paro!$B$2:$B$2186,$B88)</f>
        <v>1.1</v>
      </c>
      <c r="J88" s="12" t="n">
        <f aca="false">G88-H88-I88</f>
        <v>114.4</v>
      </c>
      <c r="K88" s="13" t="n">
        <v>233229</v>
      </c>
      <c r="L88" s="13" t="n">
        <v>224961</v>
      </c>
      <c r="M88" s="13" t="n">
        <v>12070</v>
      </c>
      <c r="N88" s="14" t="n">
        <f aca="false">L88+M88</f>
        <v>237031</v>
      </c>
      <c r="O88" s="11" t="n">
        <f aca="false">INDEX(Parametros!$D$2:$D$9,MATCH($E88,Parametros!$A$2:$A$9,0))</f>
        <v>2600</v>
      </c>
      <c r="P88" s="15" t="n">
        <f aca="false">IF((G88-H88)&gt;0,J88/(G88-H88),0)</f>
        <v>0.990476190476191</v>
      </c>
      <c r="Q88" s="15" t="n">
        <f aca="false">IF(J88*O88&gt;0,N88/(O88*J88),0)</f>
        <v>0.796903577192039</v>
      </c>
      <c r="R88" s="15" t="n">
        <f aca="false">IF(N88&gt;0,L88/N88,0)</f>
        <v>0.94907839059026</v>
      </c>
      <c r="S88" s="15" t="n">
        <f aca="false">P88*Q88*R88</f>
        <v>0.749120879120879</v>
      </c>
      <c r="T88" s="15" t="n">
        <f aca="false">IF(K88&gt;0,L88/K88,0)</f>
        <v>0.964549863010175</v>
      </c>
      <c r="U88" s="10" t="n">
        <v>2011.6</v>
      </c>
      <c r="V88" s="5" t="n">
        <v>16</v>
      </c>
      <c r="W88" s="10" t="n">
        <v>32.4</v>
      </c>
      <c r="X88" s="15" t="n">
        <f aca="false">IF(U88&gt;0,W88/U88,0)</f>
        <v>0.0161065818254126</v>
      </c>
      <c r="Y88" s="12" t="n">
        <f aca="false">IF(U88&gt;0,L88/U88,0)</f>
        <v>111.831875124279</v>
      </c>
      <c r="Z88" s="16" t="n">
        <f aca="false">L88*INDEX(Parametros!$E$2:$E$9,MATCH($E88,Parametros!$A$2:$A$9,0))</f>
        <v>166471.14</v>
      </c>
      <c r="AA88" s="16" t="n">
        <f aca="false">Z88*INDEX(Parametros!$F$2:$F$9,MATCH($E88,Parametros!$A$2:$A$9,0))</f>
        <v>7491.2013</v>
      </c>
      <c r="AB88" s="17" t="n">
        <f aca="false">Z88+AA88</f>
        <v>173962.3413</v>
      </c>
      <c r="AC88" s="18" t="n">
        <v>174921.1</v>
      </c>
      <c r="AD88" s="17" t="n">
        <f aca="false">AC88-AB88</f>
        <v>958.758700000035</v>
      </c>
      <c r="AE88" s="17" t="n">
        <f aca="false">AA88+AD88</f>
        <v>8449.96000000003</v>
      </c>
      <c r="AF88" s="19" t="n">
        <f aca="false">IF(Z88&gt;0,AE88/Z88,0)</f>
        <v>0.0507593087907011</v>
      </c>
      <c r="AG88" s="16" t="n">
        <f aca="false">(U88-W88)*INDEX(Parametros!$H$2:$H$9,MATCH($E88,Parametros!$A$2:$A$9,0))+W88*INDEX(Parametros!$H$2:$H$9,MATCH($E88,Parametros!$A$2:$A$9,0))*Parametros!$N$3</f>
        <v>60834</v>
      </c>
      <c r="AH88" s="13" t="n">
        <v>12488</v>
      </c>
      <c r="AI88" s="16" t="n">
        <f aca="false">AH88*Parametros!$N$2</f>
        <v>1148.896</v>
      </c>
      <c r="AJ88" s="18" t="n">
        <v>11869</v>
      </c>
      <c r="AK88" s="18" t="n">
        <v>841</v>
      </c>
      <c r="AL88" s="17" t="n">
        <f aca="false">AG88+AI88+AJ88+AK88</f>
        <v>74692.896</v>
      </c>
      <c r="AM88" s="20" t="n">
        <f aca="false">IF(L88&gt;0,AL88/L88,0)</f>
        <v>0.332025977836158</v>
      </c>
      <c r="AN88" s="16" t="n">
        <f aca="false">L88*INDEX(Parametros!$G$2:$G$9,MATCH($E88,Parametros!$A$2:$A$9,0))</f>
        <v>386932.92</v>
      </c>
      <c r="AO88" s="17" t="n">
        <f aca="false">AN88-AC88-AL88</f>
        <v>137318.924</v>
      </c>
      <c r="AP88" s="15" t="n">
        <f aca="false">IF(AN88&gt;0,AO88/AN88,0)</f>
        <v>0.354890775382979</v>
      </c>
      <c r="AQ88" s="16" t="n">
        <f aca="false">INDEX(Parametros!$I$2:$I$9,MATCH($E88,Parametros!$A$2:$A$9,0))</f>
        <v>15900000</v>
      </c>
      <c r="AR88" s="19" t="n">
        <f aca="false">IF(AQ88&gt;0,AO88/AQ88,0)</f>
        <v>0.00863641031446541</v>
      </c>
    </row>
    <row r="89" customFormat="false" ht="15" hidden="false" customHeight="false" outlineLevel="0" collapsed="false">
      <c r="A89" s="5" t="s">
        <v>224</v>
      </c>
      <c r="B89" s="9" t="n">
        <v>45621</v>
      </c>
      <c r="C89" s="2" t="str">
        <f aca="false">TEXT(B89,"yyyy")</f>
        <v>2024</v>
      </c>
      <c r="D89" s="2" t="n">
        <f aca="false">WEEKNUM(B89,2)</f>
        <v>48</v>
      </c>
      <c r="E89" s="5" t="s">
        <v>144</v>
      </c>
      <c r="F89" s="6" t="str">
        <f aca="false">INDEX(Parametros!$B$2:$B$9,MATCH($E89,Parametros!$A$2:$A$9,0))</f>
        <v>Salsas picantes</v>
      </c>
      <c r="G89" s="10" t="n">
        <v>94.6</v>
      </c>
      <c r="H89" s="10" t="n">
        <v>7.7</v>
      </c>
      <c r="I89" s="11" t="n">
        <f aca="false">SUMIFS(Eventos_Paro!$J$2:$J$2186,Eventos_Paro!$D$2:$D$2186,$E89,Eventos_Paro!$B$2:$B$2186,$B89)</f>
        <v>0.266666666666667</v>
      </c>
      <c r="J89" s="12" t="n">
        <f aca="false">G89-H89-I89</f>
        <v>86.6333333333333</v>
      </c>
      <c r="K89" s="13" t="n">
        <v>225317</v>
      </c>
      <c r="L89" s="13" t="n">
        <v>219703</v>
      </c>
      <c r="M89" s="13" t="n">
        <v>6077</v>
      </c>
      <c r="N89" s="14" t="n">
        <f aca="false">L89+M89</f>
        <v>225780</v>
      </c>
      <c r="O89" s="11" t="n">
        <f aca="false">INDEX(Parametros!$D$2:$D$9,MATCH($E89,Parametros!$A$2:$A$9,0))</f>
        <v>3100</v>
      </c>
      <c r="P89" s="15" t="n">
        <f aca="false">IF((G89-H89)&gt;0,J89/(G89-H89),0)</f>
        <v>0.996931338703491</v>
      </c>
      <c r="Q89" s="15" t="n">
        <f aca="false">IF(J89*O89&gt;0,N89/(O89*J89),0)</f>
        <v>0.84069555288014</v>
      </c>
      <c r="R89" s="15" t="n">
        <f aca="false">IF(N89&gt;0,L89/N89,0)</f>
        <v>0.973084418460448</v>
      </c>
      <c r="S89" s="15" t="n">
        <f aca="false">P89*Q89*R89</f>
        <v>0.815557370355247</v>
      </c>
      <c r="T89" s="15" t="n">
        <f aca="false">IF(K89&gt;0,L89/K89,0)</f>
        <v>0.975083992774624</v>
      </c>
      <c r="U89" s="10" t="n">
        <v>807.9</v>
      </c>
      <c r="V89" s="5" t="n">
        <v>8</v>
      </c>
      <c r="W89" s="10" t="n">
        <v>51.1</v>
      </c>
      <c r="X89" s="15" t="n">
        <f aca="false">IF(U89&gt;0,W89/U89,0)</f>
        <v>0.0632504022775096</v>
      </c>
      <c r="Y89" s="12" t="n">
        <f aca="false">IF(U89&gt;0,L89/U89,0)</f>
        <v>271.943309815571</v>
      </c>
      <c r="Z89" s="16" t="n">
        <f aca="false">L89*INDEX(Parametros!$E$2:$E$9,MATCH($E89,Parametros!$A$2:$A$9,0))</f>
        <v>145003.98</v>
      </c>
      <c r="AA89" s="16" t="n">
        <f aca="false">Z89*INDEX(Parametros!$F$2:$F$9,MATCH($E89,Parametros!$A$2:$A$9,0))</f>
        <v>3770.10348</v>
      </c>
      <c r="AB89" s="17" t="n">
        <f aca="false">Z89+AA89</f>
        <v>148774.08348</v>
      </c>
      <c r="AC89" s="18" t="n">
        <v>148706.2</v>
      </c>
      <c r="AD89" s="17" t="n">
        <f aca="false">AC89-AB89</f>
        <v>-67.8834799999895</v>
      </c>
      <c r="AE89" s="17" t="n">
        <f aca="false">AA89+AD89</f>
        <v>3702.22000000001</v>
      </c>
      <c r="AF89" s="19" t="n">
        <f aca="false">IF(Z89&gt;0,AE89/Z89,0)</f>
        <v>0.0255318509188507</v>
      </c>
      <c r="AG89" s="16" t="n">
        <f aca="false">(U89-W89)*INDEX(Parametros!$H$2:$H$9,MATCH($E89,Parametros!$A$2:$A$9,0))+W89*INDEX(Parametros!$H$2:$H$9,MATCH($E89,Parametros!$A$2:$A$9,0))*Parametros!$N$3</f>
        <v>26253.675</v>
      </c>
      <c r="AH89" s="13" t="n">
        <v>10791</v>
      </c>
      <c r="AI89" s="16" t="n">
        <f aca="false">AH89*Parametros!$N$2</f>
        <v>992.772</v>
      </c>
      <c r="AJ89" s="18" t="n">
        <v>6932</v>
      </c>
      <c r="AK89" s="18" t="n">
        <v>281</v>
      </c>
      <c r="AL89" s="17" t="n">
        <f aca="false">AG89+AI89+AJ89+AK89</f>
        <v>34459.447</v>
      </c>
      <c r="AM89" s="20" t="n">
        <f aca="false">IF(L89&gt;0,AL89/L89,0)</f>
        <v>0.156845591548591</v>
      </c>
      <c r="AN89" s="16" t="n">
        <f aca="false">L89*INDEX(Parametros!$G$2:$G$9,MATCH($E89,Parametros!$A$2:$A$9,0))</f>
        <v>274628.75</v>
      </c>
      <c r="AO89" s="17" t="n">
        <f aca="false">AN89-AC89-AL89</f>
        <v>91463.103</v>
      </c>
      <c r="AP89" s="15" t="n">
        <f aca="false">IF(AN89&gt;0,AO89/AN89,0)</f>
        <v>0.333042709475974</v>
      </c>
      <c r="AQ89" s="16" t="n">
        <f aca="false">INDEX(Parametros!$I$2:$I$9,MATCH($E89,Parametros!$A$2:$A$9,0))</f>
        <v>13300000</v>
      </c>
      <c r="AR89" s="19" t="n">
        <f aca="false">IF(AQ89&gt;0,AO89/AQ89,0)</f>
        <v>0.00687692503759398</v>
      </c>
    </row>
    <row r="90" customFormat="false" ht="15" hidden="false" customHeight="false" outlineLevel="0" collapsed="false">
      <c r="A90" s="5" t="s">
        <v>225</v>
      </c>
      <c r="B90" s="9" t="n">
        <v>45628</v>
      </c>
      <c r="C90" s="2" t="str">
        <f aca="false">TEXT(B90,"yyyy")</f>
        <v>2024</v>
      </c>
      <c r="D90" s="2" t="n">
        <f aca="false">WEEKNUM(B90,2)</f>
        <v>49</v>
      </c>
      <c r="E90" s="5" t="s">
        <v>130</v>
      </c>
      <c r="F90" s="6" t="str">
        <f aca="false">INDEX(Parametros!$B$2:$B$9,MATCH($E90,Parametros!$A$2:$A$9,0))</f>
        <v>Ketchup botella</v>
      </c>
      <c r="G90" s="10" t="n">
        <v>106.2</v>
      </c>
      <c r="H90" s="10" t="n">
        <v>5.4</v>
      </c>
      <c r="I90" s="11" t="n">
        <f aca="false">SUMIFS(Eventos_Paro!$J$2:$J$2186,Eventos_Paro!$D$2:$D$2186,$E90,Eventos_Paro!$B$2:$B$2186,$B90)</f>
        <v>2.91666666666667</v>
      </c>
      <c r="J90" s="12" t="n">
        <f aca="false">G90-H90-I90</f>
        <v>97.8833333333333</v>
      </c>
      <c r="K90" s="13" t="n">
        <v>702348</v>
      </c>
      <c r="L90" s="13" t="n">
        <v>737925</v>
      </c>
      <c r="M90" s="13" t="n">
        <v>18124</v>
      </c>
      <c r="N90" s="14" t="n">
        <f aca="false">L90+M90</f>
        <v>756049</v>
      </c>
      <c r="O90" s="11" t="n">
        <f aca="false">INDEX(Parametros!$D$2:$D$9,MATCH($E90,Parametros!$A$2:$A$9,0))</f>
        <v>9000</v>
      </c>
      <c r="P90" s="15" t="n">
        <f aca="false">IF((G90-H90)&gt;0,J90/(G90-H90),0)</f>
        <v>0.971064814814815</v>
      </c>
      <c r="Q90" s="15" t="n">
        <f aca="false">IF(J90*O90&gt;0,N90/(O90*J90),0)</f>
        <v>0.858220103297577</v>
      </c>
      <c r="R90" s="15" t="n">
        <f aca="false">IF(N90&gt;0,L90/N90,0)</f>
        <v>0.976028008766628</v>
      </c>
      <c r="S90" s="15" t="n">
        <f aca="false">P90*Q90*R90</f>
        <v>0.813409391534392</v>
      </c>
      <c r="T90" s="15" t="n">
        <f aca="false">IF(K90&gt;0,L90/K90,0)</f>
        <v>1.05065437646295</v>
      </c>
      <c r="U90" s="10" t="n">
        <v>1568.3</v>
      </c>
      <c r="V90" s="5" t="n">
        <v>14</v>
      </c>
      <c r="W90" s="10" t="n">
        <v>81.5</v>
      </c>
      <c r="X90" s="15" t="n">
        <f aca="false">IF(U90&gt;0,W90/U90,0)</f>
        <v>0.051967098131735</v>
      </c>
      <c r="Y90" s="12" t="n">
        <f aca="false">IF(U90&gt;0,L90/U90,0)</f>
        <v>470.525409679271</v>
      </c>
      <c r="Z90" s="16" t="n">
        <f aca="false">L90*INDEX(Parametros!$E$2:$E$9,MATCH($E90,Parametros!$A$2:$A$9,0))</f>
        <v>309928.5</v>
      </c>
      <c r="AA90" s="16" t="n">
        <f aca="false">Z90*INDEX(Parametros!$F$2:$F$9,MATCH($E90,Parametros!$A$2:$A$9,0))</f>
        <v>6198.57</v>
      </c>
      <c r="AB90" s="17" t="n">
        <f aca="false">Z90+AA90</f>
        <v>316127.07</v>
      </c>
      <c r="AC90" s="18" t="n">
        <v>315184.12</v>
      </c>
      <c r="AD90" s="17" t="n">
        <f aca="false">AC90-AB90</f>
        <v>-942.950000000012</v>
      </c>
      <c r="AE90" s="17" t="n">
        <f aca="false">AA90+AD90</f>
        <v>5255.61999999999</v>
      </c>
      <c r="AF90" s="19" t="n">
        <f aca="false">IF(Z90&gt;0,AE90/Z90,0)</f>
        <v>0.0169575240741009</v>
      </c>
      <c r="AG90" s="16" t="n">
        <f aca="false">(U90-W90)*INDEX(Parametros!$H$2:$H$9,MATCH($E90,Parametros!$A$2:$A$9,0))+W90*INDEX(Parametros!$H$2:$H$9,MATCH($E90,Parametros!$A$2:$A$9,0))*Parametros!$N$3</f>
        <v>50685.075</v>
      </c>
      <c r="AH90" s="13" t="n">
        <v>36898</v>
      </c>
      <c r="AI90" s="16" t="n">
        <f aca="false">AH90*Parametros!$N$2</f>
        <v>3394.616</v>
      </c>
      <c r="AJ90" s="18" t="n">
        <v>14667</v>
      </c>
      <c r="AK90" s="18" t="n">
        <v>3602</v>
      </c>
      <c r="AL90" s="17" t="n">
        <f aca="false">AG90+AI90+AJ90+AK90</f>
        <v>72348.691</v>
      </c>
      <c r="AM90" s="20" t="n">
        <f aca="false">IF(L90&gt;0,AL90/L90,0)</f>
        <v>0.0980434204018023</v>
      </c>
      <c r="AN90" s="16" t="n">
        <f aca="false">L90*INDEX(Parametros!$G$2:$G$9,MATCH($E90,Parametros!$A$2:$A$9,0))</f>
        <v>523926.75</v>
      </c>
      <c r="AO90" s="17" t="n">
        <f aca="false">AN90-AC90-AL90</f>
        <v>136393.939</v>
      </c>
      <c r="AP90" s="15" t="n">
        <f aca="false">IF(AN90&gt;0,AO90/AN90,0)</f>
        <v>0.260330168291655</v>
      </c>
      <c r="AQ90" s="16" t="n">
        <f aca="false">INDEX(Parametros!$I$2:$I$9,MATCH($E90,Parametros!$A$2:$A$9,0))</f>
        <v>29300000</v>
      </c>
      <c r="AR90" s="19" t="n">
        <f aca="false">IF(AQ90&gt;0,AO90/AQ90,0)</f>
        <v>0.00465508324232082</v>
      </c>
    </row>
    <row r="91" customFormat="false" ht="15" hidden="false" customHeight="false" outlineLevel="0" collapsed="false">
      <c r="A91" s="5" t="s">
        <v>226</v>
      </c>
      <c r="B91" s="9" t="n">
        <v>45628</v>
      </c>
      <c r="C91" s="2" t="str">
        <f aca="false">TEXT(B91,"yyyy")</f>
        <v>2024</v>
      </c>
      <c r="D91" s="2" t="n">
        <f aca="false">WEEKNUM(B91,2)</f>
        <v>49</v>
      </c>
      <c r="E91" s="5" t="s">
        <v>132</v>
      </c>
      <c r="F91" s="6" t="str">
        <f aca="false">INDEX(Parametros!$B$2:$B$9,MATCH($E91,Parametros!$A$2:$A$9,0))</f>
        <v>Mayonesa frasco</v>
      </c>
      <c r="G91" s="10" t="n">
        <v>105.4</v>
      </c>
      <c r="H91" s="10" t="n">
        <v>7.9</v>
      </c>
      <c r="I91" s="11" t="n">
        <f aca="false">SUMIFS(Eventos_Paro!$J$2:$J$2186,Eventos_Paro!$D$2:$D$2186,$E91,Eventos_Paro!$B$2:$B$2186,$B91)</f>
        <v>4</v>
      </c>
      <c r="J91" s="12" t="n">
        <f aca="false">G91-H91-I91</f>
        <v>93.5</v>
      </c>
      <c r="K91" s="13" t="n">
        <v>490645</v>
      </c>
      <c r="L91" s="13" t="n">
        <v>508795</v>
      </c>
      <c r="M91" s="13" t="n">
        <v>14739</v>
      </c>
      <c r="N91" s="14" t="n">
        <f aca="false">L91+M91</f>
        <v>523534</v>
      </c>
      <c r="O91" s="11" t="n">
        <f aca="false">INDEX(Parametros!$D$2:$D$9,MATCH($E91,Parametros!$A$2:$A$9,0))</f>
        <v>6500</v>
      </c>
      <c r="P91" s="15" t="n">
        <f aca="false">IF((G91-H91)&gt;0,J91/(G91-H91),0)</f>
        <v>0.958974358974359</v>
      </c>
      <c r="Q91" s="15" t="n">
        <f aca="false">IF(J91*O91&gt;0,N91/(O91*J91),0)</f>
        <v>0.861429864253394</v>
      </c>
      <c r="R91" s="15" t="n">
        <f aca="false">IF(N91&gt;0,L91/N91,0)</f>
        <v>0.971847100665859</v>
      </c>
      <c r="S91" s="15" t="n">
        <f aca="false">P91*Q91*R91</f>
        <v>0.80283234714004</v>
      </c>
      <c r="T91" s="15" t="n">
        <f aca="false">IF(K91&gt;0,L91/K91,0)</f>
        <v>1.03699212261411</v>
      </c>
      <c r="U91" s="10" t="n">
        <v>1434.2</v>
      </c>
      <c r="V91" s="5" t="n">
        <v>13</v>
      </c>
      <c r="W91" s="10" t="n">
        <v>64</v>
      </c>
      <c r="X91" s="15" t="n">
        <f aca="false">IF(U91&gt;0,W91/U91,0)</f>
        <v>0.0446241807279319</v>
      </c>
      <c r="Y91" s="12" t="n">
        <f aca="false">IF(U91&gt;0,L91/U91,0)</f>
        <v>354.75875052294</v>
      </c>
      <c r="Z91" s="16" t="n">
        <f aca="false">L91*INDEX(Parametros!$E$2:$E$9,MATCH($E91,Parametros!$A$2:$A$9,0))</f>
        <v>310364.95</v>
      </c>
      <c r="AA91" s="16" t="n">
        <f aca="false">Z91*INDEX(Parametros!$F$2:$F$9,MATCH($E91,Parametros!$A$2:$A$9,0))</f>
        <v>7759.12375</v>
      </c>
      <c r="AB91" s="17" t="n">
        <f aca="false">Z91+AA91</f>
        <v>318124.07375</v>
      </c>
      <c r="AC91" s="18" t="n">
        <v>323527.88</v>
      </c>
      <c r="AD91" s="17" t="n">
        <f aca="false">AC91-AB91</f>
        <v>5403.80624999997</v>
      </c>
      <c r="AE91" s="17" t="n">
        <f aca="false">AA91+AD91</f>
        <v>13162.93</v>
      </c>
      <c r="AF91" s="19" t="n">
        <f aca="false">IF(Z91&gt;0,AE91/Z91,0)</f>
        <v>0.0424111356646424</v>
      </c>
      <c r="AG91" s="16" t="n">
        <f aca="false">(U91-W91)*INDEX(Parametros!$H$2:$H$9,MATCH($E91,Parametros!$A$2:$A$9,0))+W91*INDEX(Parametros!$H$2:$H$9,MATCH($E91,Parametros!$A$2:$A$9,0))*Parametros!$N$3</f>
        <v>46185.3</v>
      </c>
      <c r="AH91" s="13" t="n">
        <v>27819</v>
      </c>
      <c r="AI91" s="16" t="n">
        <f aca="false">AH91*Parametros!$N$2</f>
        <v>2559.348</v>
      </c>
      <c r="AJ91" s="18" t="n">
        <v>13382</v>
      </c>
      <c r="AK91" s="18" t="n">
        <v>3856</v>
      </c>
      <c r="AL91" s="17" t="n">
        <f aca="false">AG91+AI91+AJ91+AK91</f>
        <v>65982.648</v>
      </c>
      <c r="AM91" s="20" t="n">
        <f aca="false">IF(L91&gt;0,AL91/L91,0)</f>
        <v>0.129684151770359</v>
      </c>
      <c r="AN91" s="16" t="n">
        <f aca="false">L91*INDEX(Parametros!$G$2:$G$9,MATCH($E91,Parametros!$A$2:$A$9,0))</f>
        <v>488443.2</v>
      </c>
      <c r="AO91" s="17" t="n">
        <f aca="false">AN91-AC91-AL91</f>
        <v>98932.672</v>
      </c>
      <c r="AP91" s="15" t="n">
        <f aca="false">IF(AN91&gt;0,AO91/AN91,0)</f>
        <v>0.202546932785634</v>
      </c>
      <c r="AQ91" s="16" t="n">
        <f aca="false">INDEX(Parametros!$I$2:$I$9,MATCH($E91,Parametros!$A$2:$A$9,0))</f>
        <v>29700000</v>
      </c>
      <c r="AR91" s="19" t="n">
        <f aca="false">IF(AQ91&gt;0,AO91/AQ91,0)</f>
        <v>0.0033310663973064</v>
      </c>
    </row>
    <row r="92" customFormat="false" ht="15" hidden="false" customHeight="false" outlineLevel="0" collapsed="false">
      <c r="A92" s="5" t="s">
        <v>227</v>
      </c>
      <c r="B92" s="9" t="n">
        <v>45628</v>
      </c>
      <c r="C92" s="2" t="str">
        <f aca="false">TEXT(B92,"yyyy")</f>
        <v>2024</v>
      </c>
      <c r="D92" s="2" t="n">
        <f aca="false">WEEKNUM(B92,2)</f>
        <v>49</v>
      </c>
      <c r="E92" s="5" t="s">
        <v>134</v>
      </c>
      <c r="F92" s="6" t="str">
        <f aca="false">INDEX(Parametros!$B$2:$B$9,MATCH($E92,Parametros!$A$2:$A$9,0))</f>
        <v>Aderezos vertibles</v>
      </c>
      <c r="G92" s="10" t="n">
        <v>105.5</v>
      </c>
      <c r="H92" s="10" t="n">
        <v>6.4</v>
      </c>
      <c r="I92" s="11" t="n">
        <f aca="false">SUMIFS(Eventos_Paro!$J$2:$J$2186,Eventos_Paro!$D$2:$D$2186,$E92,Eventos_Paro!$B$2:$B$2186,$B92)</f>
        <v>1.05</v>
      </c>
      <c r="J92" s="12" t="n">
        <f aca="false">G92-H92-I92</f>
        <v>98.05</v>
      </c>
      <c r="K92" s="13" t="n">
        <v>398957</v>
      </c>
      <c r="L92" s="13" t="n">
        <v>429066</v>
      </c>
      <c r="M92" s="13" t="n">
        <v>15850</v>
      </c>
      <c r="N92" s="14" t="n">
        <f aca="false">L92+M92</f>
        <v>444916</v>
      </c>
      <c r="O92" s="11" t="n">
        <f aca="false">INDEX(Parametros!$D$2:$D$9,MATCH($E92,Parametros!$A$2:$A$9,0))</f>
        <v>5200</v>
      </c>
      <c r="P92" s="15" t="n">
        <f aca="false">IF((G92-H92)&gt;0,J92/(G92-H92),0)</f>
        <v>0.989404641775984</v>
      </c>
      <c r="Q92" s="15" t="n">
        <f aca="false">IF(J92*O92&gt;0,N92/(O92*J92),0)</f>
        <v>0.872623857529518</v>
      </c>
      <c r="R92" s="15" t="n">
        <f aca="false">IF(N92&gt;0,L92/N92,0)</f>
        <v>0.964375297809025</v>
      </c>
      <c r="S92" s="15" t="n">
        <f aca="false">P92*Q92*R92</f>
        <v>0.832620507645735</v>
      </c>
      <c r="T92" s="15" t="n">
        <f aca="false">IF(K92&gt;0,L92/K92,0)</f>
        <v>1.07546928616367</v>
      </c>
      <c r="U92" s="10" t="n">
        <v>1216.2</v>
      </c>
      <c r="V92" s="5" t="n">
        <v>11</v>
      </c>
      <c r="W92" s="10" t="n">
        <v>55.7</v>
      </c>
      <c r="X92" s="15" t="n">
        <f aca="false">IF(U92&gt;0,W92/U92,0)</f>
        <v>0.0457983884229568</v>
      </c>
      <c r="Y92" s="12" t="n">
        <f aca="false">IF(U92&gt;0,L92/U92,0)</f>
        <v>352.792303897385</v>
      </c>
      <c r="Z92" s="16" t="n">
        <f aca="false">L92*INDEX(Parametros!$E$2:$E$9,MATCH($E92,Parametros!$A$2:$A$9,0))</f>
        <v>235986.3</v>
      </c>
      <c r="AA92" s="16" t="n">
        <f aca="false">Z92*INDEX(Parametros!$F$2:$F$9,MATCH($E92,Parametros!$A$2:$A$9,0))</f>
        <v>7079.589</v>
      </c>
      <c r="AB92" s="17" t="n">
        <f aca="false">Z92+AA92</f>
        <v>243065.889</v>
      </c>
      <c r="AC92" s="18" t="n">
        <v>244531.65</v>
      </c>
      <c r="AD92" s="17" t="n">
        <f aca="false">AC92-AB92</f>
        <v>1465.76099999997</v>
      </c>
      <c r="AE92" s="17" t="n">
        <f aca="false">AA92+AD92</f>
        <v>8545.34999999997</v>
      </c>
      <c r="AF92" s="19" t="n">
        <f aca="false">IF(Z92&gt;0,AE92/Z92,0)</f>
        <v>0.0362112122610506</v>
      </c>
      <c r="AG92" s="16" t="n">
        <f aca="false">(U92-W92)*INDEX(Parametros!$H$2:$H$9,MATCH($E92,Parametros!$A$2:$A$9,0))+W92*INDEX(Parametros!$H$2:$H$9,MATCH($E92,Parametros!$A$2:$A$9,0))*Parametros!$N$3</f>
        <v>39187.575</v>
      </c>
      <c r="AH92" s="13" t="n">
        <v>23155</v>
      </c>
      <c r="AI92" s="16" t="n">
        <f aca="false">AH92*Parametros!$N$2</f>
        <v>2130.26</v>
      </c>
      <c r="AJ92" s="18" t="n">
        <v>10179</v>
      </c>
      <c r="AK92" s="18" t="n">
        <v>874</v>
      </c>
      <c r="AL92" s="17" t="n">
        <f aca="false">AG92+AI92+AJ92+AK92</f>
        <v>52370.835</v>
      </c>
      <c r="AM92" s="20" t="n">
        <f aca="false">IF(L92&gt;0,AL92/L92,0)</f>
        <v>0.122057760344562</v>
      </c>
      <c r="AN92" s="16" t="n">
        <f aca="false">L92*INDEX(Parametros!$G$2:$G$9,MATCH($E92,Parametros!$A$2:$A$9,0))</f>
        <v>437647.32</v>
      </c>
      <c r="AO92" s="17" t="n">
        <f aca="false">AN92-AC92-AL92</f>
        <v>140744.835</v>
      </c>
      <c r="AP92" s="15" t="n">
        <f aca="false">IF(AN92&gt;0,AO92/AN92,0)</f>
        <v>0.321594189129274</v>
      </c>
      <c r="AQ92" s="16" t="n">
        <f aca="false">INDEX(Parametros!$I$2:$I$9,MATCH($E92,Parametros!$A$2:$A$9,0))</f>
        <v>19300000</v>
      </c>
      <c r="AR92" s="19" t="n">
        <f aca="false">IF(AQ92&gt;0,AO92/AQ92,0)</f>
        <v>0.00729247849740933</v>
      </c>
    </row>
    <row r="93" customFormat="false" ht="15" hidden="false" customHeight="false" outlineLevel="0" collapsed="false">
      <c r="A93" s="5" t="s">
        <v>228</v>
      </c>
      <c r="B93" s="9" t="n">
        <v>45628</v>
      </c>
      <c r="C93" s="2" t="str">
        <f aca="false">TEXT(B93,"yyyy")</f>
        <v>2024</v>
      </c>
      <c r="D93" s="2" t="n">
        <f aca="false">WEEKNUM(B93,2)</f>
        <v>49</v>
      </c>
      <c r="E93" s="5" t="s">
        <v>136</v>
      </c>
      <c r="F93" s="6" t="str">
        <f aca="false">INDEX(Parametros!$B$2:$B$9,MATCH($E93,Parametros!$A$2:$A$9,0))</f>
        <v>Salsa BBQ</v>
      </c>
      <c r="G93" s="10" t="n">
        <v>98.8</v>
      </c>
      <c r="H93" s="10" t="n">
        <v>6.8</v>
      </c>
      <c r="I93" s="11" t="n">
        <f aca="false">SUMIFS(Eventos_Paro!$J$2:$J$2186,Eventos_Paro!$D$2:$D$2186,$E93,Eventos_Paro!$B$2:$B$2186,$B93)</f>
        <v>1.1</v>
      </c>
      <c r="J93" s="12" t="n">
        <f aca="false">G93-H93-I93</f>
        <v>90.9</v>
      </c>
      <c r="K93" s="13" t="n">
        <v>301996</v>
      </c>
      <c r="L93" s="13" t="n">
        <v>362275</v>
      </c>
      <c r="M93" s="13" t="n">
        <v>12602</v>
      </c>
      <c r="N93" s="14" t="n">
        <f aca="false">L93+M93</f>
        <v>374877</v>
      </c>
      <c r="O93" s="11" t="n">
        <f aca="false">INDEX(Parametros!$D$2:$D$9,MATCH($E93,Parametros!$A$2:$A$9,0))</f>
        <v>4800</v>
      </c>
      <c r="P93" s="15" t="n">
        <f aca="false">IF((G93-H93)&gt;0,J93/(G93-H93),0)</f>
        <v>0.98804347826087</v>
      </c>
      <c r="Q93" s="15" t="n">
        <f aca="false">IF(J93*O93&gt;0,N93/(O93*J93),0)</f>
        <v>0.859179042904291</v>
      </c>
      <c r="R93" s="15" t="n">
        <f aca="false">IF(N93&gt;0,L93/N93,0)</f>
        <v>0.966383640500751</v>
      </c>
      <c r="S93" s="15" t="n">
        <f aca="false">P93*Q93*R93</f>
        <v>0.820369112318841</v>
      </c>
      <c r="T93" s="15" t="n">
        <f aca="false">IF(K93&gt;0,L93/K93,0)</f>
        <v>1.1996019814832</v>
      </c>
      <c r="U93" s="10" t="n">
        <v>1227.6</v>
      </c>
      <c r="V93" s="5" t="n">
        <v>12</v>
      </c>
      <c r="W93" s="10" t="n">
        <v>42</v>
      </c>
      <c r="X93" s="15" t="n">
        <f aca="false">IF(U93&gt;0,W93/U93,0)</f>
        <v>0.0342130987292278</v>
      </c>
      <c r="Y93" s="12" t="n">
        <f aca="false">IF(U93&gt;0,L93/U93,0)</f>
        <v>295.108341479309</v>
      </c>
      <c r="Z93" s="16" t="n">
        <f aca="false">L93*INDEX(Parametros!$E$2:$E$9,MATCH($E93,Parametros!$A$2:$A$9,0))</f>
        <v>210119.5</v>
      </c>
      <c r="AA93" s="16" t="n">
        <f aca="false">Z93*INDEX(Parametros!$F$2:$F$9,MATCH($E93,Parametros!$A$2:$A$9,0))</f>
        <v>5883.346</v>
      </c>
      <c r="AB93" s="17" t="n">
        <f aca="false">Z93+AA93</f>
        <v>216002.846</v>
      </c>
      <c r="AC93" s="18" t="n">
        <v>219726.6</v>
      </c>
      <c r="AD93" s="17" t="n">
        <f aca="false">AC93-AB93</f>
        <v>3723.75400000002</v>
      </c>
      <c r="AE93" s="17" t="n">
        <f aca="false">AA93+AD93</f>
        <v>9607.10000000002</v>
      </c>
      <c r="AF93" s="19" t="n">
        <f aca="false">IF(Z93&gt;0,AE93/Z93,0)</f>
        <v>0.0457220771989274</v>
      </c>
      <c r="AG93" s="16" t="n">
        <f aca="false">(U93-W93)*INDEX(Parametros!$H$2:$H$9,MATCH($E93,Parametros!$A$2:$A$9,0))+W93*INDEX(Parametros!$H$2:$H$9,MATCH($E93,Parametros!$A$2:$A$9,0))*Parametros!$N$3</f>
        <v>39330.9</v>
      </c>
      <c r="AH93" s="13" t="n">
        <v>19037</v>
      </c>
      <c r="AI93" s="16" t="n">
        <f aca="false">AH93*Parametros!$N$2</f>
        <v>1751.404</v>
      </c>
      <c r="AJ93" s="18" t="n">
        <v>7849</v>
      </c>
      <c r="AK93" s="18" t="n">
        <v>762</v>
      </c>
      <c r="AL93" s="17" t="n">
        <f aca="false">AG93+AI93+AJ93+AK93</f>
        <v>49693.304</v>
      </c>
      <c r="AM93" s="20" t="n">
        <f aca="false">IF(L93&gt;0,AL93/L93,0)</f>
        <v>0.137170116624112</v>
      </c>
      <c r="AN93" s="16" t="n">
        <f aca="false">L93*INDEX(Parametros!$G$2:$G$9,MATCH($E93,Parametros!$A$2:$A$9,0))</f>
        <v>355029.5</v>
      </c>
      <c r="AO93" s="17" t="n">
        <f aca="false">AN93-AC93-AL93</f>
        <v>85609.596</v>
      </c>
      <c r="AP93" s="15" t="n">
        <f aca="false">IF(AN93&gt;0,AO93/AN93,0)</f>
        <v>0.24113375367399</v>
      </c>
      <c r="AQ93" s="16" t="n">
        <f aca="false">INDEX(Parametros!$I$2:$I$9,MATCH($E93,Parametros!$A$2:$A$9,0))</f>
        <v>17000000</v>
      </c>
      <c r="AR93" s="19" t="n">
        <f aca="false">IF(AQ93&gt;0,AO93/AQ93,0)</f>
        <v>0.00503585858823529</v>
      </c>
    </row>
    <row r="94" customFormat="false" ht="15" hidden="false" customHeight="false" outlineLevel="0" collapsed="false">
      <c r="A94" s="5" t="s">
        <v>229</v>
      </c>
      <c r="B94" s="9" t="n">
        <v>45628</v>
      </c>
      <c r="C94" s="2" t="str">
        <f aca="false">TEXT(B94,"yyyy")</f>
        <v>2024</v>
      </c>
      <c r="D94" s="2" t="n">
        <f aca="false">WEEKNUM(B94,2)</f>
        <v>49</v>
      </c>
      <c r="E94" s="5" t="s">
        <v>138</v>
      </c>
      <c r="F94" s="6" t="str">
        <f aca="false">INDEX(Parametros!$B$2:$B$9,MATCH($E94,Parametros!$A$2:$A$9,0))</f>
        <v>Queso crema</v>
      </c>
      <c r="G94" s="10" t="n">
        <v>106.4</v>
      </c>
      <c r="H94" s="10" t="n">
        <v>5.5</v>
      </c>
      <c r="I94" s="11" t="n">
        <f aca="false">SUMIFS(Eventos_Paro!$J$2:$J$2186,Eventos_Paro!$D$2:$D$2186,$E94,Eventos_Paro!$B$2:$B$2186,$B94)</f>
        <v>0.533333333333333</v>
      </c>
      <c r="J94" s="12" t="n">
        <f aca="false">G94-H94-I94</f>
        <v>100.366666666667</v>
      </c>
      <c r="K94" s="13" t="n">
        <v>296841</v>
      </c>
      <c r="L94" s="13" t="n">
        <v>303252</v>
      </c>
      <c r="M94" s="13" t="n">
        <v>9045</v>
      </c>
      <c r="N94" s="14" t="n">
        <f aca="false">L94+M94</f>
        <v>312297</v>
      </c>
      <c r="O94" s="11" t="n">
        <f aca="false">INDEX(Parametros!$D$2:$D$9,MATCH($E94,Parametros!$A$2:$A$9,0))</f>
        <v>3800</v>
      </c>
      <c r="P94" s="15" t="n">
        <f aca="false">IF((G94-H94)&gt;0,J94/(G94-H94),0)</f>
        <v>0.994714238519987</v>
      </c>
      <c r="Q94" s="15" t="n">
        <f aca="false">IF(J94*O94&gt;0,N94/(O94*J94),0)</f>
        <v>0.818831827160062</v>
      </c>
      <c r="R94" s="15" t="n">
        <f aca="false">IF(N94&gt;0,L94/N94,0)</f>
        <v>0.971037185755867</v>
      </c>
      <c r="S94" s="15" t="n">
        <f aca="false">P94*Q94*R94</f>
        <v>0.790913358718898</v>
      </c>
      <c r="T94" s="15" t="n">
        <f aca="false">IF(K94&gt;0,L94/K94,0)</f>
        <v>1.02159742084146</v>
      </c>
      <c r="U94" s="10" t="n">
        <v>1619</v>
      </c>
      <c r="V94" s="5" t="n">
        <v>14</v>
      </c>
      <c r="W94" s="10" t="n">
        <v>129.4</v>
      </c>
      <c r="X94" s="15" t="n">
        <f aca="false">IF(U94&gt;0,W94/U94,0)</f>
        <v>0.0799258801729463</v>
      </c>
      <c r="Y94" s="12" t="n">
        <f aca="false">IF(U94&gt;0,L94/U94,0)</f>
        <v>187.308214947498</v>
      </c>
      <c r="Z94" s="16" t="n">
        <f aca="false">L94*INDEX(Parametros!$E$2:$E$9,MATCH($E94,Parametros!$A$2:$A$9,0))</f>
        <v>339642.24</v>
      </c>
      <c r="AA94" s="16" t="n">
        <f aca="false">Z94*INDEX(Parametros!$F$2:$F$9,MATCH($E94,Parametros!$A$2:$A$9,0))</f>
        <v>11887.4784</v>
      </c>
      <c r="AB94" s="17" t="n">
        <f aca="false">Z94+AA94</f>
        <v>351529.7184</v>
      </c>
      <c r="AC94" s="18" t="n">
        <v>354019.17</v>
      </c>
      <c r="AD94" s="17" t="n">
        <f aca="false">AC94-AB94</f>
        <v>2489.45159999991</v>
      </c>
      <c r="AE94" s="17" t="n">
        <f aca="false">AA94+AD94</f>
        <v>14376.9299999999</v>
      </c>
      <c r="AF94" s="19" t="n">
        <f aca="false">IF(Z94&gt;0,AE94/Z94,0)</f>
        <v>0.0423296289648776</v>
      </c>
      <c r="AG94" s="16" t="n">
        <f aca="false">(U94-W94)*INDEX(Parametros!$H$2:$H$9,MATCH($E94,Parametros!$A$2:$A$9,0))+W94*INDEX(Parametros!$H$2:$H$9,MATCH($E94,Parametros!$A$2:$A$9,0))*Parametros!$N$3</f>
        <v>55562.1</v>
      </c>
      <c r="AH94" s="13" t="n">
        <v>15648</v>
      </c>
      <c r="AI94" s="16" t="n">
        <f aca="false">AH94*Parametros!$N$2</f>
        <v>1439.616</v>
      </c>
      <c r="AJ94" s="18" t="n">
        <v>17146</v>
      </c>
      <c r="AK94" s="18" t="n">
        <v>526</v>
      </c>
      <c r="AL94" s="17" t="n">
        <f aca="false">AG94+AI94+AJ94+AK94</f>
        <v>74673.716</v>
      </c>
      <c r="AM94" s="20" t="n">
        <f aca="false">IF(L94&gt;0,AL94/L94,0)</f>
        <v>0.246243111339744</v>
      </c>
      <c r="AN94" s="16" t="n">
        <f aca="false">L94*INDEX(Parametros!$G$2:$G$9,MATCH($E94,Parametros!$A$2:$A$9,0))</f>
        <v>542821.08</v>
      </c>
      <c r="AO94" s="17" t="n">
        <f aca="false">AN94-AC94-AL94</f>
        <v>114128.194</v>
      </c>
      <c r="AP94" s="15" t="n">
        <f aca="false">IF(AN94&gt;0,AO94/AN94,0)</f>
        <v>0.210250114089158</v>
      </c>
      <c r="AQ94" s="16" t="n">
        <f aca="false">INDEX(Parametros!$I$2:$I$9,MATCH($E94,Parametros!$A$2:$A$9,0))</f>
        <v>33200000</v>
      </c>
      <c r="AR94" s="19" t="n">
        <f aca="false">IF(AQ94&gt;0,AO94/AQ94,0)</f>
        <v>0.00343759620481928</v>
      </c>
    </row>
    <row r="95" customFormat="false" ht="15" hidden="false" customHeight="false" outlineLevel="0" collapsed="false">
      <c r="A95" s="5" t="s">
        <v>230</v>
      </c>
      <c r="B95" s="9" t="n">
        <v>45628</v>
      </c>
      <c r="C95" s="2" t="str">
        <f aca="false">TEXT(B95,"yyyy")</f>
        <v>2024</v>
      </c>
      <c r="D95" s="2" t="n">
        <f aca="false">WEEKNUM(B95,2)</f>
        <v>49</v>
      </c>
      <c r="E95" s="5" t="s">
        <v>140</v>
      </c>
      <c r="F95" s="6" t="str">
        <f aca="false">INDEX(Parametros!$B$2:$B$9,MATCH($E95,Parametros!$A$2:$A$9,0))</f>
        <v>Crema de cacahuate</v>
      </c>
      <c r="G95" s="10" t="n">
        <v>100.6</v>
      </c>
      <c r="H95" s="10" t="n">
        <v>6.4</v>
      </c>
      <c r="I95" s="11" t="n">
        <f aca="false">SUMIFS(Eventos_Paro!$J$2:$J$2186,Eventos_Paro!$D$2:$D$2186,$E95,Eventos_Paro!$B$2:$B$2186,$B95)</f>
        <v>1.66666666666667</v>
      </c>
      <c r="J95" s="12" t="n">
        <f aca="false">G95-H95-I95</f>
        <v>92.5333333333333</v>
      </c>
      <c r="K95" s="13" t="n">
        <v>306302</v>
      </c>
      <c r="L95" s="13" t="n">
        <v>327475</v>
      </c>
      <c r="M95" s="13" t="n">
        <v>8365</v>
      </c>
      <c r="N95" s="14" t="n">
        <f aca="false">L95+M95</f>
        <v>335840</v>
      </c>
      <c r="O95" s="11" t="n">
        <f aca="false">INDEX(Parametros!$D$2:$D$9,MATCH($E95,Parametros!$A$2:$A$9,0))</f>
        <v>4200</v>
      </c>
      <c r="P95" s="15" t="n">
        <f aca="false">IF((G95-H95)&gt;0,J95/(G95-H95),0)</f>
        <v>0.982307147912243</v>
      </c>
      <c r="Q95" s="15" t="n">
        <f aca="false">IF(J95*O95&gt;0,N95/(O95*J95),0)</f>
        <v>0.864141622066694</v>
      </c>
      <c r="R95" s="15" t="n">
        <f aca="false">IF(N95&gt;0,L95/N95,0)</f>
        <v>0.975092305859933</v>
      </c>
      <c r="S95" s="15" t="n">
        <f aca="false">P95*Q95*R95</f>
        <v>0.827709533919725</v>
      </c>
      <c r="T95" s="15" t="n">
        <f aca="false">IF(K95&gt;0,L95/K95,0)</f>
        <v>1.06912458945746</v>
      </c>
      <c r="U95" s="10" t="n">
        <v>1306.1</v>
      </c>
      <c r="V95" s="5" t="n">
        <v>12</v>
      </c>
      <c r="W95" s="10" t="n">
        <v>98.9</v>
      </c>
      <c r="X95" s="15" t="n">
        <f aca="false">IF(U95&gt;0,W95/U95,0)</f>
        <v>0.07572161396524</v>
      </c>
      <c r="Y95" s="12" t="n">
        <f aca="false">IF(U95&gt;0,L95/U95,0)</f>
        <v>250.727356251436</v>
      </c>
      <c r="Z95" s="16" t="n">
        <f aca="false">L95*INDEX(Parametros!$E$2:$E$9,MATCH($E95,Parametros!$A$2:$A$9,0))</f>
        <v>317650.75</v>
      </c>
      <c r="AA95" s="16" t="n">
        <f aca="false">Z95*INDEX(Parametros!$F$2:$F$9,MATCH($E95,Parametros!$A$2:$A$9,0))</f>
        <v>6988.3165</v>
      </c>
      <c r="AB95" s="17" t="n">
        <f aca="false">Z95+AA95</f>
        <v>324639.0665</v>
      </c>
      <c r="AC95" s="18" t="n">
        <v>320683.13</v>
      </c>
      <c r="AD95" s="17" t="n">
        <f aca="false">AC95-AB95</f>
        <v>-3955.93650000001</v>
      </c>
      <c r="AE95" s="17" t="n">
        <f aca="false">AA95+AD95</f>
        <v>3032.37999999999</v>
      </c>
      <c r="AF95" s="19" t="n">
        <f aca="false">IF(Z95&gt;0,AE95/Z95,0)</f>
        <v>0.009546270550282</v>
      </c>
      <c r="AG95" s="16" t="n">
        <f aca="false">(U95-W95)*INDEX(Parametros!$H$2:$H$9,MATCH($E95,Parametros!$A$2:$A$9,0))+W95*INDEX(Parametros!$H$2:$H$9,MATCH($E95,Parametros!$A$2:$A$9,0))*Parametros!$N$3</f>
        <v>42699.825</v>
      </c>
      <c r="AH95" s="13" t="n">
        <v>16795</v>
      </c>
      <c r="AI95" s="16" t="n">
        <f aca="false">AH95*Parametros!$N$2</f>
        <v>1545.14</v>
      </c>
      <c r="AJ95" s="18" t="n">
        <v>11145</v>
      </c>
      <c r="AK95" s="18" t="n">
        <v>1240</v>
      </c>
      <c r="AL95" s="17" t="n">
        <f aca="false">AG95+AI95+AJ95+AK95</f>
        <v>56629.965</v>
      </c>
      <c r="AM95" s="20" t="n">
        <f aca="false">IF(L95&gt;0,AL95/L95,0)</f>
        <v>0.172929124360638</v>
      </c>
      <c r="AN95" s="16" t="n">
        <f aca="false">L95*INDEX(Parametros!$G$2:$G$9,MATCH($E95,Parametros!$A$2:$A$9,0))</f>
        <v>530509.5</v>
      </c>
      <c r="AO95" s="17" t="n">
        <f aca="false">AN95-AC95-AL95</f>
        <v>153196.405</v>
      </c>
      <c r="AP95" s="15" t="n">
        <f aca="false">IF(AN95&gt;0,AO95/AN95,0)</f>
        <v>0.288772218028141</v>
      </c>
      <c r="AQ95" s="16" t="n">
        <f aca="false">INDEX(Parametros!$I$2:$I$9,MATCH($E95,Parametros!$A$2:$A$9,0))</f>
        <v>28000000</v>
      </c>
      <c r="AR95" s="19" t="n">
        <f aca="false">IF(AQ95&gt;0,AO95/AQ95,0)</f>
        <v>0.00547130017857143</v>
      </c>
    </row>
    <row r="96" customFormat="false" ht="15" hidden="false" customHeight="false" outlineLevel="0" collapsed="false">
      <c r="A96" s="5" t="s">
        <v>231</v>
      </c>
      <c r="B96" s="9" t="n">
        <v>45628</v>
      </c>
      <c r="C96" s="2" t="str">
        <f aca="false">TEXT(B96,"yyyy")</f>
        <v>2024</v>
      </c>
      <c r="D96" s="2" t="n">
        <f aca="false">WEEKNUM(B96,2)</f>
        <v>49</v>
      </c>
      <c r="E96" s="5" t="s">
        <v>142</v>
      </c>
      <c r="F96" s="6" t="str">
        <f aca="false">INDEX(Parametros!$B$2:$B$9,MATCH($E96,Parametros!$A$2:$A$9,0))</f>
        <v>Porciones single serve</v>
      </c>
      <c r="G96" s="10" t="n">
        <v>129.2</v>
      </c>
      <c r="H96" s="10" t="n">
        <v>8.3</v>
      </c>
      <c r="I96" s="11" t="n">
        <f aca="false">SUMIFS(Eventos_Paro!$J$2:$J$2186,Eventos_Paro!$D$2:$D$2186,$E96,Eventos_Paro!$B$2:$B$2186,$B96)</f>
        <v>3.16666666666667</v>
      </c>
      <c r="J96" s="12" t="n">
        <f aca="false">G96-H96-I96</f>
        <v>117.733333333333</v>
      </c>
      <c r="K96" s="13" t="n">
        <v>243360</v>
      </c>
      <c r="L96" s="13" t="n">
        <v>248342</v>
      </c>
      <c r="M96" s="13" t="n">
        <v>11663</v>
      </c>
      <c r="N96" s="14" t="n">
        <f aca="false">L96+M96</f>
        <v>260005</v>
      </c>
      <c r="O96" s="11" t="n">
        <f aca="false">INDEX(Parametros!$D$2:$D$9,MATCH($E96,Parametros!$A$2:$A$9,0))</f>
        <v>2600</v>
      </c>
      <c r="P96" s="15" t="n">
        <f aca="false">IF((G96-H96)&gt;0,J96/(G96-H96),0)</f>
        <v>0.973807554452716</v>
      </c>
      <c r="Q96" s="15" t="n">
        <f aca="false">IF(J96*O96&gt;0,N96/(O96*J96),0)</f>
        <v>0.84939345761826</v>
      </c>
      <c r="R96" s="15" t="n">
        <f aca="false">IF(N96&gt;0,L96/N96,0)</f>
        <v>0.955143170323648</v>
      </c>
      <c r="S96" s="15" t="n">
        <f aca="false">P96*Q96*R96</f>
        <v>0.790042629000445</v>
      </c>
      <c r="T96" s="15" t="n">
        <f aca="false">IF(K96&gt;0,L96/K96,0)</f>
        <v>1.02047172912558</v>
      </c>
      <c r="U96" s="10" t="n">
        <v>2222.3</v>
      </c>
      <c r="V96" s="5" t="n">
        <v>16</v>
      </c>
      <c r="W96" s="10" t="n">
        <v>155.1</v>
      </c>
      <c r="X96" s="15" t="n">
        <f aca="false">IF(U96&gt;0,W96/U96,0)</f>
        <v>0.0697925572604959</v>
      </c>
      <c r="Y96" s="12" t="n">
        <f aca="false">IF(U96&gt;0,L96/U96,0)</f>
        <v>111.749988750394</v>
      </c>
      <c r="Z96" s="16" t="n">
        <f aca="false">L96*INDEX(Parametros!$E$2:$E$9,MATCH($E96,Parametros!$A$2:$A$9,0))</f>
        <v>183773.08</v>
      </c>
      <c r="AA96" s="16" t="n">
        <f aca="false">Z96*INDEX(Parametros!$F$2:$F$9,MATCH($E96,Parametros!$A$2:$A$9,0))</f>
        <v>8269.7886</v>
      </c>
      <c r="AB96" s="17" t="n">
        <f aca="false">Z96+AA96</f>
        <v>192042.8686</v>
      </c>
      <c r="AC96" s="18" t="n">
        <v>193023.69</v>
      </c>
      <c r="AD96" s="17" t="n">
        <f aca="false">AC96-AB96</f>
        <v>980.821400000015</v>
      </c>
      <c r="AE96" s="17" t="n">
        <f aca="false">AA96+AD96</f>
        <v>9250.61000000002</v>
      </c>
      <c r="AF96" s="19" t="n">
        <f aca="false">IF(Z96&gt;0,AE96/Z96,0)</f>
        <v>0.050337133164444</v>
      </c>
      <c r="AG96" s="16" t="n">
        <f aca="false">(U96-W96)*INDEX(Parametros!$H$2:$H$9,MATCH($E96,Parametros!$A$2:$A$9,0))+W96*INDEX(Parametros!$H$2:$H$9,MATCH($E96,Parametros!$A$2:$A$9,0))*Parametros!$N$3</f>
        <v>68995.5</v>
      </c>
      <c r="AH96" s="13" t="n">
        <v>12996</v>
      </c>
      <c r="AI96" s="16" t="n">
        <f aca="false">AH96*Parametros!$N$2</f>
        <v>1195.632</v>
      </c>
      <c r="AJ96" s="18" t="n">
        <v>12051</v>
      </c>
      <c r="AK96" s="18" t="n">
        <v>3131</v>
      </c>
      <c r="AL96" s="17" t="n">
        <f aca="false">AG96+AI96+AJ96+AK96</f>
        <v>85373.132</v>
      </c>
      <c r="AM96" s="20" t="n">
        <f aca="false">IF(L96&gt;0,AL96/L96,0)</f>
        <v>0.343772426734101</v>
      </c>
      <c r="AN96" s="16" t="n">
        <f aca="false">L96*INDEX(Parametros!$G$2:$G$9,MATCH($E96,Parametros!$A$2:$A$9,0))</f>
        <v>427148.24</v>
      </c>
      <c r="AO96" s="17" t="n">
        <f aca="false">AN96-AC96-AL96</f>
        <v>148751.418</v>
      </c>
      <c r="AP96" s="15" t="n">
        <f aca="false">IF(AN96&gt;0,AO96/AN96,0)</f>
        <v>0.34824307832803</v>
      </c>
      <c r="AQ96" s="16" t="n">
        <f aca="false">INDEX(Parametros!$I$2:$I$9,MATCH($E96,Parametros!$A$2:$A$9,0))</f>
        <v>15900000</v>
      </c>
      <c r="AR96" s="19" t="n">
        <f aca="false">IF(AQ96&gt;0,AO96/AQ96,0)</f>
        <v>0.00935543509433962</v>
      </c>
    </row>
    <row r="97" customFormat="false" ht="15" hidden="false" customHeight="false" outlineLevel="0" collapsed="false">
      <c r="A97" s="5" t="s">
        <v>232</v>
      </c>
      <c r="B97" s="9" t="n">
        <v>45628</v>
      </c>
      <c r="C97" s="2" t="str">
        <f aca="false">TEXT(B97,"yyyy")</f>
        <v>2024</v>
      </c>
      <c r="D97" s="2" t="n">
        <f aca="false">WEEKNUM(B97,2)</f>
        <v>49</v>
      </c>
      <c r="E97" s="5" t="s">
        <v>144</v>
      </c>
      <c r="F97" s="6" t="str">
        <f aca="false">INDEX(Parametros!$B$2:$B$9,MATCH($E97,Parametros!$A$2:$A$9,0))</f>
        <v>Salsas picantes</v>
      </c>
      <c r="G97" s="10" t="n">
        <v>94.5</v>
      </c>
      <c r="H97" s="10" t="n">
        <v>6.3</v>
      </c>
      <c r="I97" s="11" t="n">
        <f aca="false">SUMIFS(Eventos_Paro!$J$2:$J$2186,Eventos_Paro!$D$2:$D$2186,$E97,Eventos_Paro!$B$2:$B$2186,$B97)</f>
        <v>0</v>
      </c>
      <c r="J97" s="12" t="n">
        <f aca="false">G97-H97-I97</f>
        <v>88.2</v>
      </c>
      <c r="K97" s="13" t="n">
        <v>229644</v>
      </c>
      <c r="L97" s="13" t="n">
        <v>224745</v>
      </c>
      <c r="M97" s="13" t="n">
        <v>4726</v>
      </c>
      <c r="N97" s="14" t="n">
        <f aca="false">L97+M97</f>
        <v>229471</v>
      </c>
      <c r="O97" s="11" t="n">
        <f aca="false">INDEX(Parametros!$D$2:$D$9,MATCH($E97,Parametros!$A$2:$A$9,0))</f>
        <v>3100</v>
      </c>
      <c r="P97" s="15" t="n">
        <f aca="false">IF((G97-H97)&gt;0,J97/(G97-H97),0)</f>
        <v>1</v>
      </c>
      <c r="Q97" s="15" t="n">
        <f aca="false">IF(J97*O97&gt;0,N97/(O97*J97),0)</f>
        <v>0.839261941335674</v>
      </c>
      <c r="R97" s="15" t="n">
        <f aca="false">IF(N97&gt;0,L97/N97,0)</f>
        <v>0.979404804964462</v>
      </c>
      <c r="S97" s="15" t="n">
        <f aca="false">P97*Q97*R97</f>
        <v>0.821977177967961</v>
      </c>
      <c r="T97" s="15" t="n">
        <f aca="false">IF(K97&gt;0,L97/K97,0)</f>
        <v>0.978666980195433</v>
      </c>
      <c r="U97" s="10" t="n">
        <v>804.1</v>
      </c>
      <c r="V97" s="5" t="n">
        <v>8</v>
      </c>
      <c r="W97" s="10" t="n">
        <v>48.1</v>
      </c>
      <c r="X97" s="15" t="n">
        <f aca="false">IF(U97&gt;0,W97/U97,0)</f>
        <v>0.0598184305434647</v>
      </c>
      <c r="Y97" s="12" t="n">
        <f aca="false">IF(U97&gt;0,L97/U97,0)</f>
        <v>279.498818554906</v>
      </c>
      <c r="Z97" s="16" t="n">
        <f aca="false">L97*INDEX(Parametros!$E$2:$E$9,MATCH($E97,Parametros!$A$2:$A$9,0))</f>
        <v>148331.7</v>
      </c>
      <c r="AA97" s="16" t="n">
        <f aca="false">Z97*INDEX(Parametros!$F$2:$F$9,MATCH($E97,Parametros!$A$2:$A$9,0))</f>
        <v>3856.6242</v>
      </c>
      <c r="AB97" s="17" t="n">
        <f aca="false">Z97+AA97</f>
        <v>152188.3242</v>
      </c>
      <c r="AC97" s="18" t="n">
        <v>150365.39</v>
      </c>
      <c r="AD97" s="17" t="n">
        <f aca="false">AC97-AB97</f>
        <v>-1822.93419999999</v>
      </c>
      <c r="AE97" s="17" t="n">
        <f aca="false">AA97+AD97</f>
        <v>2033.69000000001</v>
      </c>
      <c r="AF97" s="19" t="n">
        <f aca="false">IF(Z97&gt;0,AE97/Z97,0)</f>
        <v>0.013710420631598</v>
      </c>
      <c r="AG97" s="16" t="n">
        <f aca="false">(U97-W97)*INDEX(Parametros!$H$2:$H$9,MATCH($E97,Parametros!$A$2:$A$9,0))+W97*INDEX(Parametros!$H$2:$H$9,MATCH($E97,Parametros!$A$2:$A$9,0))*Parametros!$N$3</f>
        <v>26086.725</v>
      </c>
      <c r="AH97" s="13" t="n">
        <v>11654</v>
      </c>
      <c r="AI97" s="16" t="n">
        <f aca="false">AH97*Parametros!$N$2</f>
        <v>1072.168</v>
      </c>
      <c r="AJ97" s="18" t="n">
        <v>7630</v>
      </c>
      <c r="AK97" s="18" t="n">
        <v>0</v>
      </c>
      <c r="AL97" s="17" t="n">
        <f aca="false">AG97+AI97+AJ97+AK97</f>
        <v>34788.893</v>
      </c>
      <c r="AM97" s="20" t="n">
        <f aca="false">IF(L97&gt;0,AL97/L97,0)</f>
        <v>0.154792733987408</v>
      </c>
      <c r="AN97" s="16" t="n">
        <f aca="false">L97*INDEX(Parametros!$G$2:$G$9,MATCH($E97,Parametros!$A$2:$A$9,0))</f>
        <v>280931.25</v>
      </c>
      <c r="AO97" s="17" t="n">
        <f aca="false">AN97-AC97-AL97</f>
        <v>95776.967</v>
      </c>
      <c r="AP97" s="15" t="n">
        <f aca="false">IF(AN97&gt;0,AO97/AN97,0)</f>
        <v>0.34092671071659</v>
      </c>
      <c r="AQ97" s="16" t="n">
        <f aca="false">INDEX(Parametros!$I$2:$I$9,MATCH($E97,Parametros!$A$2:$A$9,0))</f>
        <v>13300000</v>
      </c>
      <c r="AR97" s="19" t="n">
        <f aca="false">IF(AQ97&gt;0,AO97/AQ97,0)</f>
        <v>0.00720127571428571</v>
      </c>
    </row>
    <row r="98" customFormat="false" ht="15" hidden="false" customHeight="false" outlineLevel="0" collapsed="false">
      <c r="A98" s="5" t="s">
        <v>233</v>
      </c>
      <c r="B98" s="9" t="n">
        <v>45635</v>
      </c>
      <c r="C98" s="2" t="str">
        <f aca="false">TEXT(B98,"yyyy")</f>
        <v>2024</v>
      </c>
      <c r="D98" s="2" t="n">
        <f aca="false">WEEKNUM(B98,2)</f>
        <v>50</v>
      </c>
      <c r="E98" s="5" t="s">
        <v>130</v>
      </c>
      <c r="F98" s="6" t="str">
        <f aca="false">INDEX(Parametros!$B$2:$B$9,MATCH($E98,Parametros!$A$2:$A$9,0))</f>
        <v>Ketchup botella</v>
      </c>
      <c r="G98" s="10" t="n">
        <v>110.3</v>
      </c>
      <c r="H98" s="10" t="n">
        <v>7.6</v>
      </c>
      <c r="I98" s="11" t="n">
        <f aca="false">SUMIFS(Eventos_Paro!$J$2:$J$2186,Eventos_Paro!$D$2:$D$2186,$E98,Eventos_Paro!$B$2:$B$2186,$B98)</f>
        <v>5.15</v>
      </c>
      <c r="J98" s="12" t="n">
        <f aca="false">G98-H98-I98</f>
        <v>97.55</v>
      </c>
      <c r="K98" s="13" t="n">
        <v>713657</v>
      </c>
      <c r="L98" s="13" t="n">
        <v>768409</v>
      </c>
      <c r="M98" s="13" t="n">
        <v>23309</v>
      </c>
      <c r="N98" s="14" t="n">
        <f aca="false">L98+M98</f>
        <v>791718</v>
      </c>
      <c r="O98" s="11" t="n">
        <f aca="false">INDEX(Parametros!$D$2:$D$9,MATCH($E98,Parametros!$A$2:$A$9,0))</f>
        <v>9000</v>
      </c>
      <c r="P98" s="15" t="n">
        <f aca="false">IF((G98-H98)&gt;0,J98/(G98-H98),0)</f>
        <v>0.94985394352483</v>
      </c>
      <c r="Q98" s="15" t="n">
        <f aca="false">IF(J98*O98&gt;0,N98/(O98*J98),0)</f>
        <v>0.90178028361524</v>
      </c>
      <c r="R98" s="15" t="n">
        <f aca="false">IF(N98&gt;0,L98/N98,0)</f>
        <v>0.970558961650487</v>
      </c>
      <c r="S98" s="15" t="n">
        <f aca="false">P98*Q98*R98</f>
        <v>0.831341555771936</v>
      </c>
      <c r="T98" s="15" t="n">
        <f aca="false">IF(K98&gt;0,L98/K98,0)</f>
        <v>1.07672032923379</v>
      </c>
      <c r="U98" s="10" t="n">
        <v>1487.5</v>
      </c>
      <c r="V98" s="5" t="n">
        <v>13</v>
      </c>
      <c r="W98" s="10" t="n">
        <v>53.6</v>
      </c>
      <c r="X98" s="15" t="n">
        <f aca="false">IF(U98&gt;0,W98/U98,0)</f>
        <v>0.0360336134453782</v>
      </c>
      <c r="Y98" s="12" t="n">
        <f aca="false">IF(U98&gt;0,L98/U98,0)</f>
        <v>516.577478991597</v>
      </c>
      <c r="Z98" s="16" t="n">
        <f aca="false">L98*INDEX(Parametros!$E$2:$E$9,MATCH($E98,Parametros!$A$2:$A$9,0))</f>
        <v>322731.78</v>
      </c>
      <c r="AA98" s="16" t="n">
        <f aca="false">Z98*INDEX(Parametros!$F$2:$F$9,MATCH($E98,Parametros!$A$2:$A$9,0))</f>
        <v>6454.6356</v>
      </c>
      <c r="AB98" s="17" t="n">
        <f aca="false">Z98+AA98</f>
        <v>329186.4156</v>
      </c>
      <c r="AC98" s="18" t="n">
        <v>333593.47</v>
      </c>
      <c r="AD98" s="17" t="n">
        <f aca="false">AC98-AB98</f>
        <v>4407.05440000002</v>
      </c>
      <c r="AE98" s="17" t="n">
        <f aca="false">AA98+AD98</f>
        <v>10861.69</v>
      </c>
      <c r="AF98" s="19" t="n">
        <f aca="false">IF(Z98&gt;0,AE98/Z98,0)</f>
        <v>0.0336554708061289</v>
      </c>
      <c r="AG98" s="16" t="n">
        <f aca="false">(U98-W98)*INDEX(Parametros!$H$2:$H$9,MATCH($E98,Parametros!$A$2:$A$9,0))+W98*INDEX(Parametros!$H$2:$H$9,MATCH($E98,Parametros!$A$2:$A$9,0))*Parametros!$N$3</f>
        <v>47700.45</v>
      </c>
      <c r="AH98" s="13" t="n">
        <v>38984</v>
      </c>
      <c r="AI98" s="16" t="n">
        <f aca="false">AH98*Parametros!$N$2</f>
        <v>3586.528</v>
      </c>
      <c r="AJ98" s="18" t="n">
        <v>18988</v>
      </c>
      <c r="AK98" s="18" t="n">
        <v>4433</v>
      </c>
      <c r="AL98" s="17" t="n">
        <f aca="false">AG98+AI98+AJ98+AK98</f>
        <v>74707.978</v>
      </c>
      <c r="AM98" s="20" t="n">
        <f aca="false">IF(L98&gt;0,AL98/L98,0)</f>
        <v>0.0972242360513737</v>
      </c>
      <c r="AN98" s="16" t="n">
        <f aca="false">L98*INDEX(Parametros!$G$2:$G$9,MATCH($E98,Parametros!$A$2:$A$9,0))</f>
        <v>545570.39</v>
      </c>
      <c r="AO98" s="17" t="n">
        <f aca="false">AN98-AC98-AL98</f>
        <v>137268.942</v>
      </c>
      <c r="AP98" s="15" t="n">
        <f aca="false">IF(AN98&gt;0,AO98/AN98,0)</f>
        <v>0.251606290436693</v>
      </c>
      <c r="AQ98" s="16" t="n">
        <f aca="false">INDEX(Parametros!$I$2:$I$9,MATCH($E98,Parametros!$A$2:$A$9,0))</f>
        <v>29300000</v>
      </c>
      <c r="AR98" s="19" t="n">
        <f aca="false">IF(AQ98&gt;0,AO98/AQ98,0)</f>
        <v>0.00468494682593857</v>
      </c>
    </row>
    <row r="99" customFormat="false" ht="15" hidden="false" customHeight="false" outlineLevel="0" collapsed="false">
      <c r="A99" s="5" t="s">
        <v>234</v>
      </c>
      <c r="B99" s="9" t="n">
        <v>45635</v>
      </c>
      <c r="C99" s="2" t="str">
        <f aca="false">TEXT(B99,"yyyy")</f>
        <v>2024</v>
      </c>
      <c r="D99" s="2" t="n">
        <f aca="false">WEEKNUM(B99,2)</f>
        <v>50</v>
      </c>
      <c r="E99" s="5" t="s">
        <v>132</v>
      </c>
      <c r="F99" s="6" t="str">
        <f aca="false">INDEX(Parametros!$B$2:$B$9,MATCH($E99,Parametros!$A$2:$A$9,0))</f>
        <v>Mayonesa frasco</v>
      </c>
      <c r="G99" s="10" t="n">
        <v>111.7</v>
      </c>
      <c r="H99" s="10" t="n">
        <v>6</v>
      </c>
      <c r="I99" s="11" t="n">
        <f aca="false">SUMIFS(Eventos_Paro!$J$2:$J$2186,Eventos_Paro!$D$2:$D$2186,$E99,Eventos_Paro!$B$2:$B$2186,$B99)</f>
        <v>3.48333333333333</v>
      </c>
      <c r="J99" s="12" t="n">
        <f aca="false">G99-H99-I99</f>
        <v>102.216666666667</v>
      </c>
      <c r="K99" s="13" t="n">
        <v>530475</v>
      </c>
      <c r="L99" s="13" t="n">
        <v>571410</v>
      </c>
      <c r="M99" s="13" t="n">
        <v>10233</v>
      </c>
      <c r="N99" s="14" t="n">
        <f aca="false">L99+M99</f>
        <v>581643</v>
      </c>
      <c r="O99" s="11" t="n">
        <f aca="false">INDEX(Parametros!$D$2:$D$9,MATCH($E99,Parametros!$A$2:$A$9,0))</f>
        <v>6500</v>
      </c>
      <c r="P99" s="15" t="n">
        <f aca="false">IF((G99-H99)&gt;0,J99/(G99-H99),0)</f>
        <v>0.967045096184169</v>
      </c>
      <c r="Q99" s="15" t="n">
        <f aca="false">IF(J99*O99&gt;0,N99/(O99*J99),0)</f>
        <v>0.875430019190006</v>
      </c>
      <c r="R99" s="15" t="n">
        <f aca="false">IF(N99&gt;0,L99/N99,0)</f>
        <v>0.982406734027574</v>
      </c>
      <c r="S99" s="15" t="n">
        <f aca="false">P99*Q99*R99</f>
        <v>0.831686194600102</v>
      </c>
      <c r="T99" s="15" t="n">
        <f aca="false">IF(K99&gt;0,L99/K99,0)</f>
        <v>1.07716669023045</v>
      </c>
      <c r="U99" s="10" t="n">
        <v>1541.9</v>
      </c>
      <c r="V99" s="5" t="n">
        <v>13</v>
      </c>
      <c r="W99" s="10" t="n">
        <v>89.8</v>
      </c>
      <c r="X99" s="15" t="n">
        <f aca="false">IF(U99&gt;0,W99/U99,0)</f>
        <v>0.0582398339710746</v>
      </c>
      <c r="Y99" s="12" t="n">
        <f aca="false">IF(U99&gt;0,L99/U99,0)</f>
        <v>370.588235294118</v>
      </c>
      <c r="Z99" s="16" t="n">
        <f aca="false">L99*INDEX(Parametros!$E$2:$E$9,MATCH($E99,Parametros!$A$2:$A$9,0))</f>
        <v>348560.1</v>
      </c>
      <c r="AA99" s="16" t="n">
        <f aca="false">Z99*INDEX(Parametros!$F$2:$F$9,MATCH($E99,Parametros!$A$2:$A$9,0))</f>
        <v>8714.0025</v>
      </c>
      <c r="AB99" s="17" t="n">
        <f aca="false">Z99+AA99</f>
        <v>357274.1025</v>
      </c>
      <c r="AC99" s="18" t="n">
        <v>363910.12</v>
      </c>
      <c r="AD99" s="17" t="n">
        <f aca="false">AC99-AB99</f>
        <v>6636.01750000002</v>
      </c>
      <c r="AE99" s="17" t="n">
        <f aca="false">AA99+AD99</f>
        <v>15350.02</v>
      </c>
      <c r="AF99" s="19" t="n">
        <f aca="false">IF(Z99&gt;0,AE99/Z99,0)</f>
        <v>0.0440383738701017</v>
      </c>
      <c r="AG99" s="16" t="n">
        <f aca="false">(U99-W99)*INDEX(Parametros!$H$2:$H$9,MATCH($E99,Parametros!$A$2:$A$9,0))+W99*INDEX(Parametros!$H$2:$H$9,MATCH($E99,Parametros!$A$2:$A$9,0))*Parametros!$N$3</f>
        <v>49984.2</v>
      </c>
      <c r="AH99" s="13" t="n">
        <v>29157</v>
      </c>
      <c r="AI99" s="16" t="n">
        <f aca="false">AH99*Parametros!$N$2</f>
        <v>2682.444</v>
      </c>
      <c r="AJ99" s="18" t="n">
        <v>14287</v>
      </c>
      <c r="AK99" s="18" t="n">
        <v>1373</v>
      </c>
      <c r="AL99" s="17" t="n">
        <f aca="false">AG99+AI99+AJ99+AK99</f>
        <v>68326.644</v>
      </c>
      <c r="AM99" s="20" t="n">
        <f aca="false">IF(L99&gt;0,AL99/L99,0)</f>
        <v>0.119575513204179</v>
      </c>
      <c r="AN99" s="16" t="n">
        <f aca="false">L99*INDEX(Parametros!$G$2:$G$9,MATCH($E99,Parametros!$A$2:$A$9,0))</f>
        <v>548553.6</v>
      </c>
      <c r="AO99" s="17" t="n">
        <f aca="false">AN99-AC99-AL99</f>
        <v>116316.836</v>
      </c>
      <c r="AP99" s="15" t="n">
        <f aca="false">IF(AN99&gt;0,AO99/AN99,0)</f>
        <v>0.21204279034902</v>
      </c>
      <c r="AQ99" s="16" t="n">
        <f aca="false">INDEX(Parametros!$I$2:$I$9,MATCH($E99,Parametros!$A$2:$A$9,0))</f>
        <v>29700000</v>
      </c>
      <c r="AR99" s="19" t="n">
        <f aca="false">IF(AQ99&gt;0,AO99/AQ99,0)</f>
        <v>0.00391639178451178</v>
      </c>
    </row>
    <row r="100" customFormat="false" ht="15" hidden="false" customHeight="false" outlineLevel="0" collapsed="false">
      <c r="A100" s="5" t="s">
        <v>235</v>
      </c>
      <c r="B100" s="9" t="n">
        <v>45635</v>
      </c>
      <c r="C100" s="2" t="str">
        <f aca="false">TEXT(B100,"yyyy")</f>
        <v>2024</v>
      </c>
      <c r="D100" s="2" t="n">
        <f aca="false">WEEKNUM(B100,2)</f>
        <v>50</v>
      </c>
      <c r="E100" s="5" t="s">
        <v>134</v>
      </c>
      <c r="F100" s="6" t="str">
        <f aca="false">INDEX(Parametros!$B$2:$B$9,MATCH($E100,Parametros!$A$2:$A$9,0))</f>
        <v>Aderezos vertibles</v>
      </c>
      <c r="G100" s="10" t="n">
        <v>86.1</v>
      </c>
      <c r="H100" s="10" t="n">
        <v>8.2</v>
      </c>
      <c r="I100" s="11" t="n">
        <f aca="false">SUMIFS(Eventos_Paro!$J$2:$J$2186,Eventos_Paro!$D$2:$D$2186,$E100,Eventos_Paro!$B$2:$B$2186,$B100)</f>
        <v>0.616666666666667</v>
      </c>
      <c r="J100" s="12" t="n">
        <f aca="false">G100-H100-I100</f>
        <v>77.2833333333333</v>
      </c>
      <c r="K100" s="13" t="n">
        <v>312764</v>
      </c>
      <c r="L100" s="13" t="n">
        <v>325467</v>
      </c>
      <c r="M100" s="13" t="n">
        <v>9330</v>
      </c>
      <c r="N100" s="14" t="n">
        <f aca="false">L100+M100</f>
        <v>334797</v>
      </c>
      <c r="O100" s="11" t="n">
        <f aca="false">INDEX(Parametros!$D$2:$D$9,MATCH($E100,Parametros!$A$2:$A$9,0))</f>
        <v>5200</v>
      </c>
      <c r="P100" s="15" t="n">
        <f aca="false">IF((G100-H100)&gt;0,J100/(G100-H100),0)</f>
        <v>0.992083868207103</v>
      </c>
      <c r="Q100" s="15" t="n">
        <f aca="false">IF(J100*O100&gt;0,N100/(O100*J100),0)</f>
        <v>0.833090857815896</v>
      </c>
      <c r="R100" s="15" t="n">
        <f aca="false">IF(N100&gt;0,L100/N100,0)</f>
        <v>0.97213236677748</v>
      </c>
      <c r="S100" s="15" t="n">
        <f aca="false">P100*Q100*R100</f>
        <v>0.803463513380073</v>
      </c>
      <c r="T100" s="15" t="n">
        <f aca="false">IF(K100&gt;0,L100/K100,0)</f>
        <v>1.04061528820452</v>
      </c>
      <c r="U100" s="10" t="n">
        <v>1033.2</v>
      </c>
      <c r="V100" s="5" t="n">
        <v>12</v>
      </c>
      <c r="W100" s="10" t="n">
        <v>0</v>
      </c>
      <c r="X100" s="15" t="n">
        <f aca="false">IF(U100&gt;0,W100/U100,0)</f>
        <v>0</v>
      </c>
      <c r="Y100" s="12" t="n">
        <f aca="false">IF(U100&gt;0,L100/U100,0)</f>
        <v>315.008710801394</v>
      </c>
      <c r="Z100" s="16" t="n">
        <f aca="false">L100*INDEX(Parametros!$E$2:$E$9,MATCH($E100,Parametros!$A$2:$A$9,0))</f>
        <v>179006.85</v>
      </c>
      <c r="AA100" s="16" t="n">
        <f aca="false">Z100*INDEX(Parametros!$F$2:$F$9,MATCH($E100,Parametros!$A$2:$A$9,0))</f>
        <v>5370.2055</v>
      </c>
      <c r="AB100" s="17" t="n">
        <f aca="false">Z100+AA100</f>
        <v>184377.0555</v>
      </c>
      <c r="AC100" s="18" t="n">
        <v>184888.37</v>
      </c>
      <c r="AD100" s="17" t="n">
        <f aca="false">AC100-AB100</f>
        <v>511.314499999979</v>
      </c>
      <c r="AE100" s="17" t="n">
        <f aca="false">AA100+AD100</f>
        <v>5881.51999999998</v>
      </c>
      <c r="AF100" s="19" t="n">
        <f aca="false">IF(Z100&gt;0,AE100/Z100,0)</f>
        <v>0.0328563962775725</v>
      </c>
      <c r="AG100" s="16" t="n">
        <f aca="false">(U100-W100)*INDEX(Parametros!$H$2:$H$9,MATCH($E100,Parametros!$A$2:$A$9,0))+W100*INDEX(Parametros!$H$2:$H$9,MATCH($E100,Parametros!$A$2:$A$9,0))*Parametros!$N$3</f>
        <v>32545.8</v>
      </c>
      <c r="AH100" s="13" t="n">
        <v>16997</v>
      </c>
      <c r="AI100" s="16" t="n">
        <f aca="false">AH100*Parametros!$N$2</f>
        <v>1563.724</v>
      </c>
      <c r="AJ100" s="18" t="n">
        <v>10423</v>
      </c>
      <c r="AK100" s="18" t="n">
        <v>490</v>
      </c>
      <c r="AL100" s="17" t="n">
        <f aca="false">AG100+AI100+AJ100+AK100</f>
        <v>45022.524</v>
      </c>
      <c r="AM100" s="20" t="n">
        <f aca="false">IF(L100&gt;0,AL100/L100,0)</f>
        <v>0.138332070532496</v>
      </c>
      <c r="AN100" s="16" t="n">
        <f aca="false">L100*INDEX(Parametros!$G$2:$G$9,MATCH($E100,Parametros!$A$2:$A$9,0))</f>
        <v>331976.34</v>
      </c>
      <c r="AO100" s="17" t="n">
        <f aca="false">AN100-AC100-AL100</f>
        <v>102065.446</v>
      </c>
      <c r="AP100" s="15" t="n">
        <f aca="false">IF(AN100&gt;0,AO100/AN100,0)</f>
        <v>0.307447952465528</v>
      </c>
      <c r="AQ100" s="16" t="n">
        <f aca="false">INDEX(Parametros!$I$2:$I$9,MATCH($E100,Parametros!$A$2:$A$9,0))</f>
        <v>19300000</v>
      </c>
      <c r="AR100" s="19" t="n">
        <f aca="false">IF(AQ100&gt;0,AO100/AQ100,0)</f>
        <v>0.00528836507772021</v>
      </c>
    </row>
    <row r="101" customFormat="false" ht="15" hidden="false" customHeight="false" outlineLevel="0" collapsed="false">
      <c r="A101" s="5" t="s">
        <v>236</v>
      </c>
      <c r="B101" s="9" t="n">
        <v>45635</v>
      </c>
      <c r="C101" s="2" t="str">
        <f aca="false">TEXT(B101,"yyyy")</f>
        <v>2024</v>
      </c>
      <c r="D101" s="2" t="n">
        <f aca="false">WEEKNUM(B101,2)</f>
        <v>50</v>
      </c>
      <c r="E101" s="5" t="s">
        <v>136</v>
      </c>
      <c r="F101" s="6" t="str">
        <f aca="false">INDEX(Parametros!$B$2:$B$9,MATCH($E101,Parametros!$A$2:$A$9,0))</f>
        <v>Salsa BBQ</v>
      </c>
      <c r="G101" s="10" t="n">
        <v>91.3</v>
      </c>
      <c r="H101" s="10" t="n">
        <v>5.1</v>
      </c>
      <c r="I101" s="11" t="n">
        <f aca="false">SUMIFS(Eventos_Paro!$J$2:$J$2186,Eventos_Paro!$D$2:$D$2186,$E101,Eventos_Paro!$B$2:$B$2186,$B101)</f>
        <v>5.43333333333333</v>
      </c>
      <c r="J101" s="12" t="n">
        <f aca="false">G101-H101-I101</f>
        <v>80.7666666666667</v>
      </c>
      <c r="K101" s="13" t="n">
        <v>279070</v>
      </c>
      <c r="L101" s="13" t="n">
        <v>305848</v>
      </c>
      <c r="M101" s="13" t="n">
        <v>6287</v>
      </c>
      <c r="N101" s="14" t="n">
        <f aca="false">L101+M101</f>
        <v>312135</v>
      </c>
      <c r="O101" s="11" t="n">
        <f aca="false">INDEX(Parametros!$D$2:$D$9,MATCH($E101,Parametros!$A$2:$A$9,0))</f>
        <v>4800</v>
      </c>
      <c r="P101" s="15" t="n">
        <f aca="false">IF((G101-H101)&gt;0,J101/(G101-H101),0)</f>
        <v>0.936968290796597</v>
      </c>
      <c r="Q101" s="15" t="n">
        <f aca="false">IF(J101*O101&gt;0,N101/(O101*J101),0)</f>
        <v>0.805135678910442</v>
      </c>
      <c r="R101" s="15" t="n">
        <f aca="false">IF(N101&gt;0,L101/N101,0)</f>
        <v>0.979858074230702</v>
      </c>
      <c r="S101" s="15" t="n">
        <f aca="false">P101*Q101*R101</f>
        <v>0.739191802010828</v>
      </c>
      <c r="T101" s="15" t="n">
        <f aca="false">IF(K101&gt;0,L101/K101,0)</f>
        <v>1.09595442003798</v>
      </c>
      <c r="U101" s="10" t="n">
        <v>946.1</v>
      </c>
      <c r="V101" s="5" t="n">
        <v>10</v>
      </c>
      <c r="W101" s="10" t="n">
        <v>33.1</v>
      </c>
      <c r="X101" s="15" t="n">
        <f aca="false">IF(U101&gt;0,W101/U101,0)</f>
        <v>0.0349857308952542</v>
      </c>
      <c r="Y101" s="12" t="n">
        <f aca="false">IF(U101&gt;0,L101/U101,0)</f>
        <v>323.272381355036</v>
      </c>
      <c r="Z101" s="16" t="n">
        <f aca="false">L101*INDEX(Parametros!$E$2:$E$9,MATCH($E101,Parametros!$A$2:$A$9,0))</f>
        <v>177391.84</v>
      </c>
      <c r="AA101" s="16" t="n">
        <f aca="false">Z101*INDEX(Parametros!$F$2:$F$9,MATCH($E101,Parametros!$A$2:$A$9,0))</f>
        <v>4966.97152</v>
      </c>
      <c r="AB101" s="17" t="n">
        <f aca="false">Z101+AA101</f>
        <v>182358.81152</v>
      </c>
      <c r="AC101" s="18" t="n">
        <v>184565.33</v>
      </c>
      <c r="AD101" s="17" t="n">
        <f aca="false">AC101-AB101</f>
        <v>2206.51848</v>
      </c>
      <c r="AE101" s="17" t="n">
        <f aca="false">AA101+AD101</f>
        <v>7173.49</v>
      </c>
      <c r="AF101" s="19" t="n">
        <f aca="false">IF(Z101&gt;0,AE101/Z101,0)</f>
        <v>0.0404386695577429</v>
      </c>
      <c r="AG101" s="16" t="n">
        <f aca="false">(U101-W101)*INDEX(Parametros!$H$2:$H$9,MATCH($E101,Parametros!$A$2:$A$9,0))+W101*INDEX(Parametros!$H$2:$H$9,MATCH($E101,Parametros!$A$2:$A$9,0))*Parametros!$N$3</f>
        <v>30323.475</v>
      </c>
      <c r="AH101" s="13" t="n">
        <v>16774</v>
      </c>
      <c r="AI101" s="16" t="n">
        <f aca="false">AH101*Parametros!$N$2</f>
        <v>1543.208</v>
      </c>
      <c r="AJ101" s="18" t="n">
        <v>11559</v>
      </c>
      <c r="AK101" s="18" t="n">
        <v>2948</v>
      </c>
      <c r="AL101" s="17" t="n">
        <f aca="false">AG101+AI101+AJ101+AK101</f>
        <v>46373.683</v>
      </c>
      <c r="AM101" s="20" t="n">
        <f aca="false">IF(L101&gt;0,AL101/L101,0)</f>
        <v>0.151623299809055</v>
      </c>
      <c r="AN101" s="16" t="n">
        <f aca="false">L101*INDEX(Parametros!$G$2:$G$9,MATCH($E101,Parametros!$A$2:$A$9,0))</f>
        <v>299731.04</v>
      </c>
      <c r="AO101" s="17" t="n">
        <f aca="false">AN101-AC101-AL101</f>
        <v>68792.027</v>
      </c>
      <c r="AP101" s="15" t="n">
        <f aca="false">IF(AN101&gt;0,AO101/AN101,0)</f>
        <v>0.22951252229332</v>
      </c>
      <c r="AQ101" s="16" t="n">
        <f aca="false">INDEX(Parametros!$I$2:$I$9,MATCH($E101,Parametros!$A$2:$A$9,0))</f>
        <v>17000000</v>
      </c>
      <c r="AR101" s="19" t="n">
        <f aca="false">IF(AQ101&gt;0,AO101/AQ101,0)</f>
        <v>0.00404658982352941</v>
      </c>
    </row>
    <row r="102" customFormat="false" ht="15" hidden="false" customHeight="false" outlineLevel="0" collapsed="false">
      <c r="A102" s="5" t="s">
        <v>237</v>
      </c>
      <c r="B102" s="9" t="n">
        <v>45635</v>
      </c>
      <c r="C102" s="2" t="str">
        <f aca="false">TEXT(B102,"yyyy")</f>
        <v>2024</v>
      </c>
      <c r="D102" s="2" t="n">
        <f aca="false">WEEKNUM(B102,2)</f>
        <v>50</v>
      </c>
      <c r="E102" s="5" t="s">
        <v>138</v>
      </c>
      <c r="F102" s="6" t="str">
        <f aca="false">INDEX(Parametros!$B$2:$B$9,MATCH($E102,Parametros!$A$2:$A$9,0))</f>
        <v>Queso crema</v>
      </c>
      <c r="G102" s="10" t="n">
        <v>118.2</v>
      </c>
      <c r="H102" s="10" t="n">
        <v>7.9</v>
      </c>
      <c r="I102" s="11" t="n">
        <f aca="false">SUMIFS(Eventos_Paro!$J$2:$J$2186,Eventos_Paro!$D$2:$D$2186,$E102,Eventos_Paro!$B$2:$B$2186,$B102)</f>
        <v>4.16666666666667</v>
      </c>
      <c r="J102" s="12" t="n">
        <f aca="false">G102-H102-I102</f>
        <v>106.133333333333</v>
      </c>
      <c r="K102" s="13" t="n">
        <v>323620</v>
      </c>
      <c r="L102" s="13" t="n">
        <v>313532</v>
      </c>
      <c r="M102" s="13" t="n">
        <v>10029</v>
      </c>
      <c r="N102" s="14" t="n">
        <f aca="false">L102+M102</f>
        <v>323561</v>
      </c>
      <c r="O102" s="11" t="n">
        <f aca="false">INDEX(Parametros!$D$2:$D$9,MATCH($E102,Parametros!$A$2:$A$9,0))</f>
        <v>3800</v>
      </c>
      <c r="P102" s="15" t="n">
        <f aca="false">IF((G102-H102)&gt;0,J102/(G102-H102),0)</f>
        <v>0.962224236929586</v>
      </c>
      <c r="Q102" s="15" t="n">
        <f aca="false">IF(J102*O102&gt;0,N102/(O102*J102),0)</f>
        <v>0.802270398042846</v>
      </c>
      <c r="R102" s="15" t="n">
        <f aca="false">IF(N102&gt;0,L102/N102,0)</f>
        <v>0.969004299034803</v>
      </c>
      <c r="S102" s="15" t="n">
        <f aca="false">P102*Q102*R102</f>
        <v>0.748036455599561</v>
      </c>
      <c r="T102" s="15" t="n">
        <f aca="false">IF(K102&gt;0,L102/K102,0)</f>
        <v>0.96882763735245</v>
      </c>
      <c r="U102" s="10" t="n">
        <v>1665.4</v>
      </c>
      <c r="V102" s="5" t="n">
        <v>13</v>
      </c>
      <c r="W102" s="10" t="n">
        <v>128.8</v>
      </c>
      <c r="X102" s="15" t="n">
        <f aca="false">IF(U102&gt;0,W102/U102,0)</f>
        <v>0.0773387774708779</v>
      </c>
      <c r="Y102" s="12" t="n">
        <f aca="false">IF(U102&gt;0,L102/U102,0)</f>
        <v>188.262279332293</v>
      </c>
      <c r="Z102" s="16" t="n">
        <f aca="false">L102*INDEX(Parametros!$E$2:$E$9,MATCH($E102,Parametros!$A$2:$A$9,0))</f>
        <v>351155.84</v>
      </c>
      <c r="AA102" s="16" t="n">
        <f aca="false">Z102*INDEX(Parametros!$F$2:$F$9,MATCH($E102,Parametros!$A$2:$A$9,0))</f>
        <v>12290.4544</v>
      </c>
      <c r="AB102" s="17" t="n">
        <f aca="false">Z102+AA102</f>
        <v>363446.2944</v>
      </c>
      <c r="AC102" s="18" t="n">
        <v>362579.8</v>
      </c>
      <c r="AD102" s="17" t="n">
        <f aca="false">AC102-AB102</f>
        <v>-866.494400000025</v>
      </c>
      <c r="AE102" s="17" t="n">
        <f aca="false">AA102+AD102</f>
        <v>11423.96</v>
      </c>
      <c r="AF102" s="19" t="n">
        <f aca="false">IF(Z102&gt;0,AE102/Z102,0)</f>
        <v>0.0325324505495907</v>
      </c>
      <c r="AG102" s="16" t="n">
        <f aca="false">(U102-W102)*INDEX(Parametros!$H$2:$H$9,MATCH($E102,Parametros!$A$2:$A$9,0))+W102*INDEX(Parametros!$H$2:$H$9,MATCH($E102,Parametros!$A$2:$A$9,0))*Parametros!$N$3</f>
        <v>57083.4</v>
      </c>
      <c r="AH102" s="13" t="n">
        <v>17354</v>
      </c>
      <c r="AI102" s="16" t="n">
        <f aca="false">AH102*Parametros!$N$2</f>
        <v>1596.568</v>
      </c>
      <c r="AJ102" s="18" t="n">
        <v>20672</v>
      </c>
      <c r="AK102" s="18" t="n">
        <v>2801</v>
      </c>
      <c r="AL102" s="17" t="n">
        <f aca="false">AG102+AI102+AJ102+AK102</f>
        <v>82152.968</v>
      </c>
      <c r="AM102" s="20" t="n">
        <f aca="false">IF(L102&gt;0,AL102/L102,0)</f>
        <v>0.262024188918516</v>
      </c>
      <c r="AN102" s="16" t="n">
        <f aca="false">L102*INDEX(Parametros!$G$2:$G$9,MATCH($E102,Parametros!$A$2:$A$9,0))</f>
        <v>561222.28</v>
      </c>
      <c r="AO102" s="17" t="n">
        <f aca="false">AN102-AC102-AL102</f>
        <v>116489.512</v>
      </c>
      <c r="AP102" s="15" t="n">
        <f aca="false">IF(AN102&gt;0,AO102/AN102,0)</f>
        <v>0.207563947746337</v>
      </c>
      <c r="AQ102" s="16" t="n">
        <f aca="false">INDEX(Parametros!$I$2:$I$9,MATCH($E102,Parametros!$A$2:$A$9,0))</f>
        <v>33200000</v>
      </c>
      <c r="AR102" s="19" t="n">
        <f aca="false">IF(AQ102&gt;0,AO102/AQ102,0)</f>
        <v>0.00350872024096386</v>
      </c>
    </row>
    <row r="103" customFormat="false" ht="15" hidden="false" customHeight="false" outlineLevel="0" collapsed="false">
      <c r="A103" s="5" t="s">
        <v>238</v>
      </c>
      <c r="B103" s="9" t="n">
        <v>45635</v>
      </c>
      <c r="C103" s="2" t="str">
        <f aca="false">TEXT(B103,"yyyy")</f>
        <v>2024</v>
      </c>
      <c r="D103" s="2" t="n">
        <f aca="false">WEEKNUM(B103,2)</f>
        <v>50</v>
      </c>
      <c r="E103" s="5" t="s">
        <v>140</v>
      </c>
      <c r="F103" s="6" t="str">
        <f aca="false">INDEX(Parametros!$B$2:$B$9,MATCH($E103,Parametros!$A$2:$A$9,0))</f>
        <v>Crema de cacahuate</v>
      </c>
      <c r="G103" s="10" t="n">
        <v>103.7</v>
      </c>
      <c r="H103" s="10" t="n">
        <v>6.3</v>
      </c>
      <c r="I103" s="11" t="n">
        <f aca="false">SUMIFS(Eventos_Paro!$J$2:$J$2186,Eventos_Paro!$D$2:$D$2186,$E103,Eventos_Paro!$B$2:$B$2186,$B103)</f>
        <v>0.766666666666667</v>
      </c>
      <c r="J103" s="12" t="n">
        <f aca="false">G103-H103-I103</f>
        <v>96.6333333333333</v>
      </c>
      <c r="K103" s="13" t="n">
        <v>315853</v>
      </c>
      <c r="L103" s="13" t="n">
        <v>334060</v>
      </c>
      <c r="M103" s="13" t="n">
        <v>9435</v>
      </c>
      <c r="N103" s="14" t="n">
        <f aca="false">L103+M103</f>
        <v>343495</v>
      </c>
      <c r="O103" s="11" t="n">
        <f aca="false">INDEX(Parametros!$D$2:$D$9,MATCH($E103,Parametros!$A$2:$A$9,0))</f>
        <v>4200</v>
      </c>
      <c r="P103" s="15" t="n">
        <f aca="false">IF((G103-H103)&gt;0,J103/(G103-H103),0)</f>
        <v>0.992128678986995</v>
      </c>
      <c r="Q103" s="15" t="n">
        <f aca="false">IF(J103*O103&gt;0,N103/(O103*J103),0)</f>
        <v>0.846338638939536</v>
      </c>
      <c r="R103" s="15" t="n">
        <f aca="false">IF(N103&gt;0,L103/N103,0)</f>
        <v>0.972532351271489</v>
      </c>
      <c r="S103" s="15" t="n">
        <f aca="false">P103*Q103*R103</f>
        <v>0.816612887454777</v>
      </c>
      <c r="T103" s="15" t="n">
        <f aca="false">IF(K103&gt;0,L103/K103,0)</f>
        <v>1.05764390396799</v>
      </c>
      <c r="U103" s="10" t="n">
        <v>1257.3</v>
      </c>
      <c r="V103" s="5" t="n">
        <v>12</v>
      </c>
      <c r="W103" s="10" t="n">
        <v>12.9</v>
      </c>
      <c r="X103" s="15" t="n">
        <f aca="false">IF(U103&gt;0,W103/U103,0)</f>
        <v>0.0102600811262229</v>
      </c>
      <c r="Y103" s="12" t="n">
        <f aca="false">IF(U103&gt;0,L103/U103,0)</f>
        <v>265.696333412869</v>
      </c>
      <c r="Z103" s="16" t="n">
        <f aca="false">L103*INDEX(Parametros!$E$2:$E$9,MATCH($E103,Parametros!$A$2:$A$9,0))</f>
        <v>324038.2</v>
      </c>
      <c r="AA103" s="16" t="n">
        <f aca="false">Z103*INDEX(Parametros!$F$2:$F$9,MATCH($E103,Parametros!$A$2:$A$9,0))</f>
        <v>7128.8404</v>
      </c>
      <c r="AB103" s="17" t="n">
        <f aca="false">Z103+AA103</f>
        <v>331167.0404</v>
      </c>
      <c r="AC103" s="18" t="n">
        <v>333065.92</v>
      </c>
      <c r="AD103" s="17" t="n">
        <f aca="false">AC103-AB103</f>
        <v>1898.87959999999</v>
      </c>
      <c r="AE103" s="17" t="n">
        <f aca="false">AA103+AD103</f>
        <v>9027.71999999999</v>
      </c>
      <c r="AF103" s="19" t="n">
        <f aca="false">IF(Z103&gt;0,AE103/Z103,0)</f>
        <v>0.0278600485992083</v>
      </c>
      <c r="AG103" s="16" t="n">
        <f aca="false">(U103-W103)*INDEX(Parametros!$H$2:$H$9,MATCH($E103,Parametros!$A$2:$A$9,0))+W103*INDEX(Parametros!$H$2:$H$9,MATCH($E103,Parametros!$A$2:$A$9,0))*Parametros!$N$3</f>
        <v>39808.125</v>
      </c>
      <c r="AH103" s="13" t="n">
        <v>16348</v>
      </c>
      <c r="AI103" s="16" t="n">
        <f aca="false">AH103*Parametros!$N$2</f>
        <v>1504.016</v>
      </c>
      <c r="AJ103" s="18" t="n">
        <v>12946</v>
      </c>
      <c r="AK103" s="18" t="n">
        <v>1021</v>
      </c>
      <c r="AL103" s="17" t="n">
        <f aca="false">AG103+AI103+AJ103+AK103</f>
        <v>55279.141</v>
      </c>
      <c r="AM103" s="20" t="n">
        <f aca="false">IF(L103&gt;0,AL103/L103,0)</f>
        <v>0.165476683829252</v>
      </c>
      <c r="AN103" s="16" t="n">
        <f aca="false">L103*INDEX(Parametros!$G$2:$G$9,MATCH($E103,Parametros!$A$2:$A$9,0))</f>
        <v>541177.2</v>
      </c>
      <c r="AO103" s="17" t="n">
        <f aca="false">AN103-AC103-AL103</f>
        <v>152832.139</v>
      </c>
      <c r="AP103" s="15" t="n">
        <f aca="false">IF(AN103&gt;0,AO103/AN103,0)</f>
        <v>0.282406832734269</v>
      </c>
      <c r="AQ103" s="16" t="n">
        <f aca="false">INDEX(Parametros!$I$2:$I$9,MATCH($E103,Parametros!$A$2:$A$9,0))</f>
        <v>28000000</v>
      </c>
      <c r="AR103" s="19" t="n">
        <f aca="false">IF(AQ103&gt;0,AO103/AQ103,0)</f>
        <v>0.00545829067857143</v>
      </c>
    </row>
    <row r="104" customFormat="false" ht="15" hidden="false" customHeight="false" outlineLevel="0" collapsed="false">
      <c r="A104" s="5" t="s">
        <v>239</v>
      </c>
      <c r="B104" s="9" t="n">
        <v>45635</v>
      </c>
      <c r="C104" s="2" t="str">
        <f aca="false">TEXT(B104,"yyyy")</f>
        <v>2024</v>
      </c>
      <c r="D104" s="2" t="n">
        <f aca="false">WEEKNUM(B104,2)</f>
        <v>50</v>
      </c>
      <c r="E104" s="5" t="s">
        <v>142</v>
      </c>
      <c r="F104" s="6" t="str">
        <f aca="false">INDEX(Parametros!$B$2:$B$9,MATCH($E104,Parametros!$A$2:$A$9,0))</f>
        <v>Porciones single serve</v>
      </c>
      <c r="G104" s="10" t="n">
        <v>112.3</v>
      </c>
      <c r="H104" s="10" t="n">
        <v>7.9</v>
      </c>
      <c r="I104" s="11" t="n">
        <f aca="false">SUMIFS(Eventos_Paro!$J$2:$J$2186,Eventos_Paro!$D$2:$D$2186,$E104,Eventos_Paro!$B$2:$B$2186,$B104)</f>
        <v>1.05</v>
      </c>
      <c r="J104" s="12" t="n">
        <f aca="false">G104-H104-I104</f>
        <v>103.35</v>
      </c>
      <c r="K104" s="13" t="n">
        <v>209580</v>
      </c>
      <c r="L104" s="13" t="n">
        <v>228438</v>
      </c>
      <c r="M104" s="13" t="n">
        <v>10925</v>
      </c>
      <c r="N104" s="14" t="n">
        <f aca="false">L104+M104</f>
        <v>239363</v>
      </c>
      <c r="O104" s="11" t="n">
        <f aca="false">INDEX(Parametros!$D$2:$D$9,MATCH($E104,Parametros!$A$2:$A$9,0))</f>
        <v>2600</v>
      </c>
      <c r="P104" s="15" t="n">
        <f aca="false">IF((G104-H104)&gt;0,J104/(G104-H104),0)</f>
        <v>0.989942528735632</v>
      </c>
      <c r="Q104" s="15" t="n">
        <f aca="false">IF(J104*O104&gt;0,N104/(O104*J104),0)</f>
        <v>0.890785605299393</v>
      </c>
      <c r="R104" s="15" t="n">
        <f aca="false">IF(N104&gt;0,L104/N104,0)</f>
        <v>0.954358025258708</v>
      </c>
      <c r="S104" s="15" t="n">
        <f aca="false">P104*Q104*R104</f>
        <v>0.84157824933687</v>
      </c>
      <c r="T104" s="15" t="n">
        <f aca="false">IF(K104&gt;0,L104/K104,0)</f>
        <v>1.08997995991984</v>
      </c>
      <c r="U104" s="10" t="n">
        <v>1957.6</v>
      </c>
      <c r="V104" s="5" t="n">
        <v>16</v>
      </c>
      <c r="W104" s="10" t="n">
        <v>160.8</v>
      </c>
      <c r="X104" s="15" t="n">
        <f aca="false">IF(U104&gt;0,W104/U104,0)</f>
        <v>0.0821413976297507</v>
      </c>
      <c r="Y104" s="12" t="n">
        <f aca="false">IF(U104&gt;0,L104/U104,0)</f>
        <v>116.692889252145</v>
      </c>
      <c r="Z104" s="16" t="n">
        <f aca="false">L104*INDEX(Parametros!$E$2:$E$9,MATCH($E104,Parametros!$A$2:$A$9,0))</f>
        <v>169044.12</v>
      </c>
      <c r="AA104" s="16" t="n">
        <f aca="false">Z104*INDEX(Parametros!$F$2:$F$9,MATCH($E104,Parametros!$A$2:$A$9,0))</f>
        <v>7606.9854</v>
      </c>
      <c r="AB104" s="17" t="n">
        <f aca="false">Z104+AA104</f>
        <v>176651.1054</v>
      </c>
      <c r="AC104" s="18" t="n">
        <v>178823.31</v>
      </c>
      <c r="AD104" s="17" t="n">
        <f aca="false">AC104-AB104</f>
        <v>2172.2046</v>
      </c>
      <c r="AE104" s="17" t="n">
        <f aca="false">AA104+AD104</f>
        <v>9779.19</v>
      </c>
      <c r="AF104" s="19" t="n">
        <f aca="false">IF(Z104&gt;0,AE104/Z104,0)</f>
        <v>0.0578499269894747</v>
      </c>
      <c r="AG104" s="16" t="n">
        <f aca="false">(U104-W104)*INDEX(Parametros!$H$2:$H$9,MATCH($E104,Parametros!$A$2:$A$9,0))+W104*INDEX(Parametros!$H$2:$H$9,MATCH($E104,Parametros!$A$2:$A$9,0))*Parametros!$N$3</f>
        <v>61140</v>
      </c>
      <c r="AH104" s="13" t="n">
        <v>12553</v>
      </c>
      <c r="AI104" s="16" t="n">
        <f aca="false">AH104*Parametros!$N$2</f>
        <v>1154.876</v>
      </c>
      <c r="AJ104" s="18" t="n">
        <v>12199</v>
      </c>
      <c r="AK104" s="18" t="n">
        <v>624</v>
      </c>
      <c r="AL104" s="17" t="n">
        <f aca="false">AG104+AI104+AJ104+AK104</f>
        <v>75117.876</v>
      </c>
      <c r="AM104" s="20" t="n">
        <f aca="false">IF(L104&gt;0,AL104/L104,0)</f>
        <v>0.328832663567357</v>
      </c>
      <c r="AN104" s="16" t="n">
        <f aca="false">L104*INDEX(Parametros!$G$2:$G$9,MATCH($E104,Parametros!$A$2:$A$9,0))</f>
        <v>392913.36</v>
      </c>
      <c r="AO104" s="17" t="n">
        <f aca="false">AN104-AC104-AL104</f>
        <v>138972.174</v>
      </c>
      <c r="AP104" s="15" t="n">
        <f aca="false">IF(AN104&gt;0,AO104/AN104,0)</f>
        <v>0.353696738639786</v>
      </c>
      <c r="AQ104" s="16" t="n">
        <f aca="false">INDEX(Parametros!$I$2:$I$9,MATCH($E104,Parametros!$A$2:$A$9,0))</f>
        <v>15900000</v>
      </c>
      <c r="AR104" s="19" t="n">
        <f aca="false">IF(AQ104&gt;0,AO104/AQ104,0)</f>
        <v>0.00874038830188679</v>
      </c>
    </row>
    <row r="105" customFormat="false" ht="15" hidden="false" customHeight="false" outlineLevel="0" collapsed="false">
      <c r="A105" s="5" t="s">
        <v>240</v>
      </c>
      <c r="B105" s="9" t="n">
        <v>45635</v>
      </c>
      <c r="C105" s="2" t="str">
        <f aca="false">TEXT(B105,"yyyy")</f>
        <v>2024</v>
      </c>
      <c r="D105" s="2" t="n">
        <f aca="false">WEEKNUM(B105,2)</f>
        <v>50</v>
      </c>
      <c r="E105" s="5" t="s">
        <v>144</v>
      </c>
      <c r="F105" s="6" t="str">
        <f aca="false">INDEX(Parametros!$B$2:$B$9,MATCH($E105,Parametros!$A$2:$A$9,0))</f>
        <v>Salsas picantes</v>
      </c>
      <c r="G105" s="10" t="n">
        <v>102.5</v>
      </c>
      <c r="H105" s="10" t="n">
        <v>5.6</v>
      </c>
      <c r="I105" s="11" t="n">
        <f aca="false">SUMIFS(Eventos_Paro!$J$2:$J$2186,Eventos_Paro!$D$2:$D$2186,$E105,Eventos_Paro!$B$2:$B$2186,$B105)</f>
        <v>1.18333333333333</v>
      </c>
      <c r="J105" s="12" t="n">
        <f aca="false">G105-H105-I105</f>
        <v>95.7166666666667</v>
      </c>
      <c r="K105" s="13" t="n">
        <v>253173</v>
      </c>
      <c r="L105" s="13" t="n">
        <v>249005</v>
      </c>
      <c r="M105" s="13" t="n">
        <v>5977</v>
      </c>
      <c r="N105" s="14" t="n">
        <f aca="false">L105+M105</f>
        <v>254982</v>
      </c>
      <c r="O105" s="11" t="n">
        <f aca="false">INDEX(Parametros!$D$2:$D$9,MATCH($E105,Parametros!$A$2:$A$9,0))</f>
        <v>3100</v>
      </c>
      <c r="P105" s="15" t="n">
        <f aca="false">IF((G105-H105)&gt;0,J105/(G105-H105),0)</f>
        <v>0.987788097695218</v>
      </c>
      <c r="Q105" s="15" t="n">
        <f aca="false">IF(J105*O105&gt;0,N105/(O105*J105),0)</f>
        <v>0.859330573545354</v>
      </c>
      <c r="R105" s="15" t="n">
        <f aca="false">IF(N105&gt;0,L105/N105,0)</f>
        <v>0.976559129664055</v>
      </c>
      <c r="S105" s="15" t="n">
        <f aca="false">P105*Q105*R105</f>
        <v>0.828939045906987</v>
      </c>
      <c r="T105" s="15" t="n">
        <f aca="false">IF(K105&gt;0,L105/K105,0)</f>
        <v>0.98353694904275</v>
      </c>
      <c r="U105" s="10" t="n">
        <v>1117.1</v>
      </c>
      <c r="V105" s="5" t="n">
        <v>10</v>
      </c>
      <c r="W105" s="10" t="n">
        <v>92.1</v>
      </c>
      <c r="X105" s="15" t="n">
        <f aca="false">IF(U105&gt;0,W105/U105,0)</f>
        <v>0.0824456181183421</v>
      </c>
      <c r="Y105" s="12" t="n">
        <f aca="false">IF(U105&gt;0,L105/U105,0)</f>
        <v>222.903052546773</v>
      </c>
      <c r="Z105" s="16" t="n">
        <f aca="false">L105*INDEX(Parametros!$E$2:$E$9,MATCH($E105,Parametros!$A$2:$A$9,0))</f>
        <v>164343.3</v>
      </c>
      <c r="AA105" s="16" t="n">
        <f aca="false">Z105*INDEX(Parametros!$F$2:$F$9,MATCH($E105,Parametros!$A$2:$A$9,0))</f>
        <v>4272.9258</v>
      </c>
      <c r="AB105" s="17" t="n">
        <f aca="false">Z105+AA105</f>
        <v>168616.2258</v>
      </c>
      <c r="AC105" s="18" t="n">
        <v>169797.46</v>
      </c>
      <c r="AD105" s="17" t="n">
        <f aca="false">AC105-AB105</f>
        <v>1181.23419999998</v>
      </c>
      <c r="AE105" s="17" t="n">
        <f aca="false">AA105+AD105</f>
        <v>5454.15999999998</v>
      </c>
      <c r="AF105" s="19" t="n">
        <f aca="false">IF(Z105&gt;0,AE105/Z105,0)</f>
        <v>0.0331876018067057</v>
      </c>
      <c r="AG105" s="16" t="n">
        <f aca="false">(U105-W105)*INDEX(Parametros!$H$2:$H$9,MATCH($E105,Parametros!$A$2:$A$9,0))+W105*INDEX(Parametros!$H$2:$H$9,MATCH($E105,Parametros!$A$2:$A$9,0))*Parametros!$N$3</f>
        <v>36639.225</v>
      </c>
      <c r="AH105" s="13" t="n">
        <v>14051</v>
      </c>
      <c r="AI105" s="16" t="n">
        <f aca="false">AH105*Parametros!$N$2</f>
        <v>1292.692</v>
      </c>
      <c r="AJ105" s="18" t="n">
        <v>6362</v>
      </c>
      <c r="AK105" s="18" t="n">
        <v>743</v>
      </c>
      <c r="AL105" s="17" t="n">
        <f aca="false">AG105+AI105+AJ105+AK105</f>
        <v>45036.917</v>
      </c>
      <c r="AM105" s="20" t="n">
        <f aca="false">IF(L105&gt;0,AL105/L105,0)</f>
        <v>0.180867520732515</v>
      </c>
      <c r="AN105" s="16" t="n">
        <f aca="false">L105*INDEX(Parametros!$G$2:$G$9,MATCH($E105,Parametros!$A$2:$A$9,0))</f>
        <v>311256.25</v>
      </c>
      <c r="AO105" s="17" t="n">
        <f aca="false">AN105-AC105-AL105</f>
        <v>96421.873</v>
      </c>
      <c r="AP105" s="15" t="n">
        <f aca="false">IF(AN105&gt;0,AO105/AN105,0)</f>
        <v>0.309782929660047</v>
      </c>
      <c r="AQ105" s="16" t="n">
        <f aca="false">INDEX(Parametros!$I$2:$I$9,MATCH($E105,Parametros!$A$2:$A$9,0))</f>
        <v>13300000</v>
      </c>
      <c r="AR105" s="19" t="n">
        <f aca="false">IF(AQ105&gt;0,AO105/AQ105,0)</f>
        <v>0.00724976488721805</v>
      </c>
    </row>
    <row r="106" customFormat="false" ht="15" hidden="false" customHeight="false" outlineLevel="0" collapsed="false">
      <c r="A106" s="5" t="s">
        <v>241</v>
      </c>
      <c r="B106" s="9" t="n">
        <v>45642</v>
      </c>
      <c r="C106" s="2" t="str">
        <f aca="false">TEXT(B106,"yyyy")</f>
        <v>2024</v>
      </c>
      <c r="D106" s="2" t="n">
        <f aca="false">WEEKNUM(B106,2)</f>
        <v>51</v>
      </c>
      <c r="E106" s="5" t="s">
        <v>130</v>
      </c>
      <c r="F106" s="6" t="str">
        <f aca="false">INDEX(Parametros!$B$2:$B$9,MATCH($E106,Parametros!$A$2:$A$9,0))</f>
        <v>Ketchup botella</v>
      </c>
      <c r="G106" s="10" t="n">
        <v>114.3</v>
      </c>
      <c r="H106" s="10" t="n">
        <v>10</v>
      </c>
      <c r="I106" s="11" t="n">
        <f aca="false">SUMIFS(Eventos_Paro!$J$2:$J$2186,Eventos_Paro!$D$2:$D$2186,$E106,Eventos_Paro!$B$2:$B$2186,$B106)</f>
        <v>1.83333333333333</v>
      </c>
      <c r="J106" s="12" t="n">
        <f aca="false">G106-H106-I106</f>
        <v>102.466666666667</v>
      </c>
      <c r="K106" s="13" t="n">
        <v>723196</v>
      </c>
      <c r="L106" s="13" t="n">
        <v>787218</v>
      </c>
      <c r="M106" s="13" t="n">
        <v>18219</v>
      </c>
      <c r="N106" s="14" t="n">
        <f aca="false">L106+M106</f>
        <v>805437</v>
      </c>
      <c r="O106" s="11" t="n">
        <f aca="false">INDEX(Parametros!$D$2:$D$9,MATCH($E106,Parametros!$A$2:$A$9,0))</f>
        <v>9000</v>
      </c>
      <c r="P106" s="15" t="n">
        <f aca="false">IF((G106-H106)&gt;0,J106/(G106-H106),0)</f>
        <v>0.982422499201023</v>
      </c>
      <c r="Q106" s="15" t="n">
        <f aca="false">IF(J106*O106&gt;0,N106/(O106*J106),0)</f>
        <v>0.873386467143787</v>
      </c>
      <c r="R106" s="15" t="n">
        <f aca="false">IF(N106&gt;0,L106/N106,0)</f>
        <v>0.977379981302076</v>
      </c>
      <c r="S106" s="15" t="n">
        <f aca="false">P106*Q106*R106</f>
        <v>0.838625759028444</v>
      </c>
      <c r="T106" s="15" t="n">
        <f aca="false">IF(K106&gt;0,L106/K106,0)</f>
        <v>1.08852648521286</v>
      </c>
      <c r="U106" s="10" t="n">
        <v>1549.5</v>
      </c>
      <c r="V106" s="5" t="n">
        <v>13</v>
      </c>
      <c r="W106" s="10" t="n">
        <v>63.6</v>
      </c>
      <c r="X106" s="15" t="n">
        <f aca="false">IF(U106&gt;0,W106/U106,0)</f>
        <v>0.0410454985479187</v>
      </c>
      <c r="Y106" s="12" t="n">
        <f aca="false">IF(U106&gt;0,L106/U106,0)</f>
        <v>508.04646660213</v>
      </c>
      <c r="Z106" s="16" t="n">
        <f aca="false">L106*INDEX(Parametros!$E$2:$E$9,MATCH($E106,Parametros!$A$2:$A$9,0))</f>
        <v>330631.56</v>
      </c>
      <c r="AA106" s="16" t="n">
        <f aca="false">Z106*INDEX(Parametros!$F$2:$F$9,MATCH($E106,Parametros!$A$2:$A$9,0))</f>
        <v>6612.6312</v>
      </c>
      <c r="AB106" s="17" t="n">
        <f aca="false">Z106+AA106</f>
        <v>337244.1912</v>
      </c>
      <c r="AC106" s="18" t="n">
        <v>330171.99</v>
      </c>
      <c r="AD106" s="17" t="n">
        <f aca="false">AC106-AB106</f>
        <v>-7072.20120000001</v>
      </c>
      <c r="AE106" s="17" t="n">
        <f aca="false">AA106+AD106</f>
        <v>-459.570000000011</v>
      </c>
      <c r="AF106" s="19" t="n">
        <f aca="false">IF(Z106&gt;0,AE106/Z106,0)</f>
        <v>-0.00138997620190889</v>
      </c>
      <c r="AG106" s="16" t="n">
        <f aca="false">(U106-W106)*INDEX(Parametros!$H$2:$H$9,MATCH($E106,Parametros!$A$2:$A$9,0))+W106*INDEX(Parametros!$H$2:$H$9,MATCH($E106,Parametros!$A$2:$A$9,0))*Parametros!$N$3</f>
        <v>49810.95</v>
      </c>
      <c r="AH106" s="13" t="n">
        <v>40670</v>
      </c>
      <c r="AI106" s="16" t="n">
        <f aca="false">AH106*Parametros!$N$2</f>
        <v>3741.64</v>
      </c>
      <c r="AJ106" s="18" t="n">
        <v>16180</v>
      </c>
      <c r="AK106" s="18" t="n">
        <v>1238</v>
      </c>
      <c r="AL106" s="17" t="n">
        <f aca="false">AG106+AI106+AJ106+AK106</f>
        <v>70970.59</v>
      </c>
      <c r="AM106" s="20" t="n">
        <f aca="false">IF(L106&gt;0,AL106/L106,0)</f>
        <v>0.0901536677260937</v>
      </c>
      <c r="AN106" s="16" t="n">
        <f aca="false">L106*INDEX(Parametros!$G$2:$G$9,MATCH($E106,Parametros!$A$2:$A$9,0))</f>
        <v>558924.78</v>
      </c>
      <c r="AO106" s="17" t="n">
        <f aca="false">AN106-AC106-AL106</f>
        <v>157782.2</v>
      </c>
      <c r="AP106" s="15" t="n">
        <f aca="false">IF(AN106&gt;0,AO106/AN106,0)</f>
        <v>0.28229594687142</v>
      </c>
      <c r="AQ106" s="16" t="n">
        <f aca="false">INDEX(Parametros!$I$2:$I$9,MATCH($E106,Parametros!$A$2:$A$9,0))</f>
        <v>29300000</v>
      </c>
      <c r="AR106" s="19" t="n">
        <f aca="false">IF(AQ106&gt;0,AO106/AQ106,0)</f>
        <v>0.00538505802047782</v>
      </c>
    </row>
    <row r="107" customFormat="false" ht="15" hidden="false" customHeight="false" outlineLevel="0" collapsed="false">
      <c r="A107" s="5" t="s">
        <v>242</v>
      </c>
      <c r="B107" s="9" t="n">
        <v>45642</v>
      </c>
      <c r="C107" s="2" t="str">
        <f aca="false">TEXT(B107,"yyyy")</f>
        <v>2024</v>
      </c>
      <c r="D107" s="2" t="n">
        <f aca="false">WEEKNUM(B107,2)</f>
        <v>51</v>
      </c>
      <c r="E107" s="5" t="s">
        <v>132</v>
      </c>
      <c r="F107" s="6" t="str">
        <f aca="false">INDEX(Parametros!$B$2:$B$9,MATCH($E107,Parametros!$A$2:$A$9,0))</f>
        <v>Mayonesa frasco</v>
      </c>
      <c r="G107" s="10" t="n">
        <v>112.1</v>
      </c>
      <c r="H107" s="10" t="n">
        <v>10</v>
      </c>
      <c r="I107" s="11" t="n">
        <f aca="false">SUMIFS(Eventos_Paro!$J$2:$J$2186,Eventos_Paro!$D$2:$D$2186,$E107,Eventos_Paro!$B$2:$B$2186,$B107)</f>
        <v>1.46666666666667</v>
      </c>
      <c r="J107" s="12" t="n">
        <f aca="false">G107-H107-I107</f>
        <v>100.633333333333</v>
      </c>
      <c r="K107" s="13" t="n">
        <v>511291</v>
      </c>
      <c r="L107" s="13" t="n">
        <v>515229</v>
      </c>
      <c r="M107" s="13" t="n">
        <v>13209</v>
      </c>
      <c r="N107" s="14" t="n">
        <f aca="false">L107+M107</f>
        <v>528438</v>
      </c>
      <c r="O107" s="11" t="n">
        <f aca="false">INDEX(Parametros!$D$2:$D$9,MATCH($E107,Parametros!$A$2:$A$9,0))</f>
        <v>6500</v>
      </c>
      <c r="P107" s="15" t="n">
        <f aca="false">IF((G107-H107)&gt;0,J107/(G107-H107),0)</f>
        <v>0.985634998367614</v>
      </c>
      <c r="Q107" s="15" t="n">
        <f aca="false">IF(J107*O107&gt;0,N107/(O107*J107),0)</f>
        <v>0.80786505974979</v>
      </c>
      <c r="R107" s="15" t="n">
        <f aca="false">IF(N107&gt;0,L107/N107,0)</f>
        <v>0.975003690120695</v>
      </c>
      <c r="S107" s="15" t="n">
        <f aca="false">P107*Q107*R107</f>
        <v>0.776356513222331</v>
      </c>
      <c r="T107" s="15" t="n">
        <f aca="false">IF(K107&gt;0,L107/K107,0)</f>
        <v>1.00770207181429</v>
      </c>
      <c r="U107" s="10" t="n">
        <v>1502.2</v>
      </c>
      <c r="V107" s="5" t="n">
        <v>13</v>
      </c>
      <c r="W107" s="10" t="n">
        <v>44.9</v>
      </c>
      <c r="X107" s="15" t="n">
        <f aca="false">IF(U107&gt;0,W107/U107,0)</f>
        <v>0.0298894954067368</v>
      </c>
      <c r="Y107" s="12" t="n">
        <f aca="false">IF(U107&gt;0,L107/U107,0)</f>
        <v>342.982958327786</v>
      </c>
      <c r="Z107" s="16" t="n">
        <f aca="false">L107*INDEX(Parametros!$E$2:$E$9,MATCH($E107,Parametros!$A$2:$A$9,0))</f>
        <v>314289.69</v>
      </c>
      <c r="AA107" s="16" t="n">
        <f aca="false">Z107*INDEX(Parametros!$F$2:$F$9,MATCH($E107,Parametros!$A$2:$A$9,0))</f>
        <v>7857.24225</v>
      </c>
      <c r="AB107" s="17" t="n">
        <f aca="false">Z107+AA107</f>
        <v>322146.93225</v>
      </c>
      <c r="AC107" s="18" t="n">
        <v>315378.7</v>
      </c>
      <c r="AD107" s="17" t="n">
        <f aca="false">AC107-AB107</f>
        <v>-6768.23225</v>
      </c>
      <c r="AE107" s="17" t="n">
        <f aca="false">AA107+AD107</f>
        <v>1089.01</v>
      </c>
      <c r="AF107" s="19" t="n">
        <f aca="false">IF(Z107&gt;0,AE107/Z107,0)</f>
        <v>0.00346498798608379</v>
      </c>
      <c r="AG107" s="16" t="n">
        <f aca="false">(U107-W107)*INDEX(Parametros!$H$2:$H$9,MATCH($E107,Parametros!$A$2:$A$9,0))+W107*INDEX(Parametros!$H$2:$H$9,MATCH($E107,Parametros!$A$2:$A$9,0))*Parametros!$N$3</f>
        <v>48026.475</v>
      </c>
      <c r="AH107" s="13" t="n">
        <v>26928</v>
      </c>
      <c r="AI107" s="16" t="n">
        <f aca="false">AH107*Parametros!$N$2</f>
        <v>2477.376</v>
      </c>
      <c r="AJ107" s="18" t="n">
        <v>16467</v>
      </c>
      <c r="AK107" s="18" t="n">
        <v>1051</v>
      </c>
      <c r="AL107" s="17" t="n">
        <f aca="false">AG107+AI107+AJ107+AK107</f>
        <v>68021.851</v>
      </c>
      <c r="AM107" s="20" t="n">
        <f aca="false">IF(L107&gt;0,AL107/L107,0)</f>
        <v>0.132022558900994</v>
      </c>
      <c r="AN107" s="16" t="n">
        <f aca="false">L107*INDEX(Parametros!$G$2:$G$9,MATCH($E107,Parametros!$A$2:$A$9,0))</f>
        <v>494619.84</v>
      </c>
      <c r="AO107" s="17" t="n">
        <f aca="false">AN107-AC107-AL107</f>
        <v>111219.289</v>
      </c>
      <c r="AP107" s="15" t="n">
        <f aca="false">IF(AN107&gt;0,AO107/AN107,0)</f>
        <v>0.224858123361974</v>
      </c>
      <c r="AQ107" s="16" t="n">
        <f aca="false">INDEX(Parametros!$I$2:$I$9,MATCH($E107,Parametros!$A$2:$A$9,0))</f>
        <v>29700000</v>
      </c>
      <c r="AR107" s="19" t="n">
        <f aca="false">IF(AQ107&gt;0,AO107/AQ107,0)</f>
        <v>0.0037447572053872</v>
      </c>
    </row>
    <row r="108" customFormat="false" ht="15" hidden="false" customHeight="false" outlineLevel="0" collapsed="false">
      <c r="A108" s="5" t="s">
        <v>243</v>
      </c>
      <c r="B108" s="9" t="n">
        <v>45642</v>
      </c>
      <c r="C108" s="2" t="str">
        <f aca="false">TEXT(B108,"yyyy")</f>
        <v>2024</v>
      </c>
      <c r="D108" s="2" t="n">
        <f aca="false">WEEKNUM(B108,2)</f>
        <v>51</v>
      </c>
      <c r="E108" s="5" t="s">
        <v>134</v>
      </c>
      <c r="F108" s="6" t="str">
        <f aca="false">INDEX(Parametros!$B$2:$B$9,MATCH($E108,Parametros!$A$2:$A$9,0))</f>
        <v>Aderezos vertibles</v>
      </c>
      <c r="G108" s="10" t="n">
        <v>103.1</v>
      </c>
      <c r="H108" s="10" t="n">
        <v>10.5</v>
      </c>
      <c r="I108" s="11" t="n">
        <f aca="false">SUMIFS(Eventos_Paro!$J$2:$J$2186,Eventos_Paro!$D$2:$D$2186,$E108,Eventos_Paro!$B$2:$B$2186,$B108)</f>
        <v>3.93333333333333</v>
      </c>
      <c r="J108" s="12" t="n">
        <f aca="false">G108-H108-I108</f>
        <v>88.6666666666667</v>
      </c>
      <c r="K108" s="13" t="n">
        <v>370974</v>
      </c>
      <c r="L108" s="13" t="n">
        <v>350395</v>
      </c>
      <c r="M108" s="13" t="n">
        <v>11401</v>
      </c>
      <c r="N108" s="14" t="n">
        <f aca="false">L108+M108</f>
        <v>361796</v>
      </c>
      <c r="O108" s="11" t="n">
        <f aca="false">INDEX(Parametros!$D$2:$D$9,MATCH($E108,Parametros!$A$2:$A$9,0))</f>
        <v>5200</v>
      </c>
      <c r="P108" s="15" t="n">
        <f aca="false">IF((G108-H108)&gt;0,J108/(G108-H108),0)</f>
        <v>0.95752339812815</v>
      </c>
      <c r="Q108" s="15" t="n">
        <f aca="false">IF(J108*O108&gt;0,N108/(O108*J108),0)</f>
        <v>0.784693464430307</v>
      </c>
      <c r="R108" s="15" t="n">
        <f aca="false">IF(N108&gt;0,L108/N108,0)</f>
        <v>0.968487766586695</v>
      </c>
      <c r="S108" s="15" t="n">
        <f aca="false">P108*Q108*R108</f>
        <v>0.727685246718724</v>
      </c>
      <c r="T108" s="15" t="n">
        <f aca="false">IF(K108&gt;0,L108/K108,0)</f>
        <v>0.944527109716584</v>
      </c>
      <c r="U108" s="10" t="n">
        <v>1267.1</v>
      </c>
      <c r="V108" s="5" t="n">
        <v>12</v>
      </c>
      <c r="W108" s="10" t="n">
        <v>29.9</v>
      </c>
      <c r="X108" s="15" t="n">
        <f aca="false">IF(U108&gt;0,W108/U108,0)</f>
        <v>0.0235971904348512</v>
      </c>
      <c r="Y108" s="12" t="n">
        <f aca="false">IF(U108&gt;0,L108/U108,0)</f>
        <v>276.533028174572</v>
      </c>
      <c r="Z108" s="16" t="n">
        <f aca="false">L108*INDEX(Parametros!$E$2:$E$9,MATCH($E108,Parametros!$A$2:$A$9,0))</f>
        <v>192717.25</v>
      </c>
      <c r="AA108" s="16" t="n">
        <f aca="false">Z108*INDEX(Parametros!$F$2:$F$9,MATCH($E108,Parametros!$A$2:$A$9,0))</f>
        <v>5781.5175</v>
      </c>
      <c r="AB108" s="17" t="n">
        <f aca="false">Z108+AA108</f>
        <v>198498.7675</v>
      </c>
      <c r="AC108" s="18" t="n">
        <v>201253.73</v>
      </c>
      <c r="AD108" s="17" t="n">
        <f aca="false">AC108-AB108</f>
        <v>2754.96249999999</v>
      </c>
      <c r="AE108" s="17" t="n">
        <f aca="false">AA108+AD108</f>
        <v>8536.48</v>
      </c>
      <c r="AF108" s="19" t="n">
        <f aca="false">IF(Z108&gt;0,AE108/Z108,0)</f>
        <v>0.0442953601714429</v>
      </c>
      <c r="AG108" s="16" t="n">
        <f aca="false">(U108-W108)*INDEX(Parametros!$H$2:$H$9,MATCH($E108,Parametros!$A$2:$A$9,0))+W108*INDEX(Parametros!$H$2:$H$9,MATCH($E108,Parametros!$A$2:$A$9,0))*Parametros!$N$3</f>
        <v>40384.575</v>
      </c>
      <c r="AH108" s="13" t="n">
        <v>18924</v>
      </c>
      <c r="AI108" s="16" t="n">
        <f aca="false">AH108*Parametros!$N$2</f>
        <v>1741.008</v>
      </c>
      <c r="AJ108" s="18" t="n">
        <v>11095</v>
      </c>
      <c r="AK108" s="18" t="n">
        <v>3198</v>
      </c>
      <c r="AL108" s="17" t="n">
        <f aca="false">AG108+AI108+AJ108+AK108</f>
        <v>56418.583</v>
      </c>
      <c r="AM108" s="20" t="n">
        <f aca="false">IF(L108&gt;0,AL108/L108,0)</f>
        <v>0.161014235362948</v>
      </c>
      <c r="AN108" s="16" t="n">
        <f aca="false">L108*INDEX(Parametros!$G$2:$G$9,MATCH($E108,Parametros!$A$2:$A$9,0))</f>
        <v>357402.9</v>
      </c>
      <c r="AO108" s="17" t="n">
        <f aca="false">AN108-AC108-AL108</f>
        <v>99730.587</v>
      </c>
      <c r="AP108" s="15" t="n">
        <f aca="false">IF(AN108&gt;0,AO108/AN108,0)</f>
        <v>0.279042467198783</v>
      </c>
      <c r="AQ108" s="16" t="n">
        <f aca="false">INDEX(Parametros!$I$2:$I$9,MATCH($E108,Parametros!$A$2:$A$9,0))</f>
        <v>19300000</v>
      </c>
      <c r="AR108" s="19" t="n">
        <f aca="false">IF(AQ108&gt;0,AO108/AQ108,0)</f>
        <v>0.00516738792746114</v>
      </c>
    </row>
    <row r="109" customFormat="false" ht="15" hidden="false" customHeight="false" outlineLevel="0" collapsed="false">
      <c r="A109" s="5" t="s">
        <v>244</v>
      </c>
      <c r="B109" s="9" t="n">
        <v>45642</v>
      </c>
      <c r="C109" s="2" t="str">
        <f aca="false">TEXT(B109,"yyyy")</f>
        <v>2024</v>
      </c>
      <c r="D109" s="2" t="n">
        <f aca="false">WEEKNUM(B109,2)</f>
        <v>51</v>
      </c>
      <c r="E109" s="5" t="s">
        <v>136</v>
      </c>
      <c r="F109" s="6" t="str">
        <f aca="false">INDEX(Parametros!$B$2:$B$9,MATCH($E109,Parametros!$A$2:$A$9,0))</f>
        <v>Salsa BBQ</v>
      </c>
      <c r="G109" s="10" t="n">
        <v>114.3</v>
      </c>
      <c r="H109" s="10" t="n">
        <v>12.5</v>
      </c>
      <c r="I109" s="11" t="n">
        <f aca="false">SUMIFS(Eventos_Paro!$J$2:$J$2186,Eventos_Paro!$D$2:$D$2186,$E109,Eventos_Paro!$B$2:$B$2186,$B109)</f>
        <v>2.1</v>
      </c>
      <c r="J109" s="12" t="n">
        <f aca="false">G109-H109-I109</f>
        <v>99.7</v>
      </c>
      <c r="K109" s="13" t="n">
        <v>325875</v>
      </c>
      <c r="L109" s="13" t="n">
        <v>374722</v>
      </c>
      <c r="M109" s="13" t="n">
        <v>8204</v>
      </c>
      <c r="N109" s="14" t="n">
        <f aca="false">L109+M109</f>
        <v>382926</v>
      </c>
      <c r="O109" s="11" t="n">
        <f aca="false">INDEX(Parametros!$D$2:$D$9,MATCH($E109,Parametros!$A$2:$A$9,0))</f>
        <v>4800</v>
      </c>
      <c r="P109" s="15" t="n">
        <f aca="false">IF((G109-H109)&gt;0,J109/(G109-H109),0)</f>
        <v>0.979371316306483</v>
      </c>
      <c r="Q109" s="15" t="n">
        <f aca="false">IF(J109*O109&gt;0,N109/(O109*J109),0)</f>
        <v>0.800162988966901</v>
      </c>
      <c r="R109" s="15" t="n">
        <f aca="false">IF(N109&gt;0,L109/N109,0)</f>
        <v>0.978575495004257</v>
      </c>
      <c r="S109" s="15" t="n">
        <f aca="false">P109*Q109*R109</f>
        <v>0.766867223313687</v>
      </c>
      <c r="T109" s="15" t="n">
        <f aca="false">IF(K109&gt;0,L109/K109,0)</f>
        <v>1.14989489835059</v>
      </c>
      <c r="U109" s="10" t="n">
        <v>1405</v>
      </c>
      <c r="V109" s="5" t="n">
        <v>11</v>
      </c>
      <c r="W109" s="10" t="n">
        <v>147.7</v>
      </c>
      <c r="X109" s="15" t="n">
        <f aca="false">IF(U109&gt;0,W109/U109,0)</f>
        <v>0.105124555160142</v>
      </c>
      <c r="Y109" s="12" t="n">
        <f aca="false">IF(U109&gt;0,L109/U109,0)</f>
        <v>266.706049822064</v>
      </c>
      <c r="Z109" s="16" t="n">
        <f aca="false">L109*INDEX(Parametros!$E$2:$E$9,MATCH($E109,Parametros!$A$2:$A$9,0))</f>
        <v>217338.76</v>
      </c>
      <c r="AA109" s="16" t="n">
        <f aca="false">Z109*INDEX(Parametros!$F$2:$F$9,MATCH($E109,Parametros!$A$2:$A$9,0))</f>
        <v>6085.48528</v>
      </c>
      <c r="AB109" s="17" t="n">
        <f aca="false">Z109+AA109</f>
        <v>223424.24528</v>
      </c>
      <c r="AC109" s="18" t="n">
        <v>223612.81</v>
      </c>
      <c r="AD109" s="17" t="n">
        <f aca="false">AC109-AB109</f>
        <v>188.564720000024</v>
      </c>
      <c r="AE109" s="17" t="n">
        <f aca="false">AA109+AD109</f>
        <v>6274.05000000002</v>
      </c>
      <c r="AF109" s="19" t="n">
        <f aca="false">IF(Z109&gt;0,AE109/Z109,0)</f>
        <v>0.028867607416183</v>
      </c>
      <c r="AG109" s="16" t="n">
        <f aca="false">(U109-W109)*INDEX(Parametros!$H$2:$H$9,MATCH($E109,Parametros!$A$2:$A$9,0))+W109*INDEX(Parametros!$H$2:$H$9,MATCH($E109,Parametros!$A$2:$A$9,0))*Parametros!$N$3</f>
        <v>46583.775</v>
      </c>
      <c r="AH109" s="13" t="n">
        <v>21459</v>
      </c>
      <c r="AI109" s="16" t="n">
        <f aca="false">AH109*Parametros!$N$2</f>
        <v>1974.228</v>
      </c>
      <c r="AJ109" s="18" t="n">
        <v>8587</v>
      </c>
      <c r="AK109" s="18" t="n">
        <v>2288</v>
      </c>
      <c r="AL109" s="17" t="n">
        <f aca="false">AG109+AI109+AJ109+AK109</f>
        <v>59433.003</v>
      </c>
      <c r="AM109" s="20" t="n">
        <f aca="false">IF(L109&gt;0,AL109/L109,0)</f>
        <v>0.158605587608947</v>
      </c>
      <c r="AN109" s="16" t="n">
        <f aca="false">L109*INDEX(Parametros!$G$2:$G$9,MATCH($E109,Parametros!$A$2:$A$9,0))</f>
        <v>367227.56</v>
      </c>
      <c r="AO109" s="17" t="n">
        <f aca="false">AN109-AC109-AL109</f>
        <v>84181.747</v>
      </c>
      <c r="AP109" s="15" t="n">
        <f aca="false">IF(AN109&gt;0,AO109/AN109,0)</f>
        <v>0.229235918458843</v>
      </c>
      <c r="AQ109" s="16" t="n">
        <f aca="false">INDEX(Parametros!$I$2:$I$9,MATCH($E109,Parametros!$A$2:$A$9,0))</f>
        <v>17000000</v>
      </c>
      <c r="AR109" s="19" t="n">
        <f aca="false">IF(AQ109&gt;0,AO109/AQ109,0)</f>
        <v>0.00495186747058824</v>
      </c>
    </row>
    <row r="110" customFormat="false" ht="15" hidden="false" customHeight="false" outlineLevel="0" collapsed="false">
      <c r="A110" s="5" t="s">
        <v>245</v>
      </c>
      <c r="B110" s="9" t="n">
        <v>45642</v>
      </c>
      <c r="C110" s="2" t="str">
        <f aca="false">TEXT(B110,"yyyy")</f>
        <v>2024</v>
      </c>
      <c r="D110" s="2" t="n">
        <f aca="false">WEEKNUM(B110,2)</f>
        <v>51</v>
      </c>
      <c r="E110" s="5" t="s">
        <v>138</v>
      </c>
      <c r="F110" s="6" t="str">
        <f aca="false">INDEX(Parametros!$B$2:$B$9,MATCH($E110,Parametros!$A$2:$A$9,0))</f>
        <v>Queso crema</v>
      </c>
      <c r="G110" s="10" t="n">
        <v>107.6</v>
      </c>
      <c r="H110" s="10" t="n">
        <v>10.4</v>
      </c>
      <c r="I110" s="11" t="n">
        <f aca="false">SUMIFS(Eventos_Paro!$J$2:$J$2186,Eventos_Paro!$D$2:$D$2186,$E110,Eventos_Paro!$B$2:$B$2186,$B110)</f>
        <v>2.13333333333333</v>
      </c>
      <c r="J110" s="12" t="n">
        <f aca="false">G110-H110-I110</f>
        <v>95.0666666666667</v>
      </c>
      <c r="K110" s="13" t="n">
        <v>284563</v>
      </c>
      <c r="L110" s="13" t="n">
        <v>279812</v>
      </c>
      <c r="M110" s="13" t="n">
        <v>11561</v>
      </c>
      <c r="N110" s="14" t="n">
        <f aca="false">L110+M110</f>
        <v>291373</v>
      </c>
      <c r="O110" s="11" t="n">
        <f aca="false">INDEX(Parametros!$D$2:$D$9,MATCH($E110,Parametros!$A$2:$A$9,0))</f>
        <v>3800</v>
      </c>
      <c r="P110" s="15" t="n">
        <f aca="false">IF((G110-H110)&gt;0,J110/(G110-H110),0)</f>
        <v>0.978052126200274</v>
      </c>
      <c r="Q110" s="15" t="n">
        <f aca="false">IF(J110*O110&gt;0,N110/(O110*J110),0)</f>
        <v>0.806561415811619</v>
      </c>
      <c r="R110" s="15" t="n">
        <f aca="false">IF(N110&gt;0,L110/N110,0)</f>
        <v>0.96032233597485</v>
      </c>
      <c r="S110" s="15" t="n">
        <f aca="false">P110*Q110*R110</f>
        <v>0.757559021009314</v>
      </c>
      <c r="T110" s="15" t="n">
        <f aca="false">IF(K110&gt;0,L110/K110,0)</f>
        <v>0.983304224372107</v>
      </c>
      <c r="U110" s="10" t="n">
        <v>1732.2</v>
      </c>
      <c r="V110" s="5" t="n">
        <v>15</v>
      </c>
      <c r="W110" s="10" t="n">
        <v>118.2</v>
      </c>
      <c r="X110" s="15" t="n">
        <f aca="false">IF(U110&gt;0,W110/U110,0)</f>
        <v>0.0682369241427087</v>
      </c>
      <c r="Y110" s="12" t="n">
        <f aca="false">IF(U110&gt;0,L110/U110,0)</f>
        <v>161.535619443482</v>
      </c>
      <c r="Z110" s="16" t="n">
        <f aca="false">L110*INDEX(Parametros!$E$2:$E$9,MATCH($E110,Parametros!$A$2:$A$9,0))</f>
        <v>313389.44</v>
      </c>
      <c r="AA110" s="16" t="n">
        <f aca="false">Z110*INDEX(Parametros!$F$2:$F$9,MATCH($E110,Parametros!$A$2:$A$9,0))</f>
        <v>10968.6304</v>
      </c>
      <c r="AB110" s="17" t="n">
        <f aca="false">Z110+AA110</f>
        <v>324358.0704</v>
      </c>
      <c r="AC110" s="18" t="n">
        <v>324427.61</v>
      </c>
      <c r="AD110" s="17" t="n">
        <f aca="false">AC110-AB110</f>
        <v>69.5395999999601</v>
      </c>
      <c r="AE110" s="17" t="n">
        <f aca="false">AA110+AD110</f>
        <v>11038.17</v>
      </c>
      <c r="AF110" s="19" t="n">
        <f aca="false">IF(Z110&gt;0,AE110/Z110,0)</f>
        <v>0.0352218951602197</v>
      </c>
      <c r="AG110" s="16" t="n">
        <f aca="false">(U110-W110)*INDEX(Parametros!$H$2:$H$9,MATCH($E110,Parametros!$A$2:$A$9,0))+W110*INDEX(Parametros!$H$2:$H$9,MATCH($E110,Parametros!$A$2:$A$9,0))*Parametros!$N$3</f>
        <v>59112.9</v>
      </c>
      <c r="AH110" s="13" t="n">
        <v>15142</v>
      </c>
      <c r="AI110" s="16" t="n">
        <f aca="false">AH110*Parametros!$N$2</f>
        <v>1393.064</v>
      </c>
      <c r="AJ110" s="18" t="n">
        <v>21186</v>
      </c>
      <c r="AK110" s="18" t="n">
        <v>1913</v>
      </c>
      <c r="AL110" s="17" t="n">
        <f aca="false">AG110+AI110+AJ110+AK110</f>
        <v>83604.964</v>
      </c>
      <c r="AM110" s="20" t="n">
        <f aca="false">IF(L110&gt;0,AL110/L110,0)</f>
        <v>0.29878977313339</v>
      </c>
      <c r="AN110" s="16" t="n">
        <f aca="false">L110*INDEX(Parametros!$G$2:$G$9,MATCH($E110,Parametros!$A$2:$A$9,0))</f>
        <v>500863.48</v>
      </c>
      <c r="AO110" s="17" t="n">
        <f aca="false">AN110-AC110-AL110</f>
        <v>92830.906</v>
      </c>
      <c r="AP110" s="15" t="n">
        <f aca="false">IF(AN110&gt;0,AO110/AN110,0)</f>
        <v>0.185341734238639</v>
      </c>
      <c r="AQ110" s="16" t="n">
        <f aca="false">INDEX(Parametros!$I$2:$I$9,MATCH($E110,Parametros!$A$2:$A$9,0))</f>
        <v>33200000</v>
      </c>
      <c r="AR110" s="19" t="n">
        <f aca="false">IF(AQ110&gt;0,AO110/AQ110,0)</f>
        <v>0.00279611162650602</v>
      </c>
    </row>
    <row r="111" customFormat="false" ht="15" hidden="false" customHeight="false" outlineLevel="0" collapsed="false">
      <c r="A111" s="5" t="s">
        <v>246</v>
      </c>
      <c r="B111" s="9" t="n">
        <v>45642</v>
      </c>
      <c r="C111" s="2" t="str">
        <f aca="false">TEXT(B111,"yyyy")</f>
        <v>2024</v>
      </c>
      <c r="D111" s="2" t="n">
        <f aca="false">WEEKNUM(B111,2)</f>
        <v>51</v>
      </c>
      <c r="E111" s="5" t="s">
        <v>140</v>
      </c>
      <c r="F111" s="6" t="str">
        <f aca="false">INDEX(Parametros!$B$2:$B$9,MATCH($E111,Parametros!$A$2:$A$9,0))</f>
        <v>Crema de cacahuate</v>
      </c>
      <c r="G111" s="10" t="n">
        <v>113.8</v>
      </c>
      <c r="H111" s="10" t="n">
        <v>11.4</v>
      </c>
      <c r="I111" s="11" t="n">
        <f aca="false">SUMIFS(Eventos_Paro!$J$2:$J$2186,Eventos_Paro!$D$2:$D$2186,$E111,Eventos_Paro!$B$2:$B$2186,$B111)</f>
        <v>5.73333333333333</v>
      </c>
      <c r="J111" s="12" t="n">
        <f aca="false">G111-H111-I111</f>
        <v>96.6666666666667</v>
      </c>
      <c r="K111" s="13" t="n">
        <v>331343</v>
      </c>
      <c r="L111" s="13" t="n">
        <v>338594</v>
      </c>
      <c r="M111" s="13" t="n">
        <v>6285</v>
      </c>
      <c r="N111" s="14" t="n">
        <f aca="false">L111+M111</f>
        <v>344879</v>
      </c>
      <c r="O111" s="11" t="n">
        <f aca="false">INDEX(Parametros!$D$2:$D$9,MATCH($E111,Parametros!$A$2:$A$9,0))</f>
        <v>4200</v>
      </c>
      <c r="P111" s="15" t="n">
        <f aca="false">IF((G111-H111)&gt;0,J111/(G111-H111),0)</f>
        <v>0.944010416666667</v>
      </c>
      <c r="Q111" s="15" t="n">
        <f aca="false">IF(J111*O111&gt;0,N111/(O111*J111),0)</f>
        <v>0.849455665024631</v>
      </c>
      <c r="R111" s="15" t="n">
        <f aca="false">IF(N111&gt;0,L111/N111,0)</f>
        <v>0.981776217166021</v>
      </c>
      <c r="S111" s="15" t="n">
        <f aca="false">P111*Q111*R111</f>
        <v>0.787281436011905</v>
      </c>
      <c r="T111" s="15" t="n">
        <f aca="false">IF(K111&gt;0,L111/K111,0)</f>
        <v>1.02188366737791</v>
      </c>
      <c r="U111" s="10" t="n">
        <v>1278.9</v>
      </c>
      <c r="V111" s="5" t="n">
        <v>11</v>
      </c>
      <c r="W111" s="10" t="n">
        <v>27.1</v>
      </c>
      <c r="X111" s="15" t="n">
        <f aca="false">IF(U111&gt;0,W111/U111,0)</f>
        <v>0.0211900852294941</v>
      </c>
      <c r="Y111" s="12" t="n">
        <f aca="false">IF(U111&gt;0,L111/U111,0)</f>
        <v>264.754085542263</v>
      </c>
      <c r="Z111" s="16" t="n">
        <f aca="false">L111*INDEX(Parametros!$E$2:$E$9,MATCH($E111,Parametros!$A$2:$A$9,0))</f>
        <v>328436.18</v>
      </c>
      <c r="AA111" s="16" t="n">
        <f aca="false">Z111*INDEX(Parametros!$F$2:$F$9,MATCH($E111,Parametros!$A$2:$A$9,0))</f>
        <v>7225.59596</v>
      </c>
      <c r="AB111" s="17" t="n">
        <f aca="false">Z111+AA111</f>
        <v>335661.77596</v>
      </c>
      <c r="AC111" s="18" t="n">
        <v>342006.43</v>
      </c>
      <c r="AD111" s="17" t="n">
        <f aca="false">AC111-AB111</f>
        <v>6344.65403999999</v>
      </c>
      <c r="AE111" s="17" t="n">
        <f aca="false">AA111+AD111</f>
        <v>13570.25</v>
      </c>
      <c r="AF111" s="19" t="n">
        <f aca="false">IF(Z111&gt;0,AE111/Z111,0)</f>
        <v>0.0413177683408691</v>
      </c>
      <c r="AG111" s="16" t="n">
        <f aca="false">(U111-W111)*INDEX(Parametros!$H$2:$H$9,MATCH($E111,Parametros!$A$2:$A$9,0))+W111*INDEX(Parametros!$H$2:$H$9,MATCH($E111,Parametros!$A$2:$A$9,0))*Parametros!$N$3</f>
        <v>40712.175</v>
      </c>
      <c r="AH111" s="13" t="n">
        <v>17776</v>
      </c>
      <c r="AI111" s="16" t="n">
        <f aca="false">AH111*Parametros!$N$2</f>
        <v>1635.392</v>
      </c>
      <c r="AJ111" s="18" t="n">
        <v>11144</v>
      </c>
      <c r="AK111" s="18" t="n">
        <v>4188</v>
      </c>
      <c r="AL111" s="17" t="n">
        <f aca="false">AG111+AI111+AJ111+AK111</f>
        <v>57679.567</v>
      </c>
      <c r="AM111" s="20" t="n">
        <f aca="false">IF(L111&gt;0,AL111/L111,0)</f>
        <v>0.170350233613118</v>
      </c>
      <c r="AN111" s="16" t="n">
        <f aca="false">L111*INDEX(Parametros!$G$2:$G$9,MATCH($E111,Parametros!$A$2:$A$9,0))</f>
        <v>548522.28</v>
      </c>
      <c r="AO111" s="17" t="n">
        <f aca="false">AN111-AC111-AL111</f>
        <v>148836.283</v>
      </c>
      <c r="AP111" s="15" t="n">
        <f aca="false">IF(AN111&gt;0,AO111/AN111,0)</f>
        <v>0.271340451293975</v>
      </c>
      <c r="AQ111" s="16" t="n">
        <f aca="false">INDEX(Parametros!$I$2:$I$9,MATCH($E111,Parametros!$A$2:$A$9,0))</f>
        <v>28000000</v>
      </c>
      <c r="AR111" s="19" t="n">
        <f aca="false">IF(AQ111&gt;0,AO111/AQ111,0)</f>
        <v>0.00531558153571429</v>
      </c>
    </row>
    <row r="112" customFormat="false" ht="15" hidden="false" customHeight="false" outlineLevel="0" collapsed="false">
      <c r="A112" s="5" t="s">
        <v>247</v>
      </c>
      <c r="B112" s="9" t="n">
        <v>45642</v>
      </c>
      <c r="C112" s="2" t="str">
        <f aca="false">TEXT(B112,"yyyy")</f>
        <v>2024</v>
      </c>
      <c r="D112" s="2" t="n">
        <f aca="false">WEEKNUM(B112,2)</f>
        <v>51</v>
      </c>
      <c r="E112" s="5" t="s">
        <v>142</v>
      </c>
      <c r="F112" s="6" t="str">
        <f aca="false">INDEX(Parametros!$B$2:$B$9,MATCH($E112,Parametros!$A$2:$A$9,0))</f>
        <v>Porciones single serve</v>
      </c>
      <c r="G112" s="10" t="n">
        <v>136.6</v>
      </c>
      <c r="H112" s="10" t="n">
        <v>10.6</v>
      </c>
      <c r="I112" s="11" t="n">
        <f aca="false">SUMIFS(Eventos_Paro!$J$2:$J$2186,Eventos_Paro!$D$2:$D$2186,$E112,Eventos_Paro!$B$2:$B$2186,$B112)</f>
        <v>2.38333333333333</v>
      </c>
      <c r="J112" s="12" t="n">
        <f aca="false">G112-H112-I112</f>
        <v>123.616666666667</v>
      </c>
      <c r="K112" s="13" t="n">
        <v>252390</v>
      </c>
      <c r="L112" s="13" t="n">
        <v>234250</v>
      </c>
      <c r="M112" s="13" t="n">
        <v>13194</v>
      </c>
      <c r="N112" s="14" t="n">
        <f aca="false">L112+M112</f>
        <v>247444</v>
      </c>
      <c r="O112" s="11" t="n">
        <f aca="false">INDEX(Parametros!$D$2:$D$9,MATCH($E112,Parametros!$A$2:$A$9,0))</f>
        <v>2600</v>
      </c>
      <c r="P112" s="15" t="n">
        <f aca="false">IF((G112-H112)&gt;0,J112/(G112-H112),0)</f>
        <v>0.981084656084656</v>
      </c>
      <c r="Q112" s="15" t="n">
        <f aca="false">IF(J112*O112&gt;0,N112/(O112*J112),0)</f>
        <v>0.769886228103836</v>
      </c>
      <c r="R112" s="15" t="n">
        <f aca="false">IF(N112&gt;0,L112/N112,0)</f>
        <v>0.946678844506232</v>
      </c>
      <c r="S112" s="15" t="n">
        <f aca="false">P112*Q112*R112</f>
        <v>0.71504884004884</v>
      </c>
      <c r="T112" s="15" t="n">
        <f aca="false">IF(K112&gt;0,L112/K112,0)</f>
        <v>0.928127104877372</v>
      </c>
      <c r="U112" s="10" t="n">
        <v>2241.8</v>
      </c>
      <c r="V112" s="5" t="n">
        <v>15</v>
      </c>
      <c r="W112" s="10" t="n">
        <v>192.8</v>
      </c>
      <c r="X112" s="15" t="n">
        <f aca="false">IF(U112&gt;0,W112/U112,0)</f>
        <v>0.0860023195646356</v>
      </c>
      <c r="Y112" s="12" t="n">
        <f aca="false">IF(U112&gt;0,L112/U112,0)</f>
        <v>104.491926130788</v>
      </c>
      <c r="Z112" s="16" t="n">
        <f aca="false">L112*INDEX(Parametros!$E$2:$E$9,MATCH($E112,Parametros!$A$2:$A$9,0))</f>
        <v>173345</v>
      </c>
      <c r="AA112" s="16" t="n">
        <f aca="false">Z112*INDEX(Parametros!$F$2:$F$9,MATCH($E112,Parametros!$A$2:$A$9,0))</f>
        <v>7800.525</v>
      </c>
      <c r="AB112" s="17" t="n">
        <f aca="false">Z112+AA112</f>
        <v>181145.525</v>
      </c>
      <c r="AC112" s="18" t="n">
        <v>180663.4</v>
      </c>
      <c r="AD112" s="17" t="n">
        <f aca="false">AC112-AB112</f>
        <v>-482.125</v>
      </c>
      <c r="AE112" s="17" t="n">
        <f aca="false">AA112+AD112</f>
        <v>7318.4</v>
      </c>
      <c r="AF112" s="19" t="n">
        <f aca="false">IF(Z112&gt;0,AE112/Z112,0)</f>
        <v>0.0422186968184834</v>
      </c>
      <c r="AG112" s="16" t="n">
        <f aca="false">(U112-W112)*INDEX(Parametros!$H$2:$H$9,MATCH($E112,Parametros!$A$2:$A$9,0))+W112*INDEX(Parametros!$H$2:$H$9,MATCH($E112,Parametros!$A$2:$A$9,0))*Parametros!$N$3</f>
        <v>70146</v>
      </c>
      <c r="AH112" s="13" t="n">
        <v>12654</v>
      </c>
      <c r="AI112" s="16" t="n">
        <f aca="false">AH112*Parametros!$N$2</f>
        <v>1164.168</v>
      </c>
      <c r="AJ112" s="18" t="n">
        <v>12114</v>
      </c>
      <c r="AK112" s="18" t="n">
        <v>2323</v>
      </c>
      <c r="AL112" s="17" t="n">
        <f aca="false">AG112+AI112+AJ112+AK112</f>
        <v>85747.168</v>
      </c>
      <c r="AM112" s="20" t="n">
        <f aca="false">IF(L112&gt;0,AL112/L112,0)</f>
        <v>0.366049810032017</v>
      </c>
      <c r="AN112" s="16" t="n">
        <f aca="false">L112*INDEX(Parametros!$G$2:$G$9,MATCH($E112,Parametros!$A$2:$A$9,0))</f>
        <v>402910</v>
      </c>
      <c r="AO112" s="17" t="n">
        <f aca="false">AN112-AC112-AL112</f>
        <v>136499.432</v>
      </c>
      <c r="AP112" s="15" t="n">
        <f aca="false">IF(AN112&gt;0,AO112/AN112,0)</f>
        <v>0.338783926931573</v>
      </c>
      <c r="AQ112" s="16" t="n">
        <f aca="false">INDEX(Parametros!$I$2:$I$9,MATCH($E112,Parametros!$A$2:$A$9,0))</f>
        <v>15900000</v>
      </c>
      <c r="AR112" s="19" t="n">
        <f aca="false">IF(AQ112&gt;0,AO112/AQ112,0)</f>
        <v>0.00858486993710692</v>
      </c>
    </row>
    <row r="113" customFormat="false" ht="15" hidden="false" customHeight="false" outlineLevel="0" collapsed="false">
      <c r="A113" s="5" t="s">
        <v>248</v>
      </c>
      <c r="B113" s="9" t="n">
        <v>45642</v>
      </c>
      <c r="C113" s="2" t="str">
        <f aca="false">TEXT(B113,"yyyy")</f>
        <v>2024</v>
      </c>
      <c r="D113" s="2" t="n">
        <f aca="false">WEEKNUM(B113,2)</f>
        <v>51</v>
      </c>
      <c r="E113" s="5" t="s">
        <v>144</v>
      </c>
      <c r="F113" s="6" t="str">
        <f aca="false">INDEX(Parametros!$B$2:$B$9,MATCH($E113,Parametros!$A$2:$A$9,0))</f>
        <v>Salsas picantes</v>
      </c>
      <c r="G113" s="10" t="n">
        <v>108.2</v>
      </c>
      <c r="H113" s="10" t="n">
        <v>9.2</v>
      </c>
      <c r="I113" s="11" t="n">
        <f aca="false">SUMIFS(Eventos_Paro!$J$2:$J$2186,Eventos_Paro!$D$2:$D$2186,$E113,Eventos_Paro!$B$2:$B$2186,$B113)</f>
        <v>2.7</v>
      </c>
      <c r="J113" s="12" t="n">
        <f aca="false">G113-H113-I113</f>
        <v>96.3</v>
      </c>
      <c r="K113" s="13" t="n">
        <v>259365</v>
      </c>
      <c r="L113" s="13" t="n">
        <v>244266</v>
      </c>
      <c r="M113" s="13" t="n">
        <v>7890</v>
      </c>
      <c r="N113" s="14" t="n">
        <f aca="false">L113+M113</f>
        <v>252156</v>
      </c>
      <c r="O113" s="11" t="n">
        <f aca="false">INDEX(Parametros!$D$2:$D$9,MATCH($E113,Parametros!$A$2:$A$9,0))</f>
        <v>3100</v>
      </c>
      <c r="P113" s="15" t="n">
        <f aca="false">IF((G113-H113)&gt;0,J113/(G113-H113),0)</f>
        <v>0.972727272727273</v>
      </c>
      <c r="Q113" s="15" t="n">
        <f aca="false">IF(J113*O113&gt;0,N113/(O113*J113),0)</f>
        <v>0.844658828258467</v>
      </c>
      <c r="R113" s="15" t="n">
        <f aca="false">IF(N113&gt;0,L113/N113,0)</f>
        <v>0.968709846285633</v>
      </c>
      <c r="S113" s="15" t="n">
        <f aca="false">P113*Q113*R113</f>
        <v>0.795913978494624</v>
      </c>
      <c r="T113" s="15" t="n">
        <f aca="false">IF(K113&gt;0,L113/K113,0)</f>
        <v>0.941784743508183</v>
      </c>
      <c r="U113" s="10" t="n">
        <v>1026.3</v>
      </c>
      <c r="V113" s="5" t="n">
        <v>9</v>
      </c>
      <c r="W113" s="10" t="n">
        <v>52.5</v>
      </c>
      <c r="X113" s="15" t="n">
        <f aca="false">IF(U113&gt;0,W113/U113,0)</f>
        <v>0.0511546331482023</v>
      </c>
      <c r="Y113" s="12" t="n">
        <f aca="false">IF(U113&gt;0,L113/U113,0)</f>
        <v>238.006430868167</v>
      </c>
      <c r="Z113" s="16" t="n">
        <f aca="false">L113*INDEX(Parametros!$E$2:$E$9,MATCH($E113,Parametros!$A$2:$A$9,0))</f>
        <v>161215.56</v>
      </c>
      <c r="AA113" s="16" t="n">
        <f aca="false">Z113*INDEX(Parametros!$F$2:$F$9,MATCH($E113,Parametros!$A$2:$A$9,0))</f>
        <v>4191.60456</v>
      </c>
      <c r="AB113" s="17" t="n">
        <f aca="false">Z113+AA113</f>
        <v>165407.16456</v>
      </c>
      <c r="AC113" s="18" t="n">
        <v>166165.9</v>
      </c>
      <c r="AD113" s="17" t="n">
        <f aca="false">AC113-AB113</f>
        <v>758.73543999999</v>
      </c>
      <c r="AE113" s="17" t="n">
        <f aca="false">AA113+AD113</f>
        <v>4950.33999999999</v>
      </c>
      <c r="AF113" s="19" t="n">
        <f aca="false">IF(Z113&gt;0,AE113/Z113,0)</f>
        <v>0.0307063412489464</v>
      </c>
      <c r="AG113" s="16" t="n">
        <f aca="false">(U113-W113)*INDEX(Parametros!$H$2:$H$9,MATCH($E113,Parametros!$A$2:$A$9,0))+W113*INDEX(Parametros!$H$2:$H$9,MATCH($E113,Parametros!$A$2:$A$9,0))*Parametros!$N$3</f>
        <v>33155.325</v>
      </c>
      <c r="AH113" s="13" t="n">
        <v>13761</v>
      </c>
      <c r="AI113" s="16" t="n">
        <f aca="false">AH113*Parametros!$N$2</f>
        <v>1266.012</v>
      </c>
      <c r="AJ113" s="18" t="n">
        <v>6635</v>
      </c>
      <c r="AK113" s="18" t="n">
        <v>1759</v>
      </c>
      <c r="AL113" s="17" t="n">
        <f aca="false">AG113+AI113+AJ113+AK113</f>
        <v>42815.337</v>
      </c>
      <c r="AM113" s="20" t="n">
        <f aca="false">IF(L113&gt;0,AL113/L113,0)</f>
        <v>0.1752816069367</v>
      </c>
      <c r="AN113" s="16" t="n">
        <f aca="false">L113*INDEX(Parametros!$G$2:$G$9,MATCH($E113,Parametros!$A$2:$A$9,0))</f>
        <v>305332.5</v>
      </c>
      <c r="AO113" s="17" t="n">
        <f aca="false">AN113-AC113-AL113</f>
        <v>96351.263</v>
      </c>
      <c r="AP113" s="15" t="n">
        <f aca="false">IF(AN113&gt;0,AO113/AN113,0)</f>
        <v>0.315561766271196</v>
      </c>
      <c r="AQ113" s="16" t="n">
        <f aca="false">INDEX(Parametros!$I$2:$I$9,MATCH($E113,Parametros!$A$2:$A$9,0))</f>
        <v>13300000</v>
      </c>
      <c r="AR113" s="19" t="n">
        <f aca="false">IF(AQ113&gt;0,AO113/AQ113,0)</f>
        <v>0.00724445586466165</v>
      </c>
    </row>
    <row r="114" customFormat="false" ht="15" hidden="false" customHeight="false" outlineLevel="0" collapsed="false">
      <c r="A114" s="5" t="s">
        <v>249</v>
      </c>
      <c r="B114" s="9" t="n">
        <v>45649</v>
      </c>
      <c r="C114" s="2" t="str">
        <f aca="false">TEXT(B114,"yyyy")</f>
        <v>2024</v>
      </c>
      <c r="D114" s="2" t="n">
        <f aca="false">WEEKNUM(B114,2)</f>
        <v>52</v>
      </c>
      <c r="E114" s="5" t="s">
        <v>130</v>
      </c>
      <c r="F114" s="6" t="str">
        <f aca="false">INDEX(Parametros!$B$2:$B$9,MATCH($E114,Parametros!$A$2:$A$9,0))</f>
        <v>Ketchup botella</v>
      </c>
      <c r="G114" s="10" t="n">
        <v>84.3</v>
      </c>
      <c r="H114" s="10" t="n">
        <v>7.1</v>
      </c>
      <c r="I114" s="11" t="n">
        <f aca="false">SUMIFS(Eventos_Paro!$J$2:$J$2186,Eventos_Paro!$D$2:$D$2186,$E114,Eventos_Paro!$B$2:$B$2186,$B114)</f>
        <v>4.6</v>
      </c>
      <c r="J114" s="12" t="n">
        <f aca="false">G114-H114-I114</f>
        <v>72.6</v>
      </c>
      <c r="K114" s="13" t="n">
        <v>534419</v>
      </c>
      <c r="L114" s="13" t="n">
        <v>557543</v>
      </c>
      <c r="M114" s="13" t="n">
        <v>9581</v>
      </c>
      <c r="N114" s="14" t="n">
        <f aca="false">L114+M114</f>
        <v>567124</v>
      </c>
      <c r="O114" s="11" t="n">
        <f aca="false">INDEX(Parametros!$D$2:$D$9,MATCH($E114,Parametros!$A$2:$A$9,0))</f>
        <v>9000</v>
      </c>
      <c r="P114" s="15" t="n">
        <f aca="false">IF((G114-H114)&gt;0,J114/(G114-H114),0)</f>
        <v>0.940414507772021</v>
      </c>
      <c r="Q114" s="15" t="n">
        <f aca="false">IF(J114*O114&gt;0,N114/(O114*J114),0)</f>
        <v>0.867958371594735</v>
      </c>
      <c r="R114" s="15" t="n">
        <f aca="false">IF(N114&gt;0,L114/N114,0)</f>
        <v>0.983105987403108</v>
      </c>
      <c r="S114" s="15" t="n">
        <f aca="false">P114*Q114*R114</f>
        <v>0.802451065054692</v>
      </c>
      <c r="T114" s="15" t="n">
        <f aca="false">IF(K114&gt;0,L114/K114,0)</f>
        <v>1.04326941968755</v>
      </c>
      <c r="U114" s="10" t="n">
        <v>1314.8</v>
      </c>
      <c r="V114" s="5" t="n">
        <v>14</v>
      </c>
      <c r="W114" s="10" t="n">
        <v>134.6</v>
      </c>
      <c r="X114" s="15" t="n">
        <f aca="false">IF(U114&gt;0,W114/U114,0)</f>
        <v>0.102372984484332</v>
      </c>
      <c r="Y114" s="12" t="n">
        <f aca="false">IF(U114&gt;0,L114/U114,0)</f>
        <v>424.051566778217</v>
      </c>
      <c r="Z114" s="16" t="n">
        <f aca="false">L114*INDEX(Parametros!$E$2:$E$9,MATCH($E114,Parametros!$A$2:$A$9,0))</f>
        <v>234168.06</v>
      </c>
      <c r="AA114" s="16" t="n">
        <f aca="false">Z114*INDEX(Parametros!$F$2:$F$9,MATCH($E114,Parametros!$A$2:$A$9,0))</f>
        <v>4683.3612</v>
      </c>
      <c r="AB114" s="17" t="n">
        <f aca="false">Z114+AA114</f>
        <v>238851.4212</v>
      </c>
      <c r="AC114" s="18" t="n">
        <v>240939.56</v>
      </c>
      <c r="AD114" s="17" t="n">
        <f aca="false">AC114-AB114</f>
        <v>2088.13879999999</v>
      </c>
      <c r="AE114" s="17" t="n">
        <f aca="false">AA114+AD114</f>
        <v>6771.49999999999</v>
      </c>
      <c r="AF114" s="19" t="n">
        <f aca="false">IF(Z114&gt;0,AE114/Z114,0)</f>
        <v>0.0289172656595438</v>
      </c>
      <c r="AG114" s="16" t="n">
        <f aca="false">(U114-W114)*INDEX(Parametros!$H$2:$H$9,MATCH($E114,Parametros!$A$2:$A$9,0))+W114*INDEX(Parametros!$H$2:$H$9,MATCH($E114,Parametros!$A$2:$A$9,0))*Parametros!$N$3</f>
        <v>43536.15</v>
      </c>
      <c r="AH114" s="13" t="n">
        <v>30516</v>
      </c>
      <c r="AI114" s="16" t="n">
        <f aca="false">AH114*Parametros!$N$2</f>
        <v>2807.472</v>
      </c>
      <c r="AJ114" s="18" t="n">
        <v>16725</v>
      </c>
      <c r="AK114" s="18" t="n">
        <v>3806</v>
      </c>
      <c r="AL114" s="17" t="n">
        <f aca="false">AG114+AI114+AJ114+AK114</f>
        <v>66874.622</v>
      </c>
      <c r="AM114" s="20" t="n">
        <f aca="false">IF(L114&gt;0,AL114/L114,0)</f>
        <v>0.119945227542988</v>
      </c>
      <c r="AN114" s="16" t="n">
        <f aca="false">L114*INDEX(Parametros!$G$2:$G$9,MATCH($E114,Parametros!$A$2:$A$9,0))</f>
        <v>395855.53</v>
      </c>
      <c r="AO114" s="17" t="n">
        <f aca="false">AN114-AC114-AL114</f>
        <v>88041.348</v>
      </c>
      <c r="AP114" s="15" t="n">
        <f aca="false">IF(AN114&gt;0,AO114/AN114,0)</f>
        <v>0.222407775887329</v>
      </c>
      <c r="AQ114" s="16" t="n">
        <f aca="false">INDEX(Parametros!$I$2:$I$9,MATCH($E114,Parametros!$A$2:$A$9,0))</f>
        <v>29300000</v>
      </c>
      <c r="AR114" s="19" t="n">
        <f aca="false">IF(AQ114&gt;0,AO114/AQ114,0)</f>
        <v>0.00300482416382252</v>
      </c>
    </row>
    <row r="115" customFormat="false" ht="15" hidden="false" customHeight="false" outlineLevel="0" collapsed="false">
      <c r="A115" s="5" t="s">
        <v>250</v>
      </c>
      <c r="B115" s="9" t="n">
        <v>45649</v>
      </c>
      <c r="C115" s="2" t="str">
        <f aca="false">TEXT(B115,"yyyy")</f>
        <v>2024</v>
      </c>
      <c r="D115" s="2" t="n">
        <f aca="false">WEEKNUM(B115,2)</f>
        <v>52</v>
      </c>
      <c r="E115" s="5" t="s">
        <v>132</v>
      </c>
      <c r="F115" s="6" t="str">
        <f aca="false">INDEX(Parametros!$B$2:$B$9,MATCH($E115,Parametros!$A$2:$A$9,0))</f>
        <v>Mayonesa frasco</v>
      </c>
      <c r="G115" s="10" t="n">
        <v>98.7</v>
      </c>
      <c r="H115" s="10" t="n">
        <v>6.3</v>
      </c>
      <c r="I115" s="11" t="n">
        <f aca="false">SUMIFS(Eventos_Paro!$J$2:$J$2186,Eventos_Paro!$D$2:$D$2186,$E115,Eventos_Paro!$B$2:$B$2186,$B115)</f>
        <v>2.31666666666667</v>
      </c>
      <c r="J115" s="12" t="n">
        <f aca="false">G115-H115-I115</f>
        <v>90.0833333333333</v>
      </c>
      <c r="K115" s="13" t="n">
        <v>461963</v>
      </c>
      <c r="L115" s="13" t="n">
        <v>494065</v>
      </c>
      <c r="M115" s="13" t="n">
        <v>17167</v>
      </c>
      <c r="N115" s="14" t="n">
        <f aca="false">L115+M115</f>
        <v>511232</v>
      </c>
      <c r="O115" s="11" t="n">
        <f aca="false">INDEX(Parametros!$D$2:$D$9,MATCH($E115,Parametros!$A$2:$A$9,0))</f>
        <v>6500</v>
      </c>
      <c r="P115" s="15" t="n">
        <f aca="false">IF((G115-H115)&gt;0,J115/(G115-H115),0)</f>
        <v>0.97492784992785</v>
      </c>
      <c r="Q115" s="15" t="n">
        <f aca="false">IF(J115*O115&gt;0,N115/(O115*J115),0)</f>
        <v>0.873092435778837</v>
      </c>
      <c r="R115" s="15" t="n">
        <f aca="false">IF(N115&gt;0,L115/N115,0)</f>
        <v>0.966420333625438</v>
      </c>
      <c r="S115" s="15" t="n">
        <f aca="false">P115*Q115*R115</f>
        <v>0.822619047619048</v>
      </c>
      <c r="T115" s="15" t="n">
        <f aca="false">IF(K115&gt;0,L115/K115,0)</f>
        <v>1.06949041373443</v>
      </c>
      <c r="U115" s="10" t="n">
        <v>1257.3</v>
      </c>
      <c r="V115" s="5" t="n">
        <v>12</v>
      </c>
      <c r="W115" s="10" t="n">
        <v>72.9</v>
      </c>
      <c r="X115" s="15" t="n">
        <f aca="false">IF(U115&gt;0,W115/U115,0)</f>
        <v>0.0579813886900501</v>
      </c>
      <c r="Y115" s="12" t="n">
        <f aca="false">IF(U115&gt;0,L115/U115,0)</f>
        <v>392.957130358705</v>
      </c>
      <c r="Z115" s="16" t="n">
        <f aca="false">L115*INDEX(Parametros!$E$2:$E$9,MATCH($E115,Parametros!$A$2:$A$9,0))</f>
        <v>301379.65</v>
      </c>
      <c r="AA115" s="16" t="n">
        <f aca="false">Z115*INDEX(Parametros!$F$2:$F$9,MATCH($E115,Parametros!$A$2:$A$9,0))</f>
        <v>7534.49125</v>
      </c>
      <c r="AB115" s="17" t="n">
        <f aca="false">Z115+AA115</f>
        <v>308914.14125</v>
      </c>
      <c r="AC115" s="18" t="n">
        <v>310773.65</v>
      </c>
      <c r="AD115" s="17" t="n">
        <f aca="false">AC115-AB115</f>
        <v>1859.50875000004</v>
      </c>
      <c r="AE115" s="17" t="n">
        <f aca="false">AA115+AD115</f>
        <v>9394.00000000004</v>
      </c>
      <c r="AF115" s="19" t="n">
        <f aca="false">IF(Z115&gt;0,AE115/Z115,0)</f>
        <v>0.0311699877546478</v>
      </c>
      <c r="AG115" s="16" t="n">
        <f aca="false">(U115-W115)*INDEX(Parametros!$H$2:$H$9,MATCH($E115,Parametros!$A$2:$A$9,0))+W115*INDEX(Parametros!$H$2:$H$9,MATCH($E115,Parametros!$A$2:$A$9,0))*Parametros!$N$3</f>
        <v>40753.125</v>
      </c>
      <c r="AH115" s="13" t="n">
        <v>22916</v>
      </c>
      <c r="AI115" s="16" t="n">
        <f aca="false">AH115*Parametros!$N$2</f>
        <v>2108.272</v>
      </c>
      <c r="AJ115" s="18" t="n">
        <v>11363</v>
      </c>
      <c r="AK115" s="18" t="n">
        <v>1673</v>
      </c>
      <c r="AL115" s="17" t="n">
        <f aca="false">AG115+AI115+AJ115+AK115</f>
        <v>55897.397</v>
      </c>
      <c r="AM115" s="20" t="n">
        <f aca="false">IF(L115&gt;0,AL115/L115,0)</f>
        <v>0.113137738961473</v>
      </c>
      <c r="AN115" s="16" t="n">
        <f aca="false">L115*INDEX(Parametros!$G$2:$G$9,MATCH($E115,Parametros!$A$2:$A$9,0))</f>
        <v>474302.4</v>
      </c>
      <c r="AO115" s="17" t="n">
        <f aca="false">AN115-AC115-AL115</f>
        <v>107631.353</v>
      </c>
      <c r="AP115" s="15" t="n">
        <f aca="false">IF(AN115&gt;0,AO115/AN115,0)</f>
        <v>0.226925592196033</v>
      </c>
      <c r="AQ115" s="16" t="n">
        <f aca="false">INDEX(Parametros!$I$2:$I$9,MATCH($E115,Parametros!$A$2:$A$9,0))</f>
        <v>29700000</v>
      </c>
      <c r="AR115" s="19" t="n">
        <f aca="false">IF(AQ115&gt;0,AO115/AQ115,0)</f>
        <v>0.00362395127946128</v>
      </c>
    </row>
    <row r="116" customFormat="false" ht="15" hidden="false" customHeight="false" outlineLevel="0" collapsed="false">
      <c r="A116" s="5" t="s">
        <v>251</v>
      </c>
      <c r="B116" s="9" t="n">
        <v>45649</v>
      </c>
      <c r="C116" s="2" t="str">
        <f aca="false">TEXT(B116,"yyyy")</f>
        <v>2024</v>
      </c>
      <c r="D116" s="2" t="n">
        <f aca="false">WEEKNUM(B116,2)</f>
        <v>52</v>
      </c>
      <c r="E116" s="5" t="s">
        <v>134</v>
      </c>
      <c r="F116" s="6" t="str">
        <f aca="false">INDEX(Parametros!$B$2:$B$9,MATCH($E116,Parametros!$A$2:$A$9,0))</f>
        <v>Aderezos vertibles</v>
      </c>
      <c r="G116" s="10" t="n">
        <v>88.6</v>
      </c>
      <c r="H116" s="10" t="n">
        <v>5.6</v>
      </c>
      <c r="I116" s="11" t="n">
        <f aca="false">SUMIFS(Eventos_Paro!$J$2:$J$2186,Eventos_Paro!$D$2:$D$2186,$E116,Eventos_Paro!$B$2:$B$2186,$B116)</f>
        <v>9.3</v>
      </c>
      <c r="J116" s="12" t="n">
        <f aca="false">G116-H116-I116</f>
        <v>73.7</v>
      </c>
      <c r="K116" s="13" t="n">
        <v>331973</v>
      </c>
      <c r="L116" s="13" t="n">
        <v>309317</v>
      </c>
      <c r="M116" s="13" t="n">
        <v>11611</v>
      </c>
      <c r="N116" s="14" t="n">
        <f aca="false">L116+M116</f>
        <v>320928</v>
      </c>
      <c r="O116" s="11" t="n">
        <f aca="false">INDEX(Parametros!$D$2:$D$9,MATCH($E116,Parametros!$A$2:$A$9,0))</f>
        <v>5200</v>
      </c>
      <c r="P116" s="15" t="n">
        <f aca="false">IF((G116-H116)&gt;0,J116/(G116-H116),0)</f>
        <v>0.887951807228916</v>
      </c>
      <c r="Q116" s="15" t="n">
        <f aca="false">IF(J116*O116&gt;0,N116/(O116*J116),0)</f>
        <v>0.837407368750652</v>
      </c>
      <c r="R116" s="15" t="n">
        <f aca="false">IF(N116&gt;0,L116/N116,0)</f>
        <v>0.963820545418287</v>
      </c>
      <c r="S116" s="15" t="n">
        <f aca="false">P116*Q116*R116</f>
        <v>0.71667516218721</v>
      </c>
      <c r="T116" s="15" t="n">
        <f aca="false">IF(K116&gt;0,L116/K116,0)</f>
        <v>0.931753485976269</v>
      </c>
      <c r="U116" s="10" t="n">
        <v>1317.8</v>
      </c>
      <c r="V116" s="5" t="n">
        <v>14</v>
      </c>
      <c r="W116" s="10" t="n">
        <v>77.4</v>
      </c>
      <c r="X116" s="15" t="n">
        <f aca="false">IF(U116&gt;0,W116/U116,0)</f>
        <v>0.0587342540597966</v>
      </c>
      <c r="Y116" s="12" t="n">
        <f aca="false">IF(U116&gt;0,L116/U116,0)</f>
        <v>234.722264380027</v>
      </c>
      <c r="Z116" s="16" t="n">
        <f aca="false">L116*INDEX(Parametros!$E$2:$E$9,MATCH($E116,Parametros!$A$2:$A$9,0))</f>
        <v>170124.35</v>
      </c>
      <c r="AA116" s="16" t="n">
        <f aca="false">Z116*INDEX(Parametros!$F$2:$F$9,MATCH($E116,Parametros!$A$2:$A$9,0))</f>
        <v>5103.7305</v>
      </c>
      <c r="AB116" s="17" t="n">
        <f aca="false">Z116+AA116</f>
        <v>175228.0805</v>
      </c>
      <c r="AC116" s="18" t="n">
        <v>174934.44</v>
      </c>
      <c r="AD116" s="17" t="n">
        <f aca="false">AC116-AB116</f>
        <v>-293.640500000009</v>
      </c>
      <c r="AE116" s="17" t="n">
        <f aca="false">AA116+AD116</f>
        <v>4810.08999999999</v>
      </c>
      <c r="AF116" s="19" t="n">
        <f aca="false">IF(Z116&gt;0,AE116/Z116,0)</f>
        <v>0.0282739654846587</v>
      </c>
      <c r="AG116" s="16" t="n">
        <f aca="false">(U116-W116)*INDEX(Parametros!$H$2:$H$9,MATCH($E116,Parametros!$A$2:$A$9,0))+W116*INDEX(Parametros!$H$2:$H$9,MATCH($E116,Parametros!$A$2:$A$9,0))*Parametros!$N$3</f>
        <v>42729.75</v>
      </c>
      <c r="AH116" s="13" t="n">
        <v>17133</v>
      </c>
      <c r="AI116" s="16" t="n">
        <f aca="false">AH116*Parametros!$N$2</f>
        <v>1576.236</v>
      </c>
      <c r="AJ116" s="18" t="n">
        <v>10442</v>
      </c>
      <c r="AK116" s="18" t="n">
        <v>3857</v>
      </c>
      <c r="AL116" s="17" t="n">
        <f aca="false">AG116+AI116+AJ116+AK116</f>
        <v>58604.986</v>
      </c>
      <c r="AM116" s="20" t="n">
        <f aca="false">IF(L116&gt;0,AL116/L116,0)</f>
        <v>0.189465777826631</v>
      </c>
      <c r="AN116" s="16" t="n">
        <f aca="false">L116*INDEX(Parametros!$G$2:$G$9,MATCH($E116,Parametros!$A$2:$A$9,0))</f>
        <v>315503.34</v>
      </c>
      <c r="AO116" s="17" t="n">
        <f aca="false">AN116-AC116-AL116</f>
        <v>81963.914</v>
      </c>
      <c r="AP116" s="15" t="n">
        <f aca="false">IF(AN116&gt;0,AO116/AN116,0)</f>
        <v>0.25978778544785</v>
      </c>
      <c r="AQ116" s="16" t="n">
        <f aca="false">INDEX(Parametros!$I$2:$I$9,MATCH($E116,Parametros!$A$2:$A$9,0))</f>
        <v>19300000</v>
      </c>
      <c r="AR116" s="19" t="n">
        <f aca="false">IF(AQ116&gt;0,AO116/AQ116,0)</f>
        <v>0.00424683492227979</v>
      </c>
    </row>
    <row r="117" customFormat="false" ht="15" hidden="false" customHeight="false" outlineLevel="0" collapsed="false">
      <c r="A117" s="5" t="s">
        <v>252</v>
      </c>
      <c r="B117" s="9" t="n">
        <v>45649</v>
      </c>
      <c r="C117" s="2" t="str">
        <f aca="false">TEXT(B117,"yyyy")</f>
        <v>2024</v>
      </c>
      <c r="D117" s="2" t="n">
        <f aca="false">WEEKNUM(B117,2)</f>
        <v>52</v>
      </c>
      <c r="E117" s="5" t="s">
        <v>136</v>
      </c>
      <c r="F117" s="6" t="str">
        <f aca="false">INDEX(Parametros!$B$2:$B$9,MATCH($E117,Parametros!$A$2:$A$9,0))</f>
        <v>Salsa BBQ</v>
      </c>
      <c r="G117" s="10" t="n">
        <v>58.6</v>
      </c>
      <c r="H117" s="10" t="n">
        <v>6.1</v>
      </c>
      <c r="I117" s="11" t="n">
        <f aca="false">SUMIFS(Eventos_Paro!$J$2:$J$2186,Eventos_Paro!$D$2:$D$2186,$E117,Eventos_Paro!$B$2:$B$2186,$B117)</f>
        <v>1.91666666666667</v>
      </c>
      <c r="J117" s="12" t="n">
        <f aca="false">G117-H117-I117</f>
        <v>50.5833333333333</v>
      </c>
      <c r="K117" s="13" t="n">
        <v>166638</v>
      </c>
      <c r="L117" s="13" t="n">
        <v>195582</v>
      </c>
      <c r="M117" s="13" t="n">
        <v>6655</v>
      </c>
      <c r="N117" s="14" t="n">
        <f aca="false">L117+M117</f>
        <v>202237</v>
      </c>
      <c r="O117" s="11" t="n">
        <f aca="false">INDEX(Parametros!$D$2:$D$9,MATCH($E117,Parametros!$A$2:$A$9,0))</f>
        <v>4800</v>
      </c>
      <c r="P117" s="15" t="n">
        <f aca="false">IF((G117-H117)&gt;0,J117/(G117-H117),0)</f>
        <v>0.963492063492064</v>
      </c>
      <c r="Q117" s="15" t="n">
        <f aca="false">IF(J117*O117&gt;0,N117/(O117*J117),0)</f>
        <v>0.832936573311367</v>
      </c>
      <c r="R117" s="15" t="n">
        <f aca="false">IF(N117&gt;0,L117/N117,0)</f>
        <v>0.967093064078284</v>
      </c>
      <c r="S117" s="15" t="n">
        <f aca="false">P117*Q117*R117</f>
        <v>0.776119047619048</v>
      </c>
      <c r="T117" s="15" t="n">
        <f aca="false">IF(K117&gt;0,L117/K117,0)</f>
        <v>1.17369387534656</v>
      </c>
      <c r="U117" s="10" t="n">
        <v>698</v>
      </c>
      <c r="V117" s="5" t="n">
        <v>11</v>
      </c>
      <c r="W117" s="10" t="n">
        <v>53.4</v>
      </c>
      <c r="X117" s="15" t="n">
        <f aca="false">IF(U117&gt;0,W117/U117,0)</f>
        <v>0.0765042979942693</v>
      </c>
      <c r="Y117" s="12" t="n">
        <f aca="false">IF(U117&gt;0,L117/U117,0)</f>
        <v>280.203438395415</v>
      </c>
      <c r="Z117" s="16" t="n">
        <f aca="false">L117*INDEX(Parametros!$E$2:$E$9,MATCH($E117,Parametros!$A$2:$A$9,0))</f>
        <v>113437.56</v>
      </c>
      <c r="AA117" s="16" t="n">
        <f aca="false">Z117*INDEX(Parametros!$F$2:$F$9,MATCH($E117,Parametros!$A$2:$A$9,0))</f>
        <v>3176.25168</v>
      </c>
      <c r="AB117" s="17" t="n">
        <f aca="false">Z117+AA117</f>
        <v>116613.81168</v>
      </c>
      <c r="AC117" s="18" t="n">
        <v>115114.09</v>
      </c>
      <c r="AD117" s="17" t="n">
        <f aca="false">AC117-AB117</f>
        <v>-1499.72168</v>
      </c>
      <c r="AE117" s="17" t="n">
        <f aca="false">AA117+AD117</f>
        <v>1676.53</v>
      </c>
      <c r="AF117" s="19" t="n">
        <f aca="false">IF(Z117&gt;0,AE117/Z117,0)</f>
        <v>0.0147793200065304</v>
      </c>
      <c r="AG117" s="16" t="n">
        <f aca="false">(U117-W117)*INDEX(Parametros!$H$2:$H$9,MATCH($E117,Parametros!$A$2:$A$9,0))+W117*INDEX(Parametros!$H$2:$H$9,MATCH($E117,Parametros!$A$2:$A$9,0))*Parametros!$N$3</f>
        <v>22828.05</v>
      </c>
      <c r="AH117" s="13" t="n">
        <v>10818</v>
      </c>
      <c r="AI117" s="16" t="n">
        <f aca="false">AH117*Parametros!$N$2</f>
        <v>995.256</v>
      </c>
      <c r="AJ117" s="18" t="n">
        <v>7511</v>
      </c>
      <c r="AK117" s="18" t="n">
        <v>1413</v>
      </c>
      <c r="AL117" s="17" t="n">
        <f aca="false">AG117+AI117+AJ117+AK117</f>
        <v>32747.306</v>
      </c>
      <c r="AM117" s="20" t="n">
        <f aca="false">IF(L117&gt;0,AL117/L117,0)</f>
        <v>0.167435172970928</v>
      </c>
      <c r="AN117" s="16" t="n">
        <f aca="false">L117*INDEX(Parametros!$G$2:$G$9,MATCH($E117,Parametros!$A$2:$A$9,0))</f>
        <v>191670.36</v>
      </c>
      <c r="AO117" s="17" t="n">
        <f aca="false">AN117-AC117-AL117</f>
        <v>43808.964</v>
      </c>
      <c r="AP117" s="15" t="n">
        <f aca="false">IF(AN117&gt;0,AO117/AN117,0)</f>
        <v>0.228564103495188</v>
      </c>
      <c r="AQ117" s="16" t="n">
        <f aca="false">INDEX(Parametros!$I$2:$I$9,MATCH($E117,Parametros!$A$2:$A$9,0))</f>
        <v>17000000</v>
      </c>
      <c r="AR117" s="19" t="n">
        <f aca="false">IF(AQ117&gt;0,AO117/AQ117,0)</f>
        <v>0.00257699788235294</v>
      </c>
    </row>
    <row r="118" customFormat="false" ht="15" hidden="false" customHeight="false" outlineLevel="0" collapsed="false">
      <c r="A118" s="5" t="s">
        <v>253</v>
      </c>
      <c r="B118" s="9" t="n">
        <v>45649</v>
      </c>
      <c r="C118" s="2" t="str">
        <f aca="false">TEXT(B118,"yyyy")</f>
        <v>2024</v>
      </c>
      <c r="D118" s="2" t="n">
        <f aca="false">WEEKNUM(B118,2)</f>
        <v>52</v>
      </c>
      <c r="E118" s="5" t="s">
        <v>138</v>
      </c>
      <c r="F118" s="6" t="str">
        <f aca="false">INDEX(Parametros!$B$2:$B$9,MATCH($E118,Parametros!$A$2:$A$9,0))</f>
        <v>Queso crema</v>
      </c>
      <c r="G118" s="10" t="n">
        <v>111</v>
      </c>
      <c r="H118" s="10" t="n">
        <v>6.3</v>
      </c>
      <c r="I118" s="11" t="n">
        <f aca="false">SUMIFS(Eventos_Paro!$J$2:$J$2186,Eventos_Paro!$D$2:$D$2186,$E118,Eventos_Paro!$B$2:$B$2186,$B118)</f>
        <v>4.31666666666667</v>
      </c>
      <c r="J118" s="12" t="n">
        <f aca="false">G118-H118-I118</f>
        <v>100.383333333333</v>
      </c>
      <c r="K118" s="13" t="n">
        <v>306022</v>
      </c>
      <c r="L118" s="13" t="n">
        <v>286746</v>
      </c>
      <c r="M118" s="13" t="n">
        <v>12048</v>
      </c>
      <c r="N118" s="14" t="n">
        <f aca="false">L118+M118</f>
        <v>298794</v>
      </c>
      <c r="O118" s="11" t="n">
        <f aca="false">INDEX(Parametros!$D$2:$D$9,MATCH($E118,Parametros!$A$2:$A$9,0))</f>
        <v>3800</v>
      </c>
      <c r="P118" s="15" t="n">
        <f aca="false">IF((G118-H118)&gt;0,J118/(G118-H118),0)</f>
        <v>0.958771092008914</v>
      </c>
      <c r="Q118" s="15" t="n">
        <f aca="false">IF(J118*O118&gt;0,N118/(O118*J118),0)</f>
        <v>0.783297360119542</v>
      </c>
      <c r="R118" s="15" t="n">
        <f aca="false">IF(N118&gt;0,L118/N118,0)</f>
        <v>0.959677905178819</v>
      </c>
      <c r="S118" s="15" t="n">
        <f aca="false">P118*Q118*R118</f>
        <v>0.720720856582718</v>
      </c>
      <c r="T118" s="15" t="n">
        <f aca="false">IF(K118&gt;0,L118/K118,0)</f>
        <v>0.937011064563986</v>
      </c>
      <c r="U118" s="10" t="n">
        <v>1886.5</v>
      </c>
      <c r="V118" s="5" t="n">
        <v>16</v>
      </c>
      <c r="W118" s="10" t="n">
        <v>110.5</v>
      </c>
      <c r="X118" s="15" t="n">
        <f aca="false">IF(U118&gt;0,W118/U118,0)</f>
        <v>0.0585740789822423</v>
      </c>
      <c r="Y118" s="12" t="n">
        <f aca="false">IF(U118&gt;0,L118/U118,0)</f>
        <v>151.998939835675</v>
      </c>
      <c r="Z118" s="16" t="n">
        <f aca="false">L118*INDEX(Parametros!$E$2:$E$9,MATCH($E118,Parametros!$A$2:$A$9,0))</f>
        <v>321155.52</v>
      </c>
      <c r="AA118" s="16" t="n">
        <f aca="false">Z118*INDEX(Parametros!$F$2:$F$9,MATCH($E118,Parametros!$A$2:$A$9,0))</f>
        <v>11240.4432</v>
      </c>
      <c r="AB118" s="17" t="n">
        <f aca="false">Z118+AA118</f>
        <v>332395.9632</v>
      </c>
      <c r="AC118" s="18" t="n">
        <v>324800.03</v>
      </c>
      <c r="AD118" s="17" t="n">
        <f aca="false">AC118-AB118</f>
        <v>-7595.93319999997</v>
      </c>
      <c r="AE118" s="17" t="n">
        <f aca="false">AA118+AD118</f>
        <v>3644.51000000003</v>
      </c>
      <c r="AF118" s="19" t="n">
        <f aca="false">IF(Z118&gt;0,AE118/Z118,0)</f>
        <v>0.0113481157041923</v>
      </c>
      <c r="AG118" s="16" t="n">
        <f aca="false">(U118-W118)*INDEX(Parametros!$H$2:$H$9,MATCH($E118,Parametros!$A$2:$A$9,0))+W118*INDEX(Parametros!$H$2:$H$9,MATCH($E118,Parametros!$A$2:$A$9,0))*Parametros!$N$3</f>
        <v>64077.75</v>
      </c>
      <c r="AH118" s="13" t="n">
        <v>15260</v>
      </c>
      <c r="AI118" s="16" t="n">
        <f aca="false">AH118*Parametros!$N$2</f>
        <v>1403.92</v>
      </c>
      <c r="AJ118" s="18" t="n">
        <v>22046</v>
      </c>
      <c r="AK118" s="18" t="n">
        <v>4220</v>
      </c>
      <c r="AL118" s="17" t="n">
        <f aca="false">AG118+AI118+AJ118+AK118</f>
        <v>91747.67</v>
      </c>
      <c r="AM118" s="20" t="n">
        <f aca="false">IF(L118&gt;0,AL118/L118,0)</f>
        <v>0.319961464152944</v>
      </c>
      <c r="AN118" s="16" t="n">
        <f aca="false">L118*INDEX(Parametros!$G$2:$G$9,MATCH($E118,Parametros!$A$2:$A$9,0))</f>
        <v>513275.34</v>
      </c>
      <c r="AO118" s="17" t="n">
        <f aca="false">AN118-AC118-AL118</f>
        <v>96727.64</v>
      </c>
      <c r="AP118" s="15" t="n">
        <f aca="false">IF(AN118&gt;0,AO118/AN118,0)</f>
        <v>0.188451757686235</v>
      </c>
      <c r="AQ118" s="16" t="n">
        <f aca="false">INDEX(Parametros!$I$2:$I$9,MATCH($E118,Parametros!$A$2:$A$9,0))</f>
        <v>33200000</v>
      </c>
      <c r="AR118" s="19" t="n">
        <f aca="false">IF(AQ118&gt;0,AO118/AQ118,0)</f>
        <v>0.00291348313253012</v>
      </c>
    </row>
    <row r="119" customFormat="false" ht="15" hidden="false" customHeight="false" outlineLevel="0" collapsed="false">
      <c r="A119" s="5" t="s">
        <v>254</v>
      </c>
      <c r="B119" s="9" t="n">
        <v>45649</v>
      </c>
      <c r="C119" s="2" t="str">
        <f aca="false">TEXT(B119,"yyyy")</f>
        <v>2024</v>
      </c>
      <c r="D119" s="2" t="n">
        <f aca="false">WEEKNUM(B119,2)</f>
        <v>52</v>
      </c>
      <c r="E119" s="5" t="s">
        <v>140</v>
      </c>
      <c r="F119" s="6" t="str">
        <f aca="false">INDEX(Parametros!$B$2:$B$9,MATCH($E119,Parametros!$A$2:$A$9,0))</f>
        <v>Crema de cacahuate</v>
      </c>
      <c r="G119" s="10" t="n">
        <v>85.4</v>
      </c>
      <c r="H119" s="10" t="n">
        <v>6</v>
      </c>
      <c r="I119" s="11" t="n">
        <f aca="false">SUMIFS(Eventos_Paro!$J$2:$J$2186,Eventos_Paro!$D$2:$D$2186,$E119,Eventos_Paro!$B$2:$B$2186,$B119)</f>
        <v>1.2</v>
      </c>
      <c r="J119" s="12" t="n">
        <f aca="false">G119-H119-I119</f>
        <v>78.2</v>
      </c>
      <c r="K119" s="13" t="n">
        <v>256502</v>
      </c>
      <c r="L119" s="13" t="n">
        <v>288486</v>
      </c>
      <c r="M119" s="13" t="n">
        <v>8049</v>
      </c>
      <c r="N119" s="14" t="n">
        <f aca="false">L119+M119</f>
        <v>296535</v>
      </c>
      <c r="O119" s="11" t="n">
        <f aca="false">INDEX(Parametros!$D$2:$D$9,MATCH($E119,Parametros!$A$2:$A$9,0))</f>
        <v>4200</v>
      </c>
      <c r="P119" s="15" t="n">
        <f aca="false">IF((G119-H119)&gt;0,J119/(G119-H119),0)</f>
        <v>0.984886649874055</v>
      </c>
      <c r="Q119" s="15" t="n">
        <f aca="false">IF(J119*O119&gt;0,N119/(O119*J119),0)</f>
        <v>0.902858969674827</v>
      </c>
      <c r="R119" s="15" t="n">
        <f aca="false">IF(N119&gt;0,L119/N119,0)</f>
        <v>0.972856492488239</v>
      </c>
      <c r="S119" s="15" t="n">
        <f aca="false">P119*Q119*R119</f>
        <v>0.865077365958978</v>
      </c>
      <c r="T119" s="15" t="n">
        <f aca="false">IF(K119&gt;0,L119/K119,0)</f>
        <v>1.12469298485002</v>
      </c>
      <c r="U119" s="10" t="n">
        <v>1077.7</v>
      </c>
      <c r="V119" s="5" t="n">
        <v>12</v>
      </c>
      <c r="W119" s="10" t="n">
        <v>52.9</v>
      </c>
      <c r="X119" s="15" t="n">
        <f aca="false">IF(U119&gt;0,W119/U119,0)</f>
        <v>0.0490860165166558</v>
      </c>
      <c r="Y119" s="12" t="n">
        <f aca="false">IF(U119&gt;0,L119/U119,0)</f>
        <v>267.686740280226</v>
      </c>
      <c r="Z119" s="16" t="n">
        <f aca="false">L119*INDEX(Parametros!$E$2:$E$9,MATCH($E119,Parametros!$A$2:$A$9,0))</f>
        <v>279831.42</v>
      </c>
      <c r="AA119" s="16" t="n">
        <f aca="false">Z119*INDEX(Parametros!$F$2:$F$9,MATCH($E119,Parametros!$A$2:$A$9,0))</f>
        <v>6156.29124</v>
      </c>
      <c r="AB119" s="17" t="n">
        <f aca="false">Z119+AA119</f>
        <v>285987.71124</v>
      </c>
      <c r="AC119" s="18" t="n">
        <v>286101.26</v>
      </c>
      <c r="AD119" s="17" t="n">
        <f aca="false">AC119-AB119</f>
        <v>113.548760000034</v>
      </c>
      <c r="AE119" s="17" t="n">
        <f aca="false">AA119+AD119</f>
        <v>6269.84000000003</v>
      </c>
      <c r="AF119" s="19" t="n">
        <f aca="false">IF(Z119&gt;0,AE119/Z119,0)</f>
        <v>0.0224057755916045</v>
      </c>
      <c r="AG119" s="16" t="n">
        <f aca="false">(U119-W119)*INDEX(Parametros!$H$2:$H$9,MATCH($E119,Parametros!$A$2:$A$9,0))+W119*INDEX(Parametros!$H$2:$H$9,MATCH($E119,Parametros!$A$2:$A$9,0))*Parametros!$N$3</f>
        <v>34780.725</v>
      </c>
      <c r="AH119" s="13" t="n">
        <v>13742</v>
      </c>
      <c r="AI119" s="16" t="n">
        <f aca="false">AH119*Parametros!$N$2</f>
        <v>1264.264</v>
      </c>
      <c r="AJ119" s="18" t="n">
        <v>10664</v>
      </c>
      <c r="AK119" s="18" t="n">
        <v>958</v>
      </c>
      <c r="AL119" s="17" t="n">
        <f aca="false">AG119+AI119+AJ119+AK119</f>
        <v>47666.989</v>
      </c>
      <c r="AM119" s="20" t="n">
        <f aca="false">IF(L119&gt;0,AL119/L119,0)</f>
        <v>0.165231550231207</v>
      </c>
      <c r="AN119" s="16" t="n">
        <f aca="false">L119*INDEX(Parametros!$G$2:$G$9,MATCH($E119,Parametros!$A$2:$A$9,0))</f>
        <v>467347.32</v>
      </c>
      <c r="AO119" s="17" t="n">
        <f aca="false">AN119-AC119-AL119</f>
        <v>133579.071</v>
      </c>
      <c r="AP119" s="15" t="n">
        <f aca="false">IF(AN119&gt;0,AO119/AN119,0)</f>
        <v>0.285823979904282</v>
      </c>
      <c r="AQ119" s="16" t="n">
        <f aca="false">INDEX(Parametros!$I$2:$I$9,MATCH($E119,Parametros!$A$2:$A$9,0))</f>
        <v>28000000</v>
      </c>
      <c r="AR119" s="19" t="n">
        <f aca="false">IF(AQ119&gt;0,AO119/AQ119,0)</f>
        <v>0.00477068110714286</v>
      </c>
    </row>
    <row r="120" customFormat="false" ht="15" hidden="false" customHeight="false" outlineLevel="0" collapsed="false">
      <c r="A120" s="5" t="s">
        <v>255</v>
      </c>
      <c r="B120" s="9" t="n">
        <v>45649</v>
      </c>
      <c r="C120" s="2" t="str">
        <f aca="false">TEXT(B120,"yyyy")</f>
        <v>2024</v>
      </c>
      <c r="D120" s="2" t="n">
        <f aca="false">WEEKNUM(B120,2)</f>
        <v>52</v>
      </c>
      <c r="E120" s="5" t="s">
        <v>142</v>
      </c>
      <c r="F120" s="6" t="str">
        <f aca="false">INDEX(Parametros!$B$2:$B$9,MATCH($E120,Parametros!$A$2:$A$9,0))</f>
        <v>Porciones single serve</v>
      </c>
      <c r="G120" s="10" t="n">
        <v>86.2</v>
      </c>
      <c r="H120" s="10" t="n">
        <v>7.8</v>
      </c>
      <c r="I120" s="11" t="n">
        <f aca="false">SUMIFS(Eventos_Paro!$J$2:$J$2186,Eventos_Paro!$D$2:$D$2186,$E120,Eventos_Paro!$B$2:$B$2186,$B120)</f>
        <v>3.55</v>
      </c>
      <c r="J120" s="12" t="n">
        <f aca="false">G120-H120-I120</f>
        <v>74.85</v>
      </c>
      <c r="K120" s="13" t="n">
        <v>156787</v>
      </c>
      <c r="L120" s="13" t="n">
        <v>139505</v>
      </c>
      <c r="M120" s="13" t="n">
        <v>7307</v>
      </c>
      <c r="N120" s="14" t="n">
        <f aca="false">L120+M120</f>
        <v>146812</v>
      </c>
      <c r="O120" s="11" t="n">
        <f aca="false">INDEX(Parametros!$D$2:$D$9,MATCH($E120,Parametros!$A$2:$A$9,0))</f>
        <v>2600</v>
      </c>
      <c r="P120" s="15" t="n">
        <f aca="false">IF((G120-H120)&gt;0,J120/(G120-H120),0)</f>
        <v>0.954719387755102</v>
      </c>
      <c r="Q120" s="15" t="n">
        <f aca="false">IF(J120*O120&gt;0,N120/(O120*J120),0)</f>
        <v>0.754390832947947</v>
      </c>
      <c r="R120" s="15" t="n">
        <f aca="false">IF(N120&gt;0,L120/N120,0)</f>
        <v>0.950228864125548</v>
      </c>
      <c r="S120" s="15" t="n">
        <f aca="false">P120*Q120*R120</f>
        <v>0.684384811616954</v>
      </c>
      <c r="T120" s="15" t="n">
        <f aca="false">IF(K120&gt;0,L120/K120,0)</f>
        <v>0.889774024632144</v>
      </c>
      <c r="U120" s="10" t="n">
        <v>1562.5</v>
      </c>
      <c r="V120" s="5" t="n">
        <v>17</v>
      </c>
      <c r="W120" s="10" t="n">
        <v>97.1</v>
      </c>
      <c r="X120" s="15" t="n">
        <f aca="false">IF(U120&gt;0,W120/U120,0)</f>
        <v>0.062144</v>
      </c>
      <c r="Y120" s="12" t="n">
        <f aca="false">IF(U120&gt;0,L120/U120,0)</f>
        <v>89.2832</v>
      </c>
      <c r="Z120" s="16" t="n">
        <f aca="false">L120*INDEX(Parametros!$E$2:$E$9,MATCH($E120,Parametros!$A$2:$A$9,0))</f>
        <v>103233.7</v>
      </c>
      <c r="AA120" s="16" t="n">
        <f aca="false">Z120*INDEX(Parametros!$F$2:$F$9,MATCH($E120,Parametros!$A$2:$A$9,0))</f>
        <v>4645.5165</v>
      </c>
      <c r="AB120" s="17" t="n">
        <f aca="false">Z120+AA120</f>
        <v>107879.2165</v>
      </c>
      <c r="AC120" s="18" t="n">
        <v>110869.16</v>
      </c>
      <c r="AD120" s="17" t="n">
        <f aca="false">AC120-AB120</f>
        <v>2989.94350000001</v>
      </c>
      <c r="AE120" s="17" t="n">
        <f aca="false">AA120+AD120</f>
        <v>7635.46000000001</v>
      </c>
      <c r="AF120" s="19" t="n">
        <f aca="false">IF(Z120&gt;0,AE120/Z120,0)</f>
        <v>0.0739628629023275</v>
      </c>
      <c r="AG120" s="16" t="n">
        <f aca="false">(U120-W120)*INDEX(Parametros!$H$2:$H$9,MATCH($E120,Parametros!$A$2:$A$9,0))+W120*INDEX(Parametros!$H$2:$H$9,MATCH($E120,Parametros!$A$2:$A$9,0))*Parametros!$N$3</f>
        <v>48331.5</v>
      </c>
      <c r="AH120" s="13" t="n">
        <v>8058</v>
      </c>
      <c r="AI120" s="16" t="n">
        <f aca="false">AH120*Parametros!$N$2</f>
        <v>741.336</v>
      </c>
      <c r="AJ120" s="18" t="n">
        <v>10972</v>
      </c>
      <c r="AK120" s="18" t="n">
        <v>2861</v>
      </c>
      <c r="AL120" s="17" t="n">
        <f aca="false">AG120+AI120+AJ120+AK120</f>
        <v>62905.836</v>
      </c>
      <c r="AM120" s="20" t="n">
        <f aca="false">IF(L120&gt;0,AL120/L120,0)</f>
        <v>0.450921730403928</v>
      </c>
      <c r="AN120" s="16" t="n">
        <f aca="false">L120*INDEX(Parametros!$G$2:$G$9,MATCH($E120,Parametros!$A$2:$A$9,0))</f>
        <v>239948.6</v>
      </c>
      <c r="AO120" s="17" t="n">
        <f aca="false">AN120-AC120-AL120</f>
        <v>66173.604</v>
      </c>
      <c r="AP120" s="15" t="n">
        <f aca="false">IF(AN120&gt;0,AO120/AN120,0)</f>
        <v>0.275782413400203</v>
      </c>
      <c r="AQ120" s="16" t="n">
        <f aca="false">INDEX(Parametros!$I$2:$I$9,MATCH($E120,Parametros!$A$2:$A$9,0))</f>
        <v>15900000</v>
      </c>
      <c r="AR120" s="19" t="n">
        <f aca="false">IF(AQ120&gt;0,AO120/AQ120,0)</f>
        <v>0.00416186188679245</v>
      </c>
    </row>
    <row r="121" customFormat="false" ht="15" hidden="false" customHeight="false" outlineLevel="0" collapsed="false">
      <c r="A121" s="5" t="s">
        <v>256</v>
      </c>
      <c r="B121" s="9" t="n">
        <v>45649</v>
      </c>
      <c r="C121" s="2" t="str">
        <f aca="false">TEXT(B121,"yyyy")</f>
        <v>2024</v>
      </c>
      <c r="D121" s="2" t="n">
        <f aca="false">WEEKNUM(B121,2)</f>
        <v>52</v>
      </c>
      <c r="E121" s="5" t="s">
        <v>144</v>
      </c>
      <c r="F121" s="6" t="str">
        <f aca="false">INDEX(Parametros!$B$2:$B$9,MATCH($E121,Parametros!$A$2:$A$9,0))</f>
        <v>Salsas picantes</v>
      </c>
      <c r="G121" s="10" t="n">
        <v>77.4</v>
      </c>
      <c r="H121" s="10" t="n">
        <v>5.8</v>
      </c>
      <c r="I121" s="11" t="n">
        <f aca="false">SUMIFS(Eventos_Paro!$J$2:$J$2186,Eventos_Paro!$D$2:$D$2186,$E121,Eventos_Paro!$B$2:$B$2186,$B121)</f>
        <v>4.55</v>
      </c>
      <c r="J121" s="12" t="n">
        <f aca="false">G121-H121-I121</f>
        <v>67.05</v>
      </c>
      <c r="K121" s="13" t="n">
        <v>187946</v>
      </c>
      <c r="L121" s="13" t="n">
        <v>169276</v>
      </c>
      <c r="M121" s="13" t="n">
        <v>4520</v>
      </c>
      <c r="N121" s="14" t="n">
        <f aca="false">L121+M121</f>
        <v>173796</v>
      </c>
      <c r="O121" s="11" t="n">
        <f aca="false">INDEX(Parametros!$D$2:$D$9,MATCH($E121,Parametros!$A$2:$A$9,0))</f>
        <v>3100</v>
      </c>
      <c r="P121" s="15" t="n">
        <f aca="false">IF((G121-H121)&gt;0,J121/(G121-H121),0)</f>
        <v>0.936452513966481</v>
      </c>
      <c r="Q121" s="15" t="n">
        <f aca="false">IF(J121*O121&gt;0,N121/(O121*J121),0)</f>
        <v>0.836140578768853</v>
      </c>
      <c r="R121" s="15" t="n">
        <f aca="false">IF(N121&gt;0,L121/N121,0)</f>
        <v>0.973992496950448</v>
      </c>
      <c r="S121" s="15" t="n">
        <f aca="false">P121*Q121*R121</f>
        <v>0.762641917462606</v>
      </c>
      <c r="T121" s="15" t="n">
        <f aca="false">IF(K121&gt;0,L121/K121,0)</f>
        <v>0.900662956381088</v>
      </c>
      <c r="U121" s="10" t="n">
        <v>646</v>
      </c>
      <c r="V121" s="5" t="n">
        <v>8</v>
      </c>
      <c r="W121" s="10" t="n">
        <v>26.8</v>
      </c>
      <c r="X121" s="15" t="n">
        <f aca="false">IF(U121&gt;0,W121/U121,0)</f>
        <v>0.0414860681114551</v>
      </c>
      <c r="Y121" s="12" t="n">
        <f aca="false">IF(U121&gt;0,L121/U121,0)</f>
        <v>262.037151702786</v>
      </c>
      <c r="Z121" s="16" t="n">
        <f aca="false">L121*INDEX(Parametros!$E$2:$E$9,MATCH($E121,Parametros!$A$2:$A$9,0))</f>
        <v>111722.16</v>
      </c>
      <c r="AA121" s="16" t="n">
        <f aca="false">Z121*INDEX(Parametros!$F$2:$F$9,MATCH($E121,Parametros!$A$2:$A$9,0))</f>
        <v>2904.77616</v>
      </c>
      <c r="AB121" s="17" t="n">
        <f aca="false">Z121+AA121</f>
        <v>114626.93616</v>
      </c>
      <c r="AC121" s="18" t="n">
        <v>114719.6</v>
      </c>
      <c r="AD121" s="17" t="n">
        <f aca="false">AC121-AB121</f>
        <v>92.6638400000084</v>
      </c>
      <c r="AE121" s="17" t="n">
        <f aca="false">AA121+AD121</f>
        <v>2997.44000000001</v>
      </c>
      <c r="AF121" s="19" t="n">
        <f aca="false">IF(Z121&gt;0,AE121/Z121,0)</f>
        <v>0.0268294132515878</v>
      </c>
      <c r="AG121" s="16" t="n">
        <f aca="false">(U121-W121)*INDEX(Parametros!$H$2:$H$9,MATCH($E121,Parametros!$A$2:$A$9,0))+W121*INDEX(Parametros!$H$2:$H$9,MATCH($E121,Parametros!$A$2:$A$9,0))*Parametros!$N$3</f>
        <v>20771.1</v>
      </c>
      <c r="AH121" s="13" t="n">
        <v>8573</v>
      </c>
      <c r="AI121" s="16" t="n">
        <f aca="false">AH121*Parametros!$N$2</f>
        <v>788.716</v>
      </c>
      <c r="AJ121" s="18" t="n">
        <v>6632</v>
      </c>
      <c r="AK121" s="18" t="n">
        <v>3269</v>
      </c>
      <c r="AL121" s="17" t="n">
        <f aca="false">AG121+AI121+AJ121+AK121</f>
        <v>31460.816</v>
      </c>
      <c r="AM121" s="20" t="n">
        <f aca="false">IF(L121&gt;0,AL121/L121,0)</f>
        <v>0.18585514780595</v>
      </c>
      <c r="AN121" s="16" t="n">
        <f aca="false">L121*INDEX(Parametros!$G$2:$G$9,MATCH($E121,Parametros!$A$2:$A$9,0))</f>
        <v>211595</v>
      </c>
      <c r="AO121" s="17" t="n">
        <f aca="false">AN121-AC121-AL121</f>
        <v>65414.584</v>
      </c>
      <c r="AP121" s="15" t="n">
        <f aca="false">IF(AN121&gt;0,AO121/AN121,0)</f>
        <v>0.309149951558402</v>
      </c>
      <c r="AQ121" s="16" t="n">
        <f aca="false">INDEX(Parametros!$I$2:$I$9,MATCH($E121,Parametros!$A$2:$A$9,0))</f>
        <v>13300000</v>
      </c>
      <c r="AR121" s="19" t="n">
        <f aca="false">IF(AQ121&gt;0,AO121/AQ121,0)</f>
        <v>0.00491838977443609</v>
      </c>
    </row>
    <row r="122" customFormat="false" ht="15" hidden="false" customHeight="false" outlineLevel="0" collapsed="false">
      <c r="A122" s="5" t="s">
        <v>257</v>
      </c>
      <c r="B122" s="9" t="n">
        <v>45656</v>
      </c>
      <c r="C122" s="2" t="str">
        <f aca="false">TEXT(B122,"yyyy")</f>
        <v>2024</v>
      </c>
      <c r="D122" s="2" t="n">
        <f aca="false">WEEKNUM(B122,2)</f>
        <v>1</v>
      </c>
      <c r="E122" s="5" t="s">
        <v>130</v>
      </c>
      <c r="F122" s="6" t="str">
        <f aca="false">INDEX(Parametros!$B$2:$B$9,MATCH($E122,Parametros!$A$2:$A$9,0))</f>
        <v>Ketchup botella</v>
      </c>
      <c r="G122" s="10" t="n">
        <v>96.7</v>
      </c>
      <c r="H122" s="10" t="n">
        <v>6.1</v>
      </c>
      <c r="I122" s="11" t="n">
        <f aca="false">SUMIFS(Eventos_Paro!$J$2:$J$2186,Eventos_Paro!$D$2:$D$2186,$E122,Eventos_Paro!$B$2:$B$2186,$B122)</f>
        <v>8.26666666666667</v>
      </c>
      <c r="J122" s="12" t="n">
        <f aca="false">G122-H122-I122</f>
        <v>82.3333333333333</v>
      </c>
      <c r="K122" s="13" t="n">
        <v>626523</v>
      </c>
      <c r="L122" s="13" t="n">
        <v>640100</v>
      </c>
      <c r="M122" s="13" t="n">
        <v>10136</v>
      </c>
      <c r="N122" s="14" t="n">
        <f aca="false">L122+M122</f>
        <v>650236</v>
      </c>
      <c r="O122" s="11" t="n">
        <f aca="false">INDEX(Parametros!$D$2:$D$9,MATCH($E122,Parametros!$A$2:$A$9,0))</f>
        <v>9000</v>
      </c>
      <c r="P122" s="15" t="n">
        <f aca="false">IF((G122-H122)&gt;0,J122/(G122-H122),0)</f>
        <v>0.908756438557763</v>
      </c>
      <c r="Q122" s="15" t="n">
        <f aca="false">IF(J122*O122&gt;0,N122/(O122*J122),0)</f>
        <v>0.877511470985155</v>
      </c>
      <c r="R122" s="15" t="n">
        <f aca="false">IF(N122&gt;0,L122/N122,0)</f>
        <v>0.984411813556924</v>
      </c>
      <c r="S122" s="15" t="n">
        <f aca="false">P122*Q122*R122</f>
        <v>0.785013490311504</v>
      </c>
      <c r="T122" s="15" t="n">
        <f aca="false">IF(K122&gt;0,L122/K122,0)</f>
        <v>1.02167039358491</v>
      </c>
      <c r="U122" s="10" t="n">
        <v>1360.8</v>
      </c>
      <c r="V122" s="5" t="n">
        <v>13</v>
      </c>
      <c r="W122" s="10" t="n">
        <v>103.7</v>
      </c>
      <c r="X122" s="15" t="n">
        <f aca="false">IF(U122&gt;0,W122/U122,0)</f>
        <v>0.0762051734273957</v>
      </c>
      <c r="Y122" s="12" t="n">
        <f aca="false">IF(U122&gt;0,L122/U122,0)</f>
        <v>470.38506760729</v>
      </c>
      <c r="Z122" s="16" t="n">
        <f aca="false">L122*INDEX(Parametros!$E$2:$E$9,MATCH($E122,Parametros!$A$2:$A$9,0))</f>
        <v>268842</v>
      </c>
      <c r="AA122" s="16" t="n">
        <f aca="false">Z122*INDEX(Parametros!$F$2:$F$9,MATCH($E122,Parametros!$A$2:$A$9,0))</f>
        <v>5376.84</v>
      </c>
      <c r="AB122" s="17" t="n">
        <f aca="false">Z122+AA122</f>
        <v>274218.84</v>
      </c>
      <c r="AC122" s="18" t="n">
        <v>274373.22</v>
      </c>
      <c r="AD122" s="17" t="n">
        <f aca="false">AC122-AB122</f>
        <v>154.379999999946</v>
      </c>
      <c r="AE122" s="17" t="n">
        <f aca="false">AA122+AD122</f>
        <v>5531.21999999995</v>
      </c>
      <c r="AF122" s="19" t="n">
        <f aca="false">IF(Z122&gt;0,AE122/Z122,0)</f>
        <v>0.0205742406320439</v>
      </c>
      <c r="AG122" s="16" t="n">
        <f aca="false">(U122-W122)*INDEX(Parametros!$H$2:$H$9,MATCH($E122,Parametros!$A$2:$A$9,0))+W122*INDEX(Parametros!$H$2:$H$9,MATCH($E122,Parametros!$A$2:$A$9,0))*Parametros!$N$3</f>
        <v>44498.475</v>
      </c>
      <c r="AH122" s="13" t="n">
        <v>34521</v>
      </c>
      <c r="AI122" s="16" t="n">
        <f aca="false">AH122*Parametros!$N$2</f>
        <v>3175.932</v>
      </c>
      <c r="AJ122" s="18" t="n">
        <v>15001</v>
      </c>
      <c r="AK122" s="18" t="n">
        <v>6307</v>
      </c>
      <c r="AL122" s="17" t="n">
        <f aca="false">AG122+AI122+AJ122+AK122</f>
        <v>68982.407</v>
      </c>
      <c r="AM122" s="20" t="n">
        <f aca="false">IF(L122&gt;0,AL122/L122,0)</f>
        <v>0.1077681721606</v>
      </c>
      <c r="AN122" s="16" t="n">
        <f aca="false">L122*INDEX(Parametros!$G$2:$G$9,MATCH($E122,Parametros!$A$2:$A$9,0))</f>
        <v>454471</v>
      </c>
      <c r="AO122" s="17" t="n">
        <f aca="false">AN122-AC122-AL122</f>
        <v>111115.373</v>
      </c>
      <c r="AP122" s="15" t="n">
        <f aca="false">IF(AN122&gt;0,AO122/AN122,0)</f>
        <v>0.244493868695692</v>
      </c>
      <c r="AQ122" s="16" t="n">
        <f aca="false">INDEX(Parametros!$I$2:$I$9,MATCH($E122,Parametros!$A$2:$A$9,0))</f>
        <v>29300000</v>
      </c>
      <c r="AR122" s="19" t="n">
        <f aca="false">IF(AQ122&gt;0,AO122/AQ122,0)</f>
        <v>0.00379233354948806</v>
      </c>
    </row>
    <row r="123" customFormat="false" ht="15" hidden="false" customHeight="false" outlineLevel="0" collapsed="false">
      <c r="A123" s="5" t="s">
        <v>258</v>
      </c>
      <c r="B123" s="9" t="n">
        <v>45656</v>
      </c>
      <c r="C123" s="2" t="str">
        <f aca="false">TEXT(B123,"yyyy")</f>
        <v>2024</v>
      </c>
      <c r="D123" s="2" t="n">
        <f aca="false">WEEKNUM(B123,2)</f>
        <v>1</v>
      </c>
      <c r="E123" s="5" t="s">
        <v>132</v>
      </c>
      <c r="F123" s="6" t="str">
        <f aca="false">INDEX(Parametros!$B$2:$B$9,MATCH($E123,Parametros!$A$2:$A$9,0))</f>
        <v>Mayonesa frasco</v>
      </c>
      <c r="G123" s="10" t="n">
        <v>102.1</v>
      </c>
      <c r="H123" s="10" t="n">
        <v>5.3</v>
      </c>
      <c r="I123" s="11" t="n">
        <f aca="false">SUMIFS(Eventos_Paro!$J$2:$J$2186,Eventos_Paro!$D$2:$D$2186,$E123,Eventos_Paro!$B$2:$B$2186,$B123)</f>
        <v>4.66666666666667</v>
      </c>
      <c r="J123" s="12" t="n">
        <f aca="false">G123-H123-I123</f>
        <v>92.1333333333333</v>
      </c>
      <c r="K123" s="13" t="n">
        <v>483454</v>
      </c>
      <c r="L123" s="13" t="n">
        <v>510698</v>
      </c>
      <c r="M123" s="13" t="n">
        <v>13634</v>
      </c>
      <c r="N123" s="14" t="n">
        <f aca="false">L123+M123</f>
        <v>524332</v>
      </c>
      <c r="O123" s="11" t="n">
        <f aca="false">INDEX(Parametros!$D$2:$D$9,MATCH($E123,Parametros!$A$2:$A$9,0))</f>
        <v>6500</v>
      </c>
      <c r="P123" s="15" t="n">
        <f aca="false">IF((G123-H123)&gt;0,J123/(G123-H123),0)</f>
        <v>0.951790633608815</v>
      </c>
      <c r="Q123" s="15" t="n">
        <f aca="false">IF(J123*O123&gt;0,N123/(O123*J123),0)</f>
        <v>0.875540465323389</v>
      </c>
      <c r="R123" s="15" t="n">
        <f aca="false">IF(N123&gt;0,L123/N123,0)</f>
        <v>0.973997390966029</v>
      </c>
      <c r="S123" s="15" t="n">
        <f aca="false">P123*Q123*R123</f>
        <v>0.81166242848061</v>
      </c>
      <c r="T123" s="15" t="n">
        <f aca="false">IF(K123&gt;0,L123/K123,0)</f>
        <v>1.05635282777679</v>
      </c>
      <c r="U123" s="10" t="n">
        <v>1494.2</v>
      </c>
      <c r="V123" s="5" t="n">
        <v>14</v>
      </c>
      <c r="W123" s="10" t="n">
        <v>64.8</v>
      </c>
      <c r="X123" s="15" t="n">
        <f aca="false">IF(U123&gt;0,W123/U123,0)</f>
        <v>0.0433676883951278</v>
      </c>
      <c r="Y123" s="12" t="n">
        <f aca="false">IF(U123&gt;0,L123/U123,0)</f>
        <v>341.786909382947</v>
      </c>
      <c r="Z123" s="16" t="n">
        <f aca="false">L123*INDEX(Parametros!$E$2:$E$9,MATCH($E123,Parametros!$A$2:$A$9,0))</f>
        <v>311525.78</v>
      </c>
      <c r="AA123" s="16" t="n">
        <f aca="false">Z123*INDEX(Parametros!$F$2:$F$9,MATCH($E123,Parametros!$A$2:$A$9,0))</f>
        <v>7788.1445</v>
      </c>
      <c r="AB123" s="17" t="n">
        <f aca="false">Z123+AA123</f>
        <v>319313.9245</v>
      </c>
      <c r="AC123" s="18" t="n">
        <v>314025.93</v>
      </c>
      <c r="AD123" s="17" t="n">
        <f aca="false">AC123-AB123</f>
        <v>-5287.99449999997</v>
      </c>
      <c r="AE123" s="17" t="n">
        <f aca="false">AA123+AD123</f>
        <v>2500.15000000003</v>
      </c>
      <c r="AF123" s="19" t="n">
        <f aca="false">IF(Z123&gt;0,AE123/Z123,0)</f>
        <v>0.00802549952687713</v>
      </c>
      <c r="AG123" s="16" t="n">
        <f aca="false">(U123-W123)*INDEX(Parametros!$H$2:$H$9,MATCH($E123,Parametros!$A$2:$A$9,0))+W123*INDEX(Parametros!$H$2:$H$9,MATCH($E123,Parametros!$A$2:$A$9,0))*Parametros!$N$3</f>
        <v>48087.9</v>
      </c>
      <c r="AH123" s="13" t="n">
        <v>26436</v>
      </c>
      <c r="AI123" s="16" t="n">
        <f aca="false">AH123*Parametros!$N$2</f>
        <v>2432.112</v>
      </c>
      <c r="AJ123" s="18" t="n">
        <v>15663</v>
      </c>
      <c r="AK123" s="18" t="n">
        <v>4248</v>
      </c>
      <c r="AL123" s="17" t="n">
        <f aca="false">AG123+AI123+AJ123+AK123</f>
        <v>70431.012</v>
      </c>
      <c r="AM123" s="20" t="n">
        <f aca="false">IF(L123&gt;0,AL123/L123,0)</f>
        <v>0.137911274373505</v>
      </c>
      <c r="AN123" s="16" t="n">
        <f aca="false">L123*INDEX(Parametros!$G$2:$G$9,MATCH($E123,Parametros!$A$2:$A$9,0))</f>
        <v>490270.08</v>
      </c>
      <c r="AO123" s="17" t="n">
        <f aca="false">AN123-AC123-AL123</f>
        <v>105813.138</v>
      </c>
      <c r="AP123" s="15" t="n">
        <f aca="false">IF(AN123&gt;0,AO123/AN123,0)</f>
        <v>0.21582621970323</v>
      </c>
      <c r="AQ123" s="16" t="n">
        <f aca="false">INDEX(Parametros!$I$2:$I$9,MATCH($E123,Parametros!$A$2:$A$9,0))</f>
        <v>29700000</v>
      </c>
      <c r="AR123" s="19" t="n">
        <f aca="false">IF(AQ123&gt;0,AO123/AQ123,0)</f>
        <v>0.00356273191919192</v>
      </c>
    </row>
    <row r="124" customFormat="false" ht="15" hidden="false" customHeight="false" outlineLevel="0" collapsed="false">
      <c r="A124" s="5" t="s">
        <v>259</v>
      </c>
      <c r="B124" s="9" t="n">
        <v>45656</v>
      </c>
      <c r="C124" s="2" t="str">
        <f aca="false">TEXT(B124,"yyyy")</f>
        <v>2024</v>
      </c>
      <c r="D124" s="2" t="n">
        <f aca="false">WEEKNUM(B124,2)</f>
        <v>1</v>
      </c>
      <c r="E124" s="5" t="s">
        <v>134</v>
      </c>
      <c r="F124" s="6" t="str">
        <f aca="false">INDEX(Parametros!$B$2:$B$9,MATCH($E124,Parametros!$A$2:$A$9,0))</f>
        <v>Aderezos vertibles</v>
      </c>
      <c r="G124" s="10" t="n">
        <v>97.8</v>
      </c>
      <c r="H124" s="10" t="n">
        <v>6.9</v>
      </c>
      <c r="I124" s="11" t="n">
        <f aca="false">SUMIFS(Eventos_Paro!$J$2:$J$2186,Eventos_Paro!$D$2:$D$2186,$E124,Eventos_Paro!$B$2:$B$2186,$B124)</f>
        <v>9.8</v>
      </c>
      <c r="J124" s="12" t="n">
        <f aca="false">G124-H124-I124</f>
        <v>81.1</v>
      </c>
      <c r="K124" s="13" t="n">
        <v>363190</v>
      </c>
      <c r="L124" s="13" t="n">
        <v>323901</v>
      </c>
      <c r="M124" s="13" t="n">
        <v>13942</v>
      </c>
      <c r="N124" s="14" t="n">
        <f aca="false">L124+M124</f>
        <v>337843</v>
      </c>
      <c r="O124" s="11" t="n">
        <f aca="false">INDEX(Parametros!$D$2:$D$9,MATCH($E124,Parametros!$A$2:$A$9,0))</f>
        <v>5200</v>
      </c>
      <c r="P124" s="15" t="n">
        <f aca="false">IF((G124-H124)&gt;0,J124/(G124-H124),0)</f>
        <v>0.892189218921892</v>
      </c>
      <c r="Q124" s="15" t="n">
        <f aca="false">IF(J124*O124&gt;0,N124/(O124*J124),0)</f>
        <v>0.801107369818837</v>
      </c>
      <c r="R124" s="15" t="n">
        <f aca="false">IF(N124&gt;0,L124/N124,0)</f>
        <v>0.958732310570295</v>
      </c>
      <c r="S124" s="15" t="n">
        <f aca="false">P124*Q124*R124</f>
        <v>0.68524371667936</v>
      </c>
      <c r="T124" s="15" t="n">
        <f aca="false">IF(K124&gt;0,L124/K124,0)</f>
        <v>0.891822462072194</v>
      </c>
      <c r="U124" s="10" t="n">
        <v>1063.3</v>
      </c>
      <c r="V124" s="5" t="n">
        <v>10</v>
      </c>
      <c r="W124" s="10" t="n">
        <v>85.3</v>
      </c>
      <c r="X124" s="15" t="n">
        <f aca="false">IF(U124&gt;0,W124/U124,0)</f>
        <v>0.0802219505313646</v>
      </c>
      <c r="Y124" s="12" t="n">
        <f aca="false">IF(U124&gt;0,L124/U124,0)</f>
        <v>304.618640082761</v>
      </c>
      <c r="Z124" s="16" t="n">
        <f aca="false">L124*INDEX(Parametros!$E$2:$E$9,MATCH($E124,Parametros!$A$2:$A$9,0))</f>
        <v>178145.55</v>
      </c>
      <c r="AA124" s="16" t="n">
        <f aca="false">Z124*INDEX(Parametros!$F$2:$F$9,MATCH($E124,Parametros!$A$2:$A$9,0))</f>
        <v>5344.3665</v>
      </c>
      <c r="AB124" s="17" t="n">
        <f aca="false">Z124+AA124</f>
        <v>183489.9165</v>
      </c>
      <c r="AC124" s="18" t="n">
        <v>187330.22</v>
      </c>
      <c r="AD124" s="17" t="n">
        <f aca="false">AC124-AB124</f>
        <v>3840.30349999998</v>
      </c>
      <c r="AE124" s="17" t="n">
        <f aca="false">AA124+AD124</f>
        <v>9184.66999999998</v>
      </c>
      <c r="AF124" s="19" t="n">
        <f aca="false">IF(Z124&gt;0,AE124/Z124,0)</f>
        <v>0.0515571115865649</v>
      </c>
      <c r="AG124" s="16" t="n">
        <f aca="false">(U124-W124)*INDEX(Parametros!$H$2:$H$9,MATCH($E124,Parametros!$A$2:$A$9,0))+W124*INDEX(Parametros!$H$2:$H$9,MATCH($E124,Parametros!$A$2:$A$9,0))*Parametros!$N$3</f>
        <v>34837.425</v>
      </c>
      <c r="AH124" s="13" t="n">
        <v>18309</v>
      </c>
      <c r="AI124" s="16" t="n">
        <f aca="false">AH124*Parametros!$N$2</f>
        <v>1684.428</v>
      </c>
      <c r="AJ124" s="18" t="n">
        <v>11687</v>
      </c>
      <c r="AK124" s="18" t="n">
        <v>7163</v>
      </c>
      <c r="AL124" s="17" t="n">
        <f aca="false">AG124+AI124+AJ124+AK124</f>
        <v>55371.853</v>
      </c>
      <c r="AM124" s="20" t="n">
        <f aca="false">IF(L124&gt;0,AL124/L124,0)</f>
        <v>0.170953016508131</v>
      </c>
      <c r="AN124" s="16" t="n">
        <f aca="false">L124*INDEX(Parametros!$G$2:$G$9,MATCH($E124,Parametros!$A$2:$A$9,0))</f>
        <v>330379.02</v>
      </c>
      <c r="AO124" s="17" t="n">
        <f aca="false">AN124-AC124-AL124</f>
        <v>87676.947</v>
      </c>
      <c r="AP124" s="15" t="n">
        <f aca="false">IF(AN124&gt;0,AO124/AN124,0)</f>
        <v>0.265382913842411</v>
      </c>
      <c r="AQ124" s="16" t="n">
        <f aca="false">INDEX(Parametros!$I$2:$I$9,MATCH($E124,Parametros!$A$2:$A$9,0))</f>
        <v>19300000</v>
      </c>
      <c r="AR124" s="19" t="n">
        <f aca="false">IF(AQ124&gt;0,AO124/AQ124,0)</f>
        <v>0.00454284699481865</v>
      </c>
    </row>
    <row r="125" customFormat="false" ht="15" hidden="false" customHeight="false" outlineLevel="0" collapsed="false">
      <c r="A125" s="5" t="s">
        <v>260</v>
      </c>
      <c r="B125" s="9" t="n">
        <v>45656</v>
      </c>
      <c r="C125" s="2" t="str">
        <f aca="false">TEXT(B125,"yyyy")</f>
        <v>2024</v>
      </c>
      <c r="D125" s="2" t="n">
        <f aca="false">WEEKNUM(B125,2)</f>
        <v>1</v>
      </c>
      <c r="E125" s="5" t="s">
        <v>136</v>
      </c>
      <c r="F125" s="6" t="str">
        <f aca="false">INDEX(Parametros!$B$2:$B$9,MATCH($E125,Parametros!$A$2:$A$9,0))</f>
        <v>Salsa BBQ</v>
      </c>
      <c r="G125" s="10" t="n">
        <v>77.1</v>
      </c>
      <c r="H125" s="10" t="n">
        <v>7.2</v>
      </c>
      <c r="I125" s="11" t="n">
        <f aca="false">SUMIFS(Eventos_Paro!$J$2:$J$2186,Eventos_Paro!$D$2:$D$2186,$E125,Eventos_Paro!$B$2:$B$2186,$B125)</f>
        <v>2.4</v>
      </c>
      <c r="J125" s="12" t="n">
        <f aca="false">G125-H125-I125</f>
        <v>67.5</v>
      </c>
      <c r="K125" s="13" t="n">
        <v>220648</v>
      </c>
      <c r="L125" s="13" t="n">
        <v>258987</v>
      </c>
      <c r="M125" s="13" t="n">
        <v>7384</v>
      </c>
      <c r="N125" s="14" t="n">
        <f aca="false">L125+M125</f>
        <v>266371</v>
      </c>
      <c r="O125" s="11" t="n">
        <f aca="false">INDEX(Parametros!$D$2:$D$9,MATCH($E125,Parametros!$A$2:$A$9,0))</f>
        <v>4800</v>
      </c>
      <c r="P125" s="15" t="n">
        <f aca="false">IF((G125-H125)&gt;0,J125/(G125-H125),0)</f>
        <v>0.965665236051502</v>
      </c>
      <c r="Q125" s="15" t="n">
        <f aca="false">IF(J125*O125&gt;0,N125/(O125*J125),0)</f>
        <v>0.822132716049383</v>
      </c>
      <c r="R125" s="15" t="n">
        <f aca="false">IF(N125&gt;0,L125/N125,0)</f>
        <v>0.972279264634664</v>
      </c>
      <c r="S125" s="15" t="n">
        <f aca="false">P125*Q125*R125</f>
        <v>0.771897353361946</v>
      </c>
      <c r="T125" s="15" t="n">
        <f aca="false">IF(K125&gt;0,L125/K125,0)</f>
        <v>1.17375639026866</v>
      </c>
      <c r="U125" s="10" t="n">
        <v>910.3</v>
      </c>
      <c r="V125" s="5" t="n">
        <v>11</v>
      </c>
      <c r="W125" s="10" t="n">
        <v>62.2</v>
      </c>
      <c r="X125" s="15" t="n">
        <f aca="false">IF(U125&gt;0,W125/U125,0)</f>
        <v>0.0683291222673844</v>
      </c>
      <c r="Y125" s="12" t="n">
        <f aca="false">IF(U125&gt;0,L125/U125,0)</f>
        <v>284.507305283972</v>
      </c>
      <c r="Z125" s="16" t="n">
        <f aca="false">L125*INDEX(Parametros!$E$2:$E$9,MATCH($E125,Parametros!$A$2:$A$9,0))</f>
        <v>150212.46</v>
      </c>
      <c r="AA125" s="16" t="n">
        <f aca="false">Z125*INDEX(Parametros!$F$2:$F$9,MATCH($E125,Parametros!$A$2:$A$9,0))</f>
        <v>4205.94888</v>
      </c>
      <c r="AB125" s="17" t="n">
        <f aca="false">Z125+AA125</f>
        <v>154418.40888</v>
      </c>
      <c r="AC125" s="18" t="n">
        <v>154814.14</v>
      </c>
      <c r="AD125" s="17" t="n">
        <f aca="false">AC125-AB125</f>
        <v>395.731120000011</v>
      </c>
      <c r="AE125" s="17" t="n">
        <f aca="false">AA125+AD125</f>
        <v>4601.68000000001</v>
      </c>
      <c r="AF125" s="19" t="n">
        <f aca="false">IF(Z125&gt;0,AE125/Z125,0)</f>
        <v>0.0306344759948676</v>
      </c>
      <c r="AG125" s="16" t="n">
        <f aca="false">(U125-W125)*INDEX(Parametros!$H$2:$H$9,MATCH($E125,Parametros!$A$2:$A$9,0))+W125*INDEX(Parametros!$H$2:$H$9,MATCH($E125,Parametros!$A$2:$A$9,0))*Parametros!$N$3</f>
        <v>29654.1</v>
      </c>
      <c r="AH125" s="13" t="n">
        <v>14135</v>
      </c>
      <c r="AI125" s="16" t="n">
        <f aca="false">AH125*Parametros!$N$2</f>
        <v>1300.42</v>
      </c>
      <c r="AJ125" s="18" t="n">
        <v>9249</v>
      </c>
      <c r="AK125" s="18" t="n">
        <v>1857</v>
      </c>
      <c r="AL125" s="17" t="n">
        <f aca="false">AG125+AI125+AJ125+AK125</f>
        <v>42060.52</v>
      </c>
      <c r="AM125" s="20" t="n">
        <f aca="false">IF(L125&gt;0,AL125/L125,0)</f>
        <v>0.162403981667033</v>
      </c>
      <c r="AN125" s="16" t="n">
        <f aca="false">L125*INDEX(Parametros!$G$2:$G$9,MATCH($E125,Parametros!$A$2:$A$9,0))</f>
        <v>253807.26</v>
      </c>
      <c r="AO125" s="17" t="n">
        <f aca="false">AN125-AC125-AL125</f>
        <v>56932.6</v>
      </c>
      <c r="AP125" s="15" t="n">
        <f aca="false">IF(AN125&gt;0,AO125/AN125,0)</f>
        <v>0.224314308424432</v>
      </c>
      <c r="AQ125" s="16" t="n">
        <f aca="false">INDEX(Parametros!$I$2:$I$9,MATCH($E125,Parametros!$A$2:$A$9,0))</f>
        <v>17000000</v>
      </c>
      <c r="AR125" s="19" t="n">
        <f aca="false">IF(AQ125&gt;0,AO125/AQ125,0)</f>
        <v>0.00334897647058824</v>
      </c>
    </row>
    <row r="126" customFormat="false" ht="15" hidden="false" customHeight="false" outlineLevel="0" collapsed="false">
      <c r="A126" s="5" t="s">
        <v>261</v>
      </c>
      <c r="B126" s="9" t="n">
        <v>45656</v>
      </c>
      <c r="C126" s="2" t="str">
        <f aca="false">TEXT(B126,"yyyy")</f>
        <v>2024</v>
      </c>
      <c r="D126" s="2" t="n">
        <f aca="false">WEEKNUM(B126,2)</f>
        <v>1</v>
      </c>
      <c r="E126" s="5" t="s">
        <v>138</v>
      </c>
      <c r="F126" s="6" t="str">
        <f aca="false">INDEX(Parametros!$B$2:$B$9,MATCH($E126,Parametros!$A$2:$A$9,0))</f>
        <v>Queso crema</v>
      </c>
      <c r="G126" s="10" t="n">
        <v>91</v>
      </c>
      <c r="H126" s="10" t="n">
        <v>6.9</v>
      </c>
      <c r="I126" s="11" t="n">
        <f aca="false">SUMIFS(Eventos_Paro!$J$2:$J$2186,Eventos_Paro!$D$2:$D$2186,$E126,Eventos_Paro!$B$2:$B$2186,$B126)</f>
        <v>0.483333333333333</v>
      </c>
      <c r="J126" s="12" t="n">
        <f aca="false">G126-H126-I126</f>
        <v>83.6166666666667</v>
      </c>
      <c r="K126" s="13" t="n">
        <v>245553</v>
      </c>
      <c r="L126" s="13" t="n">
        <v>277369</v>
      </c>
      <c r="M126" s="13" t="n">
        <v>13378</v>
      </c>
      <c r="N126" s="14" t="n">
        <f aca="false">L126+M126</f>
        <v>290747</v>
      </c>
      <c r="O126" s="11" t="n">
        <f aca="false">INDEX(Parametros!$D$2:$D$9,MATCH($E126,Parametros!$A$2:$A$9,0))</f>
        <v>3800</v>
      </c>
      <c r="P126" s="15" t="n">
        <f aca="false">IF((G126-H126)&gt;0,J126/(G126-H126),0)</f>
        <v>0.994252873563218</v>
      </c>
      <c r="Q126" s="15" t="n">
        <f aca="false">IF(J126*O126&gt;0,N126/(O126*J126),0)</f>
        <v>0.915037294252174</v>
      </c>
      <c r="R126" s="15" t="n">
        <f aca="false">IF(N126&gt;0,L126/N126,0)</f>
        <v>0.953987487403137</v>
      </c>
      <c r="S126" s="15" t="n">
        <f aca="false">P126*Q126*R126</f>
        <v>0.867917266412166</v>
      </c>
      <c r="T126" s="15" t="n">
        <f aca="false">IF(K126&gt;0,L126/K126,0)</f>
        <v>1.12956876926773</v>
      </c>
      <c r="U126" s="10" t="n">
        <v>1335.8</v>
      </c>
      <c r="V126" s="5" t="n">
        <v>14</v>
      </c>
      <c r="W126" s="10" t="n">
        <v>61.8</v>
      </c>
      <c r="X126" s="15" t="n">
        <f aca="false">IF(U126&gt;0,W126/U126,0)</f>
        <v>0.0462644108399461</v>
      </c>
      <c r="Y126" s="12" t="n">
        <f aca="false">IF(U126&gt;0,L126/U126,0)</f>
        <v>207.642611169337</v>
      </c>
      <c r="Z126" s="16" t="n">
        <f aca="false">L126*INDEX(Parametros!$E$2:$E$9,MATCH($E126,Parametros!$A$2:$A$9,0))</f>
        <v>310653.28</v>
      </c>
      <c r="AA126" s="16" t="n">
        <f aca="false">Z126*INDEX(Parametros!$F$2:$F$9,MATCH($E126,Parametros!$A$2:$A$9,0))</f>
        <v>10872.8648</v>
      </c>
      <c r="AB126" s="17" t="n">
        <f aca="false">Z126+AA126</f>
        <v>321526.1448</v>
      </c>
      <c r="AC126" s="18" t="n">
        <v>325631.45</v>
      </c>
      <c r="AD126" s="17" t="n">
        <f aca="false">AC126-AB126</f>
        <v>4105.3052</v>
      </c>
      <c r="AE126" s="17" t="n">
        <f aca="false">AA126+AD126</f>
        <v>14978.17</v>
      </c>
      <c r="AF126" s="19" t="n">
        <f aca="false">IF(Z126&gt;0,AE126/Z126,0)</f>
        <v>0.0482150711558558</v>
      </c>
      <c r="AG126" s="16" t="n">
        <f aca="false">(U126-W126)*INDEX(Parametros!$H$2:$H$9,MATCH($E126,Parametros!$A$2:$A$9,0))+W126*INDEX(Parametros!$H$2:$H$9,MATCH($E126,Parametros!$A$2:$A$9,0))*Parametros!$N$3</f>
        <v>45101.1</v>
      </c>
      <c r="AH126" s="13" t="n">
        <v>14445</v>
      </c>
      <c r="AI126" s="16" t="n">
        <f aca="false">AH126*Parametros!$N$2</f>
        <v>1328.94</v>
      </c>
      <c r="AJ126" s="18" t="n">
        <v>18658</v>
      </c>
      <c r="AK126" s="18" t="n">
        <v>493</v>
      </c>
      <c r="AL126" s="17" t="n">
        <f aca="false">AG126+AI126+AJ126+AK126</f>
        <v>65581.04</v>
      </c>
      <c r="AM126" s="20" t="n">
        <f aca="false">IF(L126&gt;0,AL126/L126,0)</f>
        <v>0.236439688645811</v>
      </c>
      <c r="AN126" s="16" t="n">
        <f aca="false">L126*INDEX(Parametros!$G$2:$G$9,MATCH($E126,Parametros!$A$2:$A$9,0))</f>
        <v>496490.51</v>
      </c>
      <c r="AO126" s="17" t="n">
        <f aca="false">AN126-AC126-AL126</f>
        <v>105278.02</v>
      </c>
      <c r="AP126" s="15" t="n">
        <f aca="false">IF(AN126&gt;0,AO126/AN126,0)</f>
        <v>0.212044375228844</v>
      </c>
      <c r="AQ126" s="16" t="n">
        <f aca="false">INDEX(Parametros!$I$2:$I$9,MATCH($E126,Parametros!$A$2:$A$9,0))</f>
        <v>33200000</v>
      </c>
      <c r="AR126" s="19" t="n">
        <f aca="false">IF(AQ126&gt;0,AO126/AQ126,0)</f>
        <v>0.00317102469879518</v>
      </c>
    </row>
    <row r="127" customFormat="false" ht="15" hidden="false" customHeight="false" outlineLevel="0" collapsed="false">
      <c r="A127" s="5" t="s">
        <v>262</v>
      </c>
      <c r="B127" s="9" t="n">
        <v>45656</v>
      </c>
      <c r="C127" s="2" t="str">
        <f aca="false">TEXT(B127,"yyyy")</f>
        <v>2024</v>
      </c>
      <c r="D127" s="2" t="n">
        <f aca="false">WEEKNUM(B127,2)</f>
        <v>1</v>
      </c>
      <c r="E127" s="5" t="s">
        <v>140</v>
      </c>
      <c r="F127" s="6" t="str">
        <f aca="false">INDEX(Parametros!$B$2:$B$9,MATCH($E127,Parametros!$A$2:$A$9,0))</f>
        <v>Crema de cacahuate</v>
      </c>
      <c r="G127" s="10" t="n">
        <v>92.6</v>
      </c>
      <c r="H127" s="10" t="n">
        <v>6.2</v>
      </c>
      <c r="I127" s="11" t="n">
        <f aca="false">SUMIFS(Eventos_Paro!$J$2:$J$2186,Eventos_Paro!$D$2:$D$2186,$E127,Eventos_Paro!$B$2:$B$2186,$B127)</f>
        <v>0</v>
      </c>
      <c r="J127" s="12" t="n">
        <f aca="false">G127-H127-I127</f>
        <v>86.4</v>
      </c>
      <c r="K127" s="13" t="n">
        <v>278823</v>
      </c>
      <c r="L127" s="13" t="n">
        <v>317861</v>
      </c>
      <c r="M127" s="13" t="n">
        <v>9546</v>
      </c>
      <c r="N127" s="14" t="n">
        <f aca="false">L127+M127</f>
        <v>327407</v>
      </c>
      <c r="O127" s="11" t="n">
        <f aca="false">INDEX(Parametros!$D$2:$D$9,MATCH($E127,Parametros!$A$2:$A$9,0))</f>
        <v>4200</v>
      </c>
      <c r="P127" s="15" t="n">
        <f aca="false">IF((G127-H127)&gt;0,J127/(G127-H127),0)</f>
        <v>1</v>
      </c>
      <c r="Q127" s="15" t="n">
        <f aca="false">IF(J127*O127&gt;0,N127/(O127*J127),0)</f>
        <v>0.902245921516755</v>
      </c>
      <c r="R127" s="15" t="n">
        <f aca="false">IF(N127&gt;0,L127/N127,0)</f>
        <v>0.970843628877819</v>
      </c>
      <c r="S127" s="15" t="n">
        <f aca="false">P127*Q127*R127</f>
        <v>0.875939704585538</v>
      </c>
      <c r="T127" s="15" t="n">
        <f aca="false">IF(K127&gt;0,L127/K127,0)</f>
        <v>1.14000997048307</v>
      </c>
      <c r="U127" s="10" t="n">
        <v>1260.5</v>
      </c>
      <c r="V127" s="5" t="n">
        <v>13</v>
      </c>
      <c r="W127" s="10" t="n">
        <v>56.7</v>
      </c>
      <c r="X127" s="15" t="n">
        <f aca="false">IF(U127&gt;0,W127/U127,0)</f>
        <v>0.0449821499404998</v>
      </c>
      <c r="Y127" s="12" t="n">
        <f aca="false">IF(U127&gt;0,L127/U127,0)</f>
        <v>252.170567235224</v>
      </c>
      <c r="Z127" s="16" t="n">
        <f aca="false">L127*INDEX(Parametros!$E$2:$E$9,MATCH($E127,Parametros!$A$2:$A$9,0))</f>
        <v>308325.17</v>
      </c>
      <c r="AA127" s="16" t="n">
        <f aca="false">Z127*INDEX(Parametros!$F$2:$F$9,MATCH($E127,Parametros!$A$2:$A$9,0))</f>
        <v>6783.15374</v>
      </c>
      <c r="AB127" s="17" t="n">
        <f aca="false">Z127+AA127</f>
        <v>315108.32374</v>
      </c>
      <c r="AC127" s="18" t="n">
        <v>316848.94</v>
      </c>
      <c r="AD127" s="17" t="n">
        <f aca="false">AC127-AB127</f>
        <v>1740.61626000004</v>
      </c>
      <c r="AE127" s="17" t="n">
        <f aca="false">AA127+AD127</f>
        <v>8523.77000000004</v>
      </c>
      <c r="AF127" s="19" t="n">
        <f aca="false">IF(Z127&gt;0,AE127/Z127,0)</f>
        <v>0.0276453913898759</v>
      </c>
      <c r="AG127" s="16" t="n">
        <f aca="false">(U127-W127)*INDEX(Parametros!$H$2:$H$9,MATCH($E127,Parametros!$A$2:$A$9,0))+W127*INDEX(Parametros!$H$2:$H$9,MATCH($E127,Parametros!$A$2:$A$9,0))*Parametros!$N$3</f>
        <v>40598.775</v>
      </c>
      <c r="AH127" s="13" t="n">
        <v>16050</v>
      </c>
      <c r="AI127" s="16" t="n">
        <f aca="false">AH127*Parametros!$N$2</f>
        <v>1476.6</v>
      </c>
      <c r="AJ127" s="18" t="n">
        <v>12522</v>
      </c>
      <c r="AK127" s="18" t="n">
        <v>0</v>
      </c>
      <c r="AL127" s="17" t="n">
        <f aca="false">AG127+AI127+AJ127+AK127</f>
        <v>54597.375</v>
      </c>
      <c r="AM127" s="20" t="n">
        <f aca="false">IF(L127&gt;0,AL127/L127,0)</f>
        <v>0.171764938133335</v>
      </c>
      <c r="AN127" s="16" t="n">
        <f aca="false">L127*INDEX(Parametros!$G$2:$G$9,MATCH($E127,Parametros!$A$2:$A$9,0))</f>
        <v>514934.82</v>
      </c>
      <c r="AO127" s="17" t="n">
        <f aca="false">AN127-AC127-AL127</f>
        <v>143488.505</v>
      </c>
      <c r="AP127" s="15" t="n">
        <f aca="false">IF(AN127&gt;0,AO127/AN127,0)</f>
        <v>0.278653723591658</v>
      </c>
      <c r="AQ127" s="16" t="n">
        <f aca="false">INDEX(Parametros!$I$2:$I$9,MATCH($E127,Parametros!$A$2:$A$9,0))</f>
        <v>28000000</v>
      </c>
      <c r="AR127" s="19" t="n">
        <f aca="false">IF(AQ127&gt;0,AO127/AQ127,0)</f>
        <v>0.00512458946428572</v>
      </c>
    </row>
    <row r="128" customFormat="false" ht="15" hidden="false" customHeight="false" outlineLevel="0" collapsed="false">
      <c r="A128" s="5" t="s">
        <v>263</v>
      </c>
      <c r="B128" s="9" t="n">
        <v>45656</v>
      </c>
      <c r="C128" s="2" t="str">
        <f aca="false">TEXT(B128,"yyyy")</f>
        <v>2024</v>
      </c>
      <c r="D128" s="2" t="n">
        <f aca="false">WEEKNUM(B128,2)</f>
        <v>1</v>
      </c>
      <c r="E128" s="5" t="s">
        <v>142</v>
      </c>
      <c r="F128" s="6" t="str">
        <f aca="false">INDEX(Parametros!$B$2:$B$9,MATCH($E128,Parametros!$A$2:$A$9,0))</f>
        <v>Porciones single serve</v>
      </c>
      <c r="G128" s="10" t="n">
        <v>85</v>
      </c>
      <c r="H128" s="10" t="n">
        <v>6.7</v>
      </c>
      <c r="I128" s="11" t="n">
        <f aca="false">SUMIFS(Eventos_Paro!$J$2:$J$2186,Eventos_Paro!$D$2:$D$2186,$E128,Eventos_Paro!$B$2:$B$2186,$B128)</f>
        <v>8.63333333333333</v>
      </c>
      <c r="J128" s="12" t="n">
        <f aca="false">G128-H128-I128</f>
        <v>69.6666666666667</v>
      </c>
      <c r="K128" s="13" t="n">
        <v>156423</v>
      </c>
      <c r="L128" s="13" t="n">
        <v>132009</v>
      </c>
      <c r="M128" s="13" t="n">
        <v>5909</v>
      </c>
      <c r="N128" s="14" t="n">
        <f aca="false">L128+M128</f>
        <v>137918</v>
      </c>
      <c r="O128" s="11" t="n">
        <f aca="false">INDEX(Parametros!$D$2:$D$9,MATCH($E128,Parametros!$A$2:$A$9,0))</f>
        <v>2600</v>
      </c>
      <c r="P128" s="15" t="n">
        <f aca="false">IF((G128-H128)&gt;0,J128/(G128-H128),0)</f>
        <v>0.889740315027671</v>
      </c>
      <c r="Q128" s="15" t="n">
        <f aca="false">IF(J128*O128&gt;0,N128/(O128*J128),0)</f>
        <v>0.761417004048583</v>
      </c>
      <c r="R128" s="15" t="n">
        <f aca="false">IF(N128&gt;0,L128/N128,0)</f>
        <v>0.957155701213765</v>
      </c>
      <c r="S128" s="15" t="n">
        <f aca="false">P128*Q128*R128</f>
        <v>0.648437960506926</v>
      </c>
      <c r="T128" s="15" t="n">
        <f aca="false">IF(K128&gt;0,L128/K128,0)</f>
        <v>0.843923208223855</v>
      </c>
      <c r="U128" s="10" t="n">
        <v>1406.7</v>
      </c>
      <c r="V128" s="5" t="n">
        <v>16</v>
      </c>
      <c r="W128" s="10" t="n">
        <v>46.7</v>
      </c>
      <c r="X128" s="15" t="n">
        <f aca="false">IF(U128&gt;0,W128/U128,0)</f>
        <v>0.0331982654439468</v>
      </c>
      <c r="Y128" s="12" t="n">
        <f aca="false">IF(U128&gt;0,L128/U128,0)</f>
        <v>93.8430368948603</v>
      </c>
      <c r="Z128" s="16" t="n">
        <f aca="false">L128*INDEX(Parametros!$E$2:$E$9,MATCH($E128,Parametros!$A$2:$A$9,0))</f>
        <v>97686.66</v>
      </c>
      <c r="AA128" s="16" t="n">
        <f aca="false">Z128*INDEX(Parametros!$F$2:$F$9,MATCH($E128,Parametros!$A$2:$A$9,0))</f>
        <v>4395.8997</v>
      </c>
      <c r="AB128" s="17" t="n">
        <f aca="false">Z128+AA128</f>
        <v>102082.5597</v>
      </c>
      <c r="AC128" s="18" t="n">
        <v>102565.86</v>
      </c>
      <c r="AD128" s="17" t="n">
        <f aca="false">AC128-AB128</f>
        <v>483.300300000003</v>
      </c>
      <c r="AE128" s="17" t="n">
        <f aca="false">AA128+AD128</f>
        <v>4879.2</v>
      </c>
      <c r="AF128" s="19" t="n">
        <f aca="false">IF(Z128&gt;0,AE128/Z128,0)</f>
        <v>0.0499474544426025</v>
      </c>
      <c r="AG128" s="16" t="n">
        <f aca="false">(U128-W128)*INDEX(Parametros!$H$2:$H$9,MATCH($E128,Parametros!$A$2:$A$9,0))+W128*INDEX(Parametros!$H$2:$H$9,MATCH($E128,Parametros!$A$2:$A$9,0))*Parametros!$N$3</f>
        <v>42901.5</v>
      </c>
      <c r="AH128" s="13" t="n">
        <v>7367</v>
      </c>
      <c r="AI128" s="16" t="n">
        <f aca="false">AH128*Parametros!$N$2</f>
        <v>677.764</v>
      </c>
      <c r="AJ128" s="18" t="n">
        <v>11855</v>
      </c>
      <c r="AK128" s="18" t="n">
        <v>6745</v>
      </c>
      <c r="AL128" s="17" t="n">
        <f aca="false">AG128+AI128+AJ128+AK128</f>
        <v>62179.264</v>
      </c>
      <c r="AM128" s="20" t="n">
        <f aca="false">IF(L128&gt;0,AL128/L128,0)</f>
        <v>0.471022915104273</v>
      </c>
      <c r="AN128" s="16" t="n">
        <f aca="false">L128*INDEX(Parametros!$G$2:$G$9,MATCH($E128,Parametros!$A$2:$A$9,0))</f>
        <v>227055.48</v>
      </c>
      <c r="AO128" s="17" t="n">
        <f aca="false">AN128-AC128-AL128</f>
        <v>62310.356</v>
      </c>
      <c r="AP128" s="15" t="n">
        <f aca="false">IF(AN128&gt;0,AO128/AN128,0)</f>
        <v>0.274427888725698</v>
      </c>
      <c r="AQ128" s="16" t="n">
        <f aca="false">INDEX(Parametros!$I$2:$I$9,MATCH($E128,Parametros!$A$2:$A$9,0))</f>
        <v>15900000</v>
      </c>
      <c r="AR128" s="19" t="n">
        <f aca="false">IF(AQ128&gt;0,AO128/AQ128,0)</f>
        <v>0.00391889031446541</v>
      </c>
    </row>
    <row r="129" customFormat="false" ht="15" hidden="false" customHeight="false" outlineLevel="0" collapsed="false">
      <c r="A129" s="5" t="s">
        <v>264</v>
      </c>
      <c r="B129" s="9" t="n">
        <v>45656</v>
      </c>
      <c r="C129" s="2" t="str">
        <f aca="false">TEXT(B129,"yyyy")</f>
        <v>2024</v>
      </c>
      <c r="D129" s="2" t="n">
        <f aca="false">WEEKNUM(B129,2)</f>
        <v>1</v>
      </c>
      <c r="E129" s="5" t="s">
        <v>144</v>
      </c>
      <c r="F129" s="6" t="str">
        <f aca="false">INDEX(Parametros!$B$2:$B$9,MATCH($E129,Parametros!$A$2:$A$9,0))</f>
        <v>Salsas picantes</v>
      </c>
      <c r="G129" s="10" t="n">
        <v>86.1</v>
      </c>
      <c r="H129" s="10" t="n">
        <v>6.4</v>
      </c>
      <c r="I129" s="11" t="n">
        <f aca="false">SUMIFS(Eventos_Paro!$J$2:$J$2186,Eventos_Paro!$D$2:$D$2186,$E129,Eventos_Paro!$B$2:$B$2186,$B129)</f>
        <v>3.71666666666667</v>
      </c>
      <c r="J129" s="12" t="n">
        <f aca="false">G129-H129-I129</f>
        <v>75.9833333333333</v>
      </c>
      <c r="K129" s="13" t="n">
        <v>209447</v>
      </c>
      <c r="L129" s="13" t="n">
        <v>203522</v>
      </c>
      <c r="M129" s="13" t="n">
        <v>4810</v>
      </c>
      <c r="N129" s="14" t="n">
        <f aca="false">L129+M129</f>
        <v>208332</v>
      </c>
      <c r="O129" s="11" t="n">
        <f aca="false">INDEX(Parametros!$D$2:$D$9,MATCH($E129,Parametros!$A$2:$A$9,0))</f>
        <v>3100</v>
      </c>
      <c r="P129" s="15" t="n">
        <f aca="false">IF((G129-H129)&gt;0,J129/(G129-H129),0)</f>
        <v>0.953366792137181</v>
      </c>
      <c r="Q129" s="15" t="n">
        <f aca="false">IF(J129*O129&gt;0,N129/(O129*J129),0)</f>
        <v>0.884455419623715</v>
      </c>
      <c r="R129" s="15" t="n">
        <f aca="false">IF(N129&gt;0,L129/N129,0)</f>
        <v>0.976911852235854</v>
      </c>
      <c r="S129" s="15" t="n">
        <f aca="false">P129*Q129*R129</f>
        <v>0.823742259278747</v>
      </c>
      <c r="T129" s="15" t="n">
        <f aca="false">IF(K129&gt;0,L129/K129,0)</f>
        <v>0.971711220499697</v>
      </c>
      <c r="U129" s="10" t="n">
        <v>790.2</v>
      </c>
      <c r="V129" s="5" t="n">
        <v>9</v>
      </c>
      <c r="W129" s="10" t="n">
        <v>15.3</v>
      </c>
      <c r="X129" s="15" t="n">
        <f aca="false">IF(U129&gt;0,W129/U129,0)</f>
        <v>0.0193621867881549</v>
      </c>
      <c r="Y129" s="12" t="n">
        <f aca="false">IF(U129&gt;0,L129/U129,0)</f>
        <v>257.557580359403</v>
      </c>
      <c r="Z129" s="16" t="n">
        <f aca="false">L129*INDEX(Parametros!$E$2:$E$9,MATCH($E129,Parametros!$A$2:$A$9,0))</f>
        <v>134324.52</v>
      </c>
      <c r="AA129" s="16" t="n">
        <f aca="false">Z129*INDEX(Parametros!$F$2:$F$9,MATCH($E129,Parametros!$A$2:$A$9,0))</f>
        <v>3492.43752</v>
      </c>
      <c r="AB129" s="17" t="n">
        <f aca="false">Z129+AA129</f>
        <v>137816.95752</v>
      </c>
      <c r="AC129" s="18" t="n">
        <v>138014.54</v>
      </c>
      <c r="AD129" s="17" t="n">
        <f aca="false">AC129-AB129</f>
        <v>197.582479999983</v>
      </c>
      <c r="AE129" s="17" t="n">
        <f aca="false">AA129+AD129</f>
        <v>3690.01999999998</v>
      </c>
      <c r="AF129" s="19" t="n">
        <f aca="false">IF(Z129&gt;0,AE129/Z129,0)</f>
        <v>0.0274709338250379</v>
      </c>
      <c r="AG129" s="16" t="n">
        <f aca="false">(U129-W129)*INDEX(Parametros!$H$2:$H$9,MATCH($E129,Parametros!$A$2:$A$9,0))+W129*INDEX(Parametros!$H$2:$H$9,MATCH($E129,Parametros!$A$2:$A$9,0))*Parametros!$N$3</f>
        <v>25132.275</v>
      </c>
      <c r="AH129" s="13" t="n">
        <v>10261</v>
      </c>
      <c r="AI129" s="16" t="n">
        <f aca="false">AH129*Parametros!$N$2</f>
        <v>944.012</v>
      </c>
      <c r="AJ129" s="18" t="n">
        <v>6571</v>
      </c>
      <c r="AK129" s="18" t="n">
        <v>3803</v>
      </c>
      <c r="AL129" s="17" t="n">
        <f aca="false">AG129+AI129+AJ129+AK129</f>
        <v>36450.287</v>
      </c>
      <c r="AM129" s="20" t="n">
        <f aca="false">IF(L129&gt;0,AL129/L129,0)</f>
        <v>0.17909752754002</v>
      </c>
      <c r="AN129" s="16" t="n">
        <f aca="false">L129*INDEX(Parametros!$G$2:$G$9,MATCH($E129,Parametros!$A$2:$A$9,0))</f>
        <v>254402.5</v>
      </c>
      <c r="AO129" s="17" t="n">
        <f aca="false">AN129-AC129-AL129</f>
        <v>79937.673</v>
      </c>
      <c r="AP129" s="15" t="n">
        <f aca="false">IF(AN129&gt;0,AO129/AN129,0)</f>
        <v>0.314217324908364</v>
      </c>
      <c r="AQ129" s="16" t="n">
        <f aca="false">INDEX(Parametros!$I$2:$I$9,MATCH($E129,Parametros!$A$2:$A$9,0))</f>
        <v>13300000</v>
      </c>
      <c r="AR129" s="19" t="n">
        <f aca="false">IF(AQ129&gt;0,AO129/AQ129,0)</f>
        <v>0.00601035135338346</v>
      </c>
    </row>
    <row r="130" customFormat="false" ht="15" hidden="false" customHeight="false" outlineLevel="0" collapsed="false">
      <c r="A130" s="5" t="s">
        <v>265</v>
      </c>
      <c r="B130" s="9" t="n">
        <v>45663</v>
      </c>
      <c r="C130" s="2" t="str">
        <f aca="false">TEXT(B130,"yyyy")</f>
        <v>2025</v>
      </c>
      <c r="D130" s="2" t="n">
        <f aca="false">WEEKNUM(B130,2)</f>
        <v>2</v>
      </c>
      <c r="E130" s="5" t="s">
        <v>130</v>
      </c>
      <c r="F130" s="6" t="str">
        <f aca="false">INDEX(Parametros!$B$2:$B$9,MATCH($E130,Parametros!$A$2:$A$9,0))</f>
        <v>Ketchup botella</v>
      </c>
      <c r="G130" s="10" t="n">
        <v>104.9</v>
      </c>
      <c r="H130" s="10" t="n">
        <v>7.5</v>
      </c>
      <c r="I130" s="11" t="n">
        <f aca="false">SUMIFS(Eventos_Paro!$J$2:$J$2186,Eventos_Paro!$D$2:$D$2186,$E130,Eventos_Paro!$B$2:$B$2186,$B130)</f>
        <v>4.71666666666667</v>
      </c>
      <c r="J130" s="12" t="n">
        <f aca="false">G130-H130-I130</f>
        <v>92.6833333333333</v>
      </c>
      <c r="K130" s="13" t="n">
        <v>673260</v>
      </c>
      <c r="L130" s="13" t="n">
        <v>745911</v>
      </c>
      <c r="M130" s="13" t="n">
        <v>12571</v>
      </c>
      <c r="N130" s="14" t="n">
        <f aca="false">L130+M130</f>
        <v>758482</v>
      </c>
      <c r="O130" s="11" t="n">
        <f aca="false">INDEX(Parametros!$D$2:$D$9,MATCH($E130,Parametros!$A$2:$A$9,0))</f>
        <v>9000</v>
      </c>
      <c r="P130" s="15" t="n">
        <f aca="false">IF((G130-H130)&gt;0,J130/(G130-H130),0)</f>
        <v>0.951574264202601</v>
      </c>
      <c r="Q130" s="15" t="n">
        <f aca="false">IF(J130*O130&gt;0,N130/(O130*J130),0)</f>
        <v>0.909287298447521</v>
      </c>
      <c r="R130" s="15" t="n">
        <f aca="false">IF(N130&gt;0,L130/N130,0)</f>
        <v>0.983426106354534</v>
      </c>
      <c r="S130" s="15" t="n">
        <f aca="false">P130*Q130*R130</f>
        <v>0.850913757700205</v>
      </c>
      <c r="T130" s="15" t="n">
        <f aca="false">IF(K130&gt;0,L130/K130,0)</f>
        <v>1.10790927724802</v>
      </c>
      <c r="U130" s="10" t="n">
        <v>1557.7</v>
      </c>
      <c r="V130" s="5" t="n">
        <v>14</v>
      </c>
      <c r="W130" s="10" t="n">
        <v>89.1</v>
      </c>
      <c r="X130" s="15" t="n">
        <f aca="false">IF(U130&gt;0,W130/U130,0)</f>
        <v>0.0571997175322591</v>
      </c>
      <c r="Y130" s="12" t="n">
        <f aca="false">IF(U130&gt;0,L130/U130,0)</f>
        <v>478.85407973294</v>
      </c>
      <c r="Z130" s="16" t="n">
        <f aca="false">L130*INDEX(Parametros!$E$2:$E$9,MATCH($E130,Parametros!$A$2:$A$9,0))</f>
        <v>313282.62</v>
      </c>
      <c r="AA130" s="16" t="n">
        <f aca="false">Z130*INDEX(Parametros!$F$2:$F$9,MATCH($E130,Parametros!$A$2:$A$9,0))</f>
        <v>6265.6524</v>
      </c>
      <c r="AB130" s="17" t="n">
        <f aca="false">Z130+AA130</f>
        <v>319548.2724</v>
      </c>
      <c r="AC130" s="18" t="n">
        <v>318228.9</v>
      </c>
      <c r="AD130" s="17" t="n">
        <f aca="false">AC130-AB130</f>
        <v>-1319.37239999999</v>
      </c>
      <c r="AE130" s="17" t="n">
        <f aca="false">AA130+AD130</f>
        <v>4946.28000000001</v>
      </c>
      <c r="AF130" s="19" t="n">
        <f aca="false">IF(Z130&gt;0,AE130/Z130,0)</f>
        <v>0.015788555394487</v>
      </c>
      <c r="AG130" s="16" t="n">
        <f aca="false">(U130-W130)*INDEX(Parametros!$H$2:$H$9,MATCH($E130,Parametros!$A$2:$A$9,0))+W130*INDEX(Parametros!$H$2:$H$9,MATCH($E130,Parametros!$A$2:$A$9,0))*Parametros!$N$3</f>
        <v>50470.875</v>
      </c>
      <c r="AH130" s="13" t="n">
        <v>36873</v>
      </c>
      <c r="AI130" s="16" t="n">
        <f aca="false">AH130*Parametros!$N$2</f>
        <v>3392.316</v>
      </c>
      <c r="AJ130" s="18" t="n">
        <v>12834</v>
      </c>
      <c r="AK130" s="18" t="n">
        <v>4909</v>
      </c>
      <c r="AL130" s="17" t="n">
        <f aca="false">AG130+AI130+AJ130+AK130</f>
        <v>71606.191</v>
      </c>
      <c r="AM130" s="20" t="n">
        <f aca="false">IF(L130&gt;0,AL130/L130,0)</f>
        <v>0.0959983040872168</v>
      </c>
      <c r="AN130" s="16" t="n">
        <f aca="false">L130*INDEX(Parametros!$G$2:$G$9,MATCH($E130,Parametros!$A$2:$A$9,0))</f>
        <v>529596.81</v>
      </c>
      <c r="AO130" s="17" t="n">
        <f aca="false">AN130-AC130-AL130</f>
        <v>139761.719</v>
      </c>
      <c r="AP130" s="15" t="n">
        <f aca="false">IF(AN130&gt;0,AO130/AN130,0)</f>
        <v>0.263902116404364</v>
      </c>
      <c r="AQ130" s="16" t="n">
        <f aca="false">INDEX(Parametros!$I$2:$I$9,MATCH($E130,Parametros!$A$2:$A$9,0))</f>
        <v>29300000</v>
      </c>
      <c r="AR130" s="19" t="n">
        <f aca="false">IF(AQ130&gt;0,AO130/AQ130,0)</f>
        <v>0.00477002453924914</v>
      </c>
    </row>
    <row r="131" customFormat="false" ht="15" hidden="false" customHeight="false" outlineLevel="0" collapsed="false">
      <c r="A131" s="5" t="s">
        <v>266</v>
      </c>
      <c r="B131" s="9" t="n">
        <v>45663</v>
      </c>
      <c r="C131" s="2" t="str">
        <f aca="false">TEXT(B131,"yyyy")</f>
        <v>2025</v>
      </c>
      <c r="D131" s="2" t="n">
        <f aca="false">WEEKNUM(B131,2)</f>
        <v>2</v>
      </c>
      <c r="E131" s="5" t="s">
        <v>132</v>
      </c>
      <c r="F131" s="6" t="str">
        <f aca="false">INDEX(Parametros!$B$2:$B$9,MATCH($E131,Parametros!$A$2:$A$9,0))</f>
        <v>Mayonesa frasco</v>
      </c>
      <c r="G131" s="10" t="n">
        <v>121</v>
      </c>
      <c r="H131" s="10" t="n">
        <v>6.5</v>
      </c>
      <c r="I131" s="11" t="n">
        <f aca="false">SUMIFS(Eventos_Paro!$J$2:$J$2186,Eventos_Paro!$D$2:$D$2186,$E131,Eventos_Paro!$B$2:$B$2186,$B131)</f>
        <v>1.73333333333333</v>
      </c>
      <c r="J131" s="12" t="n">
        <f aca="false">G131-H131-I131</f>
        <v>112.766666666667</v>
      </c>
      <c r="K131" s="13" t="n">
        <v>571611</v>
      </c>
      <c r="L131" s="13" t="n">
        <v>611537</v>
      </c>
      <c r="M131" s="13" t="n">
        <v>15222</v>
      </c>
      <c r="N131" s="14" t="n">
        <f aca="false">L131+M131</f>
        <v>626759</v>
      </c>
      <c r="O131" s="11" t="n">
        <f aca="false">INDEX(Parametros!$D$2:$D$9,MATCH($E131,Parametros!$A$2:$A$9,0))</f>
        <v>6500</v>
      </c>
      <c r="P131" s="15" t="n">
        <f aca="false">IF((G131-H131)&gt;0,J131/(G131-H131),0)</f>
        <v>0.984861717612809</v>
      </c>
      <c r="Q131" s="15" t="n">
        <f aca="false">IF(J131*O131&gt;0,N131/(O131*J131),0)</f>
        <v>0.855079469746925</v>
      </c>
      <c r="R131" s="15" t="n">
        <f aca="false">IF(N131&gt;0,L131/N131,0)</f>
        <v>0.975713152902471</v>
      </c>
      <c r="S131" s="15" t="n">
        <f aca="false">P131*Q131*R131</f>
        <v>0.821682230433322</v>
      </c>
      <c r="T131" s="15" t="n">
        <f aca="false">IF(K131&gt;0,L131/K131,0)</f>
        <v>1.06984820096184</v>
      </c>
      <c r="U131" s="10" t="n">
        <v>1506.2</v>
      </c>
      <c r="V131" s="5" t="n">
        <v>12</v>
      </c>
      <c r="W131" s="10" t="n">
        <v>54.2</v>
      </c>
      <c r="X131" s="15" t="n">
        <f aca="false">IF(U131&gt;0,W131/U131,0)</f>
        <v>0.0359845969990705</v>
      </c>
      <c r="Y131" s="12" t="n">
        <f aca="false">IF(U131&gt;0,L131/U131,0)</f>
        <v>406.013145664586</v>
      </c>
      <c r="Z131" s="16" t="n">
        <f aca="false">L131*INDEX(Parametros!$E$2:$E$9,MATCH($E131,Parametros!$A$2:$A$9,0))</f>
        <v>373037.57</v>
      </c>
      <c r="AA131" s="16" t="n">
        <f aca="false">Z131*INDEX(Parametros!$F$2:$F$9,MATCH($E131,Parametros!$A$2:$A$9,0))</f>
        <v>9325.93925</v>
      </c>
      <c r="AB131" s="17" t="n">
        <f aca="false">Z131+AA131</f>
        <v>382363.50925</v>
      </c>
      <c r="AC131" s="18" t="n">
        <v>382261.08</v>
      </c>
      <c r="AD131" s="17" t="n">
        <f aca="false">AC131-AB131</f>
        <v>-102.429249999987</v>
      </c>
      <c r="AE131" s="17" t="n">
        <f aca="false">AA131+AD131</f>
        <v>9223.51000000002</v>
      </c>
      <c r="AF131" s="19" t="n">
        <f aca="false">IF(Z131&gt;0,AE131/Z131,0)</f>
        <v>0.0247254184075883</v>
      </c>
      <c r="AG131" s="16" t="n">
        <f aca="false">(U131-W131)*INDEX(Parametros!$H$2:$H$9,MATCH($E131,Parametros!$A$2:$A$9,0))+W131*INDEX(Parametros!$H$2:$H$9,MATCH($E131,Parametros!$A$2:$A$9,0))*Parametros!$N$3</f>
        <v>48298.95</v>
      </c>
      <c r="AH131" s="13" t="n">
        <v>31644</v>
      </c>
      <c r="AI131" s="16" t="n">
        <f aca="false">AH131*Parametros!$N$2</f>
        <v>2911.248</v>
      </c>
      <c r="AJ131" s="18" t="n">
        <v>13558</v>
      </c>
      <c r="AK131" s="18" t="n">
        <v>1386</v>
      </c>
      <c r="AL131" s="17" t="n">
        <f aca="false">AG131+AI131+AJ131+AK131</f>
        <v>66154.198</v>
      </c>
      <c r="AM131" s="20" t="n">
        <f aca="false">IF(L131&gt;0,AL131/L131,0)</f>
        <v>0.108176934510913</v>
      </c>
      <c r="AN131" s="16" t="n">
        <f aca="false">L131*INDEX(Parametros!$G$2:$G$9,MATCH($E131,Parametros!$A$2:$A$9,0))</f>
        <v>587075.52</v>
      </c>
      <c r="AO131" s="17" t="n">
        <f aca="false">AN131-AC131-AL131</f>
        <v>138660.242</v>
      </c>
      <c r="AP131" s="15" t="n">
        <f aca="false">IF(AN131&gt;0,AO131/AN131,0)</f>
        <v>0.236188083604644</v>
      </c>
      <c r="AQ131" s="16" t="n">
        <f aca="false">INDEX(Parametros!$I$2:$I$9,MATCH($E131,Parametros!$A$2:$A$9,0))</f>
        <v>29700000</v>
      </c>
      <c r="AR131" s="19" t="n">
        <f aca="false">IF(AQ131&gt;0,AO131/AQ131,0)</f>
        <v>0.00466869501683502</v>
      </c>
    </row>
    <row r="132" customFormat="false" ht="15" hidden="false" customHeight="false" outlineLevel="0" collapsed="false">
      <c r="A132" s="5" t="s">
        <v>267</v>
      </c>
      <c r="B132" s="9" t="n">
        <v>45663</v>
      </c>
      <c r="C132" s="2" t="str">
        <f aca="false">TEXT(B132,"yyyy")</f>
        <v>2025</v>
      </c>
      <c r="D132" s="2" t="n">
        <f aca="false">WEEKNUM(B132,2)</f>
        <v>2</v>
      </c>
      <c r="E132" s="5" t="s">
        <v>134</v>
      </c>
      <c r="F132" s="6" t="str">
        <f aca="false">INDEX(Parametros!$B$2:$B$9,MATCH($E132,Parametros!$A$2:$A$9,0))</f>
        <v>Aderezos vertibles</v>
      </c>
      <c r="G132" s="10" t="n">
        <v>107.4</v>
      </c>
      <c r="H132" s="10" t="n">
        <v>6.7</v>
      </c>
      <c r="I132" s="11" t="n">
        <f aca="false">SUMIFS(Eventos_Paro!$J$2:$J$2186,Eventos_Paro!$D$2:$D$2186,$E132,Eventos_Paro!$B$2:$B$2186,$B132)</f>
        <v>4.25</v>
      </c>
      <c r="J132" s="12" t="n">
        <f aca="false">G132-H132-I132</f>
        <v>96.45</v>
      </c>
      <c r="K132" s="13" t="n">
        <v>402174</v>
      </c>
      <c r="L132" s="13" t="n">
        <v>435292</v>
      </c>
      <c r="M132" s="13" t="n">
        <v>13177</v>
      </c>
      <c r="N132" s="14" t="n">
        <f aca="false">L132+M132</f>
        <v>448469</v>
      </c>
      <c r="O132" s="11" t="n">
        <f aca="false">INDEX(Parametros!$D$2:$D$9,MATCH($E132,Parametros!$A$2:$A$9,0))</f>
        <v>5200</v>
      </c>
      <c r="P132" s="15" t="n">
        <f aca="false">IF((G132-H132)&gt;0,J132/(G132-H132),0)</f>
        <v>0.957795431976167</v>
      </c>
      <c r="Q132" s="15" t="n">
        <f aca="false">IF(J132*O132&gt;0,N132/(O132*J132),0)</f>
        <v>0.894183913546278</v>
      </c>
      <c r="R132" s="15" t="n">
        <f aca="false">IF(N132&gt;0,L132/N132,0)</f>
        <v>0.970617813048394</v>
      </c>
      <c r="S132" s="15" t="n">
        <f aca="false">P132*Q132*R132</f>
        <v>0.831281032770606</v>
      </c>
      <c r="T132" s="15" t="n">
        <f aca="false">IF(K132&gt;0,L132/K132,0)</f>
        <v>1.08234744165461</v>
      </c>
      <c r="U132" s="10" t="n">
        <v>1386</v>
      </c>
      <c r="V132" s="5" t="n">
        <v>12</v>
      </c>
      <c r="W132" s="10" t="n">
        <v>97.2</v>
      </c>
      <c r="X132" s="15" t="n">
        <f aca="false">IF(U132&gt;0,W132/U132,0)</f>
        <v>0.0701298701298701</v>
      </c>
      <c r="Y132" s="12" t="n">
        <f aca="false">IF(U132&gt;0,L132/U132,0)</f>
        <v>314.063492063492</v>
      </c>
      <c r="Z132" s="16" t="n">
        <f aca="false">L132*INDEX(Parametros!$E$2:$E$9,MATCH($E132,Parametros!$A$2:$A$9,0))</f>
        <v>239410.6</v>
      </c>
      <c r="AA132" s="16" t="n">
        <f aca="false">Z132*INDEX(Parametros!$F$2:$F$9,MATCH($E132,Parametros!$A$2:$A$9,0))</f>
        <v>7182.318</v>
      </c>
      <c r="AB132" s="17" t="n">
        <f aca="false">Z132+AA132</f>
        <v>246592.918</v>
      </c>
      <c r="AC132" s="18" t="n">
        <v>246002.1</v>
      </c>
      <c r="AD132" s="17" t="n">
        <f aca="false">AC132-AB132</f>
        <v>-590.817999999999</v>
      </c>
      <c r="AE132" s="17" t="n">
        <f aca="false">AA132+AD132</f>
        <v>6591.5</v>
      </c>
      <c r="AF132" s="19" t="n">
        <f aca="false">IF(Z132&gt;0,AE132/Z132,0)</f>
        <v>0.0275321978224857</v>
      </c>
      <c r="AG132" s="16" t="n">
        <f aca="false">(U132-W132)*INDEX(Parametros!$H$2:$H$9,MATCH($E132,Parametros!$A$2:$A$9,0))+W132*INDEX(Parametros!$H$2:$H$9,MATCH($E132,Parametros!$A$2:$A$9,0))*Parametros!$N$3</f>
        <v>45189.9</v>
      </c>
      <c r="AH132" s="13" t="n">
        <v>22682</v>
      </c>
      <c r="AI132" s="16" t="n">
        <f aca="false">AH132*Parametros!$N$2</f>
        <v>2086.744</v>
      </c>
      <c r="AJ132" s="18" t="n">
        <v>10449</v>
      </c>
      <c r="AK132" s="18" t="n">
        <v>2662</v>
      </c>
      <c r="AL132" s="17" t="n">
        <f aca="false">AG132+AI132+AJ132+AK132</f>
        <v>60387.644</v>
      </c>
      <c r="AM132" s="20" t="n">
        <f aca="false">IF(L132&gt;0,AL132/L132,0)</f>
        <v>0.138729046249414</v>
      </c>
      <c r="AN132" s="16" t="n">
        <f aca="false">L132*INDEX(Parametros!$G$2:$G$9,MATCH($E132,Parametros!$A$2:$A$9,0))</f>
        <v>443997.84</v>
      </c>
      <c r="AO132" s="17" t="n">
        <f aca="false">AN132-AC132-AL132</f>
        <v>137608.096</v>
      </c>
      <c r="AP132" s="15" t="n">
        <f aca="false">IF(AN132&gt;0,AO132/AN132,0)</f>
        <v>0.309929651910018</v>
      </c>
      <c r="AQ132" s="16" t="n">
        <f aca="false">INDEX(Parametros!$I$2:$I$9,MATCH($E132,Parametros!$A$2:$A$9,0))</f>
        <v>19300000</v>
      </c>
      <c r="AR132" s="19" t="n">
        <f aca="false">IF(AQ132&gt;0,AO132/AQ132,0)</f>
        <v>0.00712995316062176</v>
      </c>
    </row>
    <row r="133" customFormat="false" ht="15" hidden="false" customHeight="false" outlineLevel="0" collapsed="false">
      <c r="A133" s="5" t="s">
        <v>268</v>
      </c>
      <c r="B133" s="9" t="n">
        <v>45663</v>
      </c>
      <c r="C133" s="2" t="str">
        <f aca="false">TEXT(B133,"yyyy")</f>
        <v>2025</v>
      </c>
      <c r="D133" s="2" t="n">
        <f aca="false">WEEKNUM(B133,2)</f>
        <v>2</v>
      </c>
      <c r="E133" s="5" t="s">
        <v>136</v>
      </c>
      <c r="F133" s="6" t="str">
        <f aca="false">INDEX(Parametros!$B$2:$B$9,MATCH($E133,Parametros!$A$2:$A$9,0))</f>
        <v>Salsa BBQ</v>
      </c>
      <c r="G133" s="10" t="n">
        <v>82.4</v>
      </c>
      <c r="H133" s="10" t="n">
        <v>7.9</v>
      </c>
      <c r="I133" s="11" t="n">
        <f aca="false">SUMIFS(Eventos_Paro!$J$2:$J$2186,Eventos_Paro!$D$2:$D$2186,$E133,Eventos_Paro!$B$2:$B$2186,$B133)</f>
        <v>2.68333333333333</v>
      </c>
      <c r="J133" s="12" t="n">
        <f aca="false">G133-H133-I133</f>
        <v>71.8166666666667</v>
      </c>
      <c r="K133" s="13" t="n">
        <v>234643</v>
      </c>
      <c r="L133" s="13" t="n">
        <v>286401</v>
      </c>
      <c r="M133" s="13" t="n">
        <v>7213</v>
      </c>
      <c r="N133" s="14" t="n">
        <f aca="false">L133+M133</f>
        <v>293614</v>
      </c>
      <c r="O133" s="11" t="n">
        <f aca="false">INDEX(Parametros!$D$2:$D$9,MATCH($E133,Parametros!$A$2:$A$9,0))</f>
        <v>4800</v>
      </c>
      <c r="P133" s="15" t="n">
        <f aca="false">IF((G133-H133)&gt;0,J133/(G133-H133),0)</f>
        <v>0.963982102908277</v>
      </c>
      <c r="Q133" s="15" t="n">
        <f aca="false">IF(J133*O133&gt;0,N133/(O133*J133),0)</f>
        <v>0.851746344859596</v>
      </c>
      <c r="R133" s="15" t="n">
        <f aca="false">IF(N133&gt;0,L133/N133,0)</f>
        <v>0.975433732723916</v>
      </c>
      <c r="S133" s="15" t="n">
        <f aca="false">P133*Q133*R133</f>
        <v>0.800897651006711</v>
      </c>
      <c r="T133" s="15" t="n">
        <f aca="false">IF(K133&gt;0,L133/K133,0)</f>
        <v>1.22058190527738</v>
      </c>
      <c r="U133" s="10" t="n">
        <v>953</v>
      </c>
      <c r="V133" s="5" t="n">
        <v>11</v>
      </c>
      <c r="W133" s="10" t="n">
        <v>46.6</v>
      </c>
      <c r="X133" s="15" t="n">
        <f aca="false">IF(U133&gt;0,W133/U133,0)</f>
        <v>0.0488982161594963</v>
      </c>
      <c r="Y133" s="12" t="n">
        <f aca="false">IF(U133&gt;0,L133/U133,0)</f>
        <v>300.525708289612</v>
      </c>
      <c r="Z133" s="16" t="n">
        <f aca="false">L133*INDEX(Parametros!$E$2:$E$9,MATCH($E133,Parametros!$A$2:$A$9,0))</f>
        <v>166112.58</v>
      </c>
      <c r="AA133" s="16" t="n">
        <f aca="false">Z133*INDEX(Parametros!$F$2:$F$9,MATCH($E133,Parametros!$A$2:$A$9,0))</f>
        <v>4651.15224</v>
      </c>
      <c r="AB133" s="17" t="n">
        <f aca="false">Z133+AA133</f>
        <v>170763.73224</v>
      </c>
      <c r="AC133" s="18" t="n">
        <v>173692.51</v>
      </c>
      <c r="AD133" s="17" t="n">
        <f aca="false">AC133-AB133</f>
        <v>2928.77776000003</v>
      </c>
      <c r="AE133" s="17" t="n">
        <f aca="false">AA133+AD133</f>
        <v>7579.93000000003</v>
      </c>
      <c r="AF133" s="19" t="n">
        <f aca="false">IF(Z133&gt;0,AE133/Z133,0)</f>
        <v>0.0456312821100005</v>
      </c>
      <c r="AG133" s="16" t="n">
        <f aca="false">(U133-W133)*INDEX(Parametros!$H$2:$H$9,MATCH($E133,Parametros!$A$2:$A$9,0))+W133*INDEX(Parametros!$H$2:$H$9,MATCH($E133,Parametros!$A$2:$A$9,0))*Parametros!$N$3</f>
        <v>30753.45</v>
      </c>
      <c r="AH133" s="13" t="n">
        <v>15947</v>
      </c>
      <c r="AI133" s="16" t="n">
        <f aca="false">AH133*Parametros!$N$2</f>
        <v>1467.124</v>
      </c>
      <c r="AJ133" s="18" t="n">
        <v>8242</v>
      </c>
      <c r="AK133" s="18" t="n">
        <v>1483</v>
      </c>
      <c r="AL133" s="17" t="n">
        <f aca="false">AG133+AI133+AJ133+AK133</f>
        <v>41945.574</v>
      </c>
      <c r="AM133" s="20" t="n">
        <f aca="false">IF(L133&gt;0,AL133/L133,0)</f>
        <v>0.146457498402589</v>
      </c>
      <c r="AN133" s="16" t="n">
        <f aca="false">L133*INDEX(Parametros!$G$2:$G$9,MATCH($E133,Parametros!$A$2:$A$9,0))</f>
        <v>280672.98</v>
      </c>
      <c r="AO133" s="17" t="n">
        <f aca="false">AN133-AC133-AL133</f>
        <v>65034.896</v>
      </c>
      <c r="AP133" s="15" t="n">
        <f aca="false">IF(AN133&gt;0,AO133/AN133,0)</f>
        <v>0.231710569360827</v>
      </c>
      <c r="AQ133" s="16" t="n">
        <f aca="false">INDEX(Parametros!$I$2:$I$9,MATCH($E133,Parametros!$A$2:$A$9,0))</f>
        <v>17000000</v>
      </c>
      <c r="AR133" s="19" t="n">
        <f aca="false">IF(AQ133&gt;0,AO133/AQ133,0)</f>
        <v>0.00382558211764706</v>
      </c>
    </row>
    <row r="134" customFormat="false" ht="15" hidden="false" customHeight="false" outlineLevel="0" collapsed="false">
      <c r="A134" s="5" t="s">
        <v>269</v>
      </c>
      <c r="B134" s="9" t="n">
        <v>45663</v>
      </c>
      <c r="C134" s="2" t="str">
        <f aca="false">TEXT(B134,"yyyy")</f>
        <v>2025</v>
      </c>
      <c r="D134" s="2" t="n">
        <f aca="false">WEEKNUM(B134,2)</f>
        <v>2</v>
      </c>
      <c r="E134" s="5" t="s">
        <v>138</v>
      </c>
      <c r="F134" s="6" t="str">
        <f aca="false">INDEX(Parametros!$B$2:$B$9,MATCH($E134,Parametros!$A$2:$A$9,0))</f>
        <v>Queso crema</v>
      </c>
      <c r="G134" s="10" t="n">
        <v>109.2</v>
      </c>
      <c r="H134" s="10" t="n">
        <v>5.2</v>
      </c>
      <c r="I134" s="11" t="n">
        <f aca="false">SUMIFS(Eventos_Paro!$J$2:$J$2186,Eventos_Paro!$D$2:$D$2186,$E134,Eventos_Paro!$B$2:$B$2186,$B134)</f>
        <v>3.85</v>
      </c>
      <c r="J134" s="12" t="n">
        <f aca="false">G134-H134-I134</f>
        <v>100.15</v>
      </c>
      <c r="K134" s="13" t="n">
        <v>303528</v>
      </c>
      <c r="L134" s="13" t="n">
        <v>275229</v>
      </c>
      <c r="M134" s="13" t="n">
        <v>12400</v>
      </c>
      <c r="N134" s="14" t="n">
        <f aca="false">L134+M134</f>
        <v>287629</v>
      </c>
      <c r="O134" s="11" t="n">
        <f aca="false">INDEX(Parametros!$D$2:$D$9,MATCH($E134,Parametros!$A$2:$A$9,0))</f>
        <v>3800</v>
      </c>
      <c r="P134" s="15" t="n">
        <f aca="false">IF((G134-H134)&gt;0,J134/(G134-H134),0)</f>
        <v>0.962980769230769</v>
      </c>
      <c r="Q134" s="15" t="n">
        <f aca="false">IF(J134*O134&gt;0,N134/(O134*J134),0)</f>
        <v>0.755784743936727</v>
      </c>
      <c r="R134" s="15" t="n">
        <f aca="false">IF(N134&gt;0,L134/N134,0)</f>
        <v>0.956888908976494</v>
      </c>
      <c r="S134" s="15" t="n">
        <f aca="false">P134*Q134*R134</f>
        <v>0.696429655870445</v>
      </c>
      <c r="T134" s="15" t="n">
        <f aca="false">IF(K134&gt;0,L134/K134,0)</f>
        <v>0.90676642682059</v>
      </c>
      <c r="U134" s="10" t="n">
        <v>1879.5</v>
      </c>
      <c r="V134" s="5" t="n">
        <v>17</v>
      </c>
      <c r="W134" s="10" t="n">
        <v>23.1</v>
      </c>
      <c r="X134" s="15" t="n">
        <f aca="false">IF(U134&gt;0,W134/U134,0)</f>
        <v>0.0122905027932961</v>
      </c>
      <c r="Y134" s="12" t="n">
        <f aca="false">IF(U134&gt;0,L134/U134,0)</f>
        <v>146.437350359138</v>
      </c>
      <c r="Z134" s="16" t="n">
        <f aca="false">L134*INDEX(Parametros!$E$2:$E$9,MATCH($E134,Parametros!$A$2:$A$9,0))</f>
        <v>308256.48</v>
      </c>
      <c r="AA134" s="16" t="n">
        <f aca="false">Z134*INDEX(Parametros!$F$2:$F$9,MATCH($E134,Parametros!$A$2:$A$9,0))</f>
        <v>10788.9768</v>
      </c>
      <c r="AB134" s="17" t="n">
        <f aca="false">Z134+AA134</f>
        <v>319045.4568</v>
      </c>
      <c r="AC134" s="18" t="n">
        <v>314240.75</v>
      </c>
      <c r="AD134" s="17" t="n">
        <f aca="false">AC134-AB134</f>
        <v>-4804.70680000004</v>
      </c>
      <c r="AE134" s="17" t="n">
        <f aca="false">AA134+AD134</f>
        <v>5984.26999999996</v>
      </c>
      <c r="AF134" s="19" t="n">
        <f aca="false">IF(Z134&gt;0,AE134/Z134,0)</f>
        <v>0.0194132820825047</v>
      </c>
      <c r="AG134" s="16" t="n">
        <f aca="false">(U134-W134)*INDEX(Parametros!$H$2:$H$9,MATCH($E134,Parametros!$A$2:$A$9,0))+W134*INDEX(Parametros!$H$2:$H$9,MATCH($E134,Parametros!$A$2:$A$9,0))*Parametros!$N$3</f>
        <v>62404.65</v>
      </c>
      <c r="AH134" s="13" t="n">
        <v>14811</v>
      </c>
      <c r="AI134" s="16" t="n">
        <f aca="false">AH134*Parametros!$N$2</f>
        <v>1362.612</v>
      </c>
      <c r="AJ134" s="18" t="n">
        <v>20346</v>
      </c>
      <c r="AK134" s="18" t="n">
        <v>4615</v>
      </c>
      <c r="AL134" s="17" t="n">
        <f aca="false">AG134+AI134+AJ134+AK134</f>
        <v>88728.262</v>
      </c>
      <c r="AM134" s="20" t="n">
        <f aca="false">IF(L134&gt;0,AL134/L134,0)</f>
        <v>0.322379771027036</v>
      </c>
      <c r="AN134" s="16" t="n">
        <f aca="false">L134*INDEX(Parametros!$G$2:$G$9,MATCH($E134,Parametros!$A$2:$A$9,0))</f>
        <v>492659.91</v>
      </c>
      <c r="AO134" s="17" t="n">
        <f aca="false">AN134-AC134-AL134</f>
        <v>89690.898</v>
      </c>
      <c r="AP134" s="15" t="n">
        <f aca="false">IF(AN134&gt;0,AO134/AN134,0)</f>
        <v>0.182054387173497</v>
      </c>
      <c r="AQ134" s="16" t="n">
        <f aca="false">INDEX(Parametros!$I$2:$I$9,MATCH($E134,Parametros!$A$2:$A$9,0))</f>
        <v>33200000</v>
      </c>
      <c r="AR134" s="19" t="n">
        <f aca="false">IF(AQ134&gt;0,AO134/AQ134,0)</f>
        <v>0.00270153307228916</v>
      </c>
    </row>
    <row r="135" customFormat="false" ht="15" hidden="false" customHeight="false" outlineLevel="0" collapsed="false">
      <c r="A135" s="5" t="s">
        <v>270</v>
      </c>
      <c r="B135" s="9" t="n">
        <v>45663</v>
      </c>
      <c r="C135" s="2" t="str">
        <f aca="false">TEXT(B135,"yyyy")</f>
        <v>2025</v>
      </c>
      <c r="D135" s="2" t="n">
        <f aca="false">WEEKNUM(B135,2)</f>
        <v>2</v>
      </c>
      <c r="E135" s="5" t="s">
        <v>140</v>
      </c>
      <c r="F135" s="6" t="str">
        <f aca="false">INDEX(Parametros!$B$2:$B$9,MATCH($E135,Parametros!$A$2:$A$9,0))</f>
        <v>Crema de cacahuate</v>
      </c>
      <c r="G135" s="10" t="n">
        <v>102.9</v>
      </c>
      <c r="H135" s="10" t="n">
        <v>6.5</v>
      </c>
      <c r="I135" s="11" t="n">
        <f aca="false">SUMIFS(Eventos_Paro!$J$2:$J$2186,Eventos_Paro!$D$2:$D$2186,$E135,Eventos_Paro!$B$2:$B$2186,$B135)</f>
        <v>2</v>
      </c>
      <c r="J135" s="12" t="n">
        <f aca="false">G135-H135-I135</f>
        <v>94.4</v>
      </c>
      <c r="K135" s="13" t="n">
        <v>310962</v>
      </c>
      <c r="L135" s="13" t="n">
        <v>328955</v>
      </c>
      <c r="M135" s="13" t="n">
        <v>9348</v>
      </c>
      <c r="N135" s="14" t="n">
        <f aca="false">L135+M135</f>
        <v>338303</v>
      </c>
      <c r="O135" s="11" t="n">
        <f aca="false">INDEX(Parametros!$D$2:$D$9,MATCH($E135,Parametros!$A$2:$A$9,0))</f>
        <v>4200</v>
      </c>
      <c r="P135" s="15" t="n">
        <f aca="false">IF((G135-H135)&gt;0,J135/(G135-H135),0)</f>
        <v>0.979253112033195</v>
      </c>
      <c r="Q135" s="15" t="n">
        <f aca="false">IF(J135*O135&gt;0,N135/(O135*J135),0)</f>
        <v>0.853266242937853</v>
      </c>
      <c r="R135" s="15" t="n">
        <f aca="false">IF(N135&gt;0,L135/N135,0)</f>
        <v>0.972367965994981</v>
      </c>
      <c r="S135" s="15" t="n">
        <f aca="false">P135*Q135*R135</f>
        <v>0.812475301323849</v>
      </c>
      <c r="T135" s="15" t="n">
        <f aca="false">IF(K135&gt;0,L135/K135,0)</f>
        <v>1.0578623754671</v>
      </c>
      <c r="U135" s="10" t="n">
        <v>1242.1</v>
      </c>
      <c r="V135" s="5" t="n">
        <v>11</v>
      </c>
      <c r="W135" s="10" t="n">
        <v>110.2</v>
      </c>
      <c r="X135" s="15" t="n">
        <f aca="false">IF(U135&gt;0,W135/U135,0)</f>
        <v>0.0887207149182836</v>
      </c>
      <c r="Y135" s="12" t="n">
        <f aca="false">IF(U135&gt;0,L135/U135,0)</f>
        <v>264.837774736334</v>
      </c>
      <c r="Z135" s="16" t="n">
        <f aca="false">L135*INDEX(Parametros!$E$2:$E$9,MATCH($E135,Parametros!$A$2:$A$9,0))</f>
        <v>319086.35</v>
      </c>
      <c r="AA135" s="16" t="n">
        <f aca="false">Z135*INDEX(Parametros!$F$2:$F$9,MATCH($E135,Parametros!$A$2:$A$9,0))</f>
        <v>7019.8997</v>
      </c>
      <c r="AB135" s="17" t="n">
        <f aca="false">Z135+AA135</f>
        <v>326106.2497</v>
      </c>
      <c r="AC135" s="18" t="n">
        <v>325259.17</v>
      </c>
      <c r="AD135" s="17" t="n">
        <f aca="false">AC135-AB135</f>
        <v>-847.079700000002</v>
      </c>
      <c r="AE135" s="17" t="n">
        <f aca="false">AA135+AD135</f>
        <v>6172.82</v>
      </c>
      <c r="AF135" s="19" t="n">
        <f aca="false">IF(Z135&gt;0,AE135/Z135,0)</f>
        <v>0.019345296343764</v>
      </c>
      <c r="AG135" s="16" t="n">
        <f aca="false">(U135-W135)*INDEX(Parametros!$H$2:$H$9,MATCH($E135,Parametros!$A$2:$A$9,0))+W135*INDEX(Parametros!$H$2:$H$9,MATCH($E135,Parametros!$A$2:$A$9,0))*Parametros!$N$3</f>
        <v>40861.8</v>
      </c>
      <c r="AH135" s="13" t="n">
        <v>16993</v>
      </c>
      <c r="AI135" s="16" t="n">
        <f aca="false">AH135*Parametros!$N$2</f>
        <v>1563.356</v>
      </c>
      <c r="AJ135" s="18" t="n">
        <v>10459</v>
      </c>
      <c r="AK135" s="18" t="n">
        <v>1714</v>
      </c>
      <c r="AL135" s="17" t="n">
        <f aca="false">AG135+AI135+AJ135+AK135</f>
        <v>54598.156</v>
      </c>
      <c r="AM135" s="20" t="n">
        <f aca="false">IF(L135&gt;0,AL135/L135,0)</f>
        <v>0.165974543630588</v>
      </c>
      <c r="AN135" s="16" t="n">
        <f aca="false">L135*INDEX(Parametros!$G$2:$G$9,MATCH($E135,Parametros!$A$2:$A$9,0))</f>
        <v>532907.1</v>
      </c>
      <c r="AO135" s="17" t="n">
        <f aca="false">AN135-AC135-AL135</f>
        <v>153049.774</v>
      </c>
      <c r="AP135" s="15" t="n">
        <f aca="false">IF(AN135&gt;0,AO135/AN135,0)</f>
        <v>0.287197851182692</v>
      </c>
      <c r="AQ135" s="16" t="n">
        <f aca="false">INDEX(Parametros!$I$2:$I$9,MATCH($E135,Parametros!$A$2:$A$9,0))</f>
        <v>28000000</v>
      </c>
      <c r="AR135" s="19" t="n">
        <f aca="false">IF(AQ135&gt;0,AO135/AQ135,0)</f>
        <v>0.00546606335714286</v>
      </c>
    </row>
    <row r="136" customFormat="false" ht="15" hidden="false" customHeight="false" outlineLevel="0" collapsed="false">
      <c r="A136" s="5" t="s">
        <v>271</v>
      </c>
      <c r="B136" s="9" t="n">
        <v>45663</v>
      </c>
      <c r="C136" s="2" t="str">
        <f aca="false">TEXT(B136,"yyyy")</f>
        <v>2025</v>
      </c>
      <c r="D136" s="2" t="n">
        <f aca="false">WEEKNUM(B136,2)</f>
        <v>2</v>
      </c>
      <c r="E136" s="5" t="s">
        <v>142</v>
      </c>
      <c r="F136" s="6" t="str">
        <f aca="false">INDEX(Parametros!$B$2:$B$9,MATCH($E136,Parametros!$A$2:$A$9,0))</f>
        <v>Porciones single serve</v>
      </c>
      <c r="G136" s="10" t="n">
        <v>109.3</v>
      </c>
      <c r="H136" s="10" t="n">
        <v>8.6</v>
      </c>
      <c r="I136" s="11" t="n">
        <f aca="false">SUMIFS(Eventos_Paro!$J$2:$J$2186,Eventos_Paro!$D$2:$D$2186,$E136,Eventos_Paro!$B$2:$B$2186,$B136)</f>
        <v>1.36666666666667</v>
      </c>
      <c r="J136" s="12" t="n">
        <f aca="false">G136-H136-I136</f>
        <v>99.3333333333333</v>
      </c>
      <c r="K136" s="13" t="n">
        <v>201087</v>
      </c>
      <c r="L136" s="13" t="n">
        <v>205252</v>
      </c>
      <c r="M136" s="13" t="n">
        <v>8928</v>
      </c>
      <c r="N136" s="14" t="n">
        <f aca="false">L136+M136</f>
        <v>214180</v>
      </c>
      <c r="O136" s="11" t="n">
        <f aca="false">INDEX(Parametros!$D$2:$D$9,MATCH($E136,Parametros!$A$2:$A$9,0))</f>
        <v>2600</v>
      </c>
      <c r="P136" s="15" t="n">
        <f aca="false">IF((G136-H136)&gt;0,J136/(G136-H136),0)</f>
        <v>0.986428334988415</v>
      </c>
      <c r="Q136" s="15" t="n">
        <f aca="false">IF(J136*O136&gt;0,N136/(O136*J136),0)</f>
        <v>0.829297883324729</v>
      </c>
      <c r="R136" s="15" t="n">
        <f aca="false">IF(N136&gt;0,L136/N136,0)</f>
        <v>0.958315435614903</v>
      </c>
      <c r="S136" s="15" t="n">
        <f aca="false">P136*Q136*R136</f>
        <v>0.78394316706134</v>
      </c>
      <c r="T136" s="15" t="n">
        <f aca="false">IF(K136&gt;0,L136/K136,0)</f>
        <v>1.02071242795407</v>
      </c>
      <c r="U136" s="10" t="n">
        <v>1826.4</v>
      </c>
      <c r="V136" s="5" t="n">
        <v>16</v>
      </c>
      <c r="W136" s="10" t="n">
        <v>77.6</v>
      </c>
      <c r="X136" s="15" t="n">
        <f aca="false">IF(U136&gt;0,W136/U136,0)</f>
        <v>0.0424879544459045</v>
      </c>
      <c r="Y136" s="12" t="n">
        <f aca="false">IF(U136&gt;0,L136/U136,0)</f>
        <v>112.380639509417</v>
      </c>
      <c r="Z136" s="16" t="n">
        <f aca="false">L136*INDEX(Parametros!$E$2:$E$9,MATCH($E136,Parametros!$A$2:$A$9,0))</f>
        <v>151886.48</v>
      </c>
      <c r="AA136" s="16" t="n">
        <f aca="false">Z136*INDEX(Parametros!$F$2:$F$9,MATCH($E136,Parametros!$A$2:$A$9,0))</f>
        <v>6834.8916</v>
      </c>
      <c r="AB136" s="17" t="n">
        <f aca="false">Z136+AA136</f>
        <v>158721.3716</v>
      </c>
      <c r="AC136" s="18" t="n">
        <v>158549.41</v>
      </c>
      <c r="AD136" s="17" t="n">
        <f aca="false">AC136-AB136</f>
        <v>-171.96160000001</v>
      </c>
      <c r="AE136" s="17" t="n">
        <f aca="false">AA136+AD136</f>
        <v>6662.92999999999</v>
      </c>
      <c r="AF136" s="19" t="n">
        <f aca="false">IF(Z136&gt;0,AE136/Z136,0)</f>
        <v>0.043867828130588</v>
      </c>
      <c r="AG136" s="16" t="n">
        <f aca="false">(U136-W136)*INDEX(Parametros!$H$2:$H$9,MATCH($E136,Parametros!$A$2:$A$9,0))+W136*INDEX(Parametros!$H$2:$H$9,MATCH($E136,Parametros!$A$2:$A$9,0))*Parametros!$N$3</f>
        <v>55956</v>
      </c>
      <c r="AH136" s="13" t="n">
        <v>10608</v>
      </c>
      <c r="AI136" s="16" t="n">
        <f aca="false">AH136*Parametros!$N$2</f>
        <v>975.936</v>
      </c>
      <c r="AJ136" s="18" t="n">
        <v>11237</v>
      </c>
      <c r="AK136" s="18" t="n">
        <v>1456</v>
      </c>
      <c r="AL136" s="17" t="n">
        <f aca="false">AG136+AI136+AJ136+AK136</f>
        <v>69624.936</v>
      </c>
      <c r="AM136" s="20" t="n">
        <f aca="false">IF(L136&gt;0,AL136/L136,0)</f>
        <v>0.33921684563366</v>
      </c>
      <c r="AN136" s="16" t="n">
        <f aca="false">L136*INDEX(Parametros!$G$2:$G$9,MATCH($E136,Parametros!$A$2:$A$9,0))</f>
        <v>353033.44</v>
      </c>
      <c r="AO136" s="17" t="n">
        <f aca="false">AN136-AC136-AL136</f>
        <v>124859.094</v>
      </c>
      <c r="AP136" s="15" t="n">
        <f aca="false">IF(AN136&gt;0,AO136/AN136,0)</f>
        <v>0.353674977645177</v>
      </c>
      <c r="AQ136" s="16" t="n">
        <f aca="false">INDEX(Parametros!$I$2:$I$9,MATCH($E136,Parametros!$A$2:$A$9,0))</f>
        <v>15900000</v>
      </c>
      <c r="AR136" s="19" t="n">
        <f aca="false">IF(AQ136&gt;0,AO136/AQ136,0)</f>
        <v>0.00785277320754717</v>
      </c>
    </row>
    <row r="137" customFormat="false" ht="15" hidden="false" customHeight="false" outlineLevel="0" collapsed="false">
      <c r="A137" s="5" t="s">
        <v>272</v>
      </c>
      <c r="B137" s="9" t="n">
        <v>45663</v>
      </c>
      <c r="C137" s="2" t="str">
        <f aca="false">TEXT(B137,"yyyy")</f>
        <v>2025</v>
      </c>
      <c r="D137" s="2" t="n">
        <f aca="false">WEEKNUM(B137,2)</f>
        <v>2</v>
      </c>
      <c r="E137" s="5" t="s">
        <v>144</v>
      </c>
      <c r="F137" s="6" t="str">
        <f aca="false">INDEX(Parametros!$B$2:$B$9,MATCH($E137,Parametros!$A$2:$A$9,0))</f>
        <v>Salsas picantes</v>
      </c>
      <c r="G137" s="10" t="n">
        <v>81.3</v>
      </c>
      <c r="H137" s="10" t="n">
        <v>5.2</v>
      </c>
      <c r="I137" s="11" t="n">
        <f aca="false">SUMIFS(Eventos_Paro!$J$2:$J$2186,Eventos_Paro!$D$2:$D$2186,$E137,Eventos_Paro!$B$2:$B$2186,$B137)</f>
        <v>7.35</v>
      </c>
      <c r="J137" s="12" t="n">
        <f aca="false">G137-H137-I137</f>
        <v>68.75</v>
      </c>
      <c r="K137" s="13" t="n">
        <v>200052</v>
      </c>
      <c r="L137" s="13" t="n">
        <v>182242</v>
      </c>
      <c r="M137" s="13" t="n">
        <v>6537</v>
      </c>
      <c r="N137" s="14" t="n">
        <f aca="false">L137+M137</f>
        <v>188779</v>
      </c>
      <c r="O137" s="11" t="n">
        <f aca="false">INDEX(Parametros!$D$2:$D$9,MATCH($E137,Parametros!$A$2:$A$9,0))</f>
        <v>3100</v>
      </c>
      <c r="P137" s="15" t="n">
        <f aca="false">IF((G137-H137)&gt;0,J137/(G137-H137),0)</f>
        <v>0.90341655716163</v>
      </c>
      <c r="Q137" s="15" t="n">
        <f aca="false">IF(J137*O137&gt;0,N137/(O137*J137),0)</f>
        <v>0.885766568914956</v>
      </c>
      <c r="R137" s="15" t="n">
        <f aca="false">IF(N137&gt;0,L137/N137,0)</f>
        <v>0.965372207713782</v>
      </c>
      <c r="S137" s="15" t="n">
        <f aca="false">P137*Q137*R137</f>
        <v>0.772506464329617</v>
      </c>
      <c r="T137" s="15" t="n">
        <f aca="false">IF(K137&gt;0,L137/K137,0)</f>
        <v>0.910973146981785</v>
      </c>
      <c r="U137" s="10" t="n">
        <v>945.6</v>
      </c>
      <c r="V137" s="5" t="n">
        <v>11</v>
      </c>
      <c r="W137" s="10" t="n">
        <v>51.3</v>
      </c>
      <c r="X137" s="15" t="n">
        <f aca="false">IF(U137&gt;0,W137/U137,0)</f>
        <v>0.054251269035533</v>
      </c>
      <c r="Y137" s="12" t="n">
        <f aca="false">IF(U137&gt;0,L137/U137,0)</f>
        <v>192.726311336717</v>
      </c>
      <c r="Z137" s="16" t="n">
        <f aca="false">L137*INDEX(Parametros!$E$2:$E$9,MATCH($E137,Parametros!$A$2:$A$9,0))</f>
        <v>120279.72</v>
      </c>
      <c r="AA137" s="16" t="n">
        <f aca="false">Z137*INDEX(Parametros!$F$2:$F$9,MATCH($E137,Parametros!$A$2:$A$9,0))</f>
        <v>3127.27272</v>
      </c>
      <c r="AB137" s="17" t="n">
        <f aca="false">Z137+AA137</f>
        <v>123406.99272</v>
      </c>
      <c r="AC137" s="18" t="n">
        <v>124903.03</v>
      </c>
      <c r="AD137" s="17" t="n">
        <f aca="false">AC137-AB137</f>
        <v>1496.03728</v>
      </c>
      <c r="AE137" s="17" t="n">
        <f aca="false">AA137+AD137</f>
        <v>4623.31</v>
      </c>
      <c r="AF137" s="19" t="n">
        <f aca="false">IF(Z137&gt;0,AE137/Z137,0)</f>
        <v>0.0384379843917163</v>
      </c>
      <c r="AG137" s="16" t="n">
        <f aca="false">(U137-W137)*INDEX(Parametros!$H$2:$H$9,MATCH($E137,Parametros!$A$2:$A$9,0))+W137*INDEX(Parametros!$H$2:$H$9,MATCH($E137,Parametros!$A$2:$A$9,0))*Parametros!$N$3</f>
        <v>30594.375</v>
      </c>
      <c r="AH137" s="13" t="n">
        <v>9778</v>
      </c>
      <c r="AI137" s="16" t="n">
        <f aca="false">AH137*Parametros!$N$2</f>
        <v>899.576</v>
      </c>
      <c r="AJ137" s="18" t="n">
        <v>7404</v>
      </c>
      <c r="AK137" s="18" t="n">
        <v>7472</v>
      </c>
      <c r="AL137" s="17" t="n">
        <f aca="false">AG137+AI137+AJ137+AK137</f>
        <v>46369.951</v>
      </c>
      <c r="AM137" s="20" t="n">
        <f aca="false">IF(L137&gt;0,AL137/L137,0)</f>
        <v>0.254441627067306</v>
      </c>
      <c r="AN137" s="16" t="n">
        <f aca="false">L137*INDEX(Parametros!$G$2:$G$9,MATCH($E137,Parametros!$A$2:$A$9,0))</f>
        <v>227802.5</v>
      </c>
      <c r="AO137" s="17" t="n">
        <f aca="false">AN137-AC137-AL137</f>
        <v>56529.519</v>
      </c>
      <c r="AP137" s="15" t="n">
        <f aca="false">IF(AN137&gt;0,AO137/AN137,0)</f>
        <v>0.248151442587329</v>
      </c>
      <c r="AQ137" s="16" t="n">
        <f aca="false">INDEX(Parametros!$I$2:$I$9,MATCH($E137,Parametros!$A$2:$A$9,0))</f>
        <v>13300000</v>
      </c>
      <c r="AR137" s="19" t="n">
        <f aca="false">IF(AQ137&gt;0,AO137/AQ137,0)</f>
        <v>0.00425033977443609</v>
      </c>
    </row>
    <row r="138" customFormat="false" ht="15" hidden="false" customHeight="false" outlineLevel="0" collapsed="false">
      <c r="A138" s="5" t="s">
        <v>273</v>
      </c>
      <c r="B138" s="9" t="n">
        <v>45670</v>
      </c>
      <c r="C138" s="2" t="str">
        <f aca="false">TEXT(B138,"yyyy")</f>
        <v>2025</v>
      </c>
      <c r="D138" s="2" t="n">
        <f aca="false">WEEKNUM(B138,2)</f>
        <v>3</v>
      </c>
      <c r="E138" s="5" t="s">
        <v>130</v>
      </c>
      <c r="F138" s="6" t="str">
        <f aca="false">INDEX(Parametros!$B$2:$B$9,MATCH($E138,Parametros!$A$2:$A$9,0))</f>
        <v>Ketchup botella</v>
      </c>
      <c r="G138" s="10" t="n">
        <v>108.8</v>
      </c>
      <c r="H138" s="10" t="n">
        <v>5.5</v>
      </c>
      <c r="I138" s="11" t="n">
        <f aca="false">SUMIFS(Eventos_Paro!$J$2:$J$2186,Eventos_Paro!$D$2:$D$2186,$E138,Eventos_Paro!$B$2:$B$2186,$B138)</f>
        <v>0.816666666666667</v>
      </c>
      <c r="J138" s="12" t="n">
        <f aca="false">G138-H138-I138</f>
        <v>102.483333333333</v>
      </c>
      <c r="K138" s="13" t="n">
        <v>714089</v>
      </c>
      <c r="L138" s="13" t="n">
        <v>789415</v>
      </c>
      <c r="M138" s="13" t="n">
        <v>26364</v>
      </c>
      <c r="N138" s="14" t="n">
        <f aca="false">L138+M138</f>
        <v>815779</v>
      </c>
      <c r="O138" s="11" t="n">
        <f aca="false">INDEX(Parametros!$D$2:$D$9,MATCH($E138,Parametros!$A$2:$A$9,0))</f>
        <v>9000</v>
      </c>
      <c r="P138" s="15" t="n">
        <f aca="false">IF((G138-H138)&gt;0,J138/(G138-H138),0)</f>
        <v>0.992094223943208</v>
      </c>
      <c r="Q138" s="15" t="n">
        <f aca="false">IF(J138*O138&gt;0,N138/(O138*J138),0)</f>
        <v>0.884457093294303</v>
      </c>
      <c r="R138" s="15" t="n">
        <f aca="false">IF(N138&gt;0,L138/N138,0)</f>
        <v>0.967682423793699</v>
      </c>
      <c r="S138" s="15" t="n">
        <f aca="false">P138*Q138*R138</f>
        <v>0.849107238894267</v>
      </c>
      <c r="T138" s="15" t="n">
        <f aca="false">IF(K138&gt;0,L138/K138,0)</f>
        <v>1.10548545069312</v>
      </c>
      <c r="U138" s="10" t="n">
        <v>1550.9</v>
      </c>
      <c r="V138" s="5" t="n">
        <v>14</v>
      </c>
      <c r="W138" s="10" t="n">
        <v>27.7</v>
      </c>
      <c r="X138" s="15" t="n">
        <f aca="false">IF(U138&gt;0,W138/U138,0)</f>
        <v>0.0178605970726675</v>
      </c>
      <c r="Y138" s="12" t="n">
        <f aca="false">IF(U138&gt;0,L138/U138,0)</f>
        <v>509.004449029596</v>
      </c>
      <c r="Z138" s="16" t="n">
        <f aca="false">L138*INDEX(Parametros!$E$2:$E$9,MATCH($E138,Parametros!$A$2:$A$9,0))</f>
        <v>331554.3</v>
      </c>
      <c r="AA138" s="16" t="n">
        <f aca="false">Z138*INDEX(Parametros!$F$2:$F$9,MATCH($E138,Parametros!$A$2:$A$9,0))</f>
        <v>6631.086</v>
      </c>
      <c r="AB138" s="17" t="n">
        <f aca="false">Z138+AA138</f>
        <v>338185.386</v>
      </c>
      <c r="AC138" s="18" t="n">
        <v>339420.01</v>
      </c>
      <c r="AD138" s="17" t="n">
        <f aca="false">AC138-AB138</f>
        <v>1234.62400000001</v>
      </c>
      <c r="AE138" s="17" t="n">
        <f aca="false">AA138+AD138</f>
        <v>7865.71000000001</v>
      </c>
      <c r="AF138" s="19" t="n">
        <f aca="false">IF(Z138&gt;0,AE138/Z138,0)</f>
        <v>0.0237237460048023</v>
      </c>
      <c r="AG138" s="16" t="n">
        <f aca="false">(U138-W138)*INDEX(Parametros!$H$2:$H$9,MATCH($E138,Parametros!$A$2:$A$9,0))+W138*INDEX(Parametros!$H$2:$H$9,MATCH($E138,Parametros!$A$2:$A$9,0))*Parametros!$N$3</f>
        <v>49289.625</v>
      </c>
      <c r="AH138" s="13" t="n">
        <v>40285</v>
      </c>
      <c r="AI138" s="16" t="n">
        <f aca="false">AH138*Parametros!$N$2</f>
        <v>3706.22</v>
      </c>
      <c r="AJ138" s="18" t="n">
        <v>14682</v>
      </c>
      <c r="AK138" s="18" t="n">
        <v>807</v>
      </c>
      <c r="AL138" s="17" t="n">
        <f aca="false">AG138+AI138+AJ138+AK138</f>
        <v>68484.845</v>
      </c>
      <c r="AM138" s="20" t="n">
        <f aca="false">IF(L138&gt;0,AL138/L138,0)</f>
        <v>0.0867539190413154</v>
      </c>
      <c r="AN138" s="16" t="n">
        <f aca="false">L138*INDEX(Parametros!$G$2:$G$9,MATCH($E138,Parametros!$A$2:$A$9,0))</f>
        <v>560484.65</v>
      </c>
      <c r="AO138" s="17" t="n">
        <f aca="false">AN138-AC138-AL138</f>
        <v>152579.795</v>
      </c>
      <c r="AP138" s="15" t="n">
        <f aca="false">IF(AN138&gt;0,AO138/AN138,0)</f>
        <v>0.272228320615025</v>
      </c>
      <c r="AQ138" s="16" t="n">
        <f aca="false">INDEX(Parametros!$I$2:$I$9,MATCH($E138,Parametros!$A$2:$A$9,0))</f>
        <v>29300000</v>
      </c>
      <c r="AR138" s="19" t="n">
        <f aca="false">IF(AQ138&gt;0,AO138/AQ138,0)</f>
        <v>0.00520750153583618</v>
      </c>
    </row>
    <row r="139" customFormat="false" ht="15" hidden="false" customHeight="false" outlineLevel="0" collapsed="false">
      <c r="A139" s="5" t="s">
        <v>274</v>
      </c>
      <c r="B139" s="9" t="n">
        <v>45670</v>
      </c>
      <c r="C139" s="2" t="str">
        <f aca="false">TEXT(B139,"yyyy")</f>
        <v>2025</v>
      </c>
      <c r="D139" s="2" t="n">
        <f aca="false">WEEKNUM(B139,2)</f>
        <v>3</v>
      </c>
      <c r="E139" s="5" t="s">
        <v>132</v>
      </c>
      <c r="F139" s="6" t="str">
        <f aca="false">INDEX(Parametros!$B$2:$B$9,MATCH($E139,Parametros!$A$2:$A$9,0))</f>
        <v>Mayonesa frasco</v>
      </c>
      <c r="G139" s="10" t="n">
        <v>120.5</v>
      </c>
      <c r="H139" s="10" t="n">
        <v>5.5</v>
      </c>
      <c r="I139" s="11" t="n">
        <f aca="false">SUMIFS(Eventos_Paro!$J$2:$J$2186,Eventos_Paro!$D$2:$D$2186,$E139,Eventos_Paro!$B$2:$B$2186,$B139)</f>
        <v>4.21666666666667</v>
      </c>
      <c r="J139" s="12" t="n">
        <f aca="false">G139-H139-I139</f>
        <v>110.783333333333</v>
      </c>
      <c r="K139" s="13" t="n">
        <v>574144</v>
      </c>
      <c r="L139" s="13" t="n">
        <v>570648</v>
      </c>
      <c r="M139" s="13" t="n">
        <v>17284</v>
      </c>
      <c r="N139" s="14" t="n">
        <f aca="false">L139+M139</f>
        <v>587932</v>
      </c>
      <c r="O139" s="11" t="n">
        <f aca="false">INDEX(Parametros!$D$2:$D$9,MATCH($E139,Parametros!$A$2:$A$9,0))</f>
        <v>6500</v>
      </c>
      <c r="P139" s="15" t="n">
        <f aca="false">IF((G139-H139)&gt;0,J139/(G139-H139),0)</f>
        <v>0.963333333333333</v>
      </c>
      <c r="Q139" s="15" t="n">
        <f aca="false">IF(J139*O139&gt;0,N139/(O139*J139),0)</f>
        <v>0.816468273715152</v>
      </c>
      <c r="R139" s="15" t="n">
        <f aca="false">IF(N139&gt;0,L139/N139,0)</f>
        <v>0.970602042413068</v>
      </c>
      <c r="S139" s="15" t="n">
        <f aca="false">P139*Q139*R139</f>
        <v>0.763408695652174</v>
      </c>
      <c r="T139" s="15" t="n">
        <f aca="false">IF(K139&gt;0,L139/K139,0)</f>
        <v>0.99391093523576</v>
      </c>
      <c r="U139" s="10" t="n">
        <v>1611.3</v>
      </c>
      <c r="V139" s="5" t="n">
        <v>12</v>
      </c>
      <c r="W139" s="10" t="n">
        <v>165.3</v>
      </c>
      <c r="X139" s="15" t="n">
        <f aca="false">IF(U139&gt;0,W139/U139,0)</f>
        <v>0.10258797244461</v>
      </c>
      <c r="Y139" s="12" t="n">
        <f aca="false">IF(U139&gt;0,L139/U139,0)</f>
        <v>354.153788866133</v>
      </c>
      <c r="Z139" s="16" t="n">
        <f aca="false">L139*INDEX(Parametros!$E$2:$E$9,MATCH($E139,Parametros!$A$2:$A$9,0))</f>
        <v>348095.28</v>
      </c>
      <c r="AA139" s="16" t="n">
        <f aca="false">Z139*INDEX(Parametros!$F$2:$F$9,MATCH($E139,Parametros!$A$2:$A$9,0))</f>
        <v>8702.382</v>
      </c>
      <c r="AB139" s="17" t="n">
        <f aca="false">Z139+AA139</f>
        <v>356797.662</v>
      </c>
      <c r="AC139" s="18" t="n">
        <v>354881.75</v>
      </c>
      <c r="AD139" s="17" t="n">
        <f aca="false">AC139-AB139</f>
        <v>-1915.91199999995</v>
      </c>
      <c r="AE139" s="17" t="n">
        <f aca="false">AA139+AD139</f>
        <v>6786.47000000005</v>
      </c>
      <c r="AF139" s="19" t="n">
        <f aca="false">IF(Z139&gt;0,AE139/Z139,0)</f>
        <v>0.0194960127008905</v>
      </c>
      <c r="AG139" s="16" t="n">
        <f aca="false">(U139-W139)*INDEX(Parametros!$H$2:$H$9,MATCH($E139,Parametros!$A$2:$A$9,0))+W139*INDEX(Parametros!$H$2:$H$9,MATCH($E139,Parametros!$A$2:$A$9,0))*Parametros!$N$3</f>
        <v>53359.425</v>
      </c>
      <c r="AH139" s="13" t="n">
        <v>30115</v>
      </c>
      <c r="AI139" s="16" t="n">
        <f aca="false">AH139*Parametros!$N$2</f>
        <v>2770.58</v>
      </c>
      <c r="AJ139" s="18" t="n">
        <v>12786</v>
      </c>
      <c r="AK139" s="18" t="n">
        <v>4398</v>
      </c>
      <c r="AL139" s="17" t="n">
        <f aca="false">AG139+AI139+AJ139+AK139</f>
        <v>73314.005</v>
      </c>
      <c r="AM139" s="20" t="n">
        <f aca="false">IF(L139&gt;0,AL139/L139,0)</f>
        <v>0.12847500560766</v>
      </c>
      <c r="AN139" s="16" t="n">
        <f aca="false">L139*INDEX(Parametros!$G$2:$G$9,MATCH($E139,Parametros!$A$2:$A$9,0))</f>
        <v>547822.08</v>
      </c>
      <c r="AO139" s="17" t="n">
        <f aca="false">AN139-AC139-AL139</f>
        <v>119626.325</v>
      </c>
      <c r="AP139" s="15" t="n">
        <f aca="false">IF(AN139&gt;0,AO139/AN139,0)</f>
        <v>0.21836711108833</v>
      </c>
      <c r="AQ139" s="16" t="n">
        <f aca="false">INDEX(Parametros!$I$2:$I$9,MATCH($E139,Parametros!$A$2:$A$9,0))</f>
        <v>29700000</v>
      </c>
      <c r="AR139" s="19" t="n">
        <f aca="false">IF(AQ139&gt;0,AO139/AQ139,0)</f>
        <v>0.00402782239057239</v>
      </c>
    </row>
    <row r="140" customFormat="false" ht="15" hidden="false" customHeight="false" outlineLevel="0" collapsed="false">
      <c r="A140" s="5" t="s">
        <v>275</v>
      </c>
      <c r="B140" s="9" t="n">
        <v>45670</v>
      </c>
      <c r="C140" s="2" t="str">
        <f aca="false">TEXT(B140,"yyyy")</f>
        <v>2025</v>
      </c>
      <c r="D140" s="2" t="n">
        <f aca="false">WEEKNUM(B140,2)</f>
        <v>3</v>
      </c>
      <c r="E140" s="5" t="s">
        <v>134</v>
      </c>
      <c r="F140" s="6" t="str">
        <f aca="false">INDEX(Parametros!$B$2:$B$9,MATCH($E140,Parametros!$A$2:$A$9,0))</f>
        <v>Aderezos vertibles</v>
      </c>
      <c r="G140" s="10" t="n">
        <v>101.5</v>
      </c>
      <c r="H140" s="10" t="n">
        <v>8.7</v>
      </c>
      <c r="I140" s="11" t="n">
        <f aca="false">SUMIFS(Eventos_Paro!$J$2:$J$2186,Eventos_Paro!$D$2:$D$2186,$E140,Eventos_Paro!$B$2:$B$2186,$B140)</f>
        <v>0.75</v>
      </c>
      <c r="J140" s="12" t="n">
        <f aca="false">G140-H140-I140</f>
        <v>92.05</v>
      </c>
      <c r="K140" s="13" t="n">
        <v>370647</v>
      </c>
      <c r="L140" s="13" t="n">
        <v>391549</v>
      </c>
      <c r="M140" s="13" t="n">
        <v>11855</v>
      </c>
      <c r="N140" s="14" t="n">
        <f aca="false">L140+M140</f>
        <v>403404</v>
      </c>
      <c r="O140" s="11" t="n">
        <f aca="false">INDEX(Parametros!$D$2:$D$9,MATCH($E140,Parametros!$A$2:$A$9,0))</f>
        <v>5200</v>
      </c>
      <c r="P140" s="15" t="n">
        <f aca="false">IF((G140-H140)&gt;0,J140/(G140-H140),0)</f>
        <v>0.991918103448276</v>
      </c>
      <c r="Q140" s="15" t="n">
        <f aca="false">IF(J140*O140&gt;0,N140/(O140*J140),0)</f>
        <v>0.842777754564827</v>
      </c>
      <c r="R140" s="15" t="n">
        <f aca="false">IF(N140&gt;0,L140/N140,0)</f>
        <v>0.970612586885604</v>
      </c>
      <c r="S140" s="15" t="n">
        <f aca="false">P140*Q140*R140</f>
        <v>0.811399618700265</v>
      </c>
      <c r="T140" s="15" t="n">
        <f aca="false">IF(K140&gt;0,L140/K140,0)</f>
        <v>1.05639327985927</v>
      </c>
      <c r="U140" s="10" t="n">
        <v>1335.1</v>
      </c>
      <c r="V140" s="5" t="n">
        <v>12</v>
      </c>
      <c r="W140" s="10" t="n">
        <v>117.1</v>
      </c>
      <c r="X140" s="15" t="n">
        <f aca="false">IF(U140&gt;0,W140/U140,0)</f>
        <v>0.0877087858587372</v>
      </c>
      <c r="Y140" s="12" t="n">
        <f aca="false">IF(U140&gt;0,L140/U140,0)</f>
        <v>293.273163058947</v>
      </c>
      <c r="Z140" s="16" t="n">
        <f aca="false">L140*INDEX(Parametros!$E$2:$E$9,MATCH($E140,Parametros!$A$2:$A$9,0))</f>
        <v>215351.95</v>
      </c>
      <c r="AA140" s="16" t="n">
        <f aca="false">Z140*INDEX(Parametros!$F$2:$F$9,MATCH($E140,Parametros!$A$2:$A$9,0))</f>
        <v>6460.5585</v>
      </c>
      <c r="AB140" s="17" t="n">
        <f aca="false">Z140+AA140</f>
        <v>221812.5085</v>
      </c>
      <c r="AC140" s="18" t="n">
        <v>223351.87</v>
      </c>
      <c r="AD140" s="17" t="n">
        <f aca="false">AC140-AB140</f>
        <v>1539.36149999997</v>
      </c>
      <c r="AE140" s="17" t="n">
        <f aca="false">AA140+AD140</f>
        <v>7999.91999999997</v>
      </c>
      <c r="AF140" s="19" t="n">
        <f aca="false">IF(Z140&gt;0,AE140/Z140,0)</f>
        <v>0.0371481196246422</v>
      </c>
      <c r="AG140" s="16" t="n">
        <f aca="false">(U140-W140)*INDEX(Parametros!$H$2:$H$9,MATCH($E140,Parametros!$A$2:$A$9,0))+W140*INDEX(Parametros!$H$2:$H$9,MATCH($E140,Parametros!$A$2:$A$9,0))*Parametros!$N$3</f>
        <v>43899.975</v>
      </c>
      <c r="AH140" s="13" t="n">
        <v>20608</v>
      </c>
      <c r="AI140" s="16" t="n">
        <f aca="false">AH140*Parametros!$N$2</f>
        <v>1895.936</v>
      </c>
      <c r="AJ140" s="18" t="n">
        <v>10125</v>
      </c>
      <c r="AK140" s="18" t="n">
        <v>567</v>
      </c>
      <c r="AL140" s="17" t="n">
        <f aca="false">AG140+AI140+AJ140+AK140</f>
        <v>56487.911</v>
      </c>
      <c r="AM140" s="20" t="n">
        <f aca="false">IF(L140&gt;0,AL140/L140,0)</f>
        <v>0.144267795346176</v>
      </c>
      <c r="AN140" s="16" t="n">
        <f aca="false">L140*INDEX(Parametros!$G$2:$G$9,MATCH($E140,Parametros!$A$2:$A$9,0))</f>
        <v>399379.98</v>
      </c>
      <c r="AO140" s="17" t="n">
        <f aca="false">AN140-AC140-AL140</f>
        <v>119540.199</v>
      </c>
      <c r="AP140" s="15" t="n">
        <f aca="false">IF(AN140&gt;0,AO140/AN140,0)</f>
        <v>0.29931444986301</v>
      </c>
      <c r="AQ140" s="16" t="n">
        <f aca="false">INDEX(Parametros!$I$2:$I$9,MATCH($E140,Parametros!$A$2:$A$9,0))</f>
        <v>19300000</v>
      </c>
      <c r="AR140" s="19" t="n">
        <f aca="false">IF(AQ140&gt;0,AO140/AQ140,0)</f>
        <v>0.00619379269430052</v>
      </c>
    </row>
    <row r="141" customFormat="false" ht="15" hidden="false" customHeight="false" outlineLevel="0" collapsed="false">
      <c r="A141" s="5" t="s">
        <v>276</v>
      </c>
      <c r="B141" s="9" t="n">
        <v>45670</v>
      </c>
      <c r="C141" s="2" t="str">
        <f aca="false">TEXT(B141,"yyyy")</f>
        <v>2025</v>
      </c>
      <c r="D141" s="2" t="n">
        <f aca="false">WEEKNUM(B141,2)</f>
        <v>3</v>
      </c>
      <c r="E141" s="5" t="s">
        <v>136</v>
      </c>
      <c r="F141" s="6" t="str">
        <f aca="false">INDEX(Parametros!$B$2:$B$9,MATCH($E141,Parametros!$A$2:$A$9,0))</f>
        <v>Salsa BBQ</v>
      </c>
      <c r="G141" s="10" t="n">
        <v>79.4</v>
      </c>
      <c r="H141" s="10" t="n">
        <v>8.3</v>
      </c>
      <c r="I141" s="11" t="n">
        <f aca="false">SUMIFS(Eventos_Paro!$J$2:$J$2186,Eventos_Paro!$D$2:$D$2186,$E141,Eventos_Paro!$B$2:$B$2186,$B141)</f>
        <v>0</v>
      </c>
      <c r="J141" s="12" t="n">
        <f aca="false">G141-H141-I141</f>
        <v>71.1</v>
      </c>
      <c r="K141" s="13" t="n">
        <v>224011</v>
      </c>
      <c r="L141" s="13" t="n">
        <v>270697</v>
      </c>
      <c r="M141" s="13" t="n">
        <v>12537</v>
      </c>
      <c r="N141" s="14" t="n">
        <f aca="false">L141+M141</f>
        <v>283234</v>
      </c>
      <c r="O141" s="11" t="n">
        <f aca="false">INDEX(Parametros!$D$2:$D$9,MATCH($E141,Parametros!$A$2:$A$9,0))</f>
        <v>4800</v>
      </c>
      <c r="P141" s="15" t="n">
        <f aca="false">IF((G141-H141)&gt;0,J141/(G141-H141),0)</f>
        <v>1</v>
      </c>
      <c r="Q141" s="15" t="n">
        <f aca="false">IF(J141*O141&gt;0,N141/(O141*J141),0)</f>
        <v>0.82991678387248</v>
      </c>
      <c r="R141" s="15" t="n">
        <f aca="false">IF(N141&gt;0,L141/N141,0)</f>
        <v>0.955736246354604</v>
      </c>
      <c r="S141" s="15" t="n">
        <f aca="false">P141*Q141*R141</f>
        <v>0.793181551804969</v>
      </c>
      <c r="T141" s="15" t="n">
        <f aca="false">IF(K141&gt;0,L141/K141,0)</f>
        <v>1.20840940846655</v>
      </c>
      <c r="U141" s="10" t="n">
        <v>788.8</v>
      </c>
      <c r="V141" s="5" t="n">
        <v>9</v>
      </c>
      <c r="W141" s="10" t="n">
        <v>74.2</v>
      </c>
      <c r="X141" s="15" t="n">
        <f aca="false">IF(U141&gt;0,W141/U141,0)</f>
        <v>0.0940669371196755</v>
      </c>
      <c r="Y141" s="12" t="n">
        <f aca="false">IF(U141&gt;0,L141/U141,0)</f>
        <v>343.175709939148</v>
      </c>
      <c r="Z141" s="16" t="n">
        <f aca="false">L141*INDEX(Parametros!$E$2:$E$9,MATCH($E141,Parametros!$A$2:$A$9,0))</f>
        <v>157004.26</v>
      </c>
      <c r="AA141" s="16" t="n">
        <f aca="false">Z141*INDEX(Parametros!$F$2:$F$9,MATCH($E141,Parametros!$A$2:$A$9,0))</f>
        <v>4396.11928</v>
      </c>
      <c r="AB141" s="17" t="n">
        <f aca="false">Z141+AA141</f>
        <v>161400.37928</v>
      </c>
      <c r="AC141" s="18" t="n">
        <v>162808</v>
      </c>
      <c r="AD141" s="17" t="n">
        <f aca="false">AC141-AB141</f>
        <v>1407.62072000001</v>
      </c>
      <c r="AE141" s="17" t="n">
        <f aca="false">AA141+AD141</f>
        <v>5803.74000000001</v>
      </c>
      <c r="AF141" s="19" t="n">
        <f aca="false">IF(Z141&gt;0,AE141/Z141,0)</f>
        <v>0.0369654938025249</v>
      </c>
      <c r="AG141" s="16" t="n">
        <f aca="false">(U141-W141)*INDEX(Parametros!$H$2:$H$9,MATCH($E141,Parametros!$A$2:$A$9,0))+W141*INDEX(Parametros!$H$2:$H$9,MATCH($E141,Parametros!$A$2:$A$9,0))*Parametros!$N$3</f>
        <v>26015.85</v>
      </c>
      <c r="AH141" s="13" t="n">
        <v>14459</v>
      </c>
      <c r="AI141" s="16" t="n">
        <f aca="false">AH141*Parametros!$N$2</f>
        <v>1330.228</v>
      </c>
      <c r="AJ141" s="18" t="n">
        <v>8350</v>
      </c>
      <c r="AK141" s="18" t="n">
        <v>0</v>
      </c>
      <c r="AL141" s="17" t="n">
        <f aca="false">AG141+AI141+AJ141+AK141</f>
        <v>35696.078</v>
      </c>
      <c r="AM141" s="20" t="n">
        <f aca="false">IF(L141&gt;0,AL141/L141,0)</f>
        <v>0.131867283346324</v>
      </c>
      <c r="AN141" s="16" t="n">
        <f aca="false">L141*INDEX(Parametros!$G$2:$G$9,MATCH($E141,Parametros!$A$2:$A$9,0))</f>
        <v>265283.06</v>
      </c>
      <c r="AO141" s="17" t="n">
        <f aca="false">AN141-AC141-AL141</f>
        <v>66778.982</v>
      </c>
      <c r="AP141" s="15" t="n">
        <f aca="false">IF(AN141&gt;0,AO141/AN141,0)</f>
        <v>0.251727275763481</v>
      </c>
      <c r="AQ141" s="16" t="n">
        <f aca="false">INDEX(Parametros!$I$2:$I$9,MATCH($E141,Parametros!$A$2:$A$9,0))</f>
        <v>17000000</v>
      </c>
      <c r="AR141" s="19" t="n">
        <f aca="false">IF(AQ141&gt;0,AO141/AQ141,0)</f>
        <v>0.00392817541176471</v>
      </c>
    </row>
    <row r="142" customFormat="false" ht="15" hidden="false" customHeight="false" outlineLevel="0" collapsed="false">
      <c r="A142" s="5" t="s">
        <v>277</v>
      </c>
      <c r="B142" s="9" t="n">
        <v>45670</v>
      </c>
      <c r="C142" s="2" t="str">
        <f aca="false">TEXT(B142,"yyyy")</f>
        <v>2025</v>
      </c>
      <c r="D142" s="2" t="n">
        <f aca="false">WEEKNUM(B142,2)</f>
        <v>3</v>
      </c>
      <c r="E142" s="5" t="s">
        <v>138</v>
      </c>
      <c r="F142" s="6" t="str">
        <f aca="false">INDEX(Parametros!$B$2:$B$9,MATCH($E142,Parametros!$A$2:$A$9,0))</f>
        <v>Queso crema</v>
      </c>
      <c r="G142" s="10" t="n">
        <v>131.2</v>
      </c>
      <c r="H142" s="10" t="n">
        <v>6.7</v>
      </c>
      <c r="I142" s="11" t="n">
        <f aca="false">SUMIFS(Eventos_Paro!$J$2:$J$2186,Eventos_Paro!$D$2:$D$2186,$E142,Eventos_Paro!$B$2:$B$2186,$B142)</f>
        <v>2.26666666666667</v>
      </c>
      <c r="J142" s="12" t="n">
        <f aca="false">G142-H142-I142</f>
        <v>122.233333333333</v>
      </c>
      <c r="K142" s="13" t="n">
        <v>363381</v>
      </c>
      <c r="L142" s="13" t="n">
        <v>410056</v>
      </c>
      <c r="M142" s="13" t="n">
        <v>18559</v>
      </c>
      <c r="N142" s="14" t="n">
        <f aca="false">L142+M142</f>
        <v>428615</v>
      </c>
      <c r="O142" s="11" t="n">
        <f aca="false">INDEX(Parametros!$D$2:$D$9,MATCH($E142,Parametros!$A$2:$A$9,0))</f>
        <v>3800</v>
      </c>
      <c r="P142" s="15" t="n">
        <f aca="false">IF((G142-H142)&gt;0,J142/(G142-H142),0)</f>
        <v>0.981793842034806</v>
      </c>
      <c r="Q142" s="15" t="n">
        <f aca="false">IF(J142*O142&gt;0,N142/(O142*J142),0)</f>
        <v>0.92277137485109</v>
      </c>
      <c r="R142" s="15" t="n">
        <f aca="false">IF(N142&gt;0,L142/N142,0)</f>
        <v>0.956700068826336</v>
      </c>
      <c r="S142" s="15" t="n">
        <f aca="false">P142*Q142*R142</f>
        <v>0.866742760515747</v>
      </c>
      <c r="T142" s="15" t="n">
        <f aca="false">IF(K142&gt;0,L142/K142,0)</f>
        <v>1.12844645152058</v>
      </c>
      <c r="U142" s="10" t="n">
        <v>2182.7</v>
      </c>
      <c r="V142" s="5" t="n">
        <v>15</v>
      </c>
      <c r="W142" s="10" t="n">
        <v>214.7</v>
      </c>
      <c r="X142" s="15" t="n">
        <f aca="false">IF(U142&gt;0,W142/U142,0)</f>
        <v>0.0983644110505337</v>
      </c>
      <c r="Y142" s="12" t="n">
        <f aca="false">IF(U142&gt;0,L142/U142,0)</f>
        <v>187.866403995052</v>
      </c>
      <c r="Z142" s="16" t="n">
        <f aca="false">L142*INDEX(Parametros!$E$2:$E$9,MATCH($E142,Parametros!$A$2:$A$9,0))</f>
        <v>459262.72</v>
      </c>
      <c r="AA142" s="16" t="n">
        <f aca="false">Z142*INDEX(Parametros!$F$2:$F$9,MATCH($E142,Parametros!$A$2:$A$9,0))</f>
        <v>16074.1952</v>
      </c>
      <c r="AB142" s="17" t="n">
        <f aca="false">Z142+AA142</f>
        <v>475336.9152</v>
      </c>
      <c r="AC142" s="18" t="n">
        <v>486985.81</v>
      </c>
      <c r="AD142" s="17" t="n">
        <f aca="false">AC142-AB142</f>
        <v>11648.8948</v>
      </c>
      <c r="AE142" s="17" t="n">
        <f aca="false">AA142+AD142</f>
        <v>27723.09</v>
      </c>
      <c r="AF142" s="19" t="n">
        <f aca="false">IF(Z142&gt;0,AE142/Z142,0)</f>
        <v>0.060364337867441</v>
      </c>
      <c r="AG142" s="16" t="n">
        <f aca="false">(U142-W142)*INDEX(Parametros!$H$2:$H$9,MATCH($E142,Parametros!$A$2:$A$9,0))+W142*INDEX(Parametros!$H$2:$H$9,MATCH($E142,Parametros!$A$2:$A$9,0))*Parametros!$N$3</f>
        <v>75571.65</v>
      </c>
      <c r="AH142" s="13" t="n">
        <v>21648</v>
      </c>
      <c r="AI142" s="16" t="n">
        <f aca="false">AH142*Parametros!$N$2</f>
        <v>1991.616</v>
      </c>
      <c r="AJ142" s="18" t="n">
        <v>18664</v>
      </c>
      <c r="AK142" s="18" t="n">
        <v>1337</v>
      </c>
      <c r="AL142" s="17" t="n">
        <f aca="false">AG142+AI142+AJ142+AK142</f>
        <v>97564.266</v>
      </c>
      <c r="AM142" s="20" t="n">
        <f aca="false">IF(L142&gt;0,AL142/L142,0)</f>
        <v>0.237929126753419</v>
      </c>
      <c r="AN142" s="16" t="n">
        <f aca="false">L142*INDEX(Parametros!$G$2:$G$9,MATCH($E142,Parametros!$A$2:$A$9,0))</f>
        <v>734000.24</v>
      </c>
      <c r="AO142" s="17" t="n">
        <f aca="false">AN142-AC142-AL142</f>
        <v>149450.164</v>
      </c>
      <c r="AP142" s="15" t="n">
        <f aca="false">IF(AN142&gt;0,AO142/AN142,0)</f>
        <v>0.203610511081032</v>
      </c>
      <c r="AQ142" s="16" t="n">
        <f aca="false">INDEX(Parametros!$I$2:$I$9,MATCH($E142,Parametros!$A$2:$A$9,0))</f>
        <v>33200000</v>
      </c>
      <c r="AR142" s="19" t="n">
        <f aca="false">IF(AQ142&gt;0,AO142/AQ142,0)</f>
        <v>0.00450151096385542</v>
      </c>
    </row>
    <row r="143" customFormat="false" ht="15" hidden="false" customHeight="false" outlineLevel="0" collapsed="false">
      <c r="A143" s="5" t="s">
        <v>278</v>
      </c>
      <c r="B143" s="9" t="n">
        <v>45670</v>
      </c>
      <c r="C143" s="2" t="str">
        <f aca="false">TEXT(B143,"yyyy")</f>
        <v>2025</v>
      </c>
      <c r="D143" s="2" t="n">
        <f aca="false">WEEKNUM(B143,2)</f>
        <v>3</v>
      </c>
      <c r="E143" s="5" t="s">
        <v>140</v>
      </c>
      <c r="F143" s="6" t="str">
        <f aca="false">INDEX(Parametros!$B$2:$B$9,MATCH($E143,Parametros!$A$2:$A$9,0))</f>
        <v>Crema de cacahuate</v>
      </c>
      <c r="G143" s="10" t="n">
        <v>101.7</v>
      </c>
      <c r="H143" s="10" t="n">
        <v>7.3</v>
      </c>
      <c r="I143" s="11" t="n">
        <f aca="false">SUMIFS(Eventos_Paro!$J$2:$J$2186,Eventos_Paro!$D$2:$D$2186,$E143,Eventos_Paro!$B$2:$B$2186,$B143)</f>
        <v>1.63333333333333</v>
      </c>
      <c r="J143" s="12" t="n">
        <f aca="false">G143-H143-I143</f>
        <v>92.7666666666667</v>
      </c>
      <c r="K143" s="13" t="n">
        <v>304531</v>
      </c>
      <c r="L143" s="13" t="n">
        <v>320119</v>
      </c>
      <c r="M143" s="13" t="n">
        <v>5811</v>
      </c>
      <c r="N143" s="14" t="n">
        <f aca="false">L143+M143</f>
        <v>325930</v>
      </c>
      <c r="O143" s="11" t="n">
        <f aca="false">INDEX(Parametros!$D$2:$D$9,MATCH($E143,Parametros!$A$2:$A$9,0))</f>
        <v>4200</v>
      </c>
      <c r="P143" s="15" t="n">
        <f aca="false">IF((G143-H143)&gt;0,J143/(G143-H143),0)</f>
        <v>0.982697740112994</v>
      </c>
      <c r="Q143" s="15" t="n">
        <f aca="false">IF(J143*O143&gt;0,N143/(O143*J143),0)</f>
        <v>0.836533032185206</v>
      </c>
      <c r="R143" s="15" t="n">
        <f aca="false">IF(N143&gt;0,L143/N143,0)</f>
        <v>0.982171018316817</v>
      </c>
      <c r="S143" s="15" t="n">
        <f aca="false">P143*Q143*R143</f>
        <v>0.807402643260694</v>
      </c>
      <c r="T143" s="15" t="n">
        <f aca="false">IF(K143&gt;0,L143/K143,0)</f>
        <v>1.05118690708007</v>
      </c>
      <c r="U143" s="10" t="n">
        <v>1292.6</v>
      </c>
      <c r="V143" s="5" t="n">
        <v>12</v>
      </c>
      <c r="W143" s="10" t="n">
        <v>72.2</v>
      </c>
      <c r="X143" s="15" t="n">
        <f aca="false">IF(U143&gt;0,W143/U143,0)</f>
        <v>0.0558564134302955</v>
      </c>
      <c r="Y143" s="12" t="n">
        <f aca="false">IF(U143&gt;0,L143/U143,0)</f>
        <v>247.655113724277</v>
      </c>
      <c r="Z143" s="16" t="n">
        <f aca="false">L143*INDEX(Parametros!$E$2:$E$9,MATCH($E143,Parametros!$A$2:$A$9,0))</f>
        <v>310515.43</v>
      </c>
      <c r="AA143" s="16" t="n">
        <f aca="false">Z143*INDEX(Parametros!$F$2:$F$9,MATCH($E143,Parametros!$A$2:$A$9,0))</f>
        <v>6831.33946</v>
      </c>
      <c r="AB143" s="17" t="n">
        <f aca="false">Z143+AA143</f>
        <v>317346.76946</v>
      </c>
      <c r="AC143" s="18" t="n">
        <v>318569.76</v>
      </c>
      <c r="AD143" s="17" t="n">
        <f aca="false">AC143-AB143</f>
        <v>1222.99054000003</v>
      </c>
      <c r="AE143" s="17" t="n">
        <f aca="false">AA143+AD143</f>
        <v>8054.33000000003</v>
      </c>
      <c r="AF143" s="19" t="n">
        <f aca="false">IF(Z143&gt;0,AE143/Z143,0)</f>
        <v>0.0259385821825345</v>
      </c>
      <c r="AG143" s="16" t="n">
        <f aca="false">(U143-W143)*INDEX(Parametros!$H$2:$H$9,MATCH($E143,Parametros!$A$2:$A$9,0))+W143*INDEX(Parametros!$H$2:$H$9,MATCH($E143,Parametros!$A$2:$A$9,0))*Parametros!$N$3</f>
        <v>41854.05</v>
      </c>
      <c r="AH143" s="13" t="n">
        <v>16925</v>
      </c>
      <c r="AI143" s="16" t="n">
        <f aca="false">AH143*Parametros!$N$2</f>
        <v>1557.1</v>
      </c>
      <c r="AJ143" s="18" t="n">
        <v>11492</v>
      </c>
      <c r="AK143" s="18" t="n">
        <v>923</v>
      </c>
      <c r="AL143" s="17" t="n">
        <f aca="false">AG143+AI143+AJ143+AK143</f>
        <v>55826.15</v>
      </c>
      <c r="AM143" s="20" t="n">
        <f aca="false">IF(L143&gt;0,AL143/L143,0)</f>
        <v>0.174391866774543</v>
      </c>
      <c r="AN143" s="16" t="n">
        <f aca="false">L143*INDEX(Parametros!$G$2:$G$9,MATCH($E143,Parametros!$A$2:$A$9,0))</f>
        <v>518592.78</v>
      </c>
      <c r="AO143" s="17" t="n">
        <f aca="false">AN143-AC143-AL143</f>
        <v>144196.87</v>
      </c>
      <c r="AP143" s="15" t="n">
        <f aca="false">IF(AN143&gt;0,AO143/AN143,0)</f>
        <v>0.278054141054567</v>
      </c>
      <c r="AQ143" s="16" t="n">
        <f aca="false">INDEX(Parametros!$I$2:$I$9,MATCH($E143,Parametros!$A$2:$A$9,0))</f>
        <v>28000000</v>
      </c>
      <c r="AR143" s="19" t="n">
        <f aca="false">IF(AQ143&gt;0,AO143/AQ143,0)</f>
        <v>0.00514988821428572</v>
      </c>
    </row>
    <row r="144" customFormat="false" ht="15" hidden="false" customHeight="false" outlineLevel="0" collapsed="false">
      <c r="A144" s="5" t="s">
        <v>279</v>
      </c>
      <c r="B144" s="9" t="n">
        <v>45670</v>
      </c>
      <c r="C144" s="2" t="str">
        <f aca="false">TEXT(B144,"yyyy")</f>
        <v>2025</v>
      </c>
      <c r="D144" s="2" t="n">
        <f aca="false">WEEKNUM(B144,2)</f>
        <v>3</v>
      </c>
      <c r="E144" s="5" t="s">
        <v>142</v>
      </c>
      <c r="F144" s="6" t="str">
        <f aca="false">INDEX(Parametros!$B$2:$B$9,MATCH($E144,Parametros!$A$2:$A$9,0))</f>
        <v>Porciones single serve</v>
      </c>
      <c r="G144" s="10" t="n">
        <v>93.2</v>
      </c>
      <c r="H144" s="10" t="n">
        <v>8.1</v>
      </c>
      <c r="I144" s="11" t="n">
        <f aca="false">SUMIFS(Eventos_Paro!$J$2:$J$2186,Eventos_Paro!$D$2:$D$2186,$E144,Eventos_Paro!$B$2:$B$2186,$B144)</f>
        <v>6.3</v>
      </c>
      <c r="J144" s="12" t="n">
        <f aca="false">G144-H144-I144</f>
        <v>78.8</v>
      </c>
      <c r="K144" s="13" t="n">
        <v>169947</v>
      </c>
      <c r="L144" s="13" t="n">
        <v>166717</v>
      </c>
      <c r="M144" s="13" t="n">
        <v>9061</v>
      </c>
      <c r="N144" s="14" t="n">
        <f aca="false">L144+M144</f>
        <v>175778</v>
      </c>
      <c r="O144" s="11" t="n">
        <f aca="false">INDEX(Parametros!$D$2:$D$9,MATCH($E144,Parametros!$A$2:$A$9,0))</f>
        <v>2600</v>
      </c>
      <c r="P144" s="15" t="n">
        <f aca="false">IF((G144-H144)&gt;0,J144/(G144-H144),0)</f>
        <v>0.925969447708578</v>
      </c>
      <c r="Q144" s="15" t="n">
        <f aca="false">IF(J144*O144&gt;0,N144/(O144*J144),0)</f>
        <v>0.857955876610699</v>
      </c>
      <c r="R144" s="15" t="n">
        <f aca="false">IF(N144&gt;0,L144/N144,0)</f>
        <v>0.94845202471299</v>
      </c>
      <c r="S144" s="15" t="n">
        <f aca="false">P144*Q144*R144</f>
        <v>0.753489107836934</v>
      </c>
      <c r="T144" s="15" t="n">
        <f aca="false">IF(K144&gt;0,L144/K144,0)</f>
        <v>0.980994074623265</v>
      </c>
      <c r="U144" s="10" t="n">
        <v>1637</v>
      </c>
      <c r="V144" s="5" t="n">
        <v>16</v>
      </c>
      <c r="W144" s="10" t="n">
        <v>145.8</v>
      </c>
      <c r="X144" s="15" t="n">
        <f aca="false">IF(U144&gt;0,W144/U144,0)</f>
        <v>0.0890653634697618</v>
      </c>
      <c r="Y144" s="12" t="n">
        <f aca="false">IF(U144&gt;0,L144/U144,0)</f>
        <v>101.843005497862</v>
      </c>
      <c r="Z144" s="16" t="n">
        <f aca="false">L144*INDEX(Parametros!$E$2:$E$9,MATCH($E144,Parametros!$A$2:$A$9,0))</f>
        <v>123370.58</v>
      </c>
      <c r="AA144" s="16" t="n">
        <f aca="false">Z144*INDEX(Parametros!$F$2:$F$9,MATCH($E144,Parametros!$A$2:$A$9,0))</f>
        <v>5551.6761</v>
      </c>
      <c r="AB144" s="17" t="n">
        <f aca="false">Z144+AA144</f>
        <v>128922.2561</v>
      </c>
      <c r="AC144" s="18" t="n">
        <v>127739.51</v>
      </c>
      <c r="AD144" s="17" t="n">
        <f aca="false">AC144-AB144</f>
        <v>-1182.7461</v>
      </c>
      <c r="AE144" s="17" t="n">
        <f aca="false">AA144+AD144</f>
        <v>4368.93</v>
      </c>
      <c r="AF144" s="19" t="n">
        <f aca="false">IF(Z144&gt;0,AE144/Z144,0)</f>
        <v>0.0354130620120291</v>
      </c>
      <c r="AG144" s="16" t="n">
        <f aca="false">(U144-W144)*INDEX(Parametros!$H$2:$H$9,MATCH($E144,Parametros!$A$2:$A$9,0))+W144*INDEX(Parametros!$H$2:$H$9,MATCH($E144,Parametros!$A$2:$A$9,0))*Parametros!$N$3</f>
        <v>51297</v>
      </c>
      <c r="AH144" s="13" t="n">
        <v>9566</v>
      </c>
      <c r="AI144" s="16" t="n">
        <f aca="false">AH144*Parametros!$N$2</f>
        <v>880.072</v>
      </c>
      <c r="AJ144" s="18" t="n">
        <v>11246</v>
      </c>
      <c r="AK144" s="18" t="n">
        <v>6440</v>
      </c>
      <c r="AL144" s="17" t="n">
        <f aca="false">AG144+AI144+AJ144+AK144</f>
        <v>69863.072</v>
      </c>
      <c r="AM144" s="20" t="n">
        <f aca="false">IF(L144&gt;0,AL144/L144,0)</f>
        <v>0.419051878332744</v>
      </c>
      <c r="AN144" s="16" t="n">
        <f aca="false">L144*INDEX(Parametros!$G$2:$G$9,MATCH($E144,Parametros!$A$2:$A$9,0))</f>
        <v>286753.24</v>
      </c>
      <c r="AO144" s="17" t="n">
        <f aca="false">AN144-AC144-AL144</f>
        <v>89150.658</v>
      </c>
      <c r="AP144" s="15" t="n">
        <f aca="false">IF(AN144&gt;0,AO144/AN144,0)</f>
        <v>0.310896776615323</v>
      </c>
      <c r="AQ144" s="16" t="n">
        <f aca="false">INDEX(Parametros!$I$2:$I$9,MATCH($E144,Parametros!$A$2:$A$9,0))</f>
        <v>15900000</v>
      </c>
      <c r="AR144" s="19" t="n">
        <f aca="false">IF(AQ144&gt;0,AO144/AQ144,0)</f>
        <v>0.00560695962264151</v>
      </c>
    </row>
    <row r="145" customFormat="false" ht="15" hidden="false" customHeight="false" outlineLevel="0" collapsed="false">
      <c r="A145" s="5" t="s">
        <v>280</v>
      </c>
      <c r="B145" s="9" t="n">
        <v>45670</v>
      </c>
      <c r="C145" s="2" t="str">
        <f aca="false">TEXT(B145,"yyyy")</f>
        <v>2025</v>
      </c>
      <c r="D145" s="2" t="n">
        <f aca="false">WEEKNUM(B145,2)</f>
        <v>3</v>
      </c>
      <c r="E145" s="5" t="s">
        <v>144</v>
      </c>
      <c r="F145" s="6" t="str">
        <f aca="false">INDEX(Parametros!$B$2:$B$9,MATCH($E145,Parametros!$A$2:$A$9,0))</f>
        <v>Salsas picantes</v>
      </c>
      <c r="G145" s="10" t="n">
        <v>97.2</v>
      </c>
      <c r="H145" s="10" t="n">
        <v>7.8</v>
      </c>
      <c r="I145" s="11" t="n">
        <f aca="false">SUMIFS(Eventos_Paro!$J$2:$J$2186,Eventos_Paro!$D$2:$D$2186,$E145,Eventos_Paro!$B$2:$B$2186,$B145)</f>
        <v>6.91666666666667</v>
      </c>
      <c r="J145" s="12" t="n">
        <f aca="false">G145-H145-I145</f>
        <v>82.4833333333333</v>
      </c>
      <c r="K145" s="13" t="n">
        <v>234925</v>
      </c>
      <c r="L145" s="13" t="n">
        <v>208345</v>
      </c>
      <c r="M145" s="13" t="n">
        <v>5592</v>
      </c>
      <c r="N145" s="14" t="n">
        <f aca="false">L145+M145</f>
        <v>213937</v>
      </c>
      <c r="O145" s="11" t="n">
        <f aca="false">INDEX(Parametros!$D$2:$D$9,MATCH($E145,Parametros!$A$2:$A$9,0))</f>
        <v>3100</v>
      </c>
      <c r="P145" s="15" t="n">
        <f aca="false">IF((G145-H145)&gt;0,J145/(G145-H145),0)</f>
        <v>0.922632363907532</v>
      </c>
      <c r="Q145" s="15" t="n">
        <f aca="false">IF(J145*O145&gt;0,N145/(O145*J145),0)</f>
        <v>0.836677334619571</v>
      </c>
      <c r="R145" s="15" t="n">
        <f aca="false">IF(N145&gt;0,L145/N145,0)</f>
        <v>0.973861463888902</v>
      </c>
      <c r="S145" s="15" t="n">
        <f aca="false">P145*Q145*R145</f>
        <v>0.75176805946453</v>
      </c>
      <c r="T145" s="15" t="n">
        <f aca="false">IF(K145&gt;0,L145/K145,0)</f>
        <v>0.886857507715228</v>
      </c>
      <c r="U145" s="10" t="n">
        <v>811.5</v>
      </c>
      <c r="V145" s="5" t="n">
        <v>8</v>
      </c>
      <c r="W145" s="10" t="n">
        <v>33.9</v>
      </c>
      <c r="X145" s="15" t="n">
        <f aca="false">IF(U145&gt;0,W145/U145,0)</f>
        <v>0.0417744916820702</v>
      </c>
      <c r="Y145" s="12" t="n">
        <f aca="false">IF(U145&gt;0,L145/U145,0)</f>
        <v>256.740603820086</v>
      </c>
      <c r="Z145" s="16" t="n">
        <f aca="false">L145*INDEX(Parametros!$E$2:$E$9,MATCH($E145,Parametros!$A$2:$A$9,0))</f>
        <v>137507.7</v>
      </c>
      <c r="AA145" s="16" t="n">
        <f aca="false">Z145*INDEX(Parametros!$F$2:$F$9,MATCH($E145,Parametros!$A$2:$A$9,0))</f>
        <v>3575.2002</v>
      </c>
      <c r="AB145" s="17" t="n">
        <f aca="false">Z145+AA145</f>
        <v>141082.9002</v>
      </c>
      <c r="AC145" s="18" t="n">
        <v>141645.16</v>
      </c>
      <c r="AD145" s="17" t="n">
        <f aca="false">AC145-AB145</f>
        <v>562.2598</v>
      </c>
      <c r="AE145" s="17" t="n">
        <f aca="false">AA145+AD145</f>
        <v>4137.46</v>
      </c>
      <c r="AF145" s="19" t="n">
        <f aca="false">IF(Z145&gt;0,AE145/Z145,0)</f>
        <v>0.0300889332015589</v>
      </c>
      <c r="AG145" s="16" t="n">
        <f aca="false">(U145-W145)*INDEX(Parametros!$H$2:$H$9,MATCH($E145,Parametros!$A$2:$A$9,0))+W145*INDEX(Parametros!$H$2:$H$9,MATCH($E145,Parametros!$A$2:$A$9,0))*Parametros!$N$3</f>
        <v>26096.175</v>
      </c>
      <c r="AH145" s="13" t="n">
        <v>11344</v>
      </c>
      <c r="AI145" s="16" t="n">
        <f aca="false">AH145*Parametros!$N$2</f>
        <v>1043.648</v>
      </c>
      <c r="AJ145" s="18" t="n">
        <v>5703</v>
      </c>
      <c r="AK145" s="18" t="n">
        <v>7449</v>
      </c>
      <c r="AL145" s="17" t="n">
        <f aca="false">AG145+AI145+AJ145+AK145</f>
        <v>40291.823</v>
      </c>
      <c r="AM145" s="20" t="n">
        <f aca="false">IF(L145&gt;0,AL145/L145,0)</f>
        <v>0.193389920564448</v>
      </c>
      <c r="AN145" s="16" t="n">
        <f aca="false">L145*INDEX(Parametros!$G$2:$G$9,MATCH($E145,Parametros!$A$2:$A$9,0))</f>
        <v>260431.25</v>
      </c>
      <c r="AO145" s="17" t="n">
        <f aca="false">AN145-AC145-AL145</f>
        <v>78494.267</v>
      </c>
      <c r="AP145" s="15" t="n">
        <f aca="false">IF(AN145&gt;0,AO145/AN145,0)</f>
        <v>0.301401106818018</v>
      </c>
      <c r="AQ145" s="16" t="n">
        <f aca="false">INDEX(Parametros!$I$2:$I$9,MATCH($E145,Parametros!$A$2:$A$9,0))</f>
        <v>13300000</v>
      </c>
      <c r="AR145" s="19" t="n">
        <f aca="false">IF(AQ145&gt;0,AO145/AQ145,0)</f>
        <v>0.00590182458646617</v>
      </c>
    </row>
    <row r="146" customFormat="false" ht="15" hidden="false" customHeight="false" outlineLevel="0" collapsed="false">
      <c r="A146" s="5" t="s">
        <v>281</v>
      </c>
      <c r="B146" s="9" t="n">
        <v>45677</v>
      </c>
      <c r="C146" s="2" t="str">
        <f aca="false">TEXT(B146,"yyyy")</f>
        <v>2025</v>
      </c>
      <c r="D146" s="2" t="n">
        <f aca="false">WEEKNUM(B146,2)</f>
        <v>4</v>
      </c>
      <c r="E146" s="5" t="s">
        <v>130</v>
      </c>
      <c r="F146" s="6" t="str">
        <f aca="false">INDEX(Parametros!$B$2:$B$9,MATCH($E146,Parametros!$A$2:$A$9,0))</f>
        <v>Ketchup botella</v>
      </c>
      <c r="G146" s="10" t="n">
        <v>116.4</v>
      </c>
      <c r="H146" s="10" t="n">
        <v>5.6</v>
      </c>
      <c r="I146" s="11" t="n">
        <f aca="false">SUMIFS(Eventos_Paro!$J$2:$J$2186,Eventos_Paro!$D$2:$D$2186,$E146,Eventos_Paro!$B$2:$B$2186,$B146)</f>
        <v>1.78333333333333</v>
      </c>
      <c r="J146" s="12" t="n">
        <f aca="false">G146-H146-I146</f>
        <v>109.016666666667</v>
      </c>
      <c r="K146" s="13" t="n">
        <v>766446</v>
      </c>
      <c r="L146" s="13" t="n">
        <v>857530</v>
      </c>
      <c r="M146" s="13" t="n">
        <v>17655</v>
      </c>
      <c r="N146" s="14" t="n">
        <f aca="false">L146+M146</f>
        <v>875185</v>
      </c>
      <c r="O146" s="11" t="n">
        <f aca="false">INDEX(Parametros!$D$2:$D$9,MATCH($E146,Parametros!$A$2:$A$9,0))</f>
        <v>9000</v>
      </c>
      <c r="P146" s="15" t="n">
        <f aca="false">IF((G146-H146)&gt;0,J146/(G146-H146),0)</f>
        <v>0.983904933814681</v>
      </c>
      <c r="Q146" s="15" t="n">
        <f aca="false">IF(J146*O146&gt;0,N146/(O146*J146),0)</f>
        <v>0.891999184630281</v>
      </c>
      <c r="R146" s="15" t="n">
        <f aca="false">IF(N146&gt;0,L146/N146,0)</f>
        <v>0.979827122265578</v>
      </c>
      <c r="S146" s="15" t="n">
        <f aca="false">P146*Q146*R146</f>
        <v>0.859937825912555</v>
      </c>
      <c r="T146" s="15" t="n">
        <f aca="false">IF(K146&gt;0,L146/K146,0)</f>
        <v>1.11883942247725</v>
      </c>
      <c r="U146" s="10" t="n">
        <v>1820.4</v>
      </c>
      <c r="V146" s="5" t="n">
        <v>15</v>
      </c>
      <c r="W146" s="10" t="n">
        <v>74.4</v>
      </c>
      <c r="X146" s="15" t="n">
        <f aca="false">IF(U146&gt;0,W146/U146,0)</f>
        <v>0.040870138431114</v>
      </c>
      <c r="Y146" s="12" t="n">
        <f aca="false">IF(U146&gt;0,L146/U146,0)</f>
        <v>471.066798505823</v>
      </c>
      <c r="Z146" s="16" t="n">
        <f aca="false">L146*INDEX(Parametros!$E$2:$E$9,MATCH($E146,Parametros!$A$2:$A$9,0))</f>
        <v>360162.6</v>
      </c>
      <c r="AA146" s="16" t="n">
        <f aca="false">Z146*INDEX(Parametros!$F$2:$F$9,MATCH($E146,Parametros!$A$2:$A$9,0))</f>
        <v>7203.252</v>
      </c>
      <c r="AB146" s="17" t="n">
        <f aca="false">Z146+AA146</f>
        <v>367365.852</v>
      </c>
      <c r="AC146" s="18" t="n">
        <v>362727.7</v>
      </c>
      <c r="AD146" s="17" t="n">
        <f aca="false">AC146-AB146</f>
        <v>-4638.15199999994</v>
      </c>
      <c r="AE146" s="17" t="n">
        <f aca="false">AA146+AD146</f>
        <v>2565.10000000006</v>
      </c>
      <c r="AF146" s="19" t="n">
        <f aca="false">IF(Z146&gt;0,AE146/Z146,0)</f>
        <v>0.00712206098023519</v>
      </c>
      <c r="AG146" s="16" t="n">
        <f aca="false">(U146-W146)*INDEX(Parametros!$H$2:$H$9,MATCH($E146,Parametros!$A$2:$A$9,0))+W146*INDEX(Parametros!$H$2:$H$9,MATCH($E146,Parametros!$A$2:$A$9,0))*Parametros!$N$3</f>
        <v>58514.4</v>
      </c>
      <c r="AH146" s="13" t="n">
        <v>43787</v>
      </c>
      <c r="AI146" s="16" t="n">
        <f aca="false">AH146*Parametros!$N$2</f>
        <v>4028.404</v>
      </c>
      <c r="AJ146" s="18" t="n">
        <v>16222</v>
      </c>
      <c r="AK146" s="18" t="n">
        <v>1477</v>
      </c>
      <c r="AL146" s="17" t="n">
        <f aca="false">AG146+AI146+AJ146+AK146</f>
        <v>80241.804</v>
      </c>
      <c r="AM146" s="20" t="n">
        <f aca="false">IF(L146&gt;0,AL146/L146,0)</f>
        <v>0.0935731741163575</v>
      </c>
      <c r="AN146" s="16" t="n">
        <f aca="false">L146*INDEX(Parametros!$G$2:$G$9,MATCH($E146,Parametros!$A$2:$A$9,0))</f>
        <v>608846.3</v>
      </c>
      <c r="AO146" s="17" t="n">
        <f aca="false">AN146-AC146-AL146</f>
        <v>165876.796</v>
      </c>
      <c r="AP146" s="15" t="n">
        <f aca="false">IF(AN146&gt;0,AO146/AN146,0)</f>
        <v>0.272444451087245</v>
      </c>
      <c r="AQ146" s="16" t="n">
        <f aca="false">INDEX(Parametros!$I$2:$I$9,MATCH($E146,Parametros!$A$2:$A$9,0))</f>
        <v>29300000</v>
      </c>
      <c r="AR146" s="19" t="n">
        <f aca="false">IF(AQ146&gt;0,AO146/AQ146,0)</f>
        <v>0.00566132409556314</v>
      </c>
    </row>
    <row r="147" customFormat="false" ht="15" hidden="false" customHeight="false" outlineLevel="0" collapsed="false">
      <c r="A147" s="5" t="s">
        <v>282</v>
      </c>
      <c r="B147" s="9" t="n">
        <v>45677</v>
      </c>
      <c r="C147" s="2" t="str">
        <f aca="false">TEXT(B147,"yyyy")</f>
        <v>2025</v>
      </c>
      <c r="D147" s="2" t="n">
        <f aca="false">WEEKNUM(B147,2)</f>
        <v>4</v>
      </c>
      <c r="E147" s="5" t="s">
        <v>132</v>
      </c>
      <c r="F147" s="6" t="str">
        <f aca="false">INDEX(Parametros!$B$2:$B$9,MATCH($E147,Parametros!$A$2:$A$9,0))</f>
        <v>Mayonesa frasco</v>
      </c>
      <c r="G147" s="10" t="n">
        <v>122</v>
      </c>
      <c r="H147" s="10" t="n">
        <v>7.4</v>
      </c>
      <c r="I147" s="11" t="n">
        <f aca="false">SUMIFS(Eventos_Paro!$J$2:$J$2186,Eventos_Paro!$D$2:$D$2186,$E147,Eventos_Paro!$B$2:$B$2186,$B147)</f>
        <v>2.11666666666667</v>
      </c>
      <c r="J147" s="12" t="n">
        <f aca="false">G147-H147-I147</f>
        <v>112.483333333333</v>
      </c>
      <c r="K147" s="13" t="n">
        <v>572529</v>
      </c>
      <c r="L147" s="13" t="n">
        <v>600158</v>
      </c>
      <c r="M147" s="13" t="n">
        <v>24163</v>
      </c>
      <c r="N147" s="14" t="n">
        <f aca="false">L147+M147</f>
        <v>624321</v>
      </c>
      <c r="O147" s="11" t="n">
        <f aca="false">INDEX(Parametros!$D$2:$D$9,MATCH($E147,Parametros!$A$2:$A$9,0))</f>
        <v>6500</v>
      </c>
      <c r="P147" s="15" t="n">
        <f aca="false">IF((G147-H147)&gt;0,J147/(G147-H147),0)</f>
        <v>0.98152995927865</v>
      </c>
      <c r="Q147" s="15" t="n">
        <f aca="false">IF(J147*O147&gt;0,N147/(O147*J147),0)</f>
        <v>0.853898811219896</v>
      </c>
      <c r="R147" s="15" t="n">
        <f aca="false">IF(N147&gt;0,L147/N147,0)</f>
        <v>0.961297153227266</v>
      </c>
      <c r="S147" s="15" t="n">
        <f aca="false">P147*Q147*R147</f>
        <v>0.805689354275742</v>
      </c>
      <c r="T147" s="15" t="n">
        <f aca="false">IF(K147&gt;0,L147/K147,0)</f>
        <v>1.04825781750793</v>
      </c>
      <c r="U147" s="10" t="n">
        <v>1772.2</v>
      </c>
      <c r="V147" s="5" t="n">
        <v>13</v>
      </c>
      <c r="W147" s="10" t="n">
        <v>186.2</v>
      </c>
      <c r="X147" s="15" t="n">
        <f aca="false">IF(U147&gt;0,W147/U147,0)</f>
        <v>0.105067148177407</v>
      </c>
      <c r="Y147" s="12" t="n">
        <f aca="false">IF(U147&gt;0,L147/U147,0)</f>
        <v>338.651393747884</v>
      </c>
      <c r="Z147" s="16" t="n">
        <f aca="false">L147*INDEX(Parametros!$E$2:$E$9,MATCH($E147,Parametros!$A$2:$A$9,0))</f>
        <v>366096.38</v>
      </c>
      <c r="AA147" s="16" t="n">
        <f aca="false">Z147*INDEX(Parametros!$F$2:$F$9,MATCH($E147,Parametros!$A$2:$A$9,0))</f>
        <v>9152.4095</v>
      </c>
      <c r="AB147" s="17" t="n">
        <f aca="false">Z147+AA147</f>
        <v>375248.7895</v>
      </c>
      <c r="AC147" s="18" t="n">
        <v>375880.43</v>
      </c>
      <c r="AD147" s="17" t="n">
        <f aca="false">AC147-AB147</f>
        <v>631.64049999998</v>
      </c>
      <c r="AE147" s="17" t="n">
        <f aca="false">AA147+AD147</f>
        <v>9784.04999999998</v>
      </c>
      <c r="AF147" s="19" t="n">
        <f aca="false">IF(Z147&gt;0,AE147/Z147,0)</f>
        <v>0.0267253393764778</v>
      </c>
      <c r="AG147" s="16" t="n">
        <f aca="false">(U147-W147)*INDEX(Parametros!$H$2:$H$9,MATCH($E147,Parametros!$A$2:$A$9,0))+W147*INDEX(Parametros!$H$2:$H$9,MATCH($E147,Parametros!$A$2:$A$9,0))*Parametros!$N$3</f>
        <v>58756.95</v>
      </c>
      <c r="AH147" s="13" t="n">
        <v>30849</v>
      </c>
      <c r="AI147" s="16" t="n">
        <f aca="false">AH147*Parametros!$N$2</f>
        <v>2838.108</v>
      </c>
      <c r="AJ147" s="18" t="n">
        <v>14190</v>
      </c>
      <c r="AK147" s="18" t="n">
        <v>1564</v>
      </c>
      <c r="AL147" s="17" t="n">
        <f aca="false">AG147+AI147+AJ147+AK147</f>
        <v>77349.058</v>
      </c>
      <c r="AM147" s="20" t="n">
        <f aca="false">IF(L147&gt;0,AL147/L147,0)</f>
        <v>0.128881157961737</v>
      </c>
      <c r="AN147" s="16" t="n">
        <f aca="false">L147*INDEX(Parametros!$G$2:$G$9,MATCH($E147,Parametros!$A$2:$A$9,0))</f>
        <v>576151.68</v>
      </c>
      <c r="AO147" s="17" t="n">
        <f aca="false">AN147-AC147-AL147</f>
        <v>122922.192</v>
      </c>
      <c r="AP147" s="15" t="n">
        <f aca="false">IF(AN147&gt;0,AO147/AN147,0)</f>
        <v>0.213350401061054</v>
      </c>
      <c r="AQ147" s="16" t="n">
        <f aca="false">INDEX(Parametros!$I$2:$I$9,MATCH($E147,Parametros!$A$2:$A$9,0))</f>
        <v>29700000</v>
      </c>
      <c r="AR147" s="19" t="n">
        <f aca="false">IF(AQ147&gt;0,AO147/AQ147,0)</f>
        <v>0.00413879434343434</v>
      </c>
    </row>
    <row r="148" customFormat="false" ht="15" hidden="false" customHeight="false" outlineLevel="0" collapsed="false">
      <c r="A148" s="5" t="s">
        <v>283</v>
      </c>
      <c r="B148" s="9" t="n">
        <v>45677</v>
      </c>
      <c r="C148" s="2" t="str">
        <f aca="false">TEXT(B148,"yyyy")</f>
        <v>2025</v>
      </c>
      <c r="D148" s="2" t="n">
        <f aca="false">WEEKNUM(B148,2)</f>
        <v>4</v>
      </c>
      <c r="E148" s="5" t="s">
        <v>134</v>
      </c>
      <c r="F148" s="6" t="str">
        <f aca="false">INDEX(Parametros!$B$2:$B$9,MATCH($E148,Parametros!$A$2:$A$9,0))</f>
        <v>Aderezos vertibles</v>
      </c>
      <c r="G148" s="10" t="n">
        <v>123.4</v>
      </c>
      <c r="H148" s="10" t="n">
        <v>6.1</v>
      </c>
      <c r="I148" s="11" t="n">
        <f aca="false">SUMIFS(Eventos_Paro!$J$2:$J$2186,Eventos_Paro!$D$2:$D$2186,$E148,Eventos_Paro!$B$2:$B$2186,$B148)</f>
        <v>3.38333333333333</v>
      </c>
      <c r="J148" s="12" t="n">
        <f aca="false">G148-H148-I148</f>
        <v>113.916666666667</v>
      </c>
      <c r="K148" s="13" t="n">
        <v>468814</v>
      </c>
      <c r="L148" s="13" t="n">
        <v>464698</v>
      </c>
      <c r="M148" s="13" t="n">
        <v>17873</v>
      </c>
      <c r="N148" s="14" t="n">
        <f aca="false">L148+M148</f>
        <v>482571</v>
      </c>
      <c r="O148" s="11" t="n">
        <f aca="false">INDEX(Parametros!$D$2:$D$9,MATCH($E148,Parametros!$A$2:$A$9,0))</f>
        <v>5200</v>
      </c>
      <c r="P148" s="15" t="n">
        <f aca="false">IF((G148-H148)&gt;0,J148/(G148-H148),0)</f>
        <v>0.971156578573458</v>
      </c>
      <c r="Q148" s="15" t="n">
        <f aca="false">IF(J148*O148&gt;0,N148/(O148*J148),0)</f>
        <v>0.81464914748748</v>
      </c>
      <c r="R148" s="15" t="n">
        <f aca="false">IF(N148&gt;0,L148/N148,0)</f>
        <v>0.962962962962963</v>
      </c>
      <c r="S148" s="15" t="n">
        <f aca="false">P148*Q148*R148</f>
        <v>0.761849957374254</v>
      </c>
      <c r="T148" s="15" t="n">
        <f aca="false">IF(K148&gt;0,L148/K148,0)</f>
        <v>0.99122039870823</v>
      </c>
      <c r="U148" s="10" t="n">
        <v>1585.9</v>
      </c>
      <c r="V148" s="5" t="n">
        <v>12</v>
      </c>
      <c r="W148" s="10" t="n">
        <v>105.1</v>
      </c>
      <c r="X148" s="15" t="n">
        <f aca="false">IF(U148&gt;0,W148/U148,0)</f>
        <v>0.0662715177501734</v>
      </c>
      <c r="Y148" s="12" t="n">
        <f aca="false">IF(U148&gt;0,L148/U148,0)</f>
        <v>293.018475313702</v>
      </c>
      <c r="Z148" s="16" t="n">
        <f aca="false">L148*INDEX(Parametros!$E$2:$E$9,MATCH($E148,Parametros!$A$2:$A$9,0))</f>
        <v>255583.9</v>
      </c>
      <c r="AA148" s="16" t="n">
        <f aca="false">Z148*INDEX(Parametros!$F$2:$F$9,MATCH($E148,Parametros!$A$2:$A$9,0))</f>
        <v>7667.517</v>
      </c>
      <c r="AB148" s="17" t="n">
        <f aca="false">Z148+AA148</f>
        <v>263251.417</v>
      </c>
      <c r="AC148" s="18" t="n">
        <v>261491.24</v>
      </c>
      <c r="AD148" s="17" t="n">
        <f aca="false">AC148-AB148</f>
        <v>-1760.17700000003</v>
      </c>
      <c r="AE148" s="17" t="n">
        <f aca="false">AA148+AD148</f>
        <v>5907.33999999998</v>
      </c>
      <c r="AF148" s="19" t="n">
        <f aca="false">IF(Z148&gt;0,AE148/Z148,0)</f>
        <v>0.0231131147149722</v>
      </c>
      <c r="AG148" s="16" t="n">
        <f aca="false">(U148-W148)*INDEX(Parametros!$H$2:$H$9,MATCH($E148,Parametros!$A$2:$A$9,0))+W148*INDEX(Parametros!$H$2:$H$9,MATCH($E148,Parametros!$A$2:$A$9,0))*Parametros!$N$3</f>
        <v>51611.175</v>
      </c>
      <c r="AH148" s="13" t="n">
        <v>25341</v>
      </c>
      <c r="AI148" s="16" t="n">
        <f aca="false">AH148*Parametros!$N$2</f>
        <v>2331.372</v>
      </c>
      <c r="AJ148" s="18" t="n">
        <v>10274</v>
      </c>
      <c r="AK148" s="18" t="n">
        <v>3205</v>
      </c>
      <c r="AL148" s="17" t="n">
        <f aca="false">AG148+AI148+AJ148+AK148</f>
        <v>67421.547</v>
      </c>
      <c r="AM148" s="20" t="n">
        <f aca="false">IF(L148&gt;0,AL148/L148,0)</f>
        <v>0.145086802611589</v>
      </c>
      <c r="AN148" s="16" t="n">
        <f aca="false">L148*INDEX(Parametros!$G$2:$G$9,MATCH($E148,Parametros!$A$2:$A$9,0))</f>
        <v>473991.96</v>
      </c>
      <c r="AO148" s="17" t="n">
        <f aca="false">AN148-AC148-AL148</f>
        <v>145079.173</v>
      </c>
      <c r="AP148" s="15" t="n">
        <f aca="false">IF(AN148&gt;0,AO148/AN148,0)</f>
        <v>0.30607939636782</v>
      </c>
      <c r="AQ148" s="16" t="n">
        <f aca="false">INDEX(Parametros!$I$2:$I$9,MATCH($E148,Parametros!$A$2:$A$9,0))</f>
        <v>19300000</v>
      </c>
      <c r="AR148" s="19" t="n">
        <f aca="false">IF(AQ148&gt;0,AO148/AQ148,0)</f>
        <v>0.00751705559585492</v>
      </c>
    </row>
    <row r="149" customFormat="false" ht="15" hidden="false" customHeight="false" outlineLevel="0" collapsed="false">
      <c r="A149" s="5" t="s">
        <v>284</v>
      </c>
      <c r="B149" s="9" t="n">
        <v>45677</v>
      </c>
      <c r="C149" s="2" t="str">
        <f aca="false">TEXT(B149,"yyyy")</f>
        <v>2025</v>
      </c>
      <c r="D149" s="2" t="n">
        <f aca="false">WEEKNUM(B149,2)</f>
        <v>4</v>
      </c>
      <c r="E149" s="5" t="s">
        <v>136</v>
      </c>
      <c r="F149" s="6" t="str">
        <f aca="false">INDEX(Parametros!$B$2:$B$9,MATCH($E149,Parametros!$A$2:$A$9,0))</f>
        <v>Salsa BBQ</v>
      </c>
      <c r="G149" s="10" t="n">
        <v>82.3</v>
      </c>
      <c r="H149" s="10" t="n">
        <v>8.8</v>
      </c>
      <c r="I149" s="11" t="n">
        <f aca="false">SUMIFS(Eventos_Paro!$J$2:$J$2186,Eventos_Paro!$D$2:$D$2186,$E149,Eventos_Paro!$B$2:$B$2186,$B149)</f>
        <v>1.43333333333333</v>
      </c>
      <c r="J149" s="12" t="n">
        <f aca="false">G149-H149-I149</f>
        <v>72.0666666666667</v>
      </c>
      <c r="K149" s="13" t="n">
        <v>232386</v>
      </c>
      <c r="L149" s="13" t="n">
        <v>295322</v>
      </c>
      <c r="M149" s="13" t="n">
        <v>10181</v>
      </c>
      <c r="N149" s="14" t="n">
        <f aca="false">L149+M149</f>
        <v>305503</v>
      </c>
      <c r="O149" s="11" t="n">
        <f aca="false">INDEX(Parametros!$D$2:$D$9,MATCH($E149,Parametros!$A$2:$A$9,0))</f>
        <v>4800</v>
      </c>
      <c r="P149" s="15" t="n">
        <f aca="false">IF((G149-H149)&gt;0,J149/(G149-H149),0)</f>
        <v>0.980498866213152</v>
      </c>
      <c r="Q149" s="15" t="n">
        <f aca="false">IF(J149*O149&gt;0,N149/(O149*J149),0)</f>
        <v>0.883160846438483</v>
      </c>
      <c r="R149" s="15" t="n">
        <f aca="false">IF(N149&gt;0,L149/N149,0)</f>
        <v>0.966674631673011</v>
      </c>
      <c r="S149" s="15" t="n">
        <f aca="false">P149*Q149*R149</f>
        <v>0.837080498866213</v>
      </c>
      <c r="T149" s="15" t="n">
        <f aca="false">IF(K149&gt;0,L149/K149,0)</f>
        <v>1.27082526486105</v>
      </c>
      <c r="U149" s="10" t="n">
        <v>897.7</v>
      </c>
      <c r="V149" s="5" t="n">
        <v>10</v>
      </c>
      <c r="W149" s="10" t="n">
        <v>74.7</v>
      </c>
      <c r="X149" s="15" t="n">
        <f aca="false">IF(U149&gt;0,W149/U149,0)</f>
        <v>0.0832126545616576</v>
      </c>
      <c r="Y149" s="12" t="n">
        <f aca="false">IF(U149&gt;0,L149/U149,0)</f>
        <v>328.976272696892</v>
      </c>
      <c r="Z149" s="16" t="n">
        <f aca="false">L149*INDEX(Parametros!$E$2:$E$9,MATCH($E149,Parametros!$A$2:$A$9,0))</f>
        <v>171286.76</v>
      </c>
      <c r="AA149" s="16" t="n">
        <f aca="false">Z149*INDEX(Parametros!$F$2:$F$9,MATCH($E149,Parametros!$A$2:$A$9,0))</f>
        <v>4796.02928</v>
      </c>
      <c r="AB149" s="17" t="n">
        <f aca="false">Z149+AA149</f>
        <v>176082.78928</v>
      </c>
      <c r="AC149" s="18" t="n">
        <v>176185.24</v>
      </c>
      <c r="AD149" s="17" t="n">
        <f aca="false">AC149-AB149</f>
        <v>102.450720000023</v>
      </c>
      <c r="AE149" s="17" t="n">
        <f aca="false">AA149+AD149</f>
        <v>4898.48000000002</v>
      </c>
      <c r="AF149" s="19" t="n">
        <f aca="false">IF(Z149&gt;0,AE149/Z149,0)</f>
        <v>0.0285981239881006</v>
      </c>
      <c r="AG149" s="16" t="n">
        <f aca="false">(U149-W149)*INDEX(Parametros!$H$2:$H$9,MATCH($E149,Parametros!$A$2:$A$9,0))+W149*INDEX(Parametros!$H$2:$H$9,MATCH($E149,Parametros!$A$2:$A$9,0))*Parametros!$N$3</f>
        <v>29454.075</v>
      </c>
      <c r="AH149" s="13" t="n">
        <v>15792</v>
      </c>
      <c r="AI149" s="16" t="n">
        <f aca="false">AH149*Parametros!$N$2</f>
        <v>1452.864</v>
      </c>
      <c r="AJ149" s="18" t="n">
        <v>6975</v>
      </c>
      <c r="AK149" s="18" t="n">
        <v>1341</v>
      </c>
      <c r="AL149" s="17" t="n">
        <f aca="false">AG149+AI149+AJ149+AK149</f>
        <v>39222.939</v>
      </c>
      <c r="AM149" s="20" t="n">
        <f aca="false">IF(L149&gt;0,AL149/L149,0)</f>
        <v>0.132814145238079</v>
      </c>
      <c r="AN149" s="16" t="n">
        <f aca="false">L149*INDEX(Parametros!$G$2:$G$9,MATCH($E149,Parametros!$A$2:$A$9,0))</f>
        <v>289415.56</v>
      </c>
      <c r="AO149" s="17" t="n">
        <f aca="false">AN149-AC149-AL149</f>
        <v>74007.381</v>
      </c>
      <c r="AP149" s="15" t="n">
        <f aca="false">IF(AN149&gt;0,AO149/AN149,0)</f>
        <v>0.255713206988595</v>
      </c>
      <c r="AQ149" s="16" t="n">
        <f aca="false">INDEX(Parametros!$I$2:$I$9,MATCH($E149,Parametros!$A$2:$A$9,0))</f>
        <v>17000000</v>
      </c>
      <c r="AR149" s="19" t="n">
        <f aca="false">IF(AQ149&gt;0,AO149/AQ149,0)</f>
        <v>0.00435337535294118</v>
      </c>
    </row>
    <row r="150" customFormat="false" ht="15" hidden="false" customHeight="false" outlineLevel="0" collapsed="false">
      <c r="A150" s="5" t="s">
        <v>285</v>
      </c>
      <c r="B150" s="9" t="n">
        <v>45677</v>
      </c>
      <c r="C150" s="2" t="str">
        <f aca="false">TEXT(B150,"yyyy")</f>
        <v>2025</v>
      </c>
      <c r="D150" s="2" t="n">
        <f aca="false">WEEKNUM(B150,2)</f>
        <v>4</v>
      </c>
      <c r="E150" s="5" t="s">
        <v>138</v>
      </c>
      <c r="F150" s="6" t="str">
        <f aca="false">INDEX(Parametros!$B$2:$B$9,MATCH($E150,Parametros!$A$2:$A$9,0))</f>
        <v>Queso crema</v>
      </c>
      <c r="G150" s="10" t="n">
        <v>127.9</v>
      </c>
      <c r="H150" s="10" t="n">
        <v>8.4</v>
      </c>
      <c r="I150" s="11" t="n">
        <f aca="false">SUMIFS(Eventos_Paro!$J$2:$J$2186,Eventos_Paro!$D$2:$D$2186,$E150,Eventos_Paro!$B$2:$B$2186,$B150)</f>
        <v>1.03333333333333</v>
      </c>
      <c r="J150" s="12" t="n">
        <f aca="false">G150-H150-I150</f>
        <v>118.466666666667</v>
      </c>
      <c r="K150" s="13" t="n">
        <v>349020</v>
      </c>
      <c r="L150" s="13" t="n">
        <v>338494</v>
      </c>
      <c r="M150" s="13" t="n">
        <v>15657</v>
      </c>
      <c r="N150" s="14" t="n">
        <f aca="false">L150+M150</f>
        <v>354151</v>
      </c>
      <c r="O150" s="11" t="n">
        <f aca="false">INDEX(Parametros!$D$2:$D$9,MATCH($E150,Parametros!$A$2:$A$9,0))</f>
        <v>3800</v>
      </c>
      <c r="P150" s="15" t="n">
        <f aca="false">IF((G150-H150)&gt;0,J150/(G150-H150),0)</f>
        <v>0.991352859135286</v>
      </c>
      <c r="Q150" s="15" t="n">
        <f aca="false">IF(J150*O150&gt;0,N150/(O150*J150),0)</f>
        <v>0.786699197346207</v>
      </c>
      <c r="R150" s="15" t="n">
        <f aca="false">IF(N150&gt;0,L150/N150,0)</f>
        <v>0.955790044359609</v>
      </c>
      <c r="S150" s="15" t="n">
        <f aca="false">P150*Q150*R150</f>
        <v>0.745417308962784</v>
      </c>
      <c r="T150" s="15" t="n">
        <f aca="false">IF(K150&gt;0,L150/K150,0)</f>
        <v>0.96984126984127</v>
      </c>
      <c r="U150" s="10" t="n">
        <v>1743.9</v>
      </c>
      <c r="V150" s="5" t="n">
        <v>13</v>
      </c>
      <c r="W150" s="10" t="n">
        <v>81.2</v>
      </c>
      <c r="X150" s="15" t="n">
        <f aca="false">IF(U150&gt;0,W150/U150,0)</f>
        <v>0.0465623028843397</v>
      </c>
      <c r="Y150" s="12" t="n">
        <f aca="false">IF(U150&gt;0,L150/U150,0)</f>
        <v>194.1017260164</v>
      </c>
      <c r="Z150" s="16" t="n">
        <f aca="false">L150*INDEX(Parametros!$E$2:$E$9,MATCH($E150,Parametros!$A$2:$A$9,0))</f>
        <v>379113.28</v>
      </c>
      <c r="AA150" s="16" t="n">
        <f aca="false">Z150*INDEX(Parametros!$F$2:$F$9,MATCH($E150,Parametros!$A$2:$A$9,0))</f>
        <v>13268.9648</v>
      </c>
      <c r="AB150" s="17" t="n">
        <f aca="false">Z150+AA150</f>
        <v>392382.2448</v>
      </c>
      <c r="AC150" s="18" t="n">
        <v>387890.38</v>
      </c>
      <c r="AD150" s="17" t="n">
        <f aca="false">AC150-AB150</f>
        <v>-4491.86480000004</v>
      </c>
      <c r="AE150" s="17" t="n">
        <f aca="false">AA150+AD150</f>
        <v>8777.09999999996</v>
      </c>
      <c r="AF150" s="19" t="n">
        <f aca="false">IF(Z150&gt;0,AE150/Z150,0)</f>
        <v>0.0231516553574698</v>
      </c>
      <c r="AG150" s="16" t="n">
        <f aca="false">(U150-W150)*INDEX(Parametros!$H$2:$H$9,MATCH($E150,Parametros!$A$2:$A$9,0))+W150*INDEX(Parametros!$H$2:$H$9,MATCH($E150,Parametros!$A$2:$A$9,0))*Parametros!$N$3</f>
        <v>58888.5</v>
      </c>
      <c r="AH150" s="13" t="n">
        <v>19079</v>
      </c>
      <c r="AI150" s="16" t="n">
        <f aca="false">AH150*Parametros!$N$2</f>
        <v>1755.268</v>
      </c>
      <c r="AJ150" s="18" t="n">
        <v>14993</v>
      </c>
      <c r="AK150" s="18" t="n">
        <v>895</v>
      </c>
      <c r="AL150" s="17" t="n">
        <f aca="false">AG150+AI150+AJ150+AK150</f>
        <v>76531.768</v>
      </c>
      <c r="AM150" s="20" t="n">
        <f aca="false">IF(L150&gt;0,AL150/L150,0)</f>
        <v>0.226094902716149</v>
      </c>
      <c r="AN150" s="16" t="n">
        <f aca="false">L150*INDEX(Parametros!$G$2:$G$9,MATCH($E150,Parametros!$A$2:$A$9,0))</f>
        <v>605904.26</v>
      </c>
      <c r="AO150" s="17" t="n">
        <f aca="false">AN150-AC150-AL150</f>
        <v>141482.112</v>
      </c>
      <c r="AP150" s="15" t="n">
        <f aca="false">IF(AN150&gt;0,AO150/AN150,0)</f>
        <v>0.23350572250474</v>
      </c>
      <c r="AQ150" s="16" t="n">
        <f aca="false">INDEX(Parametros!$I$2:$I$9,MATCH($E150,Parametros!$A$2:$A$9,0))</f>
        <v>33200000</v>
      </c>
      <c r="AR150" s="19" t="n">
        <f aca="false">IF(AQ150&gt;0,AO150/AQ150,0)</f>
        <v>0.00426150939759036</v>
      </c>
    </row>
    <row r="151" customFormat="false" ht="15" hidden="false" customHeight="false" outlineLevel="0" collapsed="false">
      <c r="A151" s="5" t="s">
        <v>286</v>
      </c>
      <c r="B151" s="9" t="n">
        <v>45677</v>
      </c>
      <c r="C151" s="2" t="str">
        <f aca="false">TEXT(B151,"yyyy")</f>
        <v>2025</v>
      </c>
      <c r="D151" s="2" t="n">
        <f aca="false">WEEKNUM(B151,2)</f>
        <v>4</v>
      </c>
      <c r="E151" s="5" t="s">
        <v>140</v>
      </c>
      <c r="F151" s="6" t="str">
        <f aca="false">INDEX(Parametros!$B$2:$B$9,MATCH($E151,Parametros!$A$2:$A$9,0))</f>
        <v>Crema de cacahuate</v>
      </c>
      <c r="G151" s="10" t="n">
        <v>109.3</v>
      </c>
      <c r="H151" s="10" t="n">
        <v>7</v>
      </c>
      <c r="I151" s="11" t="n">
        <f aca="false">SUMIFS(Eventos_Paro!$J$2:$J$2186,Eventos_Paro!$D$2:$D$2186,$E151,Eventos_Paro!$B$2:$B$2186,$B151)</f>
        <v>1.76666666666667</v>
      </c>
      <c r="J151" s="12" t="n">
        <f aca="false">G151-H151-I151</f>
        <v>100.533333333333</v>
      </c>
      <c r="K151" s="13" t="n">
        <v>330236</v>
      </c>
      <c r="L151" s="13" t="n">
        <v>354743</v>
      </c>
      <c r="M151" s="13" t="n">
        <v>9967</v>
      </c>
      <c r="N151" s="14" t="n">
        <f aca="false">L151+M151</f>
        <v>364710</v>
      </c>
      <c r="O151" s="11" t="n">
        <f aca="false">INDEX(Parametros!$D$2:$D$9,MATCH($E151,Parametros!$A$2:$A$9,0))</f>
        <v>4200</v>
      </c>
      <c r="P151" s="15" t="n">
        <f aca="false">IF((G151-H151)&gt;0,J151/(G151-H151),0)</f>
        <v>0.982730531117628</v>
      </c>
      <c r="Q151" s="15" t="n">
        <f aca="false">IF(J151*O151&gt;0,N151/(O151*J151),0)</f>
        <v>0.863750473664267</v>
      </c>
      <c r="R151" s="15" t="n">
        <f aca="false">IF(N151&gt;0,L151/N151,0)</f>
        <v>0.972671437580543</v>
      </c>
      <c r="S151" s="15" t="n">
        <f aca="false">P151*Q151*R151</f>
        <v>0.825636549830098</v>
      </c>
      <c r="T151" s="15" t="n">
        <f aca="false">IF(K151&gt;0,L151/K151,0)</f>
        <v>1.07421056456595</v>
      </c>
      <c r="U151" s="10" t="n">
        <v>1550.3</v>
      </c>
      <c r="V151" s="5" t="n">
        <v>13</v>
      </c>
      <c r="W151" s="10" t="n">
        <v>129.4</v>
      </c>
      <c r="X151" s="15" t="n">
        <f aca="false">IF(U151&gt;0,W151/U151,0)</f>
        <v>0.0834677159259498</v>
      </c>
      <c r="Y151" s="12" t="n">
        <f aca="false">IF(U151&gt;0,L151/U151,0)</f>
        <v>228.822163452235</v>
      </c>
      <c r="Z151" s="16" t="n">
        <f aca="false">L151*INDEX(Parametros!$E$2:$E$9,MATCH($E151,Parametros!$A$2:$A$9,0))</f>
        <v>344100.71</v>
      </c>
      <c r="AA151" s="16" t="n">
        <f aca="false">Z151*INDEX(Parametros!$F$2:$F$9,MATCH($E151,Parametros!$A$2:$A$9,0))</f>
        <v>7570.21562</v>
      </c>
      <c r="AB151" s="17" t="n">
        <f aca="false">Z151+AA151</f>
        <v>351670.92562</v>
      </c>
      <c r="AC151" s="18" t="n">
        <v>355084.47</v>
      </c>
      <c r="AD151" s="17" t="n">
        <f aca="false">AC151-AB151</f>
        <v>3413.54438000004</v>
      </c>
      <c r="AE151" s="17" t="n">
        <f aca="false">AA151+AD151</f>
        <v>10983.76</v>
      </c>
      <c r="AF151" s="19" t="n">
        <f aca="false">IF(Z151&gt;0,AE151/Z151,0)</f>
        <v>0.0319201898769696</v>
      </c>
      <c r="AG151" s="16" t="n">
        <f aca="false">(U151-W151)*INDEX(Parametros!$H$2:$H$9,MATCH($E151,Parametros!$A$2:$A$9,0))+W151*INDEX(Parametros!$H$2:$H$9,MATCH($E151,Parametros!$A$2:$A$9,0))*Parametros!$N$3</f>
        <v>50872.5</v>
      </c>
      <c r="AH151" s="13" t="n">
        <v>19903</v>
      </c>
      <c r="AI151" s="16" t="n">
        <f aca="false">AH151*Parametros!$N$2</f>
        <v>1831.076</v>
      </c>
      <c r="AJ151" s="18" t="n">
        <v>11801</v>
      </c>
      <c r="AK151" s="18" t="n">
        <v>781</v>
      </c>
      <c r="AL151" s="17" t="n">
        <f aca="false">AG151+AI151+AJ151+AK151</f>
        <v>65285.576</v>
      </c>
      <c r="AM151" s="20" t="n">
        <f aca="false">IF(L151&gt;0,AL151/L151,0)</f>
        <v>0.184036262871995</v>
      </c>
      <c r="AN151" s="16" t="n">
        <f aca="false">L151*INDEX(Parametros!$G$2:$G$9,MATCH($E151,Parametros!$A$2:$A$9,0))</f>
        <v>574683.66</v>
      </c>
      <c r="AO151" s="17" t="n">
        <f aca="false">AN151-AC151-AL151</f>
        <v>154313.614</v>
      </c>
      <c r="AP151" s="15" t="n">
        <f aca="false">IF(AN151&gt;0,AO151/AN151,0)</f>
        <v>0.268519230214411</v>
      </c>
      <c r="AQ151" s="16" t="n">
        <f aca="false">INDEX(Parametros!$I$2:$I$9,MATCH($E151,Parametros!$A$2:$A$9,0))</f>
        <v>28000000</v>
      </c>
      <c r="AR151" s="19" t="n">
        <f aca="false">IF(AQ151&gt;0,AO151/AQ151,0)</f>
        <v>0.0055112005</v>
      </c>
    </row>
    <row r="152" customFormat="false" ht="15" hidden="false" customHeight="false" outlineLevel="0" collapsed="false">
      <c r="A152" s="5" t="s">
        <v>287</v>
      </c>
      <c r="B152" s="9" t="n">
        <v>45677</v>
      </c>
      <c r="C152" s="2" t="str">
        <f aca="false">TEXT(B152,"yyyy")</f>
        <v>2025</v>
      </c>
      <c r="D152" s="2" t="n">
        <f aca="false">WEEKNUM(B152,2)</f>
        <v>4</v>
      </c>
      <c r="E152" s="5" t="s">
        <v>142</v>
      </c>
      <c r="F152" s="6" t="str">
        <f aca="false">INDEX(Parametros!$B$2:$B$9,MATCH($E152,Parametros!$A$2:$A$9,0))</f>
        <v>Porciones single serve</v>
      </c>
      <c r="G152" s="10" t="n">
        <v>119.9</v>
      </c>
      <c r="H152" s="10" t="n">
        <v>5.8</v>
      </c>
      <c r="I152" s="11" t="n">
        <f aca="false">SUMIFS(Eventos_Paro!$J$2:$J$2186,Eventos_Paro!$D$2:$D$2186,$E152,Eventos_Paro!$B$2:$B$2186,$B152)</f>
        <v>5.58333333333333</v>
      </c>
      <c r="J152" s="12" t="n">
        <f aca="false">G152-H152-I152</f>
        <v>108.516666666667</v>
      </c>
      <c r="K152" s="13" t="n">
        <v>228012</v>
      </c>
      <c r="L152" s="13" t="n">
        <v>183548</v>
      </c>
      <c r="M152" s="13" t="n">
        <v>9388</v>
      </c>
      <c r="N152" s="14" t="n">
        <f aca="false">L152+M152</f>
        <v>192936</v>
      </c>
      <c r="O152" s="11" t="n">
        <f aca="false">INDEX(Parametros!$D$2:$D$9,MATCH($E152,Parametros!$A$2:$A$9,0))</f>
        <v>2600</v>
      </c>
      <c r="P152" s="15" t="n">
        <f aca="false">IF((G152-H152)&gt;0,J152/(G152-H152),0)</f>
        <v>0.951066316096991</v>
      </c>
      <c r="Q152" s="15" t="n">
        <f aca="false">IF(J152*O152&gt;0,N152/(O152*J152),0)</f>
        <v>0.683822643337311</v>
      </c>
      <c r="R152" s="15" t="n">
        <f aca="false">IF(N152&gt;0,L152/N152,0)</f>
        <v>0.95134137745159</v>
      </c>
      <c r="S152" s="15" t="n">
        <f aca="false">P152*Q152*R152</f>
        <v>0.618715027303984</v>
      </c>
      <c r="T152" s="15" t="n">
        <f aca="false">IF(K152&gt;0,L152/K152,0)</f>
        <v>0.80499271968142</v>
      </c>
      <c r="U152" s="10" t="n">
        <v>2144.5</v>
      </c>
      <c r="V152" s="5" t="n">
        <v>17</v>
      </c>
      <c r="W152" s="10" t="n">
        <v>106.2</v>
      </c>
      <c r="X152" s="15" t="n">
        <f aca="false">IF(U152&gt;0,W152/U152,0)</f>
        <v>0.0495220331079506</v>
      </c>
      <c r="Y152" s="12" t="n">
        <f aca="false">IF(U152&gt;0,L152/U152,0)</f>
        <v>85.5901142457449</v>
      </c>
      <c r="Z152" s="16" t="n">
        <f aca="false">L152*INDEX(Parametros!$E$2:$E$9,MATCH($E152,Parametros!$A$2:$A$9,0))</f>
        <v>135825.52</v>
      </c>
      <c r="AA152" s="16" t="n">
        <f aca="false">Z152*INDEX(Parametros!$F$2:$F$9,MATCH($E152,Parametros!$A$2:$A$9,0))</f>
        <v>6112.1484</v>
      </c>
      <c r="AB152" s="17" t="n">
        <f aca="false">Z152+AA152</f>
        <v>141937.6684</v>
      </c>
      <c r="AC152" s="18" t="n">
        <v>142909.88</v>
      </c>
      <c r="AD152" s="17" t="n">
        <f aca="false">AC152-AB152</f>
        <v>972.21160000001</v>
      </c>
      <c r="AE152" s="17" t="n">
        <f aca="false">AA152+AD152</f>
        <v>7084.36000000001</v>
      </c>
      <c r="AF152" s="19" t="n">
        <f aca="false">IF(Z152&gt;0,AE152/Z152,0)</f>
        <v>0.0521577977393351</v>
      </c>
      <c r="AG152" s="16" t="n">
        <f aca="false">(U152-W152)*INDEX(Parametros!$H$2:$H$9,MATCH($E152,Parametros!$A$2:$A$9,0))+W152*INDEX(Parametros!$H$2:$H$9,MATCH($E152,Parametros!$A$2:$A$9,0))*Parametros!$N$3</f>
        <v>65928</v>
      </c>
      <c r="AH152" s="13" t="n">
        <v>10420</v>
      </c>
      <c r="AI152" s="16" t="n">
        <f aca="false">AH152*Parametros!$N$2</f>
        <v>958.64</v>
      </c>
      <c r="AJ152" s="18" t="n">
        <v>12134</v>
      </c>
      <c r="AK152" s="18" t="n">
        <v>5015</v>
      </c>
      <c r="AL152" s="17" t="n">
        <f aca="false">AG152+AI152+AJ152+AK152</f>
        <v>84035.64</v>
      </c>
      <c r="AM152" s="20" t="n">
        <f aca="false">IF(L152&gt;0,AL152/L152,0)</f>
        <v>0.457840129012574</v>
      </c>
      <c r="AN152" s="16" t="n">
        <f aca="false">L152*INDEX(Parametros!$G$2:$G$9,MATCH($E152,Parametros!$A$2:$A$9,0))</f>
        <v>315702.56</v>
      </c>
      <c r="AO152" s="17" t="n">
        <f aca="false">AN152-AC152-AL152</f>
        <v>88757.04</v>
      </c>
      <c r="AP152" s="15" t="n">
        <f aca="false">IF(AN152&gt;0,AO152/AN152,0)</f>
        <v>0.281141337593208</v>
      </c>
      <c r="AQ152" s="16" t="n">
        <f aca="false">INDEX(Parametros!$I$2:$I$9,MATCH($E152,Parametros!$A$2:$A$9,0))</f>
        <v>15900000</v>
      </c>
      <c r="AR152" s="19" t="n">
        <f aca="false">IF(AQ152&gt;0,AO152/AQ152,0)</f>
        <v>0.00558220377358491</v>
      </c>
    </row>
    <row r="153" customFormat="false" ht="15" hidden="false" customHeight="false" outlineLevel="0" collapsed="false">
      <c r="A153" s="5" t="s">
        <v>288</v>
      </c>
      <c r="B153" s="9" t="n">
        <v>45677</v>
      </c>
      <c r="C153" s="2" t="str">
        <f aca="false">TEXT(B153,"yyyy")</f>
        <v>2025</v>
      </c>
      <c r="D153" s="2" t="n">
        <f aca="false">WEEKNUM(B153,2)</f>
        <v>4</v>
      </c>
      <c r="E153" s="5" t="s">
        <v>144</v>
      </c>
      <c r="F153" s="6" t="str">
        <f aca="false">INDEX(Parametros!$B$2:$B$9,MATCH($E153,Parametros!$A$2:$A$9,0))</f>
        <v>Salsas picantes</v>
      </c>
      <c r="G153" s="10" t="n">
        <v>113.2</v>
      </c>
      <c r="H153" s="10" t="n">
        <v>5.9</v>
      </c>
      <c r="I153" s="11" t="n">
        <f aca="false">SUMIFS(Eventos_Paro!$J$2:$J$2186,Eventos_Paro!$D$2:$D$2186,$E153,Eventos_Paro!$B$2:$B$2186,$B153)</f>
        <v>1.38333333333333</v>
      </c>
      <c r="J153" s="12" t="n">
        <f aca="false">G153-H153-I153</f>
        <v>105.916666666667</v>
      </c>
      <c r="K153" s="13" t="n">
        <v>281625</v>
      </c>
      <c r="L153" s="13" t="n">
        <v>260436</v>
      </c>
      <c r="M153" s="13" t="n">
        <v>9172</v>
      </c>
      <c r="N153" s="14" t="n">
        <f aca="false">L153+M153</f>
        <v>269608</v>
      </c>
      <c r="O153" s="11" t="n">
        <f aca="false">INDEX(Parametros!$D$2:$D$9,MATCH($E153,Parametros!$A$2:$A$9,0))</f>
        <v>3100</v>
      </c>
      <c r="P153" s="15" t="n">
        <f aca="false">IF((G153-H153)&gt;0,J153/(G153-H153),0)</f>
        <v>0.987107797452625</v>
      </c>
      <c r="Q153" s="15" t="n">
        <f aca="false">IF(J153*O153&gt;0,N153/(O153*J153),0)</f>
        <v>0.821120276135124</v>
      </c>
      <c r="R153" s="15" t="n">
        <f aca="false">IF(N153&gt;0,L153/N153,0)</f>
        <v>0.965980237975134</v>
      </c>
      <c r="S153" s="15" t="n">
        <f aca="false">P153*Q153*R153</f>
        <v>0.78296004569642</v>
      </c>
      <c r="T153" s="15" t="n">
        <f aca="false">IF(K153&gt;0,L153/K153,0)</f>
        <v>0.924761651131824</v>
      </c>
      <c r="U153" s="10" t="n">
        <v>1018.8</v>
      </c>
      <c r="V153" s="5" t="n">
        <v>9</v>
      </c>
      <c r="W153" s="10" t="n">
        <v>0</v>
      </c>
      <c r="X153" s="15" t="n">
        <f aca="false">IF(U153&gt;0,W153/U153,0)</f>
        <v>0</v>
      </c>
      <c r="Y153" s="12" t="n">
        <f aca="false">IF(U153&gt;0,L153/U153,0)</f>
        <v>255.630153121319</v>
      </c>
      <c r="Z153" s="16" t="n">
        <f aca="false">L153*INDEX(Parametros!$E$2:$E$9,MATCH($E153,Parametros!$A$2:$A$9,0))</f>
        <v>171887.76</v>
      </c>
      <c r="AA153" s="16" t="n">
        <f aca="false">Z153*INDEX(Parametros!$F$2:$F$9,MATCH($E153,Parametros!$A$2:$A$9,0))</f>
        <v>4469.08176</v>
      </c>
      <c r="AB153" s="17" t="n">
        <f aca="false">Z153+AA153</f>
        <v>176356.84176</v>
      </c>
      <c r="AC153" s="18" t="n">
        <v>175135.77</v>
      </c>
      <c r="AD153" s="17" t="n">
        <f aca="false">AC153-AB153</f>
        <v>-1221.07176000002</v>
      </c>
      <c r="AE153" s="17" t="n">
        <f aca="false">AA153+AD153</f>
        <v>3248.00999999998</v>
      </c>
      <c r="AF153" s="19" t="n">
        <f aca="false">IF(Z153&gt;0,AE153/Z153,0)</f>
        <v>0.0188961098800751</v>
      </c>
      <c r="AG153" s="16" t="n">
        <f aca="false">(U153-W153)*INDEX(Parametros!$H$2:$H$9,MATCH($E153,Parametros!$A$2:$A$9,0))+W153*INDEX(Parametros!$H$2:$H$9,MATCH($E153,Parametros!$A$2:$A$9,0))*Parametros!$N$3</f>
        <v>32092.2</v>
      </c>
      <c r="AH153" s="13" t="n">
        <v>13067</v>
      </c>
      <c r="AI153" s="16" t="n">
        <f aca="false">AH153*Parametros!$N$2</f>
        <v>1202.164</v>
      </c>
      <c r="AJ153" s="18" t="n">
        <v>6651</v>
      </c>
      <c r="AK153" s="18" t="n">
        <v>487</v>
      </c>
      <c r="AL153" s="17" t="n">
        <f aca="false">AG153+AI153+AJ153+AK153</f>
        <v>40432.364</v>
      </c>
      <c r="AM153" s="20" t="n">
        <f aca="false">IF(L153&gt;0,AL153/L153,0)</f>
        <v>0.155248752092645</v>
      </c>
      <c r="AN153" s="16" t="n">
        <f aca="false">L153*INDEX(Parametros!$G$2:$G$9,MATCH($E153,Parametros!$A$2:$A$9,0))</f>
        <v>325545</v>
      </c>
      <c r="AO153" s="17" t="n">
        <f aca="false">AN153-AC153-AL153</f>
        <v>109976.866</v>
      </c>
      <c r="AP153" s="15" t="n">
        <f aca="false">IF(AN153&gt;0,AO153/AN153,0)</f>
        <v>0.337823852309205</v>
      </c>
      <c r="AQ153" s="16" t="n">
        <f aca="false">INDEX(Parametros!$I$2:$I$9,MATCH($E153,Parametros!$A$2:$A$9,0))</f>
        <v>13300000</v>
      </c>
      <c r="AR153" s="19" t="n">
        <f aca="false">IF(AQ153&gt;0,AO153/AQ153,0)</f>
        <v>0.00826893729323308</v>
      </c>
    </row>
    <row r="154" customFormat="false" ht="15" hidden="false" customHeight="false" outlineLevel="0" collapsed="false">
      <c r="A154" s="5" t="s">
        <v>289</v>
      </c>
      <c r="B154" s="9" t="n">
        <v>45684</v>
      </c>
      <c r="C154" s="2" t="str">
        <f aca="false">TEXT(B154,"yyyy")</f>
        <v>2025</v>
      </c>
      <c r="D154" s="2" t="n">
        <f aca="false">WEEKNUM(B154,2)</f>
        <v>5</v>
      </c>
      <c r="E154" s="5" t="s">
        <v>130</v>
      </c>
      <c r="F154" s="6" t="str">
        <f aca="false">INDEX(Parametros!$B$2:$B$9,MATCH($E154,Parametros!$A$2:$A$9,0))</f>
        <v>Ketchup botella</v>
      </c>
      <c r="G154" s="10" t="n">
        <v>117.9</v>
      </c>
      <c r="H154" s="10" t="n">
        <v>6.2</v>
      </c>
      <c r="I154" s="11" t="n">
        <f aca="false">SUMIFS(Eventos_Paro!$J$2:$J$2186,Eventos_Paro!$D$2:$D$2186,$E154,Eventos_Paro!$B$2:$B$2186,$B154)</f>
        <v>0.4</v>
      </c>
      <c r="J154" s="12" t="n">
        <f aca="false">G154-H154-I154</f>
        <v>111.3</v>
      </c>
      <c r="K154" s="13" t="n">
        <v>773645</v>
      </c>
      <c r="L154" s="13" t="n">
        <v>885526</v>
      </c>
      <c r="M154" s="13" t="n">
        <v>22182</v>
      </c>
      <c r="N154" s="14" t="n">
        <f aca="false">L154+M154</f>
        <v>907708</v>
      </c>
      <c r="O154" s="11" t="n">
        <f aca="false">INDEX(Parametros!$D$2:$D$9,MATCH($E154,Parametros!$A$2:$A$9,0))</f>
        <v>9000</v>
      </c>
      <c r="P154" s="15" t="n">
        <f aca="false">IF((G154-H154)&gt;0,J154/(G154-H154),0)</f>
        <v>0.996418979409132</v>
      </c>
      <c r="Q154" s="15" t="n">
        <f aca="false">IF(J154*O154&gt;0,N154/(O154*J154),0)</f>
        <v>0.906167515224119</v>
      </c>
      <c r="R154" s="15" t="n">
        <f aca="false">IF(N154&gt;0,L154/N154,0)</f>
        <v>0.975562625866468</v>
      </c>
      <c r="S154" s="15" t="n">
        <f aca="false">P154*Q154*R154</f>
        <v>0.880857455485925</v>
      </c>
      <c r="T154" s="15" t="n">
        <f aca="false">IF(K154&gt;0,L154/K154,0)</f>
        <v>1.14461542438715</v>
      </c>
      <c r="U154" s="10" t="n">
        <v>1854.6</v>
      </c>
      <c r="V154" s="5" t="n">
        <v>14</v>
      </c>
      <c r="W154" s="10" t="n">
        <v>204</v>
      </c>
      <c r="X154" s="15" t="n">
        <f aca="false">IF(U154&gt;0,W154/U154,0)</f>
        <v>0.109996764801035</v>
      </c>
      <c r="Y154" s="12" t="n">
        <f aca="false">IF(U154&gt;0,L154/U154,0)</f>
        <v>477.475466407851</v>
      </c>
      <c r="Z154" s="16" t="n">
        <f aca="false">L154*INDEX(Parametros!$E$2:$E$9,MATCH($E154,Parametros!$A$2:$A$9,0))</f>
        <v>371920.92</v>
      </c>
      <c r="AA154" s="16" t="n">
        <f aca="false">Z154*INDEX(Parametros!$F$2:$F$9,MATCH($E154,Parametros!$A$2:$A$9,0))</f>
        <v>7438.4184</v>
      </c>
      <c r="AB154" s="17" t="n">
        <f aca="false">Z154+AA154</f>
        <v>379359.3384</v>
      </c>
      <c r="AC154" s="18" t="n">
        <v>375767.51</v>
      </c>
      <c r="AD154" s="17" t="n">
        <f aca="false">AC154-AB154</f>
        <v>-3591.8284</v>
      </c>
      <c r="AE154" s="17" t="n">
        <f aca="false">AA154+AD154</f>
        <v>3846.59</v>
      </c>
      <c r="AF154" s="19" t="n">
        <f aca="false">IF(Z154&gt;0,AE154/Z154,0)</f>
        <v>0.0103424943130384</v>
      </c>
      <c r="AG154" s="16" t="n">
        <f aca="false">(U154-W154)*INDEX(Parametros!$H$2:$H$9,MATCH($E154,Parametros!$A$2:$A$9,0))+W154*INDEX(Parametros!$H$2:$H$9,MATCH($E154,Parametros!$A$2:$A$9,0))*Parametros!$N$3</f>
        <v>61632.9</v>
      </c>
      <c r="AH154" s="13" t="n">
        <v>45408</v>
      </c>
      <c r="AI154" s="16" t="n">
        <f aca="false">AH154*Parametros!$N$2</f>
        <v>4177.536</v>
      </c>
      <c r="AJ154" s="18" t="n">
        <v>13500</v>
      </c>
      <c r="AK154" s="18" t="n">
        <v>288</v>
      </c>
      <c r="AL154" s="17" t="n">
        <f aca="false">AG154+AI154+AJ154+AK154</f>
        <v>79598.436</v>
      </c>
      <c r="AM154" s="20" t="n">
        <f aca="false">IF(L154&gt;0,AL154/L154,0)</f>
        <v>0.0898883104505119</v>
      </c>
      <c r="AN154" s="16" t="n">
        <f aca="false">L154*INDEX(Parametros!$G$2:$G$9,MATCH($E154,Parametros!$A$2:$A$9,0))</f>
        <v>628723.46</v>
      </c>
      <c r="AO154" s="17" t="n">
        <f aca="false">AN154-AC154-AL154</f>
        <v>173357.514</v>
      </c>
      <c r="AP154" s="15" t="n">
        <f aca="false">IF(AN154&gt;0,AO154/AN154,0)</f>
        <v>0.27572935484227</v>
      </c>
      <c r="AQ154" s="16" t="n">
        <f aca="false">INDEX(Parametros!$I$2:$I$9,MATCH($E154,Parametros!$A$2:$A$9,0))</f>
        <v>29300000</v>
      </c>
      <c r="AR154" s="19" t="n">
        <f aca="false">IF(AQ154&gt;0,AO154/AQ154,0)</f>
        <v>0.00591663870307167</v>
      </c>
    </row>
    <row r="155" customFormat="false" ht="15" hidden="false" customHeight="false" outlineLevel="0" collapsed="false">
      <c r="A155" s="5" t="s">
        <v>290</v>
      </c>
      <c r="B155" s="9" t="n">
        <v>45684</v>
      </c>
      <c r="C155" s="2" t="str">
        <f aca="false">TEXT(B155,"yyyy")</f>
        <v>2025</v>
      </c>
      <c r="D155" s="2" t="n">
        <f aca="false">WEEKNUM(B155,2)</f>
        <v>5</v>
      </c>
      <c r="E155" s="5" t="s">
        <v>132</v>
      </c>
      <c r="F155" s="6" t="str">
        <f aca="false">INDEX(Parametros!$B$2:$B$9,MATCH($E155,Parametros!$A$2:$A$9,0))</f>
        <v>Mayonesa frasco</v>
      </c>
      <c r="G155" s="10" t="n">
        <v>121</v>
      </c>
      <c r="H155" s="10" t="n">
        <v>7.8</v>
      </c>
      <c r="I155" s="11" t="n">
        <f aca="false">SUMIFS(Eventos_Paro!$J$2:$J$2186,Eventos_Paro!$D$2:$D$2186,$E155,Eventos_Paro!$B$2:$B$2186,$B155)</f>
        <v>3.28333333333333</v>
      </c>
      <c r="J155" s="12" t="n">
        <f aca="false">G155-H155-I155</f>
        <v>109.916666666667</v>
      </c>
      <c r="K155" s="13" t="n">
        <v>566247</v>
      </c>
      <c r="L155" s="13" t="n">
        <v>580258</v>
      </c>
      <c r="M155" s="13" t="n">
        <v>14677</v>
      </c>
      <c r="N155" s="14" t="n">
        <f aca="false">L155+M155</f>
        <v>594935</v>
      </c>
      <c r="O155" s="11" t="n">
        <f aca="false">INDEX(Parametros!$D$2:$D$9,MATCH($E155,Parametros!$A$2:$A$9,0))</f>
        <v>6500</v>
      </c>
      <c r="P155" s="15" t="n">
        <f aca="false">IF((G155-H155)&gt;0,J155/(G155-H155),0)</f>
        <v>0.970995288574794</v>
      </c>
      <c r="Q155" s="15" t="n">
        <f aca="false">IF(J155*O155&gt;0,N155/(O155*J155),0)</f>
        <v>0.83270776229078</v>
      </c>
      <c r="R155" s="15" t="n">
        <f aca="false">IF(N155&gt;0,L155/N155,0)</f>
        <v>0.975330078075756</v>
      </c>
      <c r="S155" s="15" t="n">
        <f aca="false">P155*Q155*R155</f>
        <v>0.788608317477575</v>
      </c>
      <c r="T155" s="15" t="n">
        <f aca="false">IF(K155&gt;0,L155/K155,0)</f>
        <v>1.02474361895074</v>
      </c>
      <c r="U155" s="10" t="n">
        <v>1653.7</v>
      </c>
      <c r="V155" s="5" t="n">
        <v>13</v>
      </c>
      <c r="W155" s="10" t="n">
        <v>80.7</v>
      </c>
      <c r="X155" s="15" t="n">
        <f aca="false">IF(U155&gt;0,W155/U155,0)</f>
        <v>0.048799661365423</v>
      </c>
      <c r="Y155" s="12" t="n">
        <f aca="false">IF(U155&gt;0,L155/U155,0)</f>
        <v>350.884682832436</v>
      </c>
      <c r="Z155" s="16" t="n">
        <f aca="false">L155*INDEX(Parametros!$E$2:$E$9,MATCH($E155,Parametros!$A$2:$A$9,0))</f>
        <v>353957.38</v>
      </c>
      <c r="AA155" s="16" t="n">
        <f aca="false">Z155*INDEX(Parametros!$F$2:$F$9,MATCH($E155,Parametros!$A$2:$A$9,0))</f>
        <v>8848.9345</v>
      </c>
      <c r="AB155" s="17" t="n">
        <f aca="false">Z155+AA155</f>
        <v>362806.3145</v>
      </c>
      <c r="AC155" s="18" t="n">
        <v>361678.74</v>
      </c>
      <c r="AD155" s="17" t="n">
        <f aca="false">AC155-AB155</f>
        <v>-1127.57449999999</v>
      </c>
      <c r="AE155" s="17" t="n">
        <f aca="false">AA155+AD155</f>
        <v>7721.36000000001</v>
      </c>
      <c r="AF155" s="19" t="n">
        <f aca="false">IF(Z155&gt;0,AE155/Z155,0)</f>
        <v>0.0218143777649163</v>
      </c>
      <c r="AG155" s="16" t="n">
        <f aca="false">(U155-W155)*INDEX(Parametros!$H$2:$H$9,MATCH($E155,Parametros!$A$2:$A$9,0))+W155*INDEX(Parametros!$H$2:$H$9,MATCH($E155,Parametros!$A$2:$A$9,0))*Parametros!$N$3</f>
        <v>53362.575</v>
      </c>
      <c r="AH155" s="13" t="n">
        <v>30078</v>
      </c>
      <c r="AI155" s="16" t="n">
        <f aca="false">AH155*Parametros!$N$2</f>
        <v>2767.176</v>
      </c>
      <c r="AJ155" s="18" t="n">
        <v>13404</v>
      </c>
      <c r="AK155" s="18" t="n">
        <v>3380</v>
      </c>
      <c r="AL155" s="17" t="n">
        <f aca="false">AG155+AI155+AJ155+AK155</f>
        <v>72913.751</v>
      </c>
      <c r="AM155" s="20" t="n">
        <f aca="false">IF(L155&gt;0,AL155/L155,0)</f>
        <v>0.125657467884975</v>
      </c>
      <c r="AN155" s="16" t="n">
        <f aca="false">L155*INDEX(Parametros!$G$2:$G$9,MATCH($E155,Parametros!$A$2:$A$9,0))</f>
        <v>557047.68</v>
      </c>
      <c r="AO155" s="17" t="n">
        <f aca="false">AN155-AC155-AL155</f>
        <v>122455.189</v>
      </c>
      <c r="AP155" s="15" t="n">
        <f aca="false">IF(AN155&gt;0,AO155/AN155,0)</f>
        <v>0.219828918415027</v>
      </c>
      <c r="AQ155" s="16" t="n">
        <f aca="false">INDEX(Parametros!$I$2:$I$9,MATCH($E155,Parametros!$A$2:$A$9,0))</f>
        <v>29700000</v>
      </c>
      <c r="AR155" s="19" t="n">
        <f aca="false">IF(AQ155&gt;0,AO155/AQ155,0)</f>
        <v>0.00412307033670034</v>
      </c>
    </row>
    <row r="156" customFormat="false" ht="15" hidden="false" customHeight="false" outlineLevel="0" collapsed="false">
      <c r="A156" s="5" t="s">
        <v>291</v>
      </c>
      <c r="B156" s="9" t="n">
        <v>45684</v>
      </c>
      <c r="C156" s="2" t="str">
        <f aca="false">TEXT(B156,"yyyy")</f>
        <v>2025</v>
      </c>
      <c r="D156" s="2" t="n">
        <f aca="false">WEEKNUM(B156,2)</f>
        <v>5</v>
      </c>
      <c r="E156" s="5" t="s">
        <v>134</v>
      </c>
      <c r="F156" s="6" t="str">
        <f aca="false">INDEX(Parametros!$B$2:$B$9,MATCH($E156,Parametros!$A$2:$A$9,0))</f>
        <v>Aderezos vertibles</v>
      </c>
      <c r="G156" s="10" t="n">
        <v>107.9</v>
      </c>
      <c r="H156" s="10" t="n">
        <v>5.9</v>
      </c>
      <c r="I156" s="11" t="n">
        <f aca="false">SUMIFS(Eventos_Paro!$J$2:$J$2186,Eventos_Paro!$D$2:$D$2186,$E156,Eventos_Paro!$B$2:$B$2186,$B156)</f>
        <v>3.55</v>
      </c>
      <c r="J156" s="12" t="n">
        <f aca="false">G156-H156-I156</f>
        <v>98.45</v>
      </c>
      <c r="K156" s="13" t="n">
        <v>408178</v>
      </c>
      <c r="L156" s="13" t="n">
        <v>416122</v>
      </c>
      <c r="M156" s="13" t="n">
        <v>11682</v>
      </c>
      <c r="N156" s="14" t="n">
        <f aca="false">L156+M156</f>
        <v>427804</v>
      </c>
      <c r="O156" s="11" t="n">
        <f aca="false">INDEX(Parametros!$D$2:$D$9,MATCH($E156,Parametros!$A$2:$A$9,0))</f>
        <v>5200</v>
      </c>
      <c r="P156" s="15" t="n">
        <f aca="false">IF((G156-H156)&gt;0,J156/(G156-H156),0)</f>
        <v>0.965196078431373</v>
      </c>
      <c r="Q156" s="15" t="n">
        <f aca="false">IF(J156*O156&gt;0,N156/(O156*J156),0)</f>
        <v>0.835652615540884</v>
      </c>
      <c r="R156" s="15" t="n">
        <f aca="false">IF(N156&gt;0,L156/N156,0)</f>
        <v>0.972693102448785</v>
      </c>
      <c r="S156" s="15" t="n">
        <f aca="false">P156*Q156*R156</f>
        <v>0.784543740573152</v>
      </c>
      <c r="T156" s="15" t="n">
        <f aca="false">IF(K156&gt;0,L156/K156,0)</f>
        <v>1.01946209741828</v>
      </c>
      <c r="U156" s="10" t="n">
        <v>1474.4</v>
      </c>
      <c r="V156" s="5" t="n">
        <v>13</v>
      </c>
      <c r="W156" s="10" t="n">
        <v>71.7</v>
      </c>
      <c r="X156" s="15" t="n">
        <f aca="false">IF(U156&gt;0,W156/U156,0)</f>
        <v>0.0486299511665762</v>
      </c>
      <c r="Y156" s="12" t="n">
        <f aca="false">IF(U156&gt;0,L156/U156,0)</f>
        <v>282.231416169289</v>
      </c>
      <c r="Z156" s="16" t="n">
        <f aca="false">L156*INDEX(Parametros!$E$2:$E$9,MATCH($E156,Parametros!$A$2:$A$9,0))</f>
        <v>228867.1</v>
      </c>
      <c r="AA156" s="16" t="n">
        <f aca="false">Z156*INDEX(Parametros!$F$2:$F$9,MATCH($E156,Parametros!$A$2:$A$9,0))</f>
        <v>6866.013</v>
      </c>
      <c r="AB156" s="17" t="n">
        <f aca="false">Z156+AA156</f>
        <v>235733.113</v>
      </c>
      <c r="AC156" s="18" t="n">
        <v>231662.55</v>
      </c>
      <c r="AD156" s="17" t="n">
        <f aca="false">AC156-AB156</f>
        <v>-4070.56300000002</v>
      </c>
      <c r="AE156" s="17" t="n">
        <f aca="false">AA156+AD156</f>
        <v>2795.44999999998</v>
      </c>
      <c r="AF156" s="19" t="n">
        <f aca="false">IF(Z156&gt;0,AE156/Z156,0)</f>
        <v>0.0122142937975794</v>
      </c>
      <c r="AG156" s="16" t="n">
        <f aca="false">(U156-W156)*INDEX(Parametros!$H$2:$H$9,MATCH($E156,Parametros!$A$2:$A$9,0))+W156*INDEX(Parametros!$H$2:$H$9,MATCH($E156,Parametros!$A$2:$A$9,0))*Parametros!$N$3</f>
        <v>47572.875</v>
      </c>
      <c r="AH156" s="13" t="n">
        <v>21727</v>
      </c>
      <c r="AI156" s="16" t="n">
        <f aca="false">AH156*Parametros!$N$2</f>
        <v>1998.884</v>
      </c>
      <c r="AJ156" s="18" t="n">
        <v>11809</v>
      </c>
      <c r="AK156" s="18" t="n">
        <v>3225</v>
      </c>
      <c r="AL156" s="17" t="n">
        <f aca="false">AG156+AI156+AJ156+AK156</f>
        <v>64605.759</v>
      </c>
      <c r="AM156" s="20" t="n">
        <f aca="false">IF(L156&gt;0,AL156/L156,0)</f>
        <v>0.155256773253998</v>
      </c>
      <c r="AN156" s="16" t="n">
        <f aca="false">L156*INDEX(Parametros!$G$2:$G$9,MATCH($E156,Parametros!$A$2:$A$9,0))</f>
        <v>424444.44</v>
      </c>
      <c r="AO156" s="17" t="n">
        <f aca="false">AN156-AC156-AL156</f>
        <v>128176.131</v>
      </c>
      <c r="AP156" s="15" t="n">
        <f aca="false">IF(AN156&gt;0,AO156/AN156,0)</f>
        <v>0.301985652115033</v>
      </c>
      <c r="AQ156" s="16" t="n">
        <f aca="false">INDEX(Parametros!$I$2:$I$9,MATCH($E156,Parametros!$A$2:$A$9,0))</f>
        <v>19300000</v>
      </c>
      <c r="AR156" s="19" t="n">
        <f aca="false">IF(AQ156&gt;0,AO156/AQ156,0)</f>
        <v>0.00664125031088083</v>
      </c>
    </row>
    <row r="157" customFormat="false" ht="15" hidden="false" customHeight="false" outlineLevel="0" collapsed="false">
      <c r="A157" s="5" t="s">
        <v>292</v>
      </c>
      <c r="B157" s="9" t="n">
        <v>45684</v>
      </c>
      <c r="C157" s="2" t="str">
        <f aca="false">TEXT(B157,"yyyy")</f>
        <v>2025</v>
      </c>
      <c r="D157" s="2" t="n">
        <f aca="false">WEEKNUM(B157,2)</f>
        <v>5</v>
      </c>
      <c r="E157" s="5" t="s">
        <v>136</v>
      </c>
      <c r="F157" s="6" t="str">
        <f aca="false">INDEX(Parametros!$B$2:$B$9,MATCH($E157,Parametros!$A$2:$A$9,0))</f>
        <v>Salsa BBQ</v>
      </c>
      <c r="G157" s="10" t="n">
        <v>87.6</v>
      </c>
      <c r="H157" s="10" t="n">
        <v>6</v>
      </c>
      <c r="I157" s="11" t="n">
        <f aca="false">SUMIFS(Eventos_Paro!$J$2:$J$2186,Eventos_Paro!$D$2:$D$2186,$E157,Eventos_Paro!$B$2:$B$2186,$B157)</f>
        <v>5.25</v>
      </c>
      <c r="J157" s="12" t="n">
        <f aca="false">G157-H157-I157</f>
        <v>76.35</v>
      </c>
      <c r="K157" s="13" t="n">
        <v>259703</v>
      </c>
      <c r="L157" s="13" t="n">
        <v>286438</v>
      </c>
      <c r="M157" s="13" t="n">
        <v>7007</v>
      </c>
      <c r="N157" s="14" t="n">
        <f aca="false">L157+M157</f>
        <v>293445</v>
      </c>
      <c r="O157" s="11" t="n">
        <f aca="false">INDEX(Parametros!$D$2:$D$9,MATCH($E157,Parametros!$A$2:$A$9,0))</f>
        <v>4800</v>
      </c>
      <c r="P157" s="15" t="n">
        <f aca="false">IF((G157-H157)&gt;0,J157/(G157-H157),0)</f>
        <v>0.935661764705882</v>
      </c>
      <c r="Q157" s="15" t="n">
        <f aca="false">IF(J157*O157&gt;0,N157/(O157*J157),0)</f>
        <v>0.800712180746562</v>
      </c>
      <c r="R157" s="15" t="n">
        <f aca="false">IF(N157&gt;0,L157/N157,0)</f>
        <v>0.976121590076505</v>
      </c>
      <c r="S157" s="15" t="n">
        <f aca="false">P157*Q157*R157</f>
        <v>0.731306168300654</v>
      </c>
      <c r="T157" s="15" t="n">
        <f aca="false">IF(K157&gt;0,L157/K157,0)</f>
        <v>1.10294451739102</v>
      </c>
      <c r="U157" s="10" t="n">
        <v>1107.6</v>
      </c>
      <c r="V157" s="5" t="n">
        <v>12</v>
      </c>
      <c r="W157" s="10" t="n">
        <v>56.4</v>
      </c>
      <c r="X157" s="15" t="n">
        <f aca="false">IF(U157&gt;0,W157/U157,0)</f>
        <v>0.0509209100758397</v>
      </c>
      <c r="Y157" s="12" t="n">
        <f aca="false">IF(U157&gt;0,L157/U157,0)</f>
        <v>258.611412062116</v>
      </c>
      <c r="Z157" s="16" t="n">
        <f aca="false">L157*INDEX(Parametros!$E$2:$E$9,MATCH($E157,Parametros!$A$2:$A$9,0))</f>
        <v>166134.04</v>
      </c>
      <c r="AA157" s="16" t="n">
        <f aca="false">Z157*INDEX(Parametros!$F$2:$F$9,MATCH($E157,Parametros!$A$2:$A$9,0))</f>
        <v>4651.75312</v>
      </c>
      <c r="AB157" s="17" t="n">
        <f aca="false">Z157+AA157</f>
        <v>170785.79312</v>
      </c>
      <c r="AC157" s="18" t="n">
        <v>170506.62</v>
      </c>
      <c r="AD157" s="17" t="n">
        <f aca="false">AC157-AB157</f>
        <v>-279.173119999992</v>
      </c>
      <c r="AE157" s="17" t="n">
        <f aca="false">AA157+AD157</f>
        <v>4372.58000000001</v>
      </c>
      <c r="AF157" s="19" t="n">
        <f aca="false">IF(Z157&gt;0,AE157/Z157,0)</f>
        <v>0.0263195910964424</v>
      </c>
      <c r="AG157" s="16" t="n">
        <f aca="false">(U157-W157)*INDEX(Parametros!$H$2:$H$9,MATCH($E157,Parametros!$A$2:$A$9,0))+W157*INDEX(Parametros!$H$2:$H$9,MATCH($E157,Parametros!$A$2:$A$9,0))*Parametros!$N$3</f>
        <v>35777.7</v>
      </c>
      <c r="AH157" s="13" t="n">
        <v>16073</v>
      </c>
      <c r="AI157" s="16" t="n">
        <f aca="false">AH157*Parametros!$N$2</f>
        <v>1478.716</v>
      </c>
      <c r="AJ157" s="18" t="n">
        <v>7531</v>
      </c>
      <c r="AK157" s="18" t="n">
        <v>5713</v>
      </c>
      <c r="AL157" s="17" t="n">
        <f aca="false">AG157+AI157+AJ157+AK157</f>
        <v>50500.416</v>
      </c>
      <c r="AM157" s="20" t="n">
        <f aca="false">IF(L157&gt;0,AL157/L157,0)</f>
        <v>0.176304875749726</v>
      </c>
      <c r="AN157" s="16" t="n">
        <f aca="false">L157*INDEX(Parametros!$G$2:$G$9,MATCH($E157,Parametros!$A$2:$A$9,0))</f>
        <v>280709.24</v>
      </c>
      <c r="AO157" s="17" t="n">
        <f aca="false">AN157-AC157-AL157</f>
        <v>59702.204</v>
      </c>
      <c r="AP157" s="15" t="n">
        <f aca="false">IF(AN157&gt;0,AO157/AN157,0)</f>
        <v>0.21268343001463</v>
      </c>
      <c r="AQ157" s="16" t="n">
        <f aca="false">INDEX(Parametros!$I$2:$I$9,MATCH($E157,Parametros!$A$2:$A$9,0))</f>
        <v>17000000</v>
      </c>
      <c r="AR157" s="19" t="n">
        <f aca="false">IF(AQ157&gt;0,AO157/AQ157,0)</f>
        <v>0.00351189435294118</v>
      </c>
    </row>
    <row r="158" customFormat="false" ht="15" hidden="false" customHeight="false" outlineLevel="0" collapsed="false">
      <c r="A158" s="5" t="s">
        <v>293</v>
      </c>
      <c r="B158" s="9" t="n">
        <v>45684</v>
      </c>
      <c r="C158" s="2" t="str">
        <f aca="false">TEXT(B158,"yyyy")</f>
        <v>2025</v>
      </c>
      <c r="D158" s="2" t="n">
        <f aca="false">WEEKNUM(B158,2)</f>
        <v>5</v>
      </c>
      <c r="E158" s="5" t="s">
        <v>138</v>
      </c>
      <c r="F158" s="6" t="str">
        <f aca="false">INDEX(Parametros!$B$2:$B$9,MATCH($E158,Parametros!$A$2:$A$9,0))</f>
        <v>Queso crema</v>
      </c>
      <c r="G158" s="10" t="n">
        <v>117</v>
      </c>
      <c r="H158" s="10" t="n">
        <v>7.1</v>
      </c>
      <c r="I158" s="11" t="n">
        <f aca="false">SUMIFS(Eventos_Paro!$J$2:$J$2186,Eventos_Paro!$D$2:$D$2186,$E158,Eventos_Paro!$B$2:$B$2186,$B158)</f>
        <v>2.18333333333333</v>
      </c>
      <c r="J158" s="12" t="n">
        <f aca="false">G158-H158-I158</f>
        <v>107.716666666667</v>
      </c>
      <c r="K158" s="13" t="n">
        <v>321386</v>
      </c>
      <c r="L158" s="13" t="n">
        <v>304031</v>
      </c>
      <c r="M158" s="13" t="n">
        <v>13557</v>
      </c>
      <c r="N158" s="14" t="n">
        <f aca="false">L158+M158</f>
        <v>317588</v>
      </c>
      <c r="O158" s="11" t="n">
        <f aca="false">INDEX(Parametros!$D$2:$D$9,MATCH($E158,Parametros!$A$2:$A$9,0))</f>
        <v>3800</v>
      </c>
      <c r="P158" s="15" t="n">
        <f aca="false">IF((G158-H158)&gt;0,J158/(G158-H158),0)</f>
        <v>0.980133454655748</v>
      </c>
      <c r="Q158" s="15" t="n">
        <f aca="false">IF(J158*O158&gt;0,N158/(O158*J158),0)</f>
        <v>0.775885404366556</v>
      </c>
      <c r="R158" s="15" t="n">
        <f aca="false">IF(N158&gt;0,L158/N158,0)</f>
        <v>0.957312618864693</v>
      </c>
      <c r="S158" s="15" t="n">
        <f aca="false">P158*Q158*R158</f>
        <v>0.72800871605766</v>
      </c>
      <c r="T158" s="15" t="n">
        <f aca="false">IF(K158&gt;0,L158/K158,0)</f>
        <v>0.945999514602378</v>
      </c>
      <c r="U158" s="10" t="n">
        <v>1773.6</v>
      </c>
      <c r="V158" s="5" t="n">
        <v>14</v>
      </c>
      <c r="W158" s="10" t="n">
        <v>135.6</v>
      </c>
      <c r="X158" s="15" t="n">
        <f aca="false">IF(U158&gt;0,W158/U158,0)</f>
        <v>0.0764546684709066</v>
      </c>
      <c r="Y158" s="12" t="n">
        <f aca="false">IF(U158&gt;0,L158/U158,0)</f>
        <v>171.420275146595</v>
      </c>
      <c r="Z158" s="16" t="n">
        <f aca="false">L158*INDEX(Parametros!$E$2:$E$9,MATCH($E158,Parametros!$A$2:$A$9,0))</f>
        <v>340514.72</v>
      </c>
      <c r="AA158" s="16" t="n">
        <f aca="false">Z158*INDEX(Parametros!$F$2:$F$9,MATCH($E158,Parametros!$A$2:$A$9,0))</f>
        <v>11918.0152</v>
      </c>
      <c r="AB158" s="17" t="n">
        <f aca="false">Z158+AA158</f>
        <v>352432.7352</v>
      </c>
      <c r="AC158" s="18" t="n">
        <v>352054.85</v>
      </c>
      <c r="AD158" s="17" t="n">
        <f aca="false">AC158-AB158</f>
        <v>-377.885200000077</v>
      </c>
      <c r="AE158" s="17" t="n">
        <f aca="false">AA158+AD158</f>
        <v>11540.1299999999</v>
      </c>
      <c r="AF158" s="19" t="n">
        <f aca="false">IF(Z158&gt;0,AE158/Z158,0)</f>
        <v>0.0338902529676248</v>
      </c>
      <c r="AG158" s="16" t="n">
        <f aca="false">(U158-W158)*INDEX(Parametros!$H$2:$H$9,MATCH($E158,Parametros!$A$2:$A$9,0))+W158*INDEX(Parametros!$H$2:$H$9,MATCH($E158,Parametros!$A$2:$A$9,0))*Parametros!$N$3</f>
        <v>60766.2</v>
      </c>
      <c r="AH158" s="13" t="n">
        <v>16275</v>
      </c>
      <c r="AI158" s="16" t="n">
        <f aca="false">AH158*Parametros!$N$2</f>
        <v>1497.3</v>
      </c>
      <c r="AJ158" s="18" t="n">
        <v>19018</v>
      </c>
      <c r="AK158" s="18" t="n">
        <v>1706</v>
      </c>
      <c r="AL158" s="17" t="n">
        <f aca="false">AG158+AI158+AJ158+AK158</f>
        <v>82987.5</v>
      </c>
      <c r="AM158" s="20" t="n">
        <f aca="false">IF(L158&gt;0,AL158/L158,0)</f>
        <v>0.272957362900494</v>
      </c>
      <c r="AN158" s="16" t="n">
        <f aca="false">L158*INDEX(Parametros!$G$2:$G$9,MATCH($E158,Parametros!$A$2:$A$9,0))</f>
        <v>544215.49</v>
      </c>
      <c r="AO158" s="17" t="n">
        <f aca="false">AN158-AC158-AL158</f>
        <v>109173.14</v>
      </c>
      <c r="AP158" s="15" t="n">
        <f aca="false">IF(AN158&gt;0,AO158/AN158,0)</f>
        <v>0.200606454623333</v>
      </c>
      <c r="AQ158" s="16" t="n">
        <f aca="false">INDEX(Parametros!$I$2:$I$9,MATCH($E158,Parametros!$A$2:$A$9,0))</f>
        <v>33200000</v>
      </c>
      <c r="AR158" s="19" t="n">
        <f aca="false">IF(AQ158&gt;0,AO158/AQ158,0)</f>
        <v>0.00328834759036145</v>
      </c>
    </row>
    <row r="159" customFormat="false" ht="15" hidden="false" customHeight="false" outlineLevel="0" collapsed="false">
      <c r="A159" s="5" t="s">
        <v>294</v>
      </c>
      <c r="B159" s="9" t="n">
        <v>45684</v>
      </c>
      <c r="C159" s="2" t="str">
        <f aca="false">TEXT(B159,"yyyy")</f>
        <v>2025</v>
      </c>
      <c r="D159" s="2" t="n">
        <f aca="false">WEEKNUM(B159,2)</f>
        <v>5</v>
      </c>
      <c r="E159" s="5" t="s">
        <v>140</v>
      </c>
      <c r="F159" s="6" t="str">
        <f aca="false">INDEX(Parametros!$B$2:$B$9,MATCH($E159,Parametros!$A$2:$A$9,0))</f>
        <v>Crema de cacahuate</v>
      </c>
      <c r="G159" s="10" t="n">
        <v>102.1</v>
      </c>
      <c r="H159" s="10" t="n">
        <v>7.5</v>
      </c>
      <c r="I159" s="11" t="n">
        <f aca="false">SUMIFS(Eventos_Paro!$J$2:$J$2186,Eventos_Paro!$D$2:$D$2186,$E159,Eventos_Paro!$B$2:$B$2186,$B159)</f>
        <v>0.666666666666667</v>
      </c>
      <c r="J159" s="12" t="n">
        <f aca="false">G159-H159-I159</f>
        <v>93.9333333333333</v>
      </c>
      <c r="K159" s="13" t="n">
        <v>305764</v>
      </c>
      <c r="L159" s="13" t="n">
        <v>330260</v>
      </c>
      <c r="M159" s="13" t="n">
        <v>8154</v>
      </c>
      <c r="N159" s="14" t="n">
        <f aca="false">L159+M159</f>
        <v>338414</v>
      </c>
      <c r="O159" s="11" t="n">
        <f aca="false">INDEX(Parametros!$D$2:$D$9,MATCH($E159,Parametros!$A$2:$A$9,0))</f>
        <v>4200</v>
      </c>
      <c r="P159" s="15" t="n">
        <f aca="false">IF((G159-H159)&gt;0,J159/(G159-H159),0)</f>
        <v>0.992952783650458</v>
      </c>
      <c r="Q159" s="15" t="n">
        <f aca="false">IF(J159*O159&gt;0,N159/(O159*J159),0)</f>
        <v>0.857786677481497</v>
      </c>
      <c r="R159" s="15" t="n">
        <f aca="false">IF(N159&gt;0,L159/N159,0)</f>
        <v>0.975905252146779</v>
      </c>
      <c r="S159" s="15" t="n">
        <f aca="false">P159*Q159*R159</f>
        <v>0.831219168428471</v>
      </c>
      <c r="T159" s="15" t="n">
        <f aca="false">IF(K159&gt;0,L159/K159,0)</f>
        <v>1.08011407490745</v>
      </c>
      <c r="U159" s="10" t="n">
        <v>1274.4</v>
      </c>
      <c r="V159" s="5" t="n">
        <v>12</v>
      </c>
      <c r="W159" s="10" t="n">
        <v>49.2</v>
      </c>
      <c r="X159" s="15" t="n">
        <f aca="false">IF(U159&gt;0,W159/U159,0)</f>
        <v>0.0386064030131827</v>
      </c>
      <c r="Y159" s="12" t="n">
        <f aca="false">IF(U159&gt;0,L159/U159,0)</f>
        <v>259.149403640929</v>
      </c>
      <c r="Z159" s="16" t="n">
        <f aca="false">L159*INDEX(Parametros!$E$2:$E$9,MATCH($E159,Parametros!$A$2:$A$9,0))</f>
        <v>320352.2</v>
      </c>
      <c r="AA159" s="16" t="n">
        <f aca="false">Z159*INDEX(Parametros!$F$2:$F$9,MATCH($E159,Parametros!$A$2:$A$9,0))</f>
        <v>7047.7484</v>
      </c>
      <c r="AB159" s="17" t="n">
        <f aca="false">Z159+AA159</f>
        <v>327399.9484</v>
      </c>
      <c r="AC159" s="18" t="n">
        <v>334908.34</v>
      </c>
      <c r="AD159" s="17" t="n">
        <f aca="false">AC159-AB159</f>
        <v>7508.39160000003</v>
      </c>
      <c r="AE159" s="17" t="n">
        <f aca="false">AA159+AD159</f>
        <v>14556.14</v>
      </c>
      <c r="AF159" s="19" t="n">
        <f aca="false">IF(Z159&gt;0,AE159/Z159,0)</f>
        <v>0.0454379273811762</v>
      </c>
      <c r="AG159" s="16" t="n">
        <f aca="false">(U159-W159)*INDEX(Parametros!$H$2:$H$9,MATCH($E159,Parametros!$A$2:$A$9,0))+W159*INDEX(Parametros!$H$2:$H$9,MATCH($E159,Parametros!$A$2:$A$9,0))*Parametros!$N$3</f>
        <v>40918.5</v>
      </c>
      <c r="AH159" s="13" t="n">
        <v>17270</v>
      </c>
      <c r="AI159" s="16" t="n">
        <f aca="false">AH159*Parametros!$N$2</f>
        <v>1588.84</v>
      </c>
      <c r="AJ159" s="18" t="n">
        <v>12735</v>
      </c>
      <c r="AK159" s="18" t="n">
        <v>620</v>
      </c>
      <c r="AL159" s="17" t="n">
        <f aca="false">AG159+AI159+AJ159+AK159</f>
        <v>55862.34</v>
      </c>
      <c r="AM159" s="20" t="n">
        <f aca="false">IF(L159&gt;0,AL159/L159,0)</f>
        <v>0.169146551202083</v>
      </c>
      <c r="AN159" s="16" t="n">
        <f aca="false">L159*INDEX(Parametros!$G$2:$G$9,MATCH($E159,Parametros!$A$2:$A$9,0))</f>
        <v>535021.2</v>
      </c>
      <c r="AO159" s="17" t="n">
        <f aca="false">AN159-AC159-AL159</f>
        <v>144250.52</v>
      </c>
      <c r="AP159" s="15" t="n">
        <f aca="false">IF(AN159&gt;0,AO159/AN159,0)</f>
        <v>0.269616456319862</v>
      </c>
      <c r="AQ159" s="16" t="n">
        <f aca="false">INDEX(Parametros!$I$2:$I$9,MATCH($E159,Parametros!$A$2:$A$9,0))</f>
        <v>28000000</v>
      </c>
      <c r="AR159" s="19" t="n">
        <f aca="false">IF(AQ159&gt;0,AO159/AQ159,0)</f>
        <v>0.00515180428571429</v>
      </c>
    </row>
    <row r="160" customFormat="false" ht="15" hidden="false" customHeight="false" outlineLevel="0" collapsed="false">
      <c r="A160" s="5" t="s">
        <v>295</v>
      </c>
      <c r="B160" s="9" t="n">
        <v>45684</v>
      </c>
      <c r="C160" s="2" t="str">
        <f aca="false">TEXT(B160,"yyyy")</f>
        <v>2025</v>
      </c>
      <c r="D160" s="2" t="n">
        <f aca="false">WEEKNUM(B160,2)</f>
        <v>5</v>
      </c>
      <c r="E160" s="5" t="s">
        <v>142</v>
      </c>
      <c r="F160" s="6" t="str">
        <f aca="false">INDEX(Parametros!$B$2:$B$9,MATCH($E160,Parametros!$A$2:$A$9,0))</f>
        <v>Porciones single serve</v>
      </c>
      <c r="G160" s="10" t="n">
        <v>89.4</v>
      </c>
      <c r="H160" s="10" t="n">
        <v>6.3</v>
      </c>
      <c r="I160" s="11" t="n">
        <f aca="false">SUMIFS(Eventos_Paro!$J$2:$J$2186,Eventos_Paro!$D$2:$D$2186,$E160,Eventos_Paro!$B$2:$B$2186,$B160)</f>
        <v>2.11666666666667</v>
      </c>
      <c r="J160" s="12" t="n">
        <f aca="false">G160-H160-I160</f>
        <v>80.9833333333334</v>
      </c>
      <c r="K160" s="13" t="n">
        <v>166272</v>
      </c>
      <c r="L160" s="13" t="n">
        <v>155941</v>
      </c>
      <c r="M160" s="13" t="n">
        <v>9741</v>
      </c>
      <c r="N160" s="14" t="n">
        <f aca="false">L160+M160</f>
        <v>165682</v>
      </c>
      <c r="O160" s="11" t="n">
        <f aca="false">INDEX(Parametros!$D$2:$D$9,MATCH($E160,Parametros!$A$2:$A$9,0))</f>
        <v>2600</v>
      </c>
      <c r="P160" s="15" t="n">
        <f aca="false">IF((G160-H160)&gt;0,J160/(G160-H160),0)</f>
        <v>0.974528680304854</v>
      </c>
      <c r="Q160" s="15" t="n">
        <f aca="false">IF(J160*O160&gt;0,N160/(O160*J160),0)</f>
        <v>0.786876058701537</v>
      </c>
      <c r="R160" s="15" t="n">
        <f aca="false">IF(N160&gt;0,L160/N160,0)</f>
        <v>0.941206648881592</v>
      </c>
      <c r="S160" s="15" t="n">
        <f aca="false">P160*Q160*R160</f>
        <v>0.721748588355086</v>
      </c>
      <c r="T160" s="15" t="n">
        <f aca="false">IF(K160&gt;0,L160/K160,0)</f>
        <v>0.937866868745189</v>
      </c>
      <c r="U160" s="10" t="n">
        <v>1477.8</v>
      </c>
      <c r="V160" s="5" t="n">
        <v>16</v>
      </c>
      <c r="W160" s="10" t="n">
        <v>47.4</v>
      </c>
      <c r="X160" s="15" t="n">
        <f aca="false">IF(U160&gt;0,W160/U160,0)</f>
        <v>0.0320747056435242</v>
      </c>
      <c r="Y160" s="12" t="n">
        <f aca="false">IF(U160&gt;0,L160/U160,0)</f>
        <v>105.522398159426</v>
      </c>
      <c r="Z160" s="16" t="n">
        <f aca="false">L160*INDEX(Parametros!$E$2:$E$9,MATCH($E160,Parametros!$A$2:$A$9,0))</f>
        <v>115396.34</v>
      </c>
      <c r="AA160" s="16" t="n">
        <f aca="false">Z160*INDEX(Parametros!$F$2:$F$9,MATCH($E160,Parametros!$A$2:$A$9,0))</f>
        <v>5192.8353</v>
      </c>
      <c r="AB160" s="17" t="n">
        <f aca="false">Z160+AA160</f>
        <v>120589.1753</v>
      </c>
      <c r="AC160" s="18" t="n">
        <v>119880.99</v>
      </c>
      <c r="AD160" s="17" t="n">
        <f aca="false">AC160-AB160</f>
        <v>-708.185299999997</v>
      </c>
      <c r="AE160" s="17" t="n">
        <f aca="false">AA160+AD160</f>
        <v>4484.65</v>
      </c>
      <c r="AF160" s="19" t="n">
        <f aca="false">IF(Z160&gt;0,AE160/Z160,0)</f>
        <v>0.0388630176658983</v>
      </c>
      <c r="AG160" s="16" t="n">
        <f aca="false">(U160-W160)*INDEX(Parametros!$H$2:$H$9,MATCH($E160,Parametros!$A$2:$A$9,0))+W160*INDEX(Parametros!$H$2:$H$9,MATCH($E160,Parametros!$A$2:$A$9,0))*Parametros!$N$3</f>
        <v>45045</v>
      </c>
      <c r="AH160" s="13" t="n">
        <v>8793</v>
      </c>
      <c r="AI160" s="16" t="n">
        <f aca="false">AH160*Parametros!$N$2</f>
        <v>808.956</v>
      </c>
      <c r="AJ160" s="18" t="n">
        <v>10562</v>
      </c>
      <c r="AK160" s="18" t="n">
        <v>1264</v>
      </c>
      <c r="AL160" s="17" t="n">
        <f aca="false">AG160+AI160+AJ160+AK160</f>
        <v>57679.956</v>
      </c>
      <c r="AM160" s="20" t="n">
        <f aca="false">IF(L160&gt;0,AL160/L160,0)</f>
        <v>0.369883199415163</v>
      </c>
      <c r="AN160" s="16" t="n">
        <f aca="false">L160*INDEX(Parametros!$G$2:$G$9,MATCH($E160,Parametros!$A$2:$A$9,0))</f>
        <v>268218.52</v>
      </c>
      <c r="AO160" s="17" t="n">
        <f aca="false">AN160-AC160-AL160</f>
        <v>90657.574</v>
      </c>
      <c r="AP160" s="15" t="n">
        <f aca="false">IF(AN160&gt;0,AO160/AN160,0)</f>
        <v>0.337998934600042</v>
      </c>
      <c r="AQ160" s="16" t="n">
        <f aca="false">INDEX(Parametros!$I$2:$I$9,MATCH($E160,Parametros!$A$2:$A$9,0))</f>
        <v>15900000</v>
      </c>
      <c r="AR160" s="19" t="n">
        <f aca="false">IF(AQ160&gt;0,AO160/AQ160,0)</f>
        <v>0.00570173421383648</v>
      </c>
    </row>
    <row r="161" customFormat="false" ht="15" hidden="false" customHeight="false" outlineLevel="0" collapsed="false">
      <c r="A161" s="5" t="s">
        <v>296</v>
      </c>
      <c r="B161" s="9" t="n">
        <v>45684</v>
      </c>
      <c r="C161" s="2" t="str">
        <f aca="false">TEXT(B161,"yyyy")</f>
        <v>2025</v>
      </c>
      <c r="D161" s="2" t="n">
        <f aca="false">WEEKNUM(B161,2)</f>
        <v>5</v>
      </c>
      <c r="E161" s="5" t="s">
        <v>144</v>
      </c>
      <c r="F161" s="6" t="str">
        <f aca="false">INDEX(Parametros!$B$2:$B$9,MATCH($E161,Parametros!$A$2:$A$9,0))</f>
        <v>Salsas picantes</v>
      </c>
      <c r="G161" s="10" t="n">
        <v>87.2</v>
      </c>
      <c r="H161" s="10" t="n">
        <v>8.9</v>
      </c>
      <c r="I161" s="11" t="n">
        <f aca="false">SUMIFS(Eventos_Paro!$J$2:$J$2186,Eventos_Paro!$D$2:$D$2186,$E161,Eventos_Paro!$B$2:$B$2186,$B161)</f>
        <v>3</v>
      </c>
      <c r="J161" s="12" t="n">
        <f aca="false">G161-H161-I161</f>
        <v>75.3</v>
      </c>
      <c r="K161" s="13" t="n">
        <v>205100</v>
      </c>
      <c r="L161" s="13" t="n">
        <v>201200</v>
      </c>
      <c r="M161" s="13" t="n">
        <v>6885</v>
      </c>
      <c r="N161" s="14" t="n">
        <f aca="false">L161+M161</f>
        <v>208085</v>
      </c>
      <c r="O161" s="11" t="n">
        <f aca="false">INDEX(Parametros!$D$2:$D$9,MATCH($E161,Parametros!$A$2:$A$9,0))</f>
        <v>3100</v>
      </c>
      <c r="P161" s="15" t="n">
        <f aca="false">IF((G161-H161)&gt;0,J161/(G161-H161),0)</f>
        <v>0.961685823754789</v>
      </c>
      <c r="Q161" s="15" t="n">
        <f aca="false">IF(J161*O161&gt;0,N161/(O161*J161),0)</f>
        <v>0.89142355309943</v>
      </c>
      <c r="R161" s="15" t="n">
        <f aca="false">IF(N161&gt;0,L161/N161,0)</f>
        <v>0.966912559771247</v>
      </c>
      <c r="S161" s="15" t="n">
        <f aca="false">P161*Q161*R161</f>
        <v>0.828904544143699</v>
      </c>
      <c r="T161" s="15" t="n">
        <f aca="false">IF(K161&gt;0,L161/K161,0)</f>
        <v>0.980984885421745</v>
      </c>
      <c r="U161" s="10" t="n">
        <v>868.4</v>
      </c>
      <c r="V161" s="5" t="n">
        <v>9</v>
      </c>
      <c r="W161" s="10" t="n">
        <v>83.6</v>
      </c>
      <c r="X161" s="15" t="n">
        <f aca="false">IF(U161&gt;0,W161/U161,0)</f>
        <v>0.0962690004606172</v>
      </c>
      <c r="Y161" s="12" t="n">
        <f aca="false">IF(U161&gt;0,L161/U161,0)</f>
        <v>231.690465223399</v>
      </c>
      <c r="Z161" s="16" t="n">
        <f aca="false">L161*INDEX(Parametros!$E$2:$E$9,MATCH($E161,Parametros!$A$2:$A$9,0))</f>
        <v>132792</v>
      </c>
      <c r="AA161" s="16" t="n">
        <f aca="false">Z161*INDEX(Parametros!$F$2:$F$9,MATCH($E161,Parametros!$A$2:$A$9,0))</f>
        <v>3452.592</v>
      </c>
      <c r="AB161" s="17" t="n">
        <f aca="false">Z161+AA161</f>
        <v>136244.592</v>
      </c>
      <c r="AC161" s="18" t="n">
        <v>133315.68</v>
      </c>
      <c r="AD161" s="17" t="n">
        <f aca="false">AC161-AB161</f>
        <v>-2928.91200000001</v>
      </c>
      <c r="AE161" s="17" t="n">
        <f aca="false">AA161+AD161</f>
        <v>523.679999999989</v>
      </c>
      <c r="AF161" s="19" t="n">
        <f aca="false">IF(Z161&gt;0,AE161/Z161,0)</f>
        <v>0.0039436110609072</v>
      </c>
      <c r="AG161" s="16" t="n">
        <f aca="false">(U161-W161)*INDEX(Parametros!$H$2:$H$9,MATCH($E161,Parametros!$A$2:$A$9,0))+W161*INDEX(Parametros!$H$2:$H$9,MATCH($E161,Parametros!$A$2:$A$9,0))*Parametros!$N$3</f>
        <v>28671.3</v>
      </c>
      <c r="AH161" s="13" t="n">
        <v>10958</v>
      </c>
      <c r="AI161" s="16" t="n">
        <f aca="false">AH161*Parametros!$N$2</f>
        <v>1008.136</v>
      </c>
      <c r="AJ161" s="18" t="n">
        <v>5989</v>
      </c>
      <c r="AK161" s="18" t="n">
        <v>2201</v>
      </c>
      <c r="AL161" s="17" t="n">
        <f aca="false">AG161+AI161+AJ161+AK161</f>
        <v>37869.436</v>
      </c>
      <c r="AM161" s="20" t="n">
        <f aca="false">IF(L161&gt;0,AL161/L161,0)</f>
        <v>0.188217872763419</v>
      </c>
      <c r="AN161" s="16" t="n">
        <f aca="false">L161*INDEX(Parametros!$G$2:$G$9,MATCH($E161,Parametros!$A$2:$A$9,0))</f>
        <v>251500</v>
      </c>
      <c r="AO161" s="17" t="n">
        <f aca="false">AN161-AC161-AL161</f>
        <v>80314.884</v>
      </c>
      <c r="AP161" s="15" t="n">
        <f aca="false">IF(AN161&gt;0,AO161/AN161,0)</f>
        <v>0.319343475149105</v>
      </c>
      <c r="AQ161" s="16" t="n">
        <f aca="false">INDEX(Parametros!$I$2:$I$9,MATCH($E161,Parametros!$A$2:$A$9,0))</f>
        <v>13300000</v>
      </c>
      <c r="AR161" s="19" t="n">
        <f aca="false">IF(AQ161&gt;0,AO161/AQ161,0)</f>
        <v>0.00603871308270677</v>
      </c>
    </row>
    <row r="162" customFormat="false" ht="15" hidden="false" customHeight="false" outlineLevel="0" collapsed="false">
      <c r="A162" s="5" t="s">
        <v>297</v>
      </c>
      <c r="B162" s="9" t="n">
        <v>45691</v>
      </c>
      <c r="C162" s="2" t="str">
        <f aca="false">TEXT(B162,"yyyy")</f>
        <v>2025</v>
      </c>
      <c r="D162" s="2" t="n">
        <f aca="false">WEEKNUM(B162,2)</f>
        <v>6</v>
      </c>
      <c r="E162" s="5" t="s">
        <v>130</v>
      </c>
      <c r="F162" s="6" t="str">
        <f aca="false">INDEX(Parametros!$B$2:$B$9,MATCH($E162,Parametros!$A$2:$A$9,0))</f>
        <v>Ketchup botella</v>
      </c>
      <c r="G162" s="10" t="n">
        <v>114.7</v>
      </c>
      <c r="H162" s="10" t="n">
        <v>8.5</v>
      </c>
      <c r="I162" s="11" t="n">
        <f aca="false">SUMIFS(Eventos_Paro!$J$2:$J$2186,Eventos_Paro!$D$2:$D$2186,$E162,Eventos_Paro!$B$2:$B$2186,$B162)</f>
        <v>3.85</v>
      </c>
      <c r="J162" s="12" t="n">
        <f aca="false">G162-H162-I162</f>
        <v>102.35</v>
      </c>
      <c r="K162" s="13" t="n">
        <v>736898</v>
      </c>
      <c r="L162" s="13" t="n">
        <v>807723</v>
      </c>
      <c r="M162" s="13" t="n">
        <v>9333</v>
      </c>
      <c r="N162" s="14" t="n">
        <f aca="false">L162+M162</f>
        <v>817056</v>
      </c>
      <c r="O162" s="11" t="n">
        <f aca="false">INDEX(Parametros!$D$2:$D$9,MATCH($E162,Parametros!$A$2:$A$9,0))</f>
        <v>9000</v>
      </c>
      <c r="P162" s="15" t="n">
        <f aca="false">IF((G162-H162)&gt;0,J162/(G162-H162),0)</f>
        <v>0.963747645951036</v>
      </c>
      <c r="Q162" s="15" t="n">
        <f aca="false">IF(J162*O162&gt;0,N162/(O162*J162),0)</f>
        <v>0.886995603321934</v>
      </c>
      <c r="R162" s="15" t="n">
        <f aca="false">IF(N162&gt;0,L162/N162,0)</f>
        <v>0.988577282340501</v>
      </c>
      <c r="S162" s="15" t="n">
        <f aca="false">P162*Q162*R162</f>
        <v>0.845075329566855</v>
      </c>
      <c r="T162" s="15" t="n">
        <f aca="false">IF(K162&gt;0,L162/K162,0)</f>
        <v>1.09611235204872</v>
      </c>
      <c r="U162" s="10" t="n">
        <v>1851.3</v>
      </c>
      <c r="V162" s="5" t="n">
        <v>14</v>
      </c>
      <c r="W162" s="10" t="n">
        <v>245.5</v>
      </c>
      <c r="X162" s="15" t="n">
        <f aca="false">IF(U162&gt;0,W162/U162,0)</f>
        <v>0.132609517636256</v>
      </c>
      <c r="Y162" s="12" t="n">
        <f aca="false">IF(U162&gt;0,L162/U162,0)</f>
        <v>436.300437530384</v>
      </c>
      <c r="Z162" s="16" t="n">
        <f aca="false">L162*INDEX(Parametros!$E$2:$E$9,MATCH($E162,Parametros!$A$2:$A$9,0))</f>
        <v>339243.66</v>
      </c>
      <c r="AA162" s="16" t="n">
        <f aca="false">Z162*INDEX(Parametros!$F$2:$F$9,MATCH($E162,Parametros!$A$2:$A$9,0))</f>
        <v>6784.8732</v>
      </c>
      <c r="AB162" s="17" t="n">
        <f aca="false">Z162+AA162</f>
        <v>346028.5332</v>
      </c>
      <c r="AC162" s="18" t="n">
        <v>349822.05</v>
      </c>
      <c r="AD162" s="17" t="n">
        <f aca="false">AC162-AB162</f>
        <v>3793.51680000004</v>
      </c>
      <c r="AE162" s="17" t="n">
        <f aca="false">AA162+AD162</f>
        <v>10578.39</v>
      </c>
      <c r="AF162" s="19" t="n">
        <f aca="false">IF(Z162&gt;0,AE162/Z162,0)</f>
        <v>0.0311822776584831</v>
      </c>
      <c r="AG162" s="16" t="n">
        <f aca="false">(U162-W162)*INDEX(Parametros!$H$2:$H$9,MATCH($E162,Parametros!$A$2:$A$9,0))+W162*INDEX(Parametros!$H$2:$H$9,MATCH($E162,Parametros!$A$2:$A$9,0))*Parametros!$N$3</f>
        <v>62182.575</v>
      </c>
      <c r="AH162" s="13" t="n">
        <v>41523</v>
      </c>
      <c r="AI162" s="16" t="n">
        <f aca="false">AH162*Parametros!$N$2</f>
        <v>3820.116</v>
      </c>
      <c r="AJ162" s="18" t="n">
        <v>15591</v>
      </c>
      <c r="AK162" s="18" t="n">
        <v>3164</v>
      </c>
      <c r="AL162" s="17" t="n">
        <f aca="false">AG162+AI162+AJ162+AK162</f>
        <v>84757.691</v>
      </c>
      <c r="AM162" s="20" t="n">
        <f aca="false">IF(L162&gt;0,AL162/L162,0)</f>
        <v>0.104934106123015</v>
      </c>
      <c r="AN162" s="16" t="n">
        <f aca="false">L162*INDEX(Parametros!$G$2:$G$9,MATCH($E162,Parametros!$A$2:$A$9,0))</f>
        <v>573483.33</v>
      </c>
      <c r="AO162" s="17" t="n">
        <f aca="false">AN162-AC162-AL162</f>
        <v>138903.589</v>
      </c>
      <c r="AP162" s="15" t="n">
        <f aca="false">IF(AN162&gt;0,AO162/AN162,0)</f>
        <v>0.242210334169609</v>
      </c>
      <c r="AQ162" s="16" t="n">
        <f aca="false">INDEX(Parametros!$I$2:$I$9,MATCH($E162,Parametros!$A$2:$A$9,0))</f>
        <v>29300000</v>
      </c>
      <c r="AR162" s="19" t="n">
        <f aca="false">IF(AQ162&gt;0,AO162/AQ162,0)</f>
        <v>0.00474073682593857</v>
      </c>
    </row>
    <row r="163" customFormat="false" ht="15" hidden="false" customHeight="false" outlineLevel="0" collapsed="false">
      <c r="A163" s="5" t="s">
        <v>298</v>
      </c>
      <c r="B163" s="9" t="n">
        <v>45691</v>
      </c>
      <c r="C163" s="2" t="str">
        <f aca="false">TEXT(B163,"yyyy")</f>
        <v>2025</v>
      </c>
      <c r="D163" s="2" t="n">
        <f aca="false">WEEKNUM(B163,2)</f>
        <v>6</v>
      </c>
      <c r="E163" s="5" t="s">
        <v>132</v>
      </c>
      <c r="F163" s="6" t="str">
        <f aca="false">INDEX(Parametros!$B$2:$B$9,MATCH($E163,Parametros!$A$2:$A$9,0))</f>
        <v>Mayonesa frasco</v>
      </c>
      <c r="G163" s="10" t="n">
        <v>102.4</v>
      </c>
      <c r="H163" s="10" t="n">
        <v>5.4</v>
      </c>
      <c r="I163" s="11" t="n">
        <f aca="false">SUMIFS(Eventos_Paro!$J$2:$J$2186,Eventos_Paro!$D$2:$D$2186,$E163,Eventos_Paro!$B$2:$B$2186,$B163)</f>
        <v>1.85</v>
      </c>
      <c r="J163" s="12" t="n">
        <f aca="false">G163-H163-I163</f>
        <v>95.15</v>
      </c>
      <c r="K163" s="13" t="n">
        <v>486100</v>
      </c>
      <c r="L163" s="13" t="n">
        <v>520822</v>
      </c>
      <c r="M163" s="13" t="n">
        <v>19394</v>
      </c>
      <c r="N163" s="14" t="n">
        <f aca="false">L163+M163</f>
        <v>540216</v>
      </c>
      <c r="O163" s="11" t="n">
        <f aca="false">INDEX(Parametros!$D$2:$D$9,MATCH($E163,Parametros!$A$2:$A$9,0))</f>
        <v>6500</v>
      </c>
      <c r="P163" s="15" t="n">
        <f aca="false">IF((G163-H163)&gt;0,J163/(G163-H163),0)</f>
        <v>0.980927835051547</v>
      </c>
      <c r="Q163" s="15" t="n">
        <f aca="false">IF(J163*O163&gt;0,N163/(O163*J163),0)</f>
        <v>0.873464570111969</v>
      </c>
      <c r="R163" s="15" t="n">
        <f aca="false">IF(N163&gt;0,L163/N163,0)</f>
        <v>0.964099545367038</v>
      </c>
      <c r="S163" s="15" t="n">
        <f aca="false">P163*Q163*R163</f>
        <v>0.826045995241872</v>
      </c>
      <c r="T163" s="15" t="n">
        <f aca="false">IF(K163&gt;0,L163/K163,0)</f>
        <v>1.07142974696564</v>
      </c>
      <c r="U163" s="10" t="n">
        <v>1318.5</v>
      </c>
      <c r="V163" s="5" t="n">
        <v>12</v>
      </c>
      <c r="W163" s="10" t="n">
        <v>89.7</v>
      </c>
      <c r="X163" s="15" t="n">
        <f aca="false">IF(U163&gt;0,W163/U163,0)</f>
        <v>0.0680318543799773</v>
      </c>
      <c r="Y163" s="12" t="n">
        <f aca="false">IF(U163&gt;0,L163/U163,0)</f>
        <v>395.010997345468</v>
      </c>
      <c r="Z163" s="16" t="n">
        <f aca="false">L163*INDEX(Parametros!$E$2:$E$9,MATCH($E163,Parametros!$A$2:$A$9,0))</f>
        <v>317701.42</v>
      </c>
      <c r="AA163" s="16" t="n">
        <f aca="false">Z163*INDEX(Parametros!$F$2:$F$9,MATCH($E163,Parametros!$A$2:$A$9,0))</f>
        <v>7942.5355</v>
      </c>
      <c r="AB163" s="17" t="n">
        <f aca="false">Z163+AA163</f>
        <v>325643.9555</v>
      </c>
      <c r="AC163" s="18" t="n">
        <v>326242.21</v>
      </c>
      <c r="AD163" s="17" t="n">
        <f aca="false">AC163-AB163</f>
        <v>598.254500000039</v>
      </c>
      <c r="AE163" s="17" t="n">
        <f aca="false">AA163+AD163</f>
        <v>8540.79000000004</v>
      </c>
      <c r="AF163" s="19" t="n">
        <f aca="false">IF(Z163&gt;0,AE163/Z163,0)</f>
        <v>0.0268830715330137</v>
      </c>
      <c r="AG163" s="16" t="n">
        <f aca="false">(U163-W163)*INDEX(Parametros!$H$2:$H$9,MATCH($E163,Parametros!$A$2:$A$9,0))+W163*INDEX(Parametros!$H$2:$H$9,MATCH($E163,Parametros!$A$2:$A$9,0))*Parametros!$N$3</f>
        <v>42945.525</v>
      </c>
      <c r="AH163" s="13" t="n">
        <v>26062</v>
      </c>
      <c r="AI163" s="16" t="n">
        <f aca="false">AH163*Parametros!$N$2</f>
        <v>2397.704</v>
      </c>
      <c r="AJ163" s="18" t="n">
        <v>13658</v>
      </c>
      <c r="AK163" s="18" t="n">
        <v>1409</v>
      </c>
      <c r="AL163" s="17" t="n">
        <f aca="false">AG163+AI163+AJ163+AK163</f>
        <v>60410.229</v>
      </c>
      <c r="AM163" s="20" t="n">
        <f aca="false">IF(L163&gt;0,AL163/L163,0)</f>
        <v>0.11599016362596</v>
      </c>
      <c r="AN163" s="16" t="n">
        <f aca="false">L163*INDEX(Parametros!$G$2:$G$9,MATCH($E163,Parametros!$A$2:$A$9,0))</f>
        <v>499989.12</v>
      </c>
      <c r="AO163" s="17" t="n">
        <f aca="false">AN163-AC163-AL163</f>
        <v>113336.681</v>
      </c>
      <c r="AP163" s="15" t="n">
        <f aca="false">IF(AN163&gt;0,AO163/AN163,0)</f>
        <v>0.226678294519689</v>
      </c>
      <c r="AQ163" s="16" t="n">
        <f aca="false">INDEX(Parametros!$I$2:$I$9,MATCH($E163,Parametros!$A$2:$A$9,0))</f>
        <v>29700000</v>
      </c>
      <c r="AR163" s="19" t="n">
        <f aca="false">IF(AQ163&gt;0,AO163/AQ163,0)</f>
        <v>0.00381604986531986</v>
      </c>
    </row>
    <row r="164" customFormat="false" ht="15" hidden="false" customHeight="false" outlineLevel="0" collapsed="false">
      <c r="A164" s="5" t="s">
        <v>299</v>
      </c>
      <c r="B164" s="9" t="n">
        <v>45691</v>
      </c>
      <c r="C164" s="2" t="str">
        <f aca="false">TEXT(B164,"yyyy")</f>
        <v>2025</v>
      </c>
      <c r="D164" s="2" t="n">
        <f aca="false">WEEKNUM(B164,2)</f>
        <v>6</v>
      </c>
      <c r="E164" s="5" t="s">
        <v>134</v>
      </c>
      <c r="F164" s="6" t="str">
        <f aca="false">INDEX(Parametros!$B$2:$B$9,MATCH($E164,Parametros!$A$2:$A$9,0))</f>
        <v>Aderezos vertibles</v>
      </c>
      <c r="G164" s="10" t="n">
        <v>114.8</v>
      </c>
      <c r="H164" s="10" t="n">
        <v>8.4</v>
      </c>
      <c r="I164" s="11" t="n">
        <f aca="false">SUMIFS(Eventos_Paro!$J$2:$J$2186,Eventos_Paro!$D$2:$D$2186,$E164,Eventos_Paro!$B$2:$B$2186,$B164)</f>
        <v>1.35</v>
      </c>
      <c r="J164" s="12" t="n">
        <f aca="false">G164-H164-I164</f>
        <v>105.05</v>
      </c>
      <c r="K164" s="13" t="n">
        <v>426565</v>
      </c>
      <c r="L164" s="13" t="n">
        <v>455474</v>
      </c>
      <c r="M164" s="13" t="n">
        <v>13314</v>
      </c>
      <c r="N164" s="14" t="n">
        <f aca="false">L164+M164</f>
        <v>468788</v>
      </c>
      <c r="O164" s="11" t="n">
        <f aca="false">INDEX(Parametros!$D$2:$D$9,MATCH($E164,Parametros!$A$2:$A$9,0))</f>
        <v>5200</v>
      </c>
      <c r="P164" s="15" t="n">
        <f aca="false">IF((G164-H164)&gt;0,J164/(G164-H164),0)</f>
        <v>0.987312030075188</v>
      </c>
      <c r="Q164" s="15" t="n">
        <f aca="false">IF(J164*O164&gt;0,N164/(O164*J164),0)</f>
        <v>0.858177424669571</v>
      </c>
      <c r="R164" s="15" t="n">
        <f aca="false">IF(N164&gt;0,L164/N164,0)</f>
        <v>0.971599102366102</v>
      </c>
      <c r="S164" s="15" t="n">
        <f aca="false">P164*Q164*R164</f>
        <v>0.823225130133025</v>
      </c>
      <c r="T164" s="15" t="n">
        <f aca="false">IF(K164&gt;0,L164/K164,0)</f>
        <v>1.06777161745572</v>
      </c>
      <c r="U164" s="10" t="n">
        <v>1549.4</v>
      </c>
      <c r="V164" s="5" t="n">
        <v>13</v>
      </c>
      <c r="W164" s="10" t="n">
        <v>57</v>
      </c>
      <c r="X164" s="15" t="n">
        <f aca="false">IF(U164&gt;0,W164/U164,0)</f>
        <v>0.0367884342326062</v>
      </c>
      <c r="Y164" s="12" t="n">
        <f aca="false">IF(U164&gt;0,L164/U164,0)</f>
        <v>293.967987608106</v>
      </c>
      <c r="Z164" s="16" t="n">
        <f aca="false">L164*INDEX(Parametros!$E$2:$E$9,MATCH($E164,Parametros!$A$2:$A$9,0))</f>
        <v>250510.7</v>
      </c>
      <c r="AA164" s="16" t="n">
        <f aca="false">Z164*INDEX(Parametros!$F$2:$F$9,MATCH($E164,Parametros!$A$2:$A$9,0))</f>
        <v>7515.321</v>
      </c>
      <c r="AB164" s="17" t="n">
        <f aca="false">Z164+AA164</f>
        <v>258026.021</v>
      </c>
      <c r="AC164" s="18" t="n">
        <v>256211.89</v>
      </c>
      <c r="AD164" s="17" t="n">
        <f aca="false">AC164-AB164</f>
        <v>-1814.13099999999</v>
      </c>
      <c r="AE164" s="17" t="n">
        <f aca="false">AA164+AD164</f>
        <v>5701.19000000001</v>
      </c>
      <c r="AF164" s="19" t="n">
        <f aca="false">IF(Z164&gt;0,AE164/Z164,0)</f>
        <v>0.0227582694072549</v>
      </c>
      <c r="AG164" s="16" t="n">
        <f aca="false">(U164-W164)*INDEX(Parametros!$H$2:$H$9,MATCH($E164,Parametros!$A$2:$A$9,0))+W164*INDEX(Parametros!$H$2:$H$9,MATCH($E164,Parametros!$A$2:$A$9,0))*Parametros!$N$3</f>
        <v>49703.85</v>
      </c>
      <c r="AH164" s="13" t="n">
        <v>23265</v>
      </c>
      <c r="AI164" s="16" t="n">
        <f aca="false">AH164*Parametros!$N$2</f>
        <v>2140.38</v>
      </c>
      <c r="AJ164" s="18" t="n">
        <v>8910</v>
      </c>
      <c r="AK164" s="18" t="n">
        <v>1140</v>
      </c>
      <c r="AL164" s="17" t="n">
        <f aca="false">AG164+AI164+AJ164+AK164</f>
        <v>61894.23</v>
      </c>
      <c r="AM164" s="20" t="n">
        <f aca="false">IF(L164&gt;0,AL164/L164,0)</f>
        <v>0.135889710499392</v>
      </c>
      <c r="AN164" s="16" t="n">
        <f aca="false">L164*INDEX(Parametros!$G$2:$G$9,MATCH($E164,Parametros!$A$2:$A$9,0))</f>
        <v>464583.48</v>
      </c>
      <c r="AO164" s="17" t="n">
        <f aca="false">AN164-AC164-AL164</f>
        <v>146477.36</v>
      </c>
      <c r="AP164" s="15" t="n">
        <f aca="false">IF(AN164&gt;0,AO164/AN164,0)</f>
        <v>0.315287491496684</v>
      </c>
      <c r="AQ164" s="16" t="n">
        <f aca="false">INDEX(Parametros!$I$2:$I$9,MATCH($E164,Parametros!$A$2:$A$9,0))</f>
        <v>19300000</v>
      </c>
      <c r="AR164" s="19" t="n">
        <f aca="false">IF(AQ164&gt;0,AO164/AQ164,0)</f>
        <v>0.00758950051813471</v>
      </c>
    </row>
    <row r="165" customFormat="false" ht="15" hidden="false" customHeight="false" outlineLevel="0" collapsed="false">
      <c r="A165" s="5" t="s">
        <v>300</v>
      </c>
      <c r="B165" s="9" t="n">
        <v>45691</v>
      </c>
      <c r="C165" s="2" t="str">
        <f aca="false">TEXT(B165,"yyyy")</f>
        <v>2025</v>
      </c>
      <c r="D165" s="2" t="n">
        <f aca="false">WEEKNUM(B165,2)</f>
        <v>6</v>
      </c>
      <c r="E165" s="5" t="s">
        <v>136</v>
      </c>
      <c r="F165" s="6" t="str">
        <f aca="false">INDEX(Parametros!$B$2:$B$9,MATCH($E165,Parametros!$A$2:$A$9,0))</f>
        <v>Salsa BBQ</v>
      </c>
      <c r="G165" s="10" t="n">
        <v>99</v>
      </c>
      <c r="H165" s="10" t="n">
        <v>8</v>
      </c>
      <c r="I165" s="11" t="n">
        <f aca="false">SUMIFS(Eventos_Paro!$J$2:$J$2186,Eventos_Paro!$D$2:$D$2186,$E165,Eventos_Paro!$B$2:$B$2186,$B165)</f>
        <v>3.06666666666667</v>
      </c>
      <c r="J165" s="12" t="n">
        <f aca="false">G165-H165-I165</f>
        <v>87.9333333333333</v>
      </c>
      <c r="K165" s="13" t="n">
        <v>292390</v>
      </c>
      <c r="L165" s="13" t="n">
        <v>342367</v>
      </c>
      <c r="M165" s="13" t="n">
        <v>8586</v>
      </c>
      <c r="N165" s="14" t="n">
        <f aca="false">L165+M165</f>
        <v>350953</v>
      </c>
      <c r="O165" s="11" t="n">
        <f aca="false">INDEX(Parametros!$D$2:$D$9,MATCH($E165,Parametros!$A$2:$A$9,0))</f>
        <v>4800</v>
      </c>
      <c r="P165" s="15" t="n">
        <f aca="false">IF((G165-H165)&gt;0,J165/(G165-H165),0)</f>
        <v>0.966300366300366</v>
      </c>
      <c r="Q165" s="15" t="n">
        <f aca="false">IF(J165*O165&gt;0,N165/(O165*J165),0)</f>
        <v>0.831484552691433</v>
      </c>
      <c r="R165" s="15" t="n">
        <f aca="false">IF(N165&gt;0,L165/N165,0)</f>
        <v>0.975535185623146</v>
      </c>
      <c r="S165" s="15" t="n">
        <f aca="false">P165*Q165*R165</f>
        <v>0.783807234432234</v>
      </c>
      <c r="T165" s="15" t="n">
        <f aca="false">IF(K165&gt;0,L165/K165,0)</f>
        <v>1.17092581825644</v>
      </c>
      <c r="U165" s="10" t="n">
        <v>1182.4</v>
      </c>
      <c r="V165" s="5" t="n">
        <v>11</v>
      </c>
      <c r="W165" s="10" t="n">
        <v>93.4</v>
      </c>
      <c r="X165" s="15" t="n">
        <f aca="false">IF(U165&gt;0,W165/U165,0)</f>
        <v>0.0789918809201624</v>
      </c>
      <c r="Y165" s="12" t="n">
        <f aca="false">IF(U165&gt;0,L165/U165,0)</f>
        <v>289.552604871448</v>
      </c>
      <c r="Z165" s="16" t="n">
        <f aca="false">L165*INDEX(Parametros!$E$2:$E$9,MATCH($E165,Parametros!$A$2:$A$9,0))</f>
        <v>198572.86</v>
      </c>
      <c r="AA165" s="16" t="n">
        <f aca="false">Z165*INDEX(Parametros!$F$2:$F$9,MATCH($E165,Parametros!$A$2:$A$9,0))</f>
        <v>5560.04008</v>
      </c>
      <c r="AB165" s="17" t="n">
        <f aca="false">Z165+AA165</f>
        <v>204132.90008</v>
      </c>
      <c r="AC165" s="18" t="n">
        <v>203945.27</v>
      </c>
      <c r="AD165" s="17" t="n">
        <f aca="false">AC165-AB165</f>
        <v>-187.630080000003</v>
      </c>
      <c r="AE165" s="17" t="n">
        <f aca="false">AA165+AD165</f>
        <v>5372.41</v>
      </c>
      <c r="AF165" s="19" t="n">
        <f aca="false">IF(Z165&gt;0,AE165/Z165,0)</f>
        <v>0.0270551071279328</v>
      </c>
      <c r="AG165" s="16" t="n">
        <f aca="false">(U165-W165)*INDEX(Parametros!$H$2:$H$9,MATCH($E165,Parametros!$A$2:$A$9,0))+W165*INDEX(Parametros!$H$2:$H$9,MATCH($E165,Parametros!$A$2:$A$9,0))*Parametros!$N$3</f>
        <v>38716.65</v>
      </c>
      <c r="AH165" s="13" t="n">
        <v>18407</v>
      </c>
      <c r="AI165" s="16" t="n">
        <f aca="false">AH165*Parametros!$N$2</f>
        <v>1693.444</v>
      </c>
      <c r="AJ165" s="18" t="n">
        <v>9308</v>
      </c>
      <c r="AK165" s="18" t="n">
        <v>2264</v>
      </c>
      <c r="AL165" s="17" t="n">
        <f aca="false">AG165+AI165+AJ165+AK165</f>
        <v>51982.094</v>
      </c>
      <c r="AM165" s="20" t="n">
        <f aca="false">IF(L165&gt;0,AL165/L165,0)</f>
        <v>0.151831496610363</v>
      </c>
      <c r="AN165" s="16" t="n">
        <f aca="false">L165*INDEX(Parametros!$G$2:$G$9,MATCH($E165,Parametros!$A$2:$A$9,0))</f>
        <v>335519.66</v>
      </c>
      <c r="AO165" s="17" t="n">
        <f aca="false">AN165-AC165-AL165</f>
        <v>79592.296</v>
      </c>
      <c r="AP165" s="15" t="n">
        <f aca="false">IF(AN165&gt;0,AO165/AN165,0)</f>
        <v>0.237220960464731</v>
      </c>
      <c r="AQ165" s="16" t="n">
        <f aca="false">INDEX(Parametros!$I$2:$I$9,MATCH($E165,Parametros!$A$2:$A$9,0))</f>
        <v>17000000</v>
      </c>
      <c r="AR165" s="19" t="n">
        <f aca="false">IF(AQ165&gt;0,AO165/AQ165,0)</f>
        <v>0.00468189976470588</v>
      </c>
    </row>
    <row r="166" customFormat="false" ht="15" hidden="false" customHeight="false" outlineLevel="0" collapsed="false">
      <c r="A166" s="5" t="s">
        <v>301</v>
      </c>
      <c r="B166" s="9" t="n">
        <v>45691</v>
      </c>
      <c r="C166" s="2" t="str">
        <f aca="false">TEXT(B166,"yyyy")</f>
        <v>2025</v>
      </c>
      <c r="D166" s="2" t="n">
        <f aca="false">WEEKNUM(B166,2)</f>
        <v>6</v>
      </c>
      <c r="E166" s="5" t="s">
        <v>138</v>
      </c>
      <c r="F166" s="6" t="str">
        <f aca="false">INDEX(Parametros!$B$2:$B$9,MATCH($E166,Parametros!$A$2:$A$9,0))</f>
        <v>Queso crema</v>
      </c>
      <c r="G166" s="10" t="n">
        <v>116.5</v>
      </c>
      <c r="H166" s="10" t="n">
        <v>8</v>
      </c>
      <c r="I166" s="11" t="n">
        <f aca="false">SUMIFS(Eventos_Paro!$J$2:$J$2186,Eventos_Paro!$D$2:$D$2186,$E166,Eventos_Paro!$B$2:$B$2186,$B166)</f>
        <v>3.6</v>
      </c>
      <c r="J166" s="12" t="n">
        <f aca="false">G166-H166-I166</f>
        <v>104.9</v>
      </c>
      <c r="K166" s="13" t="n">
        <v>317873</v>
      </c>
      <c r="L166" s="13" t="n">
        <v>324200</v>
      </c>
      <c r="M166" s="13" t="n">
        <v>16620</v>
      </c>
      <c r="N166" s="14" t="n">
        <f aca="false">L166+M166</f>
        <v>340820</v>
      </c>
      <c r="O166" s="11" t="n">
        <f aca="false">INDEX(Parametros!$D$2:$D$9,MATCH($E166,Parametros!$A$2:$A$9,0))</f>
        <v>3800</v>
      </c>
      <c r="P166" s="15" t="n">
        <f aca="false">IF((G166-H166)&gt;0,J166/(G166-H166),0)</f>
        <v>0.966820276497696</v>
      </c>
      <c r="Q166" s="15" t="n">
        <f aca="false">IF(J166*O166&gt;0,N166/(O166*J166),0)</f>
        <v>0.854999749134514</v>
      </c>
      <c r="R166" s="15" t="n">
        <f aca="false">IF(N166&gt;0,L166/N166,0)</f>
        <v>0.95123525614694</v>
      </c>
      <c r="S166" s="15" t="n">
        <f aca="false">P166*Q166*R166</f>
        <v>0.786320640310454</v>
      </c>
      <c r="T166" s="15" t="n">
        <f aca="false">IF(K166&gt;0,L166/K166,0)</f>
        <v>1.01990417556697</v>
      </c>
      <c r="U166" s="10" t="n">
        <v>1870.5</v>
      </c>
      <c r="V166" s="5" t="n">
        <v>15</v>
      </c>
      <c r="W166" s="10" t="n">
        <v>123</v>
      </c>
      <c r="X166" s="15" t="n">
        <f aca="false">IF(U166&gt;0,W166/U166,0)</f>
        <v>0.0657578187650361</v>
      </c>
      <c r="Y166" s="12" t="n">
        <f aca="false">IF(U166&gt;0,L166/U166,0)</f>
        <v>173.322641005079</v>
      </c>
      <c r="Z166" s="16" t="n">
        <f aca="false">L166*INDEX(Parametros!$E$2:$E$9,MATCH($E166,Parametros!$A$2:$A$9,0))</f>
        <v>363104</v>
      </c>
      <c r="AA166" s="16" t="n">
        <f aca="false">Z166*INDEX(Parametros!$F$2:$F$9,MATCH($E166,Parametros!$A$2:$A$9,0))</f>
        <v>12708.64</v>
      </c>
      <c r="AB166" s="17" t="n">
        <f aca="false">Z166+AA166</f>
        <v>375812.64</v>
      </c>
      <c r="AC166" s="18" t="n">
        <v>377111.61</v>
      </c>
      <c r="AD166" s="17" t="n">
        <f aca="false">AC166-AB166</f>
        <v>1298.96999999991</v>
      </c>
      <c r="AE166" s="17" t="n">
        <f aca="false">AA166+AD166</f>
        <v>14007.6099999999</v>
      </c>
      <c r="AF166" s="19" t="n">
        <f aca="false">IF(Z166&gt;0,AE166/Z166,0)</f>
        <v>0.0385774048206572</v>
      </c>
      <c r="AG166" s="16" t="n">
        <f aca="false">(U166-W166)*INDEX(Parametros!$H$2:$H$9,MATCH($E166,Parametros!$A$2:$A$9,0))+W166*INDEX(Parametros!$H$2:$H$9,MATCH($E166,Parametros!$A$2:$A$9,0))*Parametros!$N$3</f>
        <v>63756</v>
      </c>
      <c r="AH166" s="13" t="n">
        <v>17516</v>
      </c>
      <c r="AI166" s="16" t="n">
        <f aca="false">AH166*Parametros!$N$2</f>
        <v>1611.472</v>
      </c>
      <c r="AJ166" s="18" t="n">
        <v>20410</v>
      </c>
      <c r="AK166" s="18" t="n">
        <v>4235</v>
      </c>
      <c r="AL166" s="17" t="n">
        <f aca="false">AG166+AI166+AJ166+AK166</f>
        <v>90012.472</v>
      </c>
      <c r="AM166" s="20" t="n">
        <f aca="false">IF(L166&gt;0,AL166/L166,0)</f>
        <v>0.277644885872918</v>
      </c>
      <c r="AN166" s="16" t="n">
        <f aca="false">L166*INDEX(Parametros!$G$2:$G$9,MATCH($E166,Parametros!$A$2:$A$9,0))</f>
        <v>580318</v>
      </c>
      <c r="AO166" s="17" t="n">
        <f aca="false">AN166-AC166-AL166</f>
        <v>113193.918</v>
      </c>
      <c r="AP166" s="15" t="n">
        <f aca="false">IF(AN166&gt;0,AO166/AN166,0)</f>
        <v>0.195054983646897</v>
      </c>
      <c r="AQ166" s="16" t="n">
        <f aca="false">INDEX(Parametros!$I$2:$I$9,MATCH($E166,Parametros!$A$2:$A$9,0))</f>
        <v>33200000</v>
      </c>
      <c r="AR166" s="19" t="n">
        <f aca="false">IF(AQ166&gt;0,AO166/AQ166,0)</f>
        <v>0.00340945536144578</v>
      </c>
    </row>
    <row r="167" customFormat="false" ht="15" hidden="false" customHeight="false" outlineLevel="0" collapsed="false">
      <c r="A167" s="5" t="s">
        <v>302</v>
      </c>
      <c r="B167" s="9" t="n">
        <v>45691</v>
      </c>
      <c r="C167" s="2" t="str">
        <f aca="false">TEXT(B167,"yyyy")</f>
        <v>2025</v>
      </c>
      <c r="D167" s="2" t="n">
        <f aca="false">WEEKNUM(B167,2)</f>
        <v>6</v>
      </c>
      <c r="E167" s="5" t="s">
        <v>140</v>
      </c>
      <c r="F167" s="6" t="str">
        <f aca="false">INDEX(Parametros!$B$2:$B$9,MATCH($E167,Parametros!$A$2:$A$9,0))</f>
        <v>Crema de cacahuate</v>
      </c>
      <c r="G167" s="10" t="n">
        <v>100.1</v>
      </c>
      <c r="H167" s="10" t="n">
        <v>6.4</v>
      </c>
      <c r="I167" s="11" t="n">
        <f aca="false">SUMIFS(Eventos_Paro!$J$2:$J$2186,Eventos_Paro!$D$2:$D$2186,$E167,Eventos_Paro!$B$2:$B$2186,$B167)</f>
        <v>1.26666666666667</v>
      </c>
      <c r="J167" s="12" t="n">
        <f aca="false">G167-H167-I167</f>
        <v>92.4333333333333</v>
      </c>
      <c r="K167" s="13" t="n">
        <v>303410</v>
      </c>
      <c r="L167" s="13" t="n">
        <v>329166</v>
      </c>
      <c r="M167" s="13" t="n">
        <v>7480</v>
      </c>
      <c r="N167" s="14" t="n">
        <f aca="false">L167+M167</f>
        <v>336646</v>
      </c>
      <c r="O167" s="11" t="n">
        <f aca="false">INDEX(Parametros!$D$2:$D$9,MATCH($E167,Parametros!$A$2:$A$9,0))</f>
        <v>4200</v>
      </c>
      <c r="P167" s="15" t="n">
        <f aca="false">IF((G167-H167)&gt;0,J167/(G167-H167),0)</f>
        <v>0.986481679117752</v>
      </c>
      <c r="Q167" s="15" t="n">
        <f aca="false">IF(J167*O167&gt;0,N167/(O167*J167),0)</f>
        <v>0.867152645407244</v>
      </c>
      <c r="R167" s="15" t="n">
        <f aca="false">IF(N167&gt;0,L167/N167,0)</f>
        <v>0.977780814267807</v>
      </c>
      <c r="S167" s="15" t="n">
        <f aca="false">P167*Q167*R167</f>
        <v>0.836423235249276</v>
      </c>
      <c r="T167" s="15" t="n">
        <f aca="false">IF(K167&gt;0,L167/K167,0)</f>
        <v>1.08488843479121</v>
      </c>
      <c r="U167" s="10" t="n">
        <v>1397.9</v>
      </c>
      <c r="V167" s="5" t="n">
        <v>13</v>
      </c>
      <c r="W167" s="10" t="n">
        <v>96.6</v>
      </c>
      <c r="X167" s="15" t="n">
        <f aca="false">IF(U167&gt;0,W167/U167,0)</f>
        <v>0.0691036554832248</v>
      </c>
      <c r="Y167" s="12" t="n">
        <f aca="false">IF(U167&gt;0,L167/U167,0)</f>
        <v>235.471779097217</v>
      </c>
      <c r="Z167" s="16" t="n">
        <f aca="false">L167*INDEX(Parametros!$E$2:$E$9,MATCH($E167,Parametros!$A$2:$A$9,0))</f>
        <v>319291.02</v>
      </c>
      <c r="AA167" s="16" t="n">
        <f aca="false">Z167*INDEX(Parametros!$F$2:$F$9,MATCH($E167,Parametros!$A$2:$A$9,0))</f>
        <v>7024.40244</v>
      </c>
      <c r="AB167" s="17" t="n">
        <f aca="false">Z167+AA167</f>
        <v>326315.42244</v>
      </c>
      <c r="AC167" s="18" t="n">
        <v>331569.86</v>
      </c>
      <c r="AD167" s="17" t="n">
        <f aca="false">AC167-AB167</f>
        <v>5254.43755999999</v>
      </c>
      <c r="AE167" s="17" t="n">
        <f aca="false">AA167+AD167</f>
        <v>12278.84</v>
      </c>
      <c r="AF167" s="19" t="n">
        <f aca="false">IF(Z167&gt;0,AE167/Z167,0)</f>
        <v>0.0384565779519887</v>
      </c>
      <c r="AG167" s="16" t="n">
        <f aca="false">(U167-W167)*INDEX(Parametros!$H$2:$H$9,MATCH($E167,Parametros!$A$2:$A$9,0))+W167*INDEX(Parametros!$H$2:$H$9,MATCH($E167,Parametros!$A$2:$A$9,0))*Parametros!$N$3</f>
        <v>45555.3</v>
      </c>
      <c r="AH167" s="13" t="n">
        <v>17643</v>
      </c>
      <c r="AI167" s="16" t="n">
        <f aca="false">AH167*Parametros!$N$2</f>
        <v>1623.156</v>
      </c>
      <c r="AJ167" s="18" t="n">
        <v>13014</v>
      </c>
      <c r="AK167" s="18" t="n">
        <v>929</v>
      </c>
      <c r="AL167" s="17" t="n">
        <f aca="false">AG167+AI167+AJ167+AK167</f>
        <v>61121.456</v>
      </c>
      <c r="AM167" s="20" t="n">
        <f aca="false">IF(L167&gt;0,AL167/L167,0)</f>
        <v>0.185685812021898</v>
      </c>
      <c r="AN167" s="16" t="n">
        <f aca="false">L167*INDEX(Parametros!$G$2:$G$9,MATCH($E167,Parametros!$A$2:$A$9,0))</f>
        <v>533248.92</v>
      </c>
      <c r="AO167" s="17" t="n">
        <f aca="false">AN167-AC167-AL167</f>
        <v>140557.604</v>
      </c>
      <c r="AP167" s="15" t="n">
        <f aca="false">IF(AN167&gt;0,AO167/AN167,0)</f>
        <v>0.263587226768317</v>
      </c>
      <c r="AQ167" s="16" t="n">
        <f aca="false">INDEX(Parametros!$I$2:$I$9,MATCH($E167,Parametros!$A$2:$A$9,0))</f>
        <v>28000000</v>
      </c>
      <c r="AR167" s="19" t="n">
        <f aca="false">IF(AQ167&gt;0,AO167/AQ167,0)</f>
        <v>0.00501991442857143</v>
      </c>
    </row>
    <row r="168" customFormat="false" ht="15" hidden="false" customHeight="false" outlineLevel="0" collapsed="false">
      <c r="A168" s="5" t="s">
        <v>303</v>
      </c>
      <c r="B168" s="9" t="n">
        <v>45691</v>
      </c>
      <c r="C168" s="2" t="str">
        <f aca="false">TEXT(B168,"yyyy")</f>
        <v>2025</v>
      </c>
      <c r="D168" s="2" t="n">
        <f aca="false">WEEKNUM(B168,2)</f>
        <v>6</v>
      </c>
      <c r="E168" s="5" t="s">
        <v>142</v>
      </c>
      <c r="F168" s="6" t="str">
        <f aca="false">INDEX(Parametros!$B$2:$B$9,MATCH($E168,Parametros!$A$2:$A$9,0))</f>
        <v>Porciones single serve</v>
      </c>
      <c r="G168" s="10" t="n">
        <v>141.2</v>
      </c>
      <c r="H168" s="10" t="n">
        <v>6.8</v>
      </c>
      <c r="I168" s="11" t="n">
        <f aca="false">SUMIFS(Eventos_Paro!$J$2:$J$2186,Eventos_Paro!$D$2:$D$2186,$E168,Eventos_Paro!$B$2:$B$2186,$B168)</f>
        <v>0.4</v>
      </c>
      <c r="J168" s="12" t="n">
        <f aca="false">G168-H168-I168</f>
        <v>134</v>
      </c>
      <c r="K168" s="13" t="n">
        <v>269410</v>
      </c>
      <c r="L168" s="13" t="n">
        <v>256905</v>
      </c>
      <c r="M168" s="13" t="n">
        <v>13738</v>
      </c>
      <c r="N168" s="14" t="n">
        <f aca="false">L168+M168</f>
        <v>270643</v>
      </c>
      <c r="O168" s="11" t="n">
        <f aca="false">INDEX(Parametros!$D$2:$D$9,MATCH($E168,Parametros!$A$2:$A$9,0))</f>
        <v>2600</v>
      </c>
      <c r="P168" s="15" t="n">
        <f aca="false">IF((G168-H168)&gt;0,J168/(G168-H168),0)</f>
        <v>0.99702380952381</v>
      </c>
      <c r="Q168" s="15" t="n">
        <f aca="false">IF(J168*O168&gt;0,N168/(O168*J168),0)</f>
        <v>0.776816877152698</v>
      </c>
      <c r="R168" s="15" t="n">
        <f aca="false">IF(N168&gt;0,L168/N168,0)</f>
        <v>0.949239403938029</v>
      </c>
      <c r="S168" s="15" t="n">
        <f aca="false">P168*Q168*R168</f>
        <v>0.735190590659341</v>
      </c>
      <c r="T168" s="15" t="n">
        <f aca="false">IF(K168&gt;0,L168/K168,0)</f>
        <v>0.953583757098846</v>
      </c>
      <c r="U168" s="10" t="n">
        <v>2435.2</v>
      </c>
      <c r="V168" s="5" t="n">
        <v>16</v>
      </c>
      <c r="W168" s="10" t="n">
        <v>176</v>
      </c>
      <c r="X168" s="15" t="n">
        <f aca="false">IF(U168&gt;0,W168/U168,0)</f>
        <v>0.0722733245729304</v>
      </c>
      <c r="Y168" s="12" t="n">
        <f aca="false">IF(U168&gt;0,L168/U168,0)</f>
        <v>105.496468462549</v>
      </c>
      <c r="Z168" s="16" t="n">
        <f aca="false">L168*INDEX(Parametros!$E$2:$E$9,MATCH($E168,Parametros!$A$2:$A$9,0))</f>
        <v>190109.7</v>
      </c>
      <c r="AA168" s="16" t="n">
        <f aca="false">Z168*INDEX(Parametros!$F$2:$F$9,MATCH($E168,Parametros!$A$2:$A$9,0))</f>
        <v>8554.9365</v>
      </c>
      <c r="AB168" s="17" t="n">
        <f aca="false">Z168+AA168</f>
        <v>198664.6365</v>
      </c>
      <c r="AC168" s="18" t="n">
        <v>198736.87</v>
      </c>
      <c r="AD168" s="17" t="n">
        <f aca="false">AC168-AB168</f>
        <v>72.233499999973</v>
      </c>
      <c r="AE168" s="17" t="n">
        <f aca="false">AA168+AD168</f>
        <v>8627.16999999997</v>
      </c>
      <c r="AF168" s="19" t="n">
        <f aca="false">IF(Z168&gt;0,AE168/Z168,0)</f>
        <v>0.0453799569406504</v>
      </c>
      <c r="AG168" s="16" t="n">
        <f aca="false">(U168-W168)*INDEX(Parametros!$H$2:$H$9,MATCH($E168,Parametros!$A$2:$A$9,0))+W168*INDEX(Parametros!$H$2:$H$9,MATCH($E168,Parametros!$A$2:$A$9,0))*Parametros!$N$3</f>
        <v>75696</v>
      </c>
      <c r="AH168" s="13" t="n">
        <v>13564</v>
      </c>
      <c r="AI168" s="16" t="n">
        <f aca="false">AH168*Parametros!$N$2</f>
        <v>1247.888</v>
      </c>
      <c r="AJ168" s="18" t="n">
        <v>11564</v>
      </c>
      <c r="AK168" s="18" t="n">
        <v>428</v>
      </c>
      <c r="AL168" s="17" t="n">
        <f aca="false">AG168+AI168+AJ168+AK168</f>
        <v>88935.888</v>
      </c>
      <c r="AM168" s="20" t="n">
        <f aca="false">IF(L168&gt;0,AL168/L168,0)</f>
        <v>0.346182005021311</v>
      </c>
      <c r="AN168" s="16" t="n">
        <f aca="false">L168*INDEX(Parametros!$G$2:$G$9,MATCH($E168,Parametros!$A$2:$A$9,0))</f>
        <v>441876.6</v>
      </c>
      <c r="AO168" s="17" t="n">
        <f aca="false">AN168-AC168-AL168</f>
        <v>154203.842</v>
      </c>
      <c r="AP168" s="15" t="n">
        <f aca="false">IF(AN168&gt;0,AO168/AN168,0)</f>
        <v>0.348974899327097</v>
      </c>
      <c r="AQ168" s="16" t="n">
        <f aca="false">INDEX(Parametros!$I$2:$I$9,MATCH($E168,Parametros!$A$2:$A$9,0))</f>
        <v>15900000</v>
      </c>
      <c r="AR168" s="19" t="n">
        <f aca="false">IF(AQ168&gt;0,AO168/AQ168,0)</f>
        <v>0.00969835484276729</v>
      </c>
    </row>
    <row r="169" customFormat="false" ht="15" hidden="false" customHeight="false" outlineLevel="0" collapsed="false">
      <c r="A169" s="5" t="s">
        <v>304</v>
      </c>
      <c r="B169" s="9" t="n">
        <v>45691</v>
      </c>
      <c r="C169" s="2" t="str">
        <f aca="false">TEXT(B169,"yyyy")</f>
        <v>2025</v>
      </c>
      <c r="D169" s="2" t="n">
        <f aca="false">WEEKNUM(B169,2)</f>
        <v>6</v>
      </c>
      <c r="E169" s="5" t="s">
        <v>144</v>
      </c>
      <c r="F169" s="6" t="str">
        <f aca="false">INDEX(Parametros!$B$2:$B$9,MATCH($E169,Parametros!$A$2:$A$9,0))</f>
        <v>Salsas picantes</v>
      </c>
      <c r="G169" s="10" t="n">
        <v>104</v>
      </c>
      <c r="H169" s="10" t="n">
        <v>5.6</v>
      </c>
      <c r="I169" s="11" t="n">
        <f aca="false">SUMIFS(Eventos_Paro!$J$2:$J$2186,Eventos_Paro!$D$2:$D$2186,$E169,Eventos_Paro!$B$2:$B$2186,$B169)</f>
        <v>4.46666666666667</v>
      </c>
      <c r="J169" s="12" t="n">
        <f aca="false">G169-H169-I169</f>
        <v>93.9333333333333</v>
      </c>
      <c r="K169" s="13" t="n">
        <v>257035</v>
      </c>
      <c r="L169" s="13" t="n">
        <v>239971</v>
      </c>
      <c r="M169" s="13" t="n">
        <v>7010</v>
      </c>
      <c r="N169" s="14" t="n">
        <f aca="false">L169+M169</f>
        <v>246981</v>
      </c>
      <c r="O169" s="11" t="n">
        <f aca="false">INDEX(Parametros!$D$2:$D$9,MATCH($E169,Parametros!$A$2:$A$9,0))</f>
        <v>3100</v>
      </c>
      <c r="P169" s="15" t="n">
        <f aca="false">IF((G169-H169)&gt;0,J169/(G169-H169),0)</f>
        <v>0.954607046070461</v>
      </c>
      <c r="Q169" s="15" t="n">
        <f aca="false">IF(J169*O169&gt;0,N169/(O169*J169),0)</f>
        <v>0.848168456237551</v>
      </c>
      <c r="R169" s="15" t="n">
        <f aca="false">IF(N169&gt;0,L169/N169,0)</f>
        <v>0.971617249909912</v>
      </c>
      <c r="S169" s="15" t="n">
        <f aca="false">P169*Q169*R169</f>
        <v>0.786686991869918</v>
      </c>
      <c r="T169" s="15" t="n">
        <f aca="false">IF(K169&gt;0,L169/K169,0)</f>
        <v>0.933612153986811</v>
      </c>
      <c r="U169" s="10" t="n">
        <v>1099.5</v>
      </c>
      <c r="V169" s="5" t="n">
        <v>10</v>
      </c>
      <c r="W169" s="10" t="n">
        <v>59.5</v>
      </c>
      <c r="X169" s="15" t="n">
        <f aca="false">IF(U169&gt;0,W169/U169,0)</f>
        <v>0.0541155070486585</v>
      </c>
      <c r="Y169" s="12" t="n">
        <f aca="false">IF(U169&gt;0,L169/U169,0)</f>
        <v>218.254661209641</v>
      </c>
      <c r="Z169" s="16" t="n">
        <f aca="false">L169*INDEX(Parametros!$E$2:$E$9,MATCH($E169,Parametros!$A$2:$A$9,0))</f>
        <v>158380.86</v>
      </c>
      <c r="AA169" s="16" t="n">
        <f aca="false">Z169*INDEX(Parametros!$F$2:$F$9,MATCH($E169,Parametros!$A$2:$A$9,0))</f>
        <v>4117.90236</v>
      </c>
      <c r="AB169" s="17" t="n">
        <f aca="false">Z169+AA169</f>
        <v>162498.76236</v>
      </c>
      <c r="AC169" s="18" t="n">
        <v>162043.8</v>
      </c>
      <c r="AD169" s="17" t="n">
        <f aca="false">AC169-AB169</f>
        <v>-454.962360000034</v>
      </c>
      <c r="AE169" s="17" t="n">
        <f aca="false">AA169+AD169</f>
        <v>3662.93999999997</v>
      </c>
      <c r="AF169" s="19" t="n">
        <f aca="false">IF(Z169&gt;0,AE169/Z169,0)</f>
        <v>0.0231274157748605</v>
      </c>
      <c r="AG169" s="16" t="n">
        <f aca="false">(U169-W169)*INDEX(Parametros!$H$2:$H$9,MATCH($E169,Parametros!$A$2:$A$9,0))+W169*INDEX(Parametros!$H$2:$H$9,MATCH($E169,Parametros!$A$2:$A$9,0))*Parametros!$N$3</f>
        <v>35571.375</v>
      </c>
      <c r="AH169" s="13" t="n">
        <v>12393</v>
      </c>
      <c r="AI169" s="16" t="n">
        <f aca="false">AH169*Parametros!$N$2</f>
        <v>1140.156</v>
      </c>
      <c r="AJ169" s="18" t="n">
        <v>6960</v>
      </c>
      <c r="AK169" s="18" t="n">
        <v>3221</v>
      </c>
      <c r="AL169" s="17" t="n">
        <f aca="false">AG169+AI169+AJ169+AK169</f>
        <v>46892.531</v>
      </c>
      <c r="AM169" s="20" t="n">
        <f aca="false">IF(L169&gt;0,AL169/L169,0)</f>
        <v>0.195409157773231</v>
      </c>
      <c r="AN169" s="16" t="n">
        <f aca="false">L169*INDEX(Parametros!$G$2:$G$9,MATCH($E169,Parametros!$A$2:$A$9,0))</f>
        <v>299963.75</v>
      </c>
      <c r="AO169" s="17" t="n">
        <f aca="false">AN169-AC169-AL169</f>
        <v>91027.419</v>
      </c>
      <c r="AP169" s="15" t="n">
        <f aca="false">IF(AN169&gt;0,AO169/AN169,0)</f>
        <v>0.303461398252289</v>
      </c>
      <c r="AQ169" s="16" t="n">
        <f aca="false">INDEX(Parametros!$I$2:$I$9,MATCH($E169,Parametros!$A$2:$A$9,0))</f>
        <v>13300000</v>
      </c>
      <c r="AR169" s="19" t="n">
        <f aca="false">IF(AQ169&gt;0,AO169/AQ169,0)</f>
        <v>0.00684416684210526</v>
      </c>
    </row>
    <row r="170" customFormat="false" ht="15" hidden="false" customHeight="false" outlineLevel="0" collapsed="false">
      <c r="A170" s="5" t="s">
        <v>305</v>
      </c>
      <c r="B170" s="9" t="n">
        <v>45698</v>
      </c>
      <c r="C170" s="2" t="str">
        <f aca="false">TEXT(B170,"yyyy")</f>
        <v>2025</v>
      </c>
      <c r="D170" s="2" t="n">
        <f aca="false">WEEKNUM(B170,2)</f>
        <v>7</v>
      </c>
      <c r="E170" s="5" t="s">
        <v>130</v>
      </c>
      <c r="F170" s="6" t="str">
        <f aca="false">INDEX(Parametros!$B$2:$B$9,MATCH($E170,Parametros!$A$2:$A$9,0))</f>
        <v>Ketchup botella</v>
      </c>
      <c r="G170" s="10" t="n">
        <v>124.2</v>
      </c>
      <c r="H170" s="10" t="n">
        <v>5.5</v>
      </c>
      <c r="I170" s="11" t="n">
        <f aca="false">SUMIFS(Eventos_Paro!$J$2:$J$2186,Eventos_Paro!$D$2:$D$2186,$E170,Eventos_Paro!$B$2:$B$2186,$B170)</f>
        <v>4.13333333333333</v>
      </c>
      <c r="J170" s="12" t="n">
        <f aca="false">G170-H170-I170</f>
        <v>114.566666666667</v>
      </c>
      <c r="K170" s="13" t="n">
        <v>825588</v>
      </c>
      <c r="L170" s="13" t="n">
        <v>913291</v>
      </c>
      <c r="M170" s="13" t="n">
        <v>26969</v>
      </c>
      <c r="N170" s="14" t="n">
        <f aca="false">L170+M170</f>
        <v>940260</v>
      </c>
      <c r="O170" s="11" t="n">
        <f aca="false">INDEX(Parametros!$D$2:$D$9,MATCH($E170,Parametros!$A$2:$A$9,0))</f>
        <v>9000</v>
      </c>
      <c r="P170" s="15" t="n">
        <f aca="false">IF((G170-H170)&gt;0,J170/(G170-H170),0)</f>
        <v>0.965178320696434</v>
      </c>
      <c r="Q170" s="15" t="n">
        <f aca="false">IF(J170*O170&gt;0,N170/(O170*J170),0)</f>
        <v>0.911899912714577</v>
      </c>
      <c r="R170" s="15" t="n">
        <f aca="false">IF(N170&gt;0,L170/N170,0)</f>
        <v>0.97131750792334</v>
      </c>
      <c r="S170" s="15" t="n">
        <f aca="false">P170*Q170*R170</f>
        <v>0.854901244968642</v>
      </c>
      <c r="T170" s="15" t="n">
        <f aca="false">IF(K170&gt;0,L170/K170,0)</f>
        <v>1.10623095296928</v>
      </c>
      <c r="U170" s="10" t="n">
        <v>1738.8</v>
      </c>
      <c r="V170" s="5" t="n">
        <v>14</v>
      </c>
      <c r="W170" s="10" t="n">
        <v>0</v>
      </c>
      <c r="X170" s="15" t="n">
        <f aca="false">IF(U170&gt;0,W170/U170,0)</f>
        <v>0</v>
      </c>
      <c r="Y170" s="12" t="n">
        <f aca="false">IF(U170&gt;0,L170/U170,0)</f>
        <v>525.242121002991</v>
      </c>
      <c r="Z170" s="16" t="n">
        <f aca="false">L170*INDEX(Parametros!$E$2:$E$9,MATCH($E170,Parametros!$A$2:$A$9,0))</f>
        <v>383582.22</v>
      </c>
      <c r="AA170" s="16" t="n">
        <f aca="false">Z170*INDEX(Parametros!$F$2:$F$9,MATCH($E170,Parametros!$A$2:$A$9,0))</f>
        <v>7671.6444</v>
      </c>
      <c r="AB170" s="17" t="n">
        <f aca="false">Z170+AA170</f>
        <v>391253.8644</v>
      </c>
      <c r="AC170" s="18" t="n">
        <v>400179.8</v>
      </c>
      <c r="AD170" s="17" t="n">
        <f aca="false">AC170-AB170</f>
        <v>8925.93560000003</v>
      </c>
      <c r="AE170" s="17" t="n">
        <f aca="false">AA170+AD170</f>
        <v>16597.58</v>
      </c>
      <c r="AF170" s="19" t="n">
        <f aca="false">IF(Z170&gt;0,AE170/Z170,0)</f>
        <v>0.0432699409268762</v>
      </c>
      <c r="AG170" s="16" t="n">
        <f aca="false">(U170-W170)*INDEX(Parametros!$H$2:$H$9,MATCH($E170,Parametros!$A$2:$A$9,0))+W170*INDEX(Parametros!$H$2:$H$9,MATCH($E170,Parametros!$A$2:$A$9,0))*Parametros!$N$3</f>
        <v>54772.2</v>
      </c>
      <c r="AH170" s="13" t="n">
        <v>45063</v>
      </c>
      <c r="AI170" s="16" t="n">
        <f aca="false">AH170*Parametros!$N$2</f>
        <v>4145.796</v>
      </c>
      <c r="AJ170" s="18" t="n">
        <v>15337</v>
      </c>
      <c r="AK170" s="18" t="n">
        <v>3802</v>
      </c>
      <c r="AL170" s="17" t="n">
        <f aca="false">AG170+AI170+AJ170+AK170</f>
        <v>78056.996</v>
      </c>
      <c r="AM170" s="20" t="n">
        <f aca="false">IF(L170&gt;0,AL170/L170,0)</f>
        <v>0.0854678256984904</v>
      </c>
      <c r="AN170" s="16" t="n">
        <f aca="false">L170*INDEX(Parametros!$G$2:$G$9,MATCH($E170,Parametros!$A$2:$A$9,0))</f>
        <v>648436.61</v>
      </c>
      <c r="AO170" s="17" t="n">
        <f aca="false">AN170-AC170-AL170</f>
        <v>170199.814</v>
      </c>
      <c r="AP170" s="15" t="n">
        <f aca="false">IF(AN170&gt;0,AO170/AN170,0)</f>
        <v>0.2624771818482</v>
      </c>
      <c r="AQ170" s="16" t="n">
        <f aca="false">INDEX(Parametros!$I$2:$I$9,MATCH($E170,Parametros!$A$2:$A$9,0))</f>
        <v>29300000</v>
      </c>
      <c r="AR170" s="19" t="n">
        <f aca="false">IF(AQ170&gt;0,AO170/AQ170,0)</f>
        <v>0.00580886737201365</v>
      </c>
    </row>
    <row r="171" customFormat="false" ht="15" hidden="false" customHeight="false" outlineLevel="0" collapsed="false">
      <c r="A171" s="5" t="s">
        <v>306</v>
      </c>
      <c r="B171" s="9" t="n">
        <v>45698</v>
      </c>
      <c r="C171" s="2" t="str">
        <f aca="false">TEXT(B171,"yyyy")</f>
        <v>2025</v>
      </c>
      <c r="D171" s="2" t="n">
        <f aca="false">WEEKNUM(B171,2)</f>
        <v>7</v>
      </c>
      <c r="E171" s="5" t="s">
        <v>132</v>
      </c>
      <c r="F171" s="6" t="str">
        <f aca="false">INDEX(Parametros!$B$2:$B$9,MATCH($E171,Parametros!$A$2:$A$9,0))</f>
        <v>Mayonesa frasco</v>
      </c>
      <c r="G171" s="10" t="n">
        <v>124.1</v>
      </c>
      <c r="H171" s="10" t="n">
        <v>8.9</v>
      </c>
      <c r="I171" s="11" t="n">
        <f aca="false">SUMIFS(Eventos_Paro!$J$2:$J$2186,Eventos_Paro!$D$2:$D$2186,$E171,Eventos_Paro!$B$2:$B$2186,$B171)</f>
        <v>3.11666666666667</v>
      </c>
      <c r="J171" s="12" t="n">
        <f aca="false">G171-H171-I171</f>
        <v>112.083333333333</v>
      </c>
      <c r="K171" s="13" t="n">
        <v>578677</v>
      </c>
      <c r="L171" s="13" t="n">
        <v>623619</v>
      </c>
      <c r="M171" s="13" t="n">
        <v>21254</v>
      </c>
      <c r="N171" s="14" t="n">
        <f aca="false">L171+M171</f>
        <v>644873</v>
      </c>
      <c r="O171" s="11" t="n">
        <f aca="false">INDEX(Parametros!$D$2:$D$9,MATCH($E171,Parametros!$A$2:$A$9,0))</f>
        <v>6500</v>
      </c>
      <c r="P171" s="15" t="n">
        <f aca="false">IF((G171-H171)&gt;0,J171/(G171-H171),0)</f>
        <v>0.972945601851852</v>
      </c>
      <c r="Q171" s="15" t="n">
        <f aca="false">IF(J171*O171&gt;0,N171/(O171*J171),0)</f>
        <v>0.88515596225336</v>
      </c>
      <c r="R171" s="15" t="n">
        <f aca="false">IF(N171&gt;0,L171/N171,0)</f>
        <v>0.967041572526684</v>
      </c>
      <c r="S171" s="15" t="n">
        <f aca="false">P171*Q171*R171</f>
        <v>0.832824519230769</v>
      </c>
      <c r="T171" s="15" t="n">
        <f aca="false">IF(K171&gt;0,L171/K171,0)</f>
        <v>1.07766335969807</v>
      </c>
      <c r="U171" s="10" t="n">
        <v>1740.2</v>
      </c>
      <c r="V171" s="5" t="n">
        <v>13</v>
      </c>
      <c r="W171" s="10" t="n">
        <v>126.9</v>
      </c>
      <c r="X171" s="15" t="n">
        <f aca="false">IF(U171&gt;0,W171/U171,0)</f>
        <v>0.0729226525686703</v>
      </c>
      <c r="Y171" s="12" t="n">
        <f aca="false">IF(U171&gt;0,L171/U171,0)</f>
        <v>358.360533272038</v>
      </c>
      <c r="Z171" s="16" t="n">
        <f aca="false">L171*INDEX(Parametros!$E$2:$E$9,MATCH($E171,Parametros!$A$2:$A$9,0))</f>
        <v>380407.59</v>
      </c>
      <c r="AA171" s="16" t="n">
        <f aca="false">Z171*INDEX(Parametros!$F$2:$F$9,MATCH($E171,Parametros!$A$2:$A$9,0))</f>
        <v>9510.18975</v>
      </c>
      <c r="AB171" s="17" t="n">
        <f aca="false">Z171+AA171</f>
        <v>389917.77975</v>
      </c>
      <c r="AC171" s="18" t="n">
        <v>390416.24</v>
      </c>
      <c r="AD171" s="17" t="n">
        <f aca="false">AC171-AB171</f>
        <v>498.460250000004</v>
      </c>
      <c r="AE171" s="17" t="n">
        <f aca="false">AA171+AD171</f>
        <v>10008.65</v>
      </c>
      <c r="AF171" s="19" t="n">
        <f aca="false">IF(Z171&gt;0,AE171/Z171,0)</f>
        <v>0.0263103320309671</v>
      </c>
      <c r="AG171" s="16" t="n">
        <f aca="false">(U171-W171)*INDEX(Parametros!$H$2:$H$9,MATCH($E171,Parametros!$A$2:$A$9,0))+W171*INDEX(Parametros!$H$2:$H$9,MATCH($E171,Parametros!$A$2:$A$9,0))*Parametros!$N$3</f>
        <v>56814.975</v>
      </c>
      <c r="AH171" s="13" t="n">
        <v>33398</v>
      </c>
      <c r="AI171" s="16" t="n">
        <f aca="false">AH171*Parametros!$N$2</f>
        <v>3072.616</v>
      </c>
      <c r="AJ171" s="18" t="n">
        <v>14696</v>
      </c>
      <c r="AK171" s="18" t="n">
        <v>2742</v>
      </c>
      <c r="AL171" s="17" t="n">
        <f aca="false">AG171+AI171+AJ171+AK171</f>
        <v>77325.591</v>
      </c>
      <c r="AM171" s="20" t="n">
        <f aca="false">IF(L171&gt;0,AL171/L171,0)</f>
        <v>0.123994924785807</v>
      </c>
      <c r="AN171" s="16" t="n">
        <f aca="false">L171*INDEX(Parametros!$G$2:$G$9,MATCH($E171,Parametros!$A$2:$A$9,0))</f>
        <v>598674.24</v>
      </c>
      <c r="AO171" s="17" t="n">
        <f aca="false">AN171-AC171-AL171</f>
        <v>130932.409</v>
      </c>
      <c r="AP171" s="15" t="n">
        <f aca="false">IF(AN171&gt;0,AO171/AN171,0)</f>
        <v>0.218703929870108</v>
      </c>
      <c r="AQ171" s="16" t="n">
        <f aca="false">INDEX(Parametros!$I$2:$I$9,MATCH($E171,Parametros!$A$2:$A$9,0))</f>
        <v>29700000</v>
      </c>
      <c r="AR171" s="19" t="n">
        <f aca="false">IF(AQ171&gt;0,AO171/AQ171,0)</f>
        <v>0.00440849861952862</v>
      </c>
    </row>
    <row r="172" customFormat="false" ht="15" hidden="false" customHeight="false" outlineLevel="0" collapsed="false">
      <c r="A172" s="5" t="s">
        <v>307</v>
      </c>
      <c r="B172" s="9" t="n">
        <v>45698</v>
      </c>
      <c r="C172" s="2" t="str">
        <f aca="false">TEXT(B172,"yyyy")</f>
        <v>2025</v>
      </c>
      <c r="D172" s="2" t="n">
        <f aca="false">WEEKNUM(B172,2)</f>
        <v>7</v>
      </c>
      <c r="E172" s="5" t="s">
        <v>134</v>
      </c>
      <c r="F172" s="6" t="str">
        <f aca="false">INDEX(Parametros!$B$2:$B$9,MATCH($E172,Parametros!$A$2:$A$9,0))</f>
        <v>Aderezos vertibles</v>
      </c>
      <c r="G172" s="10" t="n">
        <v>96.8</v>
      </c>
      <c r="H172" s="10" t="n">
        <v>6</v>
      </c>
      <c r="I172" s="11" t="n">
        <f aca="false">SUMIFS(Eventos_Paro!$J$2:$J$2186,Eventos_Paro!$D$2:$D$2186,$E172,Eventos_Paro!$B$2:$B$2186,$B172)</f>
        <v>1.9</v>
      </c>
      <c r="J172" s="12" t="n">
        <f aca="false">G172-H172-I172</f>
        <v>88.9</v>
      </c>
      <c r="K172" s="13" t="n">
        <v>364888</v>
      </c>
      <c r="L172" s="13" t="n">
        <v>383827</v>
      </c>
      <c r="M172" s="13" t="n">
        <v>12287</v>
      </c>
      <c r="N172" s="14" t="n">
        <f aca="false">L172+M172</f>
        <v>396114</v>
      </c>
      <c r="O172" s="11" t="n">
        <f aca="false">INDEX(Parametros!$D$2:$D$9,MATCH($E172,Parametros!$A$2:$A$9,0))</f>
        <v>5200</v>
      </c>
      <c r="P172" s="15" t="n">
        <f aca="false">IF((G172-H172)&gt;0,J172/(G172-H172),0)</f>
        <v>0.979074889867841</v>
      </c>
      <c r="Q172" s="15" t="n">
        <f aca="false">IF(J172*O172&gt;0,N172/(O172*J172),0)</f>
        <v>0.856870295059272</v>
      </c>
      <c r="R172" s="15" t="n">
        <f aca="false">IF(N172&gt;0,L172/N172,0)</f>
        <v>0.968981151890617</v>
      </c>
      <c r="S172" s="15" t="n">
        <f aca="false">P172*Q172*R172</f>
        <v>0.812917231446967</v>
      </c>
      <c r="T172" s="15" t="n">
        <f aca="false">IF(K172&gt;0,L172/K172,0)</f>
        <v>1.05190359781632</v>
      </c>
      <c r="U172" s="10" t="n">
        <v>1184.9</v>
      </c>
      <c r="V172" s="5" t="n">
        <v>12</v>
      </c>
      <c r="W172" s="10" t="n">
        <v>23.3</v>
      </c>
      <c r="X172" s="15" t="n">
        <f aca="false">IF(U172&gt;0,W172/U172,0)</f>
        <v>0.0196641066756688</v>
      </c>
      <c r="Y172" s="12" t="n">
        <f aca="false">IF(U172&gt;0,L172/U172,0)</f>
        <v>323.931977382058</v>
      </c>
      <c r="Z172" s="16" t="n">
        <f aca="false">L172*INDEX(Parametros!$E$2:$E$9,MATCH($E172,Parametros!$A$2:$A$9,0))</f>
        <v>211104.85</v>
      </c>
      <c r="AA172" s="16" t="n">
        <f aca="false">Z172*INDEX(Parametros!$F$2:$F$9,MATCH($E172,Parametros!$A$2:$A$9,0))</f>
        <v>6333.1455</v>
      </c>
      <c r="AB172" s="17" t="n">
        <f aca="false">Z172+AA172</f>
        <v>217437.9955</v>
      </c>
      <c r="AC172" s="18" t="n">
        <v>218859.38</v>
      </c>
      <c r="AD172" s="17" t="n">
        <f aca="false">AC172-AB172</f>
        <v>1421.38449999999</v>
      </c>
      <c r="AE172" s="17" t="n">
        <f aca="false">AA172+AD172</f>
        <v>7754.52999999999</v>
      </c>
      <c r="AF172" s="19" t="n">
        <f aca="false">IF(Z172&gt;0,AE172/Z172,0)</f>
        <v>0.0367330736361575</v>
      </c>
      <c r="AG172" s="16" t="n">
        <f aca="false">(U172-W172)*INDEX(Parametros!$H$2:$H$9,MATCH($E172,Parametros!$A$2:$A$9,0))+W172*INDEX(Parametros!$H$2:$H$9,MATCH($E172,Parametros!$A$2:$A$9,0))*Parametros!$N$3</f>
        <v>37691.325</v>
      </c>
      <c r="AH172" s="13" t="n">
        <v>19191</v>
      </c>
      <c r="AI172" s="16" t="n">
        <f aca="false">AH172*Parametros!$N$2</f>
        <v>1765.572</v>
      </c>
      <c r="AJ172" s="18" t="n">
        <v>9638</v>
      </c>
      <c r="AK172" s="18" t="n">
        <v>1880</v>
      </c>
      <c r="AL172" s="17" t="n">
        <f aca="false">AG172+AI172+AJ172+AK172</f>
        <v>50974.897</v>
      </c>
      <c r="AM172" s="20" t="n">
        <f aca="false">IF(L172&gt;0,AL172/L172,0)</f>
        <v>0.132806959906416</v>
      </c>
      <c r="AN172" s="16" t="n">
        <f aca="false">L172*INDEX(Parametros!$G$2:$G$9,MATCH($E172,Parametros!$A$2:$A$9,0))</f>
        <v>391503.54</v>
      </c>
      <c r="AO172" s="17" t="n">
        <f aca="false">AN172-AC172-AL172</f>
        <v>121669.263</v>
      </c>
      <c r="AP172" s="15" t="n">
        <f aca="false">IF(AN172&gt;0,AO172/AN172,0)</f>
        <v>0.310774362346762</v>
      </c>
      <c r="AQ172" s="16" t="n">
        <f aca="false">INDEX(Parametros!$I$2:$I$9,MATCH($E172,Parametros!$A$2:$A$9,0))</f>
        <v>19300000</v>
      </c>
      <c r="AR172" s="19" t="n">
        <f aca="false">IF(AQ172&gt;0,AO172/AQ172,0)</f>
        <v>0.00630410689119171</v>
      </c>
    </row>
    <row r="173" customFormat="false" ht="15" hidden="false" customHeight="false" outlineLevel="0" collapsed="false">
      <c r="A173" s="5" t="s">
        <v>308</v>
      </c>
      <c r="B173" s="9" t="n">
        <v>45698</v>
      </c>
      <c r="C173" s="2" t="str">
        <f aca="false">TEXT(B173,"yyyy")</f>
        <v>2025</v>
      </c>
      <c r="D173" s="2" t="n">
        <f aca="false">WEEKNUM(B173,2)</f>
        <v>7</v>
      </c>
      <c r="E173" s="5" t="s">
        <v>136</v>
      </c>
      <c r="F173" s="6" t="str">
        <f aca="false">INDEX(Parametros!$B$2:$B$9,MATCH($E173,Parametros!$A$2:$A$9,0))</f>
        <v>Salsa BBQ</v>
      </c>
      <c r="G173" s="10" t="n">
        <v>102</v>
      </c>
      <c r="H173" s="10" t="n">
        <v>5.4</v>
      </c>
      <c r="I173" s="11" t="n">
        <f aca="false">SUMIFS(Eventos_Paro!$J$2:$J$2186,Eventos_Paro!$D$2:$D$2186,$E173,Eventos_Paro!$B$2:$B$2186,$B173)</f>
        <v>1.2</v>
      </c>
      <c r="J173" s="12" t="n">
        <f aca="false">G173-H173-I173</f>
        <v>95.4</v>
      </c>
      <c r="K173" s="13" t="n">
        <v>314202</v>
      </c>
      <c r="L173" s="13" t="n">
        <v>365703</v>
      </c>
      <c r="M173" s="13" t="n">
        <v>13884</v>
      </c>
      <c r="N173" s="14" t="n">
        <f aca="false">L173+M173</f>
        <v>379587</v>
      </c>
      <c r="O173" s="11" t="n">
        <f aca="false">INDEX(Parametros!$D$2:$D$9,MATCH($E173,Parametros!$A$2:$A$9,0))</f>
        <v>4800</v>
      </c>
      <c r="P173" s="15" t="n">
        <f aca="false">IF((G173-H173)&gt;0,J173/(G173-H173),0)</f>
        <v>0.987577639751553</v>
      </c>
      <c r="Q173" s="15" t="n">
        <f aca="false">IF(J173*O173&gt;0,N173/(O173*J173),0)</f>
        <v>0.828937368972746</v>
      </c>
      <c r="R173" s="15" t="n">
        <f aca="false">IF(N173&gt;0,L173/N173,0)</f>
        <v>0.963423404911127</v>
      </c>
      <c r="S173" s="15" t="n">
        <f aca="false">P173*Q173*R173</f>
        <v>0.788696946169772</v>
      </c>
      <c r="T173" s="15" t="n">
        <f aca="false">IF(K173&gt;0,L173/K173,0)</f>
        <v>1.16391047797277</v>
      </c>
      <c r="U173" s="10" t="n">
        <v>1029.3</v>
      </c>
      <c r="V173" s="5" t="n">
        <v>10</v>
      </c>
      <c r="W173" s="10" t="n">
        <v>9.3</v>
      </c>
      <c r="X173" s="15" t="n">
        <f aca="false">IF(U173&gt;0,W173/U173,0)</f>
        <v>0.00903526668609735</v>
      </c>
      <c r="Y173" s="12" t="n">
        <f aca="false">IF(U173&gt;0,L173/U173,0)</f>
        <v>355.292917516759</v>
      </c>
      <c r="Z173" s="16" t="n">
        <f aca="false">L173*INDEX(Parametros!$E$2:$E$9,MATCH($E173,Parametros!$A$2:$A$9,0))</f>
        <v>212107.74</v>
      </c>
      <c r="AA173" s="16" t="n">
        <f aca="false">Z173*INDEX(Parametros!$F$2:$F$9,MATCH($E173,Parametros!$A$2:$A$9,0))</f>
        <v>5939.01672</v>
      </c>
      <c r="AB173" s="17" t="n">
        <f aca="false">Z173+AA173</f>
        <v>218046.75672</v>
      </c>
      <c r="AC173" s="18" t="n">
        <v>214555.35</v>
      </c>
      <c r="AD173" s="17" t="n">
        <f aca="false">AC173-AB173</f>
        <v>-3491.40672</v>
      </c>
      <c r="AE173" s="17" t="n">
        <f aca="false">AA173+AD173</f>
        <v>2447.61</v>
      </c>
      <c r="AF173" s="19" t="n">
        <f aca="false">IF(Z173&gt;0,AE173/Z173,0)</f>
        <v>0.0115394657450973</v>
      </c>
      <c r="AG173" s="16" t="n">
        <f aca="false">(U173-W173)*INDEX(Parametros!$H$2:$H$9,MATCH($E173,Parametros!$A$2:$A$9,0))+W173*INDEX(Parametros!$H$2:$H$9,MATCH($E173,Parametros!$A$2:$A$9,0))*Parametros!$N$3</f>
        <v>32569.425</v>
      </c>
      <c r="AH173" s="13" t="n">
        <v>18785</v>
      </c>
      <c r="AI173" s="16" t="n">
        <f aca="false">AH173*Parametros!$N$2</f>
        <v>1728.22</v>
      </c>
      <c r="AJ173" s="18" t="n">
        <v>7834</v>
      </c>
      <c r="AK173" s="18" t="n">
        <v>904</v>
      </c>
      <c r="AL173" s="17" t="n">
        <f aca="false">AG173+AI173+AJ173+AK173</f>
        <v>43035.645</v>
      </c>
      <c r="AM173" s="20" t="n">
        <f aca="false">IF(L173&gt;0,AL173/L173,0)</f>
        <v>0.117679223304157</v>
      </c>
      <c r="AN173" s="16" t="n">
        <f aca="false">L173*INDEX(Parametros!$G$2:$G$9,MATCH($E173,Parametros!$A$2:$A$9,0))</f>
        <v>358388.94</v>
      </c>
      <c r="AO173" s="17" t="n">
        <f aca="false">AN173-AC173-AL173</f>
        <v>100797.945</v>
      </c>
      <c r="AP173" s="15" t="n">
        <f aca="false">IF(AN173&gt;0,AO173/AN173,0)</f>
        <v>0.28125294547315</v>
      </c>
      <c r="AQ173" s="16" t="n">
        <f aca="false">INDEX(Parametros!$I$2:$I$9,MATCH($E173,Parametros!$A$2:$A$9,0))</f>
        <v>17000000</v>
      </c>
      <c r="AR173" s="19" t="n">
        <f aca="false">IF(AQ173&gt;0,AO173/AQ173,0)</f>
        <v>0.00592929088235294</v>
      </c>
    </row>
    <row r="174" customFormat="false" ht="15" hidden="false" customHeight="false" outlineLevel="0" collapsed="false">
      <c r="A174" s="5" t="s">
        <v>309</v>
      </c>
      <c r="B174" s="9" t="n">
        <v>45698</v>
      </c>
      <c r="C174" s="2" t="str">
        <f aca="false">TEXT(B174,"yyyy")</f>
        <v>2025</v>
      </c>
      <c r="D174" s="2" t="n">
        <f aca="false">WEEKNUM(B174,2)</f>
        <v>7</v>
      </c>
      <c r="E174" s="5" t="s">
        <v>138</v>
      </c>
      <c r="F174" s="6" t="str">
        <f aca="false">INDEX(Parametros!$B$2:$B$9,MATCH($E174,Parametros!$A$2:$A$9,0))</f>
        <v>Queso crema</v>
      </c>
      <c r="G174" s="10" t="n">
        <v>121.4</v>
      </c>
      <c r="H174" s="10" t="n">
        <v>7.8</v>
      </c>
      <c r="I174" s="11" t="n">
        <f aca="false">SUMIFS(Eventos_Paro!$J$2:$J$2186,Eventos_Paro!$D$2:$D$2186,$E174,Eventos_Paro!$B$2:$B$2186,$B174)</f>
        <v>0.4</v>
      </c>
      <c r="J174" s="12" t="n">
        <f aca="false">G174-H174-I174</f>
        <v>113.2</v>
      </c>
      <c r="K174" s="13" t="n">
        <v>333605</v>
      </c>
      <c r="L174" s="13" t="n">
        <v>319024</v>
      </c>
      <c r="M174" s="13" t="n">
        <v>18235</v>
      </c>
      <c r="N174" s="14" t="n">
        <f aca="false">L174+M174</f>
        <v>337259</v>
      </c>
      <c r="O174" s="11" t="n">
        <f aca="false">INDEX(Parametros!$D$2:$D$9,MATCH($E174,Parametros!$A$2:$A$9,0))</f>
        <v>3800</v>
      </c>
      <c r="P174" s="15" t="n">
        <f aca="false">IF((G174-H174)&gt;0,J174/(G174-H174),0)</f>
        <v>0.996478873239437</v>
      </c>
      <c r="Q174" s="15" t="n">
        <f aca="false">IF(J174*O174&gt;0,N174/(O174*J174),0)</f>
        <v>0.784031523154175</v>
      </c>
      <c r="R174" s="15" t="n">
        <f aca="false">IF(N174&gt;0,L174/N174,0)</f>
        <v>0.945931761643129</v>
      </c>
      <c r="S174" s="15" t="n">
        <f aca="false">P174*Q174*R174</f>
        <v>0.739028910303929</v>
      </c>
      <c r="T174" s="15" t="n">
        <f aca="false">IF(K174&gt;0,L174/K174,0)</f>
        <v>0.956292621513467</v>
      </c>
      <c r="U174" s="10" t="n">
        <v>1777.1</v>
      </c>
      <c r="V174" s="5" t="n">
        <v>14</v>
      </c>
      <c r="W174" s="10" t="n">
        <v>77.5</v>
      </c>
      <c r="X174" s="15" t="n">
        <f aca="false">IF(U174&gt;0,W174/U174,0)</f>
        <v>0.0436103764560239</v>
      </c>
      <c r="Y174" s="12" t="n">
        <f aca="false">IF(U174&gt;0,L174/U174,0)</f>
        <v>179.519441787181</v>
      </c>
      <c r="Z174" s="16" t="n">
        <f aca="false">L174*INDEX(Parametros!$E$2:$E$9,MATCH($E174,Parametros!$A$2:$A$9,0))</f>
        <v>357306.88</v>
      </c>
      <c r="AA174" s="16" t="n">
        <f aca="false">Z174*INDEX(Parametros!$F$2:$F$9,MATCH($E174,Parametros!$A$2:$A$9,0))</f>
        <v>12505.7408</v>
      </c>
      <c r="AB174" s="17" t="n">
        <f aca="false">Z174+AA174</f>
        <v>369812.6208</v>
      </c>
      <c r="AC174" s="18" t="n">
        <v>366414.01</v>
      </c>
      <c r="AD174" s="17" t="n">
        <f aca="false">AC174-AB174</f>
        <v>-3398.61080000008</v>
      </c>
      <c r="AE174" s="17" t="n">
        <f aca="false">AA174+AD174</f>
        <v>9107.12999999992</v>
      </c>
      <c r="AF174" s="19" t="n">
        <f aca="false">IF(Z174&gt;0,AE174/Z174,0)</f>
        <v>0.0254882581606039</v>
      </c>
      <c r="AG174" s="16" t="n">
        <f aca="false">(U174-W174)*INDEX(Parametros!$H$2:$H$9,MATCH($E174,Parametros!$A$2:$A$9,0))+W174*INDEX(Parametros!$H$2:$H$9,MATCH($E174,Parametros!$A$2:$A$9,0))*Parametros!$N$3</f>
        <v>59923.05</v>
      </c>
      <c r="AH174" s="13" t="n">
        <v>18300</v>
      </c>
      <c r="AI174" s="16" t="n">
        <f aca="false">AH174*Parametros!$N$2</f>
        <v>1683.6</v>
      </c>
      <c r="AJ174" s="18" t="n">
        <v>17290</v>
      </c>
      <c r="AK174" s="18" t="n">
        <v>231</v>
      </c>
      <c r="AL174" s="17" t="n">
        <f aca="false">AG174+AI174+AJ174+AK174</f>
        <v>79127.65</v>
      </c>
      <c r="AM174" s="20" t="n">
        <f aca="false">IF(L174&gt;0,AL174/L174,0)</f>
        <v>0.248030398966849</v>
      </c>
      <c r="AN174" s="16" t="n">
        <f aca="false">L174*INDEX(Parametros!$G$2:$G$9,MATCH($E174,Parametros!$A$2:$A$9,0))</f>
        <v>571052.96</v>
      </c>
      <c r="AO174" s="17" t="n">
        <f aca="false">AN174-AC174-AL174</f>
        <v>125511.3</v>
      </c>
      <c r="AP174" s="15" t="n">
        <f aca="false">IF(AN174&gt;0,AO174/AN174,0)</f>
        <v>0.219789246867751</v>
      </c>
      <c r="AQ174" s="16" t="n">
        <f aca="false">INDEX(Parametros!$I$2:$I$9,MATCH($E174,Parametros!$A$2:$A$9,0))</f>
        <v>33200000</v>
      </c>
      <c r="AR174" s="19" t="n">
        <f aca="false">IF(AQ174&gt;0,AO174/AQ174,0)</f>
        <v>0.00378046084337349</v>
      </c>
    </row>
    <row r="175" customFormat="false" ht="15" hidden="false" customHeight="false" outlineLevel="0" collapsed="false">
      <c r="A175" s="5" t="s">
        <v>310</v>
      </c>
      <c r="B175" s="9" t="n">
        <v>45698</v>
      </c>
      <c r="C175" s="2" t="str">
        <f aca="false">TEXT(B175,"yyyy")</f>
        <v>2025</v>
      </c>
      <c r="D175" s="2" t="n">
        <f aca="false">WEEKNUM(B175,2)</f>
        <v>7</v>
      </c>
      <c r="E175" s="5" t="s">
        <v>140</v>
      </c>
      <c r="F175" s="6" t="str">
        <f aca="false">INDEX(Parametros!$B$2:$B$9,MATCH($E175,Parametros!$A$2:$A$9,0))</f>
        <v>Crema de cacahuate</v>
      </c>
      <c r="G175" s="10" t="n">
        <v>107.2</v>
      </c>
      <c r="H175" s="10" t="n">
        <v>5.7</v>
      </c>
      <c r="I175" s="11" t="n">
        <f aca="false">SUMIFS(Eventos_Paro!$J$2:$J$2186,Eventos_Paro!$D$2:$D$2186,$E175,Eventos_Paro!$B$2:$B$2186,$B175)</f>
        <v>1.3</v>
      </c>
      <c r="J175" s="12" t="n">
        <f aca="false">G175-H175-I175</f>
        <v>100.2</v>
      </c>
      <c r="K175" s="13" t="n">
        <v>329447</v>
      </c>
      <c r="L175" s="13" t="n">
        <v>358075</v>
      </c>
      <c r="M175" s="13" t="n">
        <v>9570</v>
      </c>
      <c r="N175" s="14" t="n">
        <f aca="false">L175+M175</f>
        <v>367645</v>
      </c>
      <c r="O175" s="11" t="n">
        <f aca="false">INDEX(Parametros!$D$2:$D$9,MATCH($E175,Parametros!$A$2:$A$9,0))</f>
        <v>4200</v>
      </c>
      <c r="P175" s="15" t="n">
        <f aca="false">IF((G175-H175)&gt;0,J175/(G175-H175),0)</f>
        <v>0.987192118226601</v>
      </c>
      <c r="Q175" s="15" t="n">
        <f aca="false">IF(J175*O175&gt;0,N175/(O175*J175),0)</f>
        <v>0.873598042011216</v>
      </c>
      <c r="R175" s="15" t="n">
        <f aca="false">IF(N175&gt;0,L175/N175,0)</f>
        <v>0.973969454228944</v>
      </c>
      <c r="S175" s="15" t="n">
        <f aca="false">P175*Q175*R175</f>
        <v>0.839960121979827</v>
      </c>
      <c r="T175" s="15" t="n">
        <f aca="false">IF(K175&gt;0,L175/K175,0)</f>
        <v>1.08689713368159</v>
      </c>
      <c r="U175" s="10" t="n">
        <v>1534.7</v>
      </c>
      <c r="V175" s="5" t="n">
        <v>13</v>
      </c>
      <c r="W175" s="10" t="n">
        <v>141.1</v>
      </c>
      <c r="X175" s="15" t="n">
        <f aca="false">IF(U175&gt;0,W175/U175,0)</f>
        <v>0.0919397927933798</v>
      </c>
      <c r="Y175" s="12" t="n">
        <f aca="false">IF(U175&gt;0,L175/U175,0)</f>
        <v>233.319215481853</v>
      </c>
      <c r="Z175" s="16" t="n">
        <f aca="false">L175*INDEX(Parametros!$E$2:$E$9,MATCH($E175,Parametros!$A$2:$A$9,0))</f>
        <v>347332.75</v>
      </c>
      <c r="AA175" s="16" t="n">
        <f aca="false">Z175*INDEX(Parametros!$F$2:$F$9,MATCH($E175,Parametros!$A$2:$A$9,0))</f>
        <v>7641.3205</v>
      </c>
      <c r="AB175" s="17" t="n">
        <f aca="false">Z175+AA175</f>
        <v>354974.0705</v>
      </c>
      <c r="AC175" s="18" t="n">
        <v>349176.28</v>
      </c>
      <c r="AD175" s="17" t="n">
        <f aca="false">AC175-AB175</f>
        <v>-5797.79049999995</v>
      </c>
      <c r="AE175" s="17" t="n">
        <f aca="false">AA175+AD175</f>
        <v>1843.53000000006</v>
      </c>
      <c r="AF175" s="19" t="n">
        <f aca="false">IF(Z175&gt;0,AE175/Z175,0)</f>
        <v>0.00530767686030199</v>
      </c>
      <c r="AG175" s="16" t="n">
        <f aca="false">(U175-W175)*INDEX(Parametros!$H$2:$H$9,MATCH($E175,Parametros!$A$2:$A$9,0))+W175*INDEX(Parametros!$H$2:$H$9,MATCH($E175,Parametros!$A$2:$A$9,0))*Parametros!$N$3</f>
        <v>50565.375</v>
      </c>
      <c r="AH175" s="13" t="n">
        <v>17576</v>
      </c>
      <c r="AI175" s="16" t="n">
        <f aca="false">AH175*Parametros!$N$2</f>
        <v>1616.992</v>
      </c>
      <c r="AJ175" s="18" t="n">
        <v>13081</v>
      </c>
      <c r="AK175" s="18" t="n">
        <v>1356</v>
      </c>
      <c r="AL175" s="17" t="n">
        <f aca="false">AG175+AI175+AJ175+AK175</f>
        <v>66619.367</v>
      </c>
      <c r="AM175" s="20" t="n">
        <f aca="false">IF(L175&gt;0,AL175/L175,0)</f>
        <v>0.186048640647909</v>
      </c>
      <c r="AN175" s="16" t="n">
        <f aca="false">L175*INDEX(Parametros!$G$2:$G$9,MATCH($E175,Parametros!$A$2:$A$9,0))</f>
        <v>580081.5</v>
      </c>
      <c r="AO175" s="17" t="n">
        <f aca="false">AN175-AC175-AL175</f>
        <v>164285.853</v>
      </c>
      <c r="AP175" s="15" t="n">
        <f aca="false">IF(AN175&gt;0,AO175/AN175,0)</f>
        <v>0.283211674566419</v>
      </c>
      <c r="AQ175" s="16" t="n">
        <f aca="false">INDEX(Parametros!$I$2:$I$9,MATCH($E175,Parametros!$A$2:$A$9,0))</f>
        <v>28000000</v>
      </c>
      <c r="AR175" s="19" t="n">
        <f aca="false">IF(AQ175&gt;0,AO175/AQ175,0)</f>
        <v>0.00586735189285714</v>
      </c>
    </row>
    <row r="176" customFormat="false" ht="15" hidden="false" customHeight="false" outlineLevel="0" collapsed="false">
      <c r="A176" s="5" t="s">
        <v>311</v>
      </c>
      <c r="B176" s="9" t="n">
        <v>45698</v>
      </c>
      <c r="C176" s="2" t="str">
        <f aca="false">TEXT(B176,"yyyy")</f>
        <v>2025</v>
      </c>
      <c r="D176" s="2" t="n">
        <f aca="false">WEEKNUM(B176,2)</f>
        <v>7</v>
      </c>
      <c r="E176" s="5" t="s">
        <v>142</v>
      </c>
      <c r="F176" s="6" t="str">
        <f aca="false">INDEX(Parametros!$B$2:$B$9,MATCH($E176,Parametros!$A$2:$A$9,0))</f>
        <v>Porciones single serve</v>
      </c>
      <c r="G176" s="10" t="n">
        <v>92</v>
      </c>
      <c r="H176" s="10" t="n">
        <v>5.4</v>
      </c>
      <c r="I176" s="11" t="n">
        <f aca="false">SUMIFS(Eventos_Paro!$J$2:$J$2186,Eventos_Paro!$D$2:$D$2186,$E176,Eventos_Paro!$B$2:$B$2186,$B176)</f>
        <v>1.95</v>
      </c>
      <c r="J176" s="12" t="n">
        <f aca="false">G176-H176-I176</f>
        <v>84.65</v>
      </c>
      <c r="K176" s="13" t="n">
        <v>174005</v>
      </c>
      <c r="L176" s="13" t="n">
        <v>174210</v>
      </c>
      <c r="M176" s="13" t="n">
        <v>9998</v>
      </c>
      <c r="N176" s="14" t="n">
        <f aca="false">L176+M176</f>
        <v>184208</v>
      </c>
      <c r="O176" s="11" t="n">
        <f aca="false">INDEX(Parametros!$D$2:$D$9,MATCH($E176,Parametros!$A$2:$A$9,0))</f>
        <v>2600</v>
      </c>
      <c r="P176" s="15" t="n">
        <f aca="false">IF((G176-H176)&gt;0,J176/(G176-H176),0)</f>
        <v>0.977482678983834</v>
      </c>
      <c r="Q176" s="15" t="n">
        <f aca="false">IF(J176*O176&gt;0,N176/(O176*J176),0)</f>
        <v>0.836966695442774</v>
      </c>
      <c r="R176" s="15" t="n">
        <f aca="false">IF(N176&gt;0,L176/N176,0)</f>
        <v>0.945724398506037</v>
      </c>
      <c r="S176" s="15" t="n">
        <f aca="false">P176*Q176*R176</f>
        <v>0.773716468289217</v>
      </c>
      <c r="T176" s="15" t="n">
        <f aca="false">IF(K176&gt;0,L176/K176,0)</f>
        <v>1.00117812706531</v>
      </c>
      <c r="U176" s="10" t="n">
        <v>1604.9</v>
      </c>
      <c r="V176" s="5" t="n">
        <v>16</v>
      </c>
      <c r="W176" s="10" t="n">
        <v>132.9</v>
      </c>
      <c r="X176" s="15" t="n">
        <f aca="false">IF(U176&gt;0,W176/U176,0)</f>
        <v>0.0828088977506387</v>
      </c>
      <c r="Y176" s="12" t="n">
        <f aca="false">IF(U176&gt;0,L176/U176,0)</f>
        <v>108.548819241074</v>
      </c>
      <c r="Z176" s="16" t="n">
        <f aca="false">L176*INDEX(Parametros!$E$2:$E$9,MATCH($E176,Parametros!$A$2:$A$9,0))</f>
        <v>128915.4</v>
      </c>
      <c r="AA176" s="16" t="n">
        <f aca="false">Z176*INDEX(Parametros!$F$2:$F$9,MATCH($E176,Parametros!$A$2:$A$9,0))</f>
        <v>5801.193</v>
      </c>
      <c r="AB176" s="17" t="n">
        <f aca="false">Z176+AA176</f>
        <v>134716.593</v>
      </c>
      <c r="AC176" s="18" t="n">
        <v>135295.06</v>
      </c>
      <c r="AD176" s="17" t="n">
        <f aca="false">AC176-AB176</f>
        <v>578.467000000004</v>
      </c>
      <c r="AE176" s="17" t="n">
        <f aca="false">AA176+AD176</f>
        <v>6379.66</v>
      </c>
      <c r="AF176" s="19" t="n">
        <f aca="false">IF(Z176&gt;0,AE176/Z176,0)</f>
        <v>0.049487183067345</v>
      </c>
      <c r="AG176" s="16" t="n">
        <f aca="false">(U176-W176)*INDEX(Parametros!$H$2:$H$9,MATCH($E176,Parametros!$A$2:$A$9,0))+W176*INDEX(Parametros!$H$2:$H$9,MATCH($E176,Parametros!$A$2:$A$9,0))*Parametros!$N$3</f>
        <v>50140.5</v>
      </c>
      <c r="AH176" s="13" t="n">
        <v>9599</v>
      </c>
      <c r="AI176" s="16" t="n">
        <f aca="false">AH176*Parametros!$N$2</f>
        <v>883.108</v>
      </c>
      <c r="AJ176" s="18" t="n">
        <v>11212</v>
      </c>
      <c r="AK176" s="18" t="n">
        <v>1366</v>
      </c>
      <c r="AL176" s="17" t="n">
        <f aca="false">AG176+AI176+AJ176+AK176</f>
        <v>63601.608</v>
      </c>
      <c r="AM176" s="20" t="n">
        <f aca="false">IF(L176&gt;0,AL176/L176,0)</f>
        <v>0.365085861890821</v>
      </c>
      <c r="AN176" s="16" t="n">
        <f aca="false">L176*INDEX(Parametros!$G$2:$G$9,MATCH($E176,Parametros!$A$2:$A$9,0))</f>
        <v>299641.2</v>
      </c>
      <c r="AO176" s="17" t="n">
        <f aca="false">AN176-AC176-AL176</f>
        <v>100744.532</v>
      </c>
      <c r="AP176" s="15" t="n">
        <f aca="false">IF(AN176&gt;0,AO176/AN176,0)</f>
        <v>0.336217222464735</v>
      </c>
      <c r="AQ176" s="16" t="n">
        <f aca="false">INDEX(Parametros!$I$2:$I$9,MATCH($E176,Parametros!$A$2:$A$9,0))</f>
        <v>15900000</v>
      </c>
      <c r="AR176" s="19" t="n">
        <f aca="false">IF(AQ176&gt;0,AO176/AQ176,0)</f>
        <v>0.00633613408805032</v>
      </c>
    </row>
    <row r="177" customFormat="false" ht="15" hidden="false" customHeight="false" outlineLevel="0" collapsed="false">
      <c r="A177" s="5" t="s">
        <v>312</v>
      </c>
      <c r="B177" s="9" t="n">
        <v>45698</v>
      </c>
      <c r="C177" s="2" t="str">
        <f aca="false">TEXT(B177,"yyyy")</f>
        <v>2025</v>
      </c>
      <c r="D177" s="2" t="n">
        <f aca="false">WEEKNUM(B177,2)</f>
        <v>7</v>
      </c>
      <c r="E177" s="5" t="s">
        <v>144</v>
      </c>
      <c r="F177" s="6" t="str">
        <f aca="false">INDEX(Parametros!$B$2:$B$9,MATCH($E177,Parametros!$A$2:$A$9,0))</f>
        <v>Salsas picantes</v>
      </c>
      <c r="G177" s="10" t="n">
        <v>106.1</v>
      </c>
      <c r="H177" s="10" t="n">
        <v>6.9</v>
      </c>
      <c r="I177" s="11" t="n">
        <f aca="false">SUMIFS(Eventos_Paro!$J$2:$J$2186,Eventos_Paro!$D$2:$D$2186,$E177,Eventos_Paro!$B$2:$B$2186,$B177)</f>
        <v>1.1</v>
      </c>
      <c r="J177" s="12" t="n">
        <f aca="false">G177-H177-I177</f>
        <v>98.1</v>
      </c>
      <c r="K177" s="13" t="n">
        <v>258214</v>
      </c>
      <c r="L177" s="13" t="n">
        <v>250135</v>
      </c>
      <c r="M177" s="13" t="n">
        <v>8226</v>
      </c>
      <c r="N177" s="14" t="n">
        <f aca="false">L177+M177</f>
        <v>258361</v>
      </c>
      <c r="O177" s="11" t="n">
        <f aca="false">INDEX(Parametros!$D$2:$D$9,MATCH($E177,Parametros!$A$2:$A$9,0))</f>
        <v>3100</v>
      </c>
      <c r="P177" s="15" t="n">
        <f aca="false">IF((G177-H177)&gt;0,J177/(G177-H177),0)</f>
        <v>0.988911290322581</v>
      </c>
      <c r="Q177" s="15" t="n">
        <f aca="false">IF(J177*O177&gt;0,N177/(O177*J177),0)</f>
        <v>0.849564302390582</v>
      </c>
      <c r="R177" s="15" t="n">
        <f aca="false">IF(N177&gt;0,L177/N177,0)</f>
        <v>0.968160829227322</v>
      </c>
      <c r="S177" s="15" t="n">
        <f aca="false">P177*Q177*R177</f>
        <v>0.813394250780437</v>
      </c>
      <c r="T177" s="15" t="n">
        <f aca="false">IF(K177&gt;0,L177/K177,0)</f>
        <v>0.968711998574826</v>
      </c>
      <c r="U177" s="10" t="n">
        <v>1033.3</v>
      </c>
      <c r="V177" s="5" t="n">
        <v>9</v>
      </c>
      <c r="W177" s="10" t="n">
        <v>78.4</v>
      </c>
      <c r="X177" s="15" t="n">
        <f aca="false">IF(U177&gt;0,W177/U177,0)</f>
        <v>0.0758734152714604</v>
      </c>
      <c r="Y177" s="12" t="n">
        <f aca="false">IF(U177&gt;0,L177/U177,0)</f>
        <v>242.073937868964</v>
      </c>
      <c r="Z177" s="16" t="n">
        <f aca="false">L177*INDEX(Parametros!$E$2:$E$9,MATCH($E177,Parametros!$A$2:$A$9,0))</f>
        <v>165089.1</v>
      </c>
      <c r="AA177" s="16" t="n">
        <f aca="false">Z177*INDEX(Parametros!$F$2:$F$9,MATCH($E177,Parametros!$A$2:$A$9,0))</f>
        <v>4292.3166</v>
      </c>
      <c r="AB177" s="17" t="n">
        <f aca="false">Z177+AA177</f>
        <v>169381.4166</v>
      </c>
      <c r="AC177" s="18" t="n">
        <v>166805.38</v>
      </c>
      <c r="AD177" s="17" t="n">
        <f aca="false">AC177-AB177</f>
        <v>-2576.03659999999</v>
      </c>
      <c r="AE177" s="17" t="n">
        <f aca="false">AA177+AD177</f>
        <v>1716.28000000001</v>
      </c>
      <c r="AF177" s="19" t="n">
        <f aca="false">IF(Z177&gt;0,AE177/Z177,0)</f>
        <v>0.0103960830848312</v>
      </c>
      <c r="AG177" s="16" t="n">
        <f aca="false">(U177-W177)*INDEX(Parametros!$H$2:$H$9,MATCH($E177,Parametros!$A$2:$A$9,0))+W177*INDEX(Parametros!$H$2:$H$9,MATCH($E177,Parametros!$A$2:$A$9,0))*Parametros!$N$3</f>
        <v>33783.75</v>
      </c>
      <c r="AH177" s="13" t="n">
        <v>12976</v>
      </c>
      <c r="AI177" s="16" t="n">
        <f aca="false">AH177*Parametros!$N$2</f>
        <v>1193.792</v>
      </c>
      <c r="AJ177" s="18" t="n">
        <v>7440</v>
      </c>
      <c r="AK177" s="18" t="n">
        <v>984</v>
      </c>
      <c r="AL177" s="17" t="n">
        <f aca="false">AG177+AI177+AJ177+AK177</f>
        <v>43401.542</v>
      </c>
      <c r="AM177" s="20" t="n">
        <f aca="false">IF(L177&gt;0,AL177/L177,0)</f>
        <v>0.173512471265517</v>
      </c>
      <c r="AN177" s="16" t="n">
        <f aca="false">L177*INDEX(Parametros!$G$2:$G$9,MATCH($E177,Parametros!$A$2:$A$9,0))</f>
        <v>312668.75</v>
      </c>
      <c r="AO177" s="17" t="n">
        <f aca="false">AN177-AC177-AL177</f>
        <v>102461.828</v>
      </c>
      <c r="AP177" s="15" t="n">
        <f aca="false">IF(AN177&gt;0,AO177/AN177,0)</f>
        <v>0.327700891118796</v>
      </c>
      <c r="AQ177" s="16" t="n">
        <f aca="false">INDEX(Parametros!$I$2:$I$9,MATCH($E177,Parametros!$A$2:$A$9,0))</f>
        <v>13300000</v>
      </c>
      <c r="AR177" s="19" t="n">
        <f aca="false">IF(AQ177&gt;0,AO177/AQ177,0)</f>
        <v>0.00770389684210526</v>
      </c>
    </row>
    <row r="178" customFormat="false" ht="15" hidden="false" customHeight="false" outlineLevel="0" collapsed="false">
      <c r="A178" s="5" t="s">
        <v>313</v>
      </c>
      <c r="B178" s="9" t="n">
        <v>45705</v>
      </c>
      <c r="C178" s="2" t="str">
        <f aca="false">TEXT(B178,"yyyy")</f>
        <v>2025</v>
      </c>
      <c r="D178" s="2" t="n">
        <f aca="false">WEEKNUM(B178,2)</f>
        <v>8</v>
      </c>
      <c r="E178" s="5" t="s">
        <v>130</v>
      </c>
      <c r="F178" s="6" t="str">
        <f aca="false">INDEX(Parametros!$B$2:$B$9,MATCH($E178,Parametros!$A$2:$A$9,0))</f>
        <v>Ketchup botella</v>
      </c>
      <c r="G178" s="10" t="n">
        <v>121.3</v>
      </c>
      <c r="H178" s="10" t="n">
        <v>8.8</v>
      </c>
      <c r="I178" s="11" t="n">
        <f aca="false">SUMIFS(Eventos_Paro!$J$2:$J$2186,Eventos_Paro!$D$2:$D$2186,$E178,Eventos_Paro!$B$2:$B$2186,$B178)</f>
        <v>3.76666666666667</v>
      </c>
      <c r="J178" s="12" t="n">
        <f aca="false">G178-H178-I178</f>
        <v>108.733333333333</v>
      </c>
      <c r="K178" s="13" t="n">
        <v>784718</v>
      </c>
      <c r="L178" s="13" t="n">
        <v>815582</v>
      </c>
      <c r="M178" s="13" t="n">
        <v>27237</v>
      </c>
      <c r="N178" s="14" t="n">
        <f aca="false">L178+M178</f>
        <v>842819</v>
      </c>
      <c r="O178" s="11" t="n">
        <f aca="false">INDEX(Parametros!$D$2:$D$9,MATCH($E178,Parametros!$A$2:$A$9,0))</f>
        <v>9000</v>
      </c>
      <c r="P178" s="15" t="n">
        <f aca="false">IF((G178-H178)&gt;0,J178/(G178-H178),0)</f>
        <v>0.966518518518519</v>
      </c>
      <c r="Q178" s="15" t="n">
        <f aca="false">IF(J178*O178&gt;0,N178/(O178*J178),0)</f>
        <v>0.861249744533006</v>
      </c>
      <c r="R178" s="15" t="n">
        <f aca="false">IF(N178&gt;0,L178/N178,0)</f>
        <v>0.967683452793542</v>
      </c>
      <c r="S178" s="15" t="n">
        <f aca="false">P178*Q178*R178</f>
        <v>0.805513086419753</v>
      </c>
      <c r="T178" s="15" t="n">
        <f aca="false">IF(K178&gt;0,L178/K178,0)</f>
        <v>1.03933132666767</v>
      </c>
      <c r="U178" s="10" t="n">
        <v>1646.4</v>
      </c>
      <c r="V178" s="5" t="n">
        <v>13</v>
      </c>
      <c r="W178" s="10" t="n">
        <v>69.5</v>
      </c>
      <c r="X178" s="15" t="n">
        <f aca="false">IF(U178&gt;0,W178/U178,0)</f>
        <v>0.0422133138969874</v>
      </c>
      <c r="Y178" s="12" t="n">
        <f aca="false">IF(U178&gt;0,L178/U178,0)</f>
        <v>495.372934888241</v>
      </c>
      <c r="Z178" s="16" t="n">
        <f aca="false">L178*INDEX(Parametros!$E$2:$E$9,MATCH($E178,Parametros!$A$2:$A$9,0))</f>
        <v>342544.44</v>
      </c>
      <c r="AA178" s="16" t="n">
        <f aca="false">Z178*INDEX(Parametros!$F$2:$F$9,MATCH($E178,Parametros!$A$2:$A$9,0))</f>
        <v>6850.8888</v>
      </c>
      <c r="AB178" s="17" t="n">
        <f aca="false">Z178+AA178</f>
        <v>349395.3288</v>
      </c>
      <c r="AC178" s="18" t="n">
        <v>355358.19</v>
      </c>
      <c r="AD178" s="17" t="n">
        <f aca="false">AC178-AB178</f>
        <v>5962.86119999999</v>
      </c>
      <c r="AE178" s="17" t="n">
        <f aca="false">AA178+AD178</f>
        <v>12813.75</v>
      </c>
      <c r="AF178" s="19" t="n">
        <f aca="false">IF(Z178&gt;0,AE178/Z178,0)</f>
        <v>0.037407555060593</v>
      </c>
      <c r="AG178" s="16" t="n">
        <f aca="false">(U178-W178)*INDEX(Parametros!$H$2:$H$9,MATCH($E178,Parametros!$A$2:$A$9,0))+W178*INDEX(Parametros!$H$2:$H$9,MATCH($E178,Parametros!$A$2:$A$9,0))*Parametros!$N$3</f>
        <v>52956.225</v>
      </c>
      <c r="AH178" s="13" t="n">
        <v>41904</v>
      </c>
      <c r="AI178" s="16" t="n">
        <f aca="false">AH178*Parametros!$N$2</f>
        <v>3855.168</v>
      </c>
      <c r="AJ178" s="18" t="n">
        <v>14060</v>
      </c>
      <c r="AK178" s="18" t="n">
        <v>3301</v>
      </c>
      <c r="AL178" s="17" t="n">
        <f aca="false">AG178+AI178+AJ178+AK178</f>
        <v>74172.393</v>
      </c>
      <c r="AM178" s="20" t="n">
        <f aca="false">IF(L178&gt;0,AL178/L178,0)</f>
        <v>0.090944127016045</v>
      </c>
      <c r="AN178" s="16" t="n">
        <f aca="false">L178*INDEX(Parametros!$G$2:$G$9,MATCH($E178,Parametros!$A$2:$A$9,0))</f>
        <v>579063.22</v>
      </c>
      <c r="AO178" s="17" t="n">
        <f aca="false">AN178-AC178-AL178</f>
        <v>149532.637</v>
      </c>
      <c r="AP178" s="15" t="n">
        <f aca="false">IF(AN178&gt;0,AO178/AN178,0)</f>
        <v>0.258231971631699</v>
      </c>
      <c r="AQ178" s="16" t="n">
        <f aca="false">INDEX(Parametros!$I$2:$I$9,MATCH($E178,Parametros!$A$2:$A$9,0))</f>
        <v>29300000</v>
      </c>
      <c r="AR178" s="19" t="n">
        <f aca="false">IF(AQ178&gt;0,AO178/AQ178,0)</f>
        <v>0.00510350296928328</v>
      </c>
    </row>
    <row r="179" customFormat="false" ht="15" hidden="false" customHeight="false" outlineLevel="0" collapsed="false">
      <c r="A179" s="5" t="s">
        <v>314</v>
      </c>
      <c r="B179" s="9" t="n">
        <v>45705</v>
      </c>
      <c r="C179" s="2" t="str">
        <f aca="false">TEXT(B179,"yyyy")</f>
        <v>2025</v>
      </c>
      <c r="D179" s="2" t="n">
        <f aca="false">WEEKNUM(B179,2)</f>
        <v>8</v>
      </c>
      <c r="E179" s="5" t="s">
        <v>132</v>
      </c>
      <c r="F179" s="6" t="str">
        <f aca="false">INDEX(Parametros!$B$2:$B$9,MATCH($E179,Parametros!$A$2:$A$9,0))</f>
        <v>Mayonesa frasco</v>
      </c>
      <c r="G179" s="10" t="n">
        <v>114.7</v>
      </c>
      <c r="H179" s="10" t="n">
        <v>7.1</v>
      </c>
      <c r="I179" s="11" t="n">
        <f aca="false">SUMIFS(Eventos_Paro!$J$2:$J$2186,Eventos_Paro!$D$2:$D$2186,$E179,Eventos_Paro!$B$2:$B$2186,$B179)</f>
        <v>6.96666666666667</v>
      </c>
      <c r="J179" s="12" t="n">
        <f aca="false">G179-H179-I179</f>
        <v>100.633333333333</v>
      </c>
      <c r="K179" s="13" t="n">
        <v>542056</v>
      </c>
      <c r="L179" s="13" t="n">
        <v>536658</v>
      </c>
      <c r="M179" s="13" t="n">
        <v>11694</v>
      </c>
      <c r="N179" s="14" t="n">
        <f aca="false">L179+M179</f>
        <v>548352</v>
      </c>
      <c r="O179" s="11" t="n">
        <f aca="false">INDEX(Parametros!$D$2:$D$9,MATCH($E179,Parametros!$A$2:$A$9,0))</f>
        <v>6500</v>
      </c>
      <c r="P179" s="15" t="n">
        <f aca="false">IF((G179-H179)&gt;0,J179/(G179-H179),0)</f>
        <v>0.935254027261462</v>
      </c>
      <c r="Q179" s="15" t="n">
        <f aca="false">IF(J179*O179&gt;0,N179/(O179*J179),0)</f>
        <v>0.838309170127653</v>
      </c>
      <c r="R179" s="15" t="n">
        <f aca="false">IF(N179&gt;0,L179/N179,0)</f>
        <v>0.978674282212885</v>
      </c>
      <c r="S179" s="15" t="n">
        <f aca="false">P179*Q179*R179</f>
        <v>0.767311981698599</v>
      </c>
      <c r="T179" s="15" t="n">
        <f aca="false">IF(K179&gt;0,L179/K179,0)</f>
        <v>0.990041619316086</v>
      </c>
      <c r="U179" s="10" t="n">
        <v>1736.4</v>
      </c>
      <c r="V179" s="5" t="n">
        <v>14</v>
      </c>
      <c r="W179" s="10" t="n">
        <v>130.6</v>
      </c>
      <c r="X179" s="15" t="n">
        <f aca="false">IF(U179&gt;0,W179/U179,0)</f>
        <v>0.0752130845427321</v>
      </c>
      <c r="Y179" s="12" t="n">
        <f aca="false">IF(U179&gt;0,L179/U179,0)</f>
        <v>309.063579820318</v>
      </c>
      <c r="Z179" s="16" t="n">
        <f aca="false">L179*INDEX(Parametros!$E$2:$E$9,MATCH($E179,Parametros!$A$2:$A$9,0))</f>
        <v>327361.38</v>
      </c>
      <c r="AA179" s="16" t="n">
        <f aca="false">Z179*INDEX(Parametros!$F$2:$F$9,MATCH($E179,Parametros!$A$2:$A$9,0))</f>
        <v>8184.0345</v>
      </c>
      <c r="AB179" s="17" t="n">
        <f aca="false">Z179+AA179</f>
        <v>335545.4145</v>
      </c>
      <c r="AC179" s="18" t="n">
        <v>333540.51</v>
      </c>
      <c r="AD179" s="17" t="n">
        <f aca="false">AC179-AB179</f>
        <v>-2004.9045</v>
      </c>
      <c r="AE179" s="17" t="n">
        <f aca="false">AA179+AD179</f>
        <v>6179.13</v>
      </c>
      <c r="AF179" s="19" t="n">
        <f aca="false">IF(Z179&gt;0,AE179/Z179,0)</f>
        <v>0.0188755619248672</v>
      </c>
      <c r="AG179" s="16" t="n">
        <f aca="false">(U179-W179)*INDEX(Parametros!$H$2:$H$9,MATCH($E179,Parametros!$A$2:$A$9,0))+W179*INDEX(Parametros!$H$2:$H$9,MATCH($E179,Parametros!$A$2:$A$9,0))*Parametros!$N$3</f>
        <v>56753.55</v>
      </c>
      <c r="AH179" s="13" t="n">
        <v>28118</v>
      </c>
      <c r="AI179" s="16" t="n">
        <f aca="false">AH179*Parametros!$N$2</f>
        <v>2586.856</v>
      </c>
      <c r="AJ179" s="18" t="n">
        <v>14687</v>
      </c>
      <c r="AK179" s="18" t="n">
        <v>5597</v>
      </c>
      <c r="AL179" s="17" t="n">
        <f aca="false">AG179+AI179+AJ179+AK179</f>
        <v>79624.406</v>
      </c>
      <c r="AM179" s="20" t="n">
        <f aca="false">IF(L179&gt;0,AL179/L179,0)</f>
        <v>0.148370854436159</v>
      </c>
      <c r="AN179" s="16" t="n">
        <f aca="false">L179*INDEX(Parametros!$G$2:$G$9,MATCH($E179,Parametros!$A$2:$A$9,0))</f>
        <v>515191.68</v>
      </c>
      <c r="AO179" s="17" t="n">
        <f aca="false">AN179-AC179-AL179</f>
        <v>102026.764</v>
      </c>
      <c r="AP179" s="15" t="n">
        <f aca="false">IF(AN179&gt;0,AO179/AN179,0)</f>
        <v>0.198036513322575</v>
      </c>
      <c r="AQ179" s="16" t="n">
        <f aca="false">INDEX(Parametros!$I$2:$I$9,MATCH($E179,Parametros!$A$2:$A$9,0))</f>
        <v>29700000</v>
      </c>
      <c r="AR179" s="19" t="n">
        <f aca="false">IF(AQ179&gt;0,AO179/AQ179,0)</f>
        <v>0.00343524457912458</v>
      </c>
    </row>
    <row r="180" customFormat="false" ht="15" hidden="false" customHeight="false" outlineLevel="0" collapsed="false">
      <c r="A180" s="5" t="s">
        <v>315</v>
      </c>
      <c r="B180" s="9" t="n">
        <v>45705</v>
      </c>
      <c r="C180" s="2" t="str">
        <f aca="false">TEXT(B180,"yyyy")</f>
        <v>2025</v>
      </c>
      <c r="D180" s="2" t="n">
        <f aca="false">WEEKNUM(B180,2)</f>
        <v>8</v>
      </c>
      <c r="E180" s="5" t="s">
        <v>134</v>
      </c>
      <c r="F180" s="6" t="str">
        <f aca="false">INDEX(Parametros!$B$2:$B$9,MATCH($E180,Parametros!$A$2:$A$9,0))</f>
        <v>Aderezos vertibles</v>
      </c>
      <c r="G180" s="10" t="n">
        <v>103.3</v>
      </c>
      <c r="H180" s="10" t="n">
        <v>6.4</v>
      </c>
      <c r="I180" s="11" t="n">
        <f aca="false">SUMIFS(Eventos_Paro!$J$2:$J$2186,Eventos_Paro!$D$2:$D$2186,$E180,Eventos_Paro!$B$2:$B$2186,$B180)</f>
        <v>0.416666666666667</v>
      </c>
      <c r="J180" s="12" t="n">
        <f aca="false">G180-H180-I180</f>
        <v>96.4833333333333</v>
      </c>
      <c r="K180" s="13" t="n">
        <v>390522</v>
      </c>
      <c r="L180" s="13" t="n">
        <v>437605</v>
      </c>
      <c r="M180" s="13" t="n">
        <v>10204</v>
      </c>
      <c r="N180" s="14" t="n">
        <f aca="false">L180+M180</f>
        <v>447809</v>
      </c>
      <c r="O180" s="11" t="n">
        <f aca="false">INDEX(Parametros!$D$2:$D$9,MATCH($E180,Parametros!$A$2:$A$9,0))</f>
        <v>5200</v>
      </c>
      <c r="P180" s="15" t="n">
        <f aca="false">IF((G180-H180)&gt;0,J180/(G180-H180),0)</f>
        <v>0.995700034399725</v>
      </c>
      <c r="Q180" s="15" t="n">
        <f aca="false">IF(J180*O180&gt;0,N180/(O180*J180),0)</f>
        <v>0.892559496126606</v>
      </c>
      <c r="R180" s="15" t="n">
        <f aca="false">IF(N180&gt;0,L180/N180,0)</f>
        <v>0.97721349950537</v>
      </c>
      <c r="S180" s="15" t="n">
        <f aca="false">P180*Q180*R180</f>
        <v>0.868470667619275</v>
      </c>
      <c r="T180" s="15" t="n">
        <f aca="false">IF(K180&gt;0,L180/K180,0)</f>
        <v>1.12056427038682</v>
      </c>
      <c r="U180" s="10" t="n">
        <v>1255.4</v>
      </c>
      <c r="V180" s="5" t="n">
        <v>12</v>
      </c>
      <c r="W180" s="10" t="n">
        <v>15.8</v>
      </c>
      <c r="X180" s="15" t="n">
        <f aca="false">IF(U180&gt;0,W180/U180,0)</f>
        <v>0.0125856300780628</v>
      </c>
      <c r="Y180" s="12" t="n">
        <f aca="false">IF(U180&gt;0,L180/U180,0)</f>
        <v>348.578142424725</v>
      </c>
      <c r="Z180" s="16" t="n">
        <f aca="false">L180*INDEX(Parametros!$E$2:$E$9,MATCH($E180,Parametros!$A$2:$A$9,0))</f>
        <v>240682.75</v>
      </c>
      <c r="AA180" s="16" t="n">
        <f aca="false">Z180*INDEX(Parametros!$F$2:$F$9,MATCH($E180,Parametros!$A$2:$A$9,0))</f>
        <v>7220.4825</v>
      </c>
      <c r="AB180" s="17" t="n">
        <f aca="false">Z180+AA180</f>
        <v>247903.2325</v>
      </c>
      <c r="AC180" s="18" t="n">
        <v>252639.63</v>
      </c>
      <c r="AD180" s="17" t="n">
        <f aca="false">AC180-AB180</f>
        <v>4736.39749999996</v>
      </c>
      <c r="AE180" s="17" t="n">
        <f aca="false">AA180+AD180</f>
        <v>11956.88</v>
      </c>
      <c r="AF180" s="19" t="n">
        <f aca="false">IF(Z180&gt;0,AE180/Z180,0)</f>
        <v>0.0496790069084717</v>
      </c>
      <c r="AG180" s="16" t="n">
        <f aca="false">(U180-W180)*INDEX(Parametros!$H$2:$H$9,MATCH($E180,Parametros!$A$2:$A$9,0))+W180*INDEX(Parametros!$H$2:$H$9,MATCH($E180,Parametros!$A$2:$A$9,0))*Parametros!$N$3</f>
        <v>39793.95</v>
      </c>
      <c r="AH180" s="13" t="n">
        <v>22810</v>
      </c>
      <c r="AI180" s="16" t="n">
        <f aca="false">AH180*Parametros!$N$2</f>
        <v>2098.52</v>
      </c>
      <c r="AJ180" s="18" t="n">
        <v>11911</v>
      </c>
      <c r="AK180" s="18" t="n">
        <v>434</v>
      </c>
      <c r="AL180" s="17" t="n">
        <f aca="false">AG180+AI180+AJ180+AK180</f>
        <v>54237.47</v>
      </c>
      <c r="AM180" s="20" t="n">
        <f aca="false">IF(L180&gt;0,AL180/L180,0)</f>
        <v>0.123941614012637</v>
      </c>
      <c r="AN180" s="16" t="n">
        <f aca="false">L180*INDEX(Parametros!$G$2:$G$9,MATCH($E180,Parametros!$A$2:$A$9,0))</f>
        <v>446357.1</v>
      </c>
      <c r="AO180" s="17" t="n">
        <f aca="false">AN180-AC180-AL180</f>
        <v>139480</v>
      </c>
      <c r="AP180" s="15" t="n">
        <f aca="false">IF(AN180&gt;0,AO180/AN180,0)</f>
        <v>0.312485227635003</v>
      </c>
      <c r="AQ180" s="16" t="n">
        <f aca="false">INDEX(Parametros!$I$2:$I$9,MATCH($E180,Parametros!$A$2:$A$9,0))</f>
        <v>19300000</v>
      </c>
      <c r="AR180" s="19" t="n">
        <f aca="false">IF(AQ180&gt;0,AO180/AQ180,0)</f>
        <v>0.00722694300518135</v>
      </c>
    </row>
    <row r="181" customFormat="false" ht="15" hidden="false" customHeight="false" outlineLevel="0" collapsed="false">
      <c r="A181" s="5" t="s">
        <v>316</v>
      </c>
      <c r="B181" s="9" t="n">
        <v>45705</v>
      </c>
      <c r="C181" s="2" t="str">
        <f aca="false">TEXT(B181,"yyyy")</f>
        <v>2025</v>
      </c>
      <c r="D181" s="2" t="n">
        <f aca="false">WEEKNUM(B181,2)</f>
        <v>8</v>
      </c>
      <c r="E181" s="5" t="s">
        <v>136</v>
      </c>
      <c r="F181" s="6" t="str">
        <f aca="false">INDEX(Parametros!$B$2:$B$9,MATCH($E181,Parametros!$A$2:$A$9,0))</f>
        <v>Salsa BBQ</v>
      </c>
      <c r="G181" s="10" t="n">
        <v>76.9</v>
      </c>
      <c r="H181" s="10" t="n">
        <v>8.3</v>
      </c>
      <c r="I181" s="11" t="n">
        <f aca="false">SUMIFS(Eventos_Paro!$J$2:$J$2186,Eventos_Paro!$D$2:$D$2186,$E181,Eventos_Paro!$B$2:$B$2186,$B181)</f>
        <v>2.61666666666667</v>
      </c>
      <c r="J181" s="12" t="n">
        <f aca="false">G181-H181-I181</f>
        <v>65.9833333333334</v>
      </c>
      <c r="K181" s="13" t="n">
        <v>226425</v>
      </c>
      <c r="L181" s="13" t="n">
        <v>238824</v>
      </c>
      <c r="M181" s="13" t="n">
        <v>7916</v>
      </c>
      <c r="N181" s="14" t="n">
        <f aca="false">L181+M181</f>
        <v>246740</v>
      </c>
      <c r="O181" s="11" t="n">
        <f aca="false">INDEX(Parametros!$D$2:$D$9,MATCH($E181,Parametros!$A$2:$A$9,0))</f>
        <v>4800</v>
      </c>
      <c r="P181" s="15" t="n">
        <f aca="false">IF((G181-H181)&gt;0,J181/(G181-H181),0)</f>
        <v>0.961856171039845</v>
      </c>
      <c r="Q181" s="15" t="n">
        <f aca="false">IF(J181*O181&gt;0,N181/(O181*J181),0)</f>
        <v>0.779047739328113</v>
      </c>
      <c r="R181" s="15" t="n">
        <f aca="false">IF(N181&gt;0,L181/N181,0)</f>
        <v>0.967917646105212</v>
      </c>
      <c r="S181" s="15" t="n">
        <f aca="false">P181*Q181*R181</f>
        <v>0.725291545189504</v>
      </c>
      <c r="T181" s="15" t="n">
        <f aca="false">IF(K181&gt;0,L181/K181,0)</f>
        <v>1.05475985425638</v>
      </c>
      <c r="U181" s="10" t="n">
        <v>971.1</v>
      </c>
      <c r="V181" s="5" t="n">
        <v>11</v>
      </c>
      <c r="W181" s="10" t="n">
        <v>125.2</v>
      </c>
      <c r="X181" s="15" t="n">
        <f aca="false">IF(U181&gt;0,W181/U181,0)</f>
        <v>0.128925960251261</v>
      </c>
      <c r="Y181" s="12" t="n">
        <f aca="false">IF(U181&gt;0,L181/U181,0)</f>
        <v>245.931417979611</v>
      </c>
      <c r="Z181" s="16" t="n">
        <f aca="false">L181*INDEX(Parametros!$E$2:$E$9,MATCH($E181,Parametros!$A$2:$A$9,0))</f>
        <v>138517.92</v>
      </c>
      <c r="AA181" s="16" t="n">
        <f aca="false">Z181*INDEX(Parametros!$F$2:$F$9,MATCH($E181,Parametros!$A$2:$A$9,0))</f>
        <v>3878.50176</v>
      </c>
      <c r="AB181" s="17" t="n">
        <f aca="false">Z181+AA181</f>
        <v>142396.42176</v>
      </c>
      <c r="AC181" s="18" t="n">
        <v>141957.66</v>
      </c>
      <c r="AD181" s="17" t="n">
        <f aca="false">AC181-AB181</f>
        <v>-438.761759999994</v>
      </c>
      <c r="AE181" s="17" t="n">
        <f aca="false">AA181+AD181</f>
        <v>3439.74000000001</v>
      </c>
      <c r="AF181" s="19" t="n">
        <f aca="false">IF(Z181&gt;0,AE181/Z181,0)</f>
        <v>0.0248324548910351</v>
      </c>
      <c r="AG181" s="16" t="n">
        <f aca="false">(U181-W181)*INDEX(Parametros!$H$2:$H$9,MATCH($E181,Parametros!$A$2:$A$9,0))+W181*INDEX(Parametros!$H$2:$H$9,MATCH($E181,Parametros!$A$2:$A$9,0))*Parametros!$N$3</f>
        <v>32561.55</v>
      </c>
      <c r="AH181" s="13" t="n">
        <v>12953</v>
      </c>
      <c r="AI181" s="16" t="n">
        <f aca="false">AH181*Parametros!$N$2</f>
        <v>1191.676</v>
      </c>
      <c r="AJ181" s="18" t="n">
        <v>9018</v>
      </c>
      <c r="AK181" s="18" t="n">
        <v>2341</v>
      </c>
      <c r="AL181" s="17" t="n">
        <f aca="false">AG181+AI181+AJ181+AK181</f>
        <v>45112.226</v>
      </c>
      <c r="AM181" s="20" t="n">
        <f aca="false">IF(L181&gt;0,AL181/L181,0)</f>
        <v>0.188893184939537</v>
      </c>
      <c r="AN181" s="16" t="n">
        <f aca="false">L181*INDEX(Parametros!$G$2:$G$9,MATCH($E181,Parametros!$A$2:$A$9,0))</f>
        <v>234047.52</v>
      </c>
      <c r="AO181" s="17" t="n">
        <f aca="false">AN181-AC181-AL181</f>
        <v>46977.634</v>
      </c>
      <c r="AP181" s="15" t="n">
        <f aca="false">IF(AN181&gt;0,AO181/AN181,0)</f>
        <v>0.200718358391492</v>
      </c>
      <c r="AQ181" s="16" t="n">
        <f aca="false">INDEX(Parametros!$I$2:$I$9,MATCH($E181,Parametros!$A$2:$A$9,0))</f>
        <v>17000000</v>
      </c>
      <c r="AR181" s="19" t="n">
        <f aca="false">IF(AQ181&gt;0,AO181/AQ181,0)</f>
        <v>0.00276339023529412</v>
      </c>
    </row>
    <row r="182" customFormat="false" ht="15" hidden="false" customHeight="false" outlineLevel="0" collapsed="false">
      <c r="A182" s="5" t="s">
        <v>317</v>
      </c>
      <c r="B182" s="9" t="n">
        <v>45705</v>
      </c>
      <c r="C182" s="2" t="str">
        <f aca="false">TEXT(B182,"yyyy")</f>
        <v>2025</v>
      </c>
      <c r="D182" s="2" t="n">
        <f aca="false">WEEKNUM(B182,2)</f>
        <v>8</v>
      </c>
      <c r="E182" s="5" t="s">
        <v>138</v>
      </c>
      <c r="F182" s="6" t="str">
        <f aca="false">INDEX(Parametros!$B$2:$B$9,MATCH($E182,Parametros!$A$2:$A$9,0))</f>
        <v>Queso crema</v>
      </c>
      <c r="G182" s="10" t="n">
        <v>115.3</v>
      </c>
      <c r="H182" s="10" t="n">
        <v>5.9</v>
      </c>
      <c r="I182" s="11" t="n">
        <f aca="false">SUMIFS(Eventos_Paro!$J$2:$J$2186,Eventos_Paro!$D$2:$D$2186,$E182,Eventos_Paro!$B$2:$B$2186,$B182)</f>
        <v>1.91666666666667</v>
      </c>
      <c r="J182" s="12" t="n">
        <f aca="false">G182-H182-I182</f>
        <v>107.483333333333</v>
      </c>
      <c r="K182" s="13" t="n">
        <v>322196</v>
      </c>
      <c r="L182" s="13" t="n">
        <v>326854</v>
      </c>
      <c r="M182" s="13" t="n">
        <v>15195</v>
      </c>
      <c r="N182" s="14" t="n">
        <f aca="false">L182+M182</f>
        <v>342049</v>
      </c>
      <c r="O182" s="11" t="n">
        <f aca="false">INDEX(Parametros!$D$2:$D$9,MATCH($E182,Parametros!$A$2:$A$9,0))</f>
        <v>3800</v>
      </c>
      <c r="P182" s="15" t="n">
        <f aca="false">IF((G182-H182)&gt;0,J182/(G182-H182),0)</f>
        <v>0.982480195003047</v>
      </c>
      <c r="Q182" s="15" t="n">
        <f aca="false">IF(J182*O182&gt;0,N182/(O182*J182),0)</f>
        <v>0.837459091984886</v>
      </c>
      <c r="R182" s="15" t="n">
        <f aca="false">IF(N182&gt;0,L182/N182,0)</f>
        <v>0.955576540203304</v>
      </c>
      <c r="S182" s="15" t="n">
        <f aca="false">P182*Q182*R182</f>
        <v>0.786235928028481</v>
      </c>
      <c r="T182" s="15" t="n">
        <f aca="false">IF(K182&gt;0,L182/K182,0)</f>
        <v>1.01445703857279</v>
      </c>
      <c r="U182" s="10" t="n">
        <v>1877.5</v>
      </c>
      <c r="V182" s="5" t="n">
        <v>15</v>
      </c>
      <c r="W182" s="10" t="n">
        <v>148</v>
      </c>
      <c r="X182" s="15" t="n">
        <f aca="false">IF(U182&gt;0,W182/U182,0)</f>
        <v>0.0788282290279627</v>
      </c>
      <c r="Y182" s="12" t="n">
        <f aca="false">IF(U182&gt;0,L182/U182,0)</f>
        <v>174.090013315579</v>
      </c>
      <c r="Z182" s="16" t="n">
        <f aca="false">L182*INDEX(Parametros!$E$2:$E$9,MATCH($E182,Parametros!$A$2:$A$9,0))</f>
        <v>366076.48</v>
      </c>
      <c r="AA182" s="16" t="n">
        <f aca="false">Z182*INDEX(Parametros!$F$2:$F$9,MATCH($E182,Parametros!$A$2:$A$9,0))</f>
        <v>12812.6768</v>
      </c>
      <c r="AB182" s="17" t="n">
        <f aca="false">Z182+AA182</f>
        <v>378889.1568</v>
      </c>
      <c r="AC182" s="18" t="n">
        <v>384463.73</v>
      </c>
      <c r="AD182" s="17" t="n">
        <f aca="false">AC182-AB182</f>
        <v>5574.57319999993</v>
      </c>
      <c r="AE182" s="17" t="n">
        <f aca="false">AA182+AD182</f>
        <v>18387.2499999999</v>
      </c>
      <c r="AF182" s="19" t="n">
        <f aca="false">IF(Z182&gt;0,AE182/Z182,0)</f>
        <v>0.050227892269943</v>
      </c>
      <c r="AG182" s="16" t="n">
        <f aca="false">(U182-W182)*INDEX(Parametros!$H$2:$H$9,MATCH($E182,Parametros!$A$2:$A$9,0))+W182*INDEX(Parametros!$H$2:$H$9,MATCH($E182,Parametros!$A$2:$A$9,0))*Parametros!$N$3</f>
        <v>64399.5</v>
      </c>
      <c r="AH182" s="13" t="n">
        <v>16781</v>
      </c>
      <c r="AI182" s="16" t="n">
        <f aca="false">AH182*Parametros!$N$2</f>
        <v>1543.852</v>
      </c>
      <c r="AJ182" s="18" t="n">
        <v>19213</v>
      </c>
      <c r="AK182" s="18" t="n">
        <v>1975</v>
      </c>
      <c r="AL182" s="17" t="n">
        <f aca="false">AG182+AI182+AJ182+AK182</f>
        <v>87131.352</v>
      </c>
      <c r="AM182" s="20" t="n">
        <f aca="false">IF(L182&gt;0,AL182/L182,0)</f>
        <v>0.266575755536111</v>
      </c>
      <c r="AN182" s="16" t="n">
        <f aca="false">L182*INDEX(Parametros!$G$2:$G$9,MATCH($E182,Parametros!$A$2:$A$9,0))</f>
        <v>585068.66</v>
      </c>
      <c r="AO182" s="17" t="n">
        <f aca="false">AN182-AC182-AL182</f>
        <v>113473.578</v>
      </c>
      <c r="AP182" s="15" t="n">
        <f aca="false">IF(AN182&gt;0,AO182/AN182,0)</f>
        <v>0.193949164872376</v>
      </c>
      <c r="AQ182" s="16" t="n">
        <f aca="false">INDEX(Parametros!$I$2:$I$9,MATCH($E182,Parametros!$A$2:$A$9,0))</f>
        <v>33200000</v>
      </c>
      <c r="AR182" s="19" t="n">
        <f aca="false">IF(AQ182&gt;0,AO182/AQ182,0)</f>
        <v>0.00341787885542169</v>
      </c>
    </row>
    <row r="183" customFormat="false" ht="15" hidden="false" customHeight="false" outlineLevel="0" collapsed="false">
      <c r="A183" s="5" t="s">
        <v>318</v>
      </c>
      <c r="B183" s="9" t="n">
        <v>45705</v>
      </c>
      <c r="C183" s="2" t="str">
        <f aca="false">TEXT(B183,"yyyy")</f>
        <v>2025</v>
      </c>
      <c r="D183" s="2" t="n">
        <f aca="false">WEEKNUM(B183,2)</f>
        <v>8</v>
      </c>
      <c r="E183" s="5" t="s">
        <v>140</v>
      </c>
      <c r="F183" s="6" t="str">
        <f aca="false">INDEX(Parametros!$B$2:$B$9,MATCH($E183,Parametros!$A$2:$A$9,0))</f>
        <v>Crema de cacahuate</v>
      </c>
      <c r="G183" s="10" t="n">
        <v>113.2</v>
      </c>
      <c r="H183" s="10" t="n">
        <v>5.8</v>
      </c>
      <c r="I183" s="11" t="n">
        <f aca="false">SUMIFS(Eventos_Paro!$J$2:$J$2186,Eventos_Paro!$D$2:$D$2186,$E183,Eventos_Paro!$B$2:$B$2186,$B183)</f>
        <v>2.21666666666667</v>
      </c>
      <c r="J183" s="12" t="n">
        <f aca="false">G183-H183-I183</f>
        <v>105.183333333333</v>
      </c>
      <c r="K183" s="13" t="n">
        <v>349601</v>
      </c>
      <c r="L183" s="13" t="n">
        <v>371746</v>
      </c>
      <c r="M183" s="13" t="n">
        <v>5434</v>
      </c>
      <c r="N183" s="14" t="n">
        <f aca="false">L183+M183</f>
        <v>377180</v>
      </c>
      <c r="O183" s="11" t="n">
        <f aca="false">INDEX(Parametros!$D$2:$D$9,MATCH($E183,Parametros!$A$2:$A$9,0))</f>
        <v>4200</v>
      </c>
      <c r="P183" s="15" t="n">
        <f aca="false">IF((G183-H183)&gt;0,J183/(G183-H183),0)</f>
        <v>0.979360645561763</v>
      </c>
      <c r="Q183" s="15" t="n">
        <f aca="false">IF(J183*O183&gt;0,N183/(O183*J183),0)</f>
        <v>0.853792697557553</v>
      </c>
      <c r="R183" s="15" t="n">
        <f aca="false">IF(N183&gt;0,L183/N183,0)</f>
        <v>0.985593085529456</v>
      </c>
      <c r="S183" s="15" t="n">
        <f aca="false">P183*Q183*R183</f>
        <v>0.824124323844994</v>
      </c>
      <c r="T183" s="15" t="n">
        <f aca="false">IF(K183&gt;0,L183/K183,0)</f>
        <v>1.0633436403214</v>
      </c>
      <c r="U183" s="10" t="n">
        <v>1601.9</v>
      </c>
      <c r="V183" s="5" t="n">
        <v>13</v>
      </c>
      <c r="W183" s="10" t="n">
        <v>130.3</v>
      </c>
      <c r="X183" s="15" t="n">
        <f aca="false">IF(U183&gt;0,W183/U183,0)</f>
        <v>0.0813409076721393</v>
      </c>
      <c r="Y183" s="12" t="n">
        <f aca="false">IF(U183&gt;0,L183/U183,0)</f>
        <v>232.065672014483</v>
      </c>
      <c r="Z183" s="16" t="n">
        <f aca="false">L183*INDEX(Parametros!$E$2:$E$9,MATCH($E183,Parametros!$A$2:$A$9,0))</f>
        <v>360593.62</v>
      </c>
      <c r="AA183" s="16" t="n">
        <f aca="false">Z183*INDEX(Parametros!$F$2:$F$9,MATCH($E183,Parametros!$A$2:$A$9,0))</f>
        <v>7933.05964</v>
      </c>
      <c r="AB183" s="17" t="n">
        <f aca="false">Z183+AA183</f>
        <v>368526.67964</v>
      </c>
      <c r="AC183" s="18" t="n">
        <v>371182.1</v>
      </c>
      <c r="AD183" s="17" t="n">
        <f aca="false">AC183-AB183</f>
        <v>2655.42035999999</v>
      </c>
      <c r="AE183" s="17" t="n">
        <f aca="false">AA183+AD183</f>
        <v>10588.48</v>
      </c>
      <c r="AF183" s="19" t="n">
        <f aca="false">IF(Z183&gt;0,AE183/Z183,0)</f>
        <v>0.0293640247988858</v>
      </c>
      <c r="AG183" s="16" t="n">
        <f aca="false">(U183-W183)*INDEX(Parametros!$H$2:$H$9,MATCH($E183,Parametros!$A$2:$A$9,0))+W183*INDEX(Parametros!$H$2:$H$9,MATCH($E183,Parametros!$A$2:$A$9,0))*Parametros!$N$3</f>
        <v>52512.075</v>
      </c>
      <c r="AH183" s="13" t="n">
        <v>19252</v>
      </c>
      <c r="AI183" s="16" t="n">
        <f aca="false">AH183*Parametros!$N$2</f>
        <v>1771.184</v>
      </c>
      <c r="AJ183" s="18" t="n">
        <v>14086</v>
      </c>
      <c r="AK183" s="18" t="n">
        <v>1523</v>
      </c>
      <c r="AL183" s="17" t="n">
        <f aca="false">AG183+AI183+AJ183+AK183</f>
        <v>69892.259</v>
      </c>
      <c r="AM183" s="20" t="n">
        <f aca="false">IF(L183&gt;0,AL183/L183,0)</f>
        <v>0.188010789625174</v>
      </c>
      <c r="AN183" s="16" t="n">
        <f aca="false">L183*INDEX(Parametros!$G$2:$G$9,MATCH($E183,Parametros!$A$2:$A$9,0))</f>
        <v>602228.52</v>
      </c>
      <c r="AO183" s="17" t="n">
        <f aca="false">AN183-AC183-AL183</f>
        <v>161154.161</v>
      </c>
      <c r="AP183" s="15" t="n">
        <f aca="false">IF(AN183&gt;0,AO183/AN183,0)</f>
        <v>0.267596361925868</v>
      </c>
      <c r="AQ183" s="16" t="n">
        <f aca="false">INDEX(Parametros!$I$2:$I$9,MATCH($E183,Parametros!$A$2:$A$9,0))</f>
        <v>28000000</v>
      </c>
      <c r="AR183" s="19" t="n">
        <f aca="false">IF(AQ183&gt;0,AO183/AQ183,0)</f>
        <v>0.00575550575</v>
      </c>
    </row>
    <row r="184" customFormat="false" ht="15" hidden="false" customHeight="false" outlineLevel="0" collapsed="false">
      <c r="A184" s="5" t="s">
        <v>319</v>
      </c>
      <c r="B184" s="9" t="n">
        <v>45705</v>
      </c>
      <c r="C184" s="2" t="str">
        <f aca="false">TEXT(B184,"yyyy")</f>
        <v>2025</v>
      </c>
      <c r="D184" s="2" t="n">
        <f aca="false">WEEKNUM(B184,2)</f>
        <v>8</v>
      </c>
      <c r="E184" s="5" t="s">
        <v>142</v>
      </c>
      <c r="F184" s="6" t="str">
        <f aca="false">INDEX(Parametros!$B$2:$B$9,MATCH($E184,Parametros!$A$2:$A$9,0))</f>
        <v>Porciones single serve</v>
      </c>
      <c r="G184" s="10" t="n">
        <v>139.9</v>
      </c>
      <c r="H184" s="10" t="n">
        <v>5.9</v>
      </c>
      <c r="I184" s="11" t="n">
        <f aca="false">SUMIFS(Eventos_Paro!$J$2:$J$2186,Eventos_Paro!$D$2:$D$2186,$E184,Eventos_Paro!$B$2:$B$2186,$B184)</f>
        <v>6.11666666666667</v>
      </c>
      <c r="J184" s="12" t="n">
        <f aca="false">G184-H184-I184</f>
        <v>127.883333333333</v>
      </c>
      <c r="K184" s="13" t="n">
        <v>270021</v>
      </c>
      <c r="L184" s="13" t="n">
        <v>251326</v>
      </c>
      <c r="M184" s="13" t="n">
        <v>15777</v>
      </c>
      <c r="N184" s="14" t="n">
        <f aca="false">L184+M184</f>
        <v>267103</v>
      </c>
      <c r="O184" s="11" t="n">
        <f aca="false">INDEX(Parametros!$D$2:$D$9,MATCH($E184,Parametros!$A$2:$A$9,0))</f>
        <v>2600</v>
      </c>
      <c r="P184" s="15" t="n">
        <f aca="false">IF((G184-H184)&gt;0,J184/(G184-H184),0)</f>
        <v>0.954353233830846</v>
      </c>
      <c r="Q184" s="15" t="n">
        <f aca="false">IF(J184*O184&gt;0,N184/(O184*J184),0)</f>
        <v>0.803325346620016</v>
      </c>
      <c r="R184" s="15" t="n">
        <f aca="false">IF(N184&gt;0,L184/N184,0)</f>
        <v>0.940932898544756</v>
      </c>
      <c r="S184" s="15" t="n">
        <f aca="false">P184*Q184*R184</f>
        <v>0.721371986222733</v>
      </c>
      <c r="T184" s="15" t="n">
        <f aca="false">IF(K184&gt;0,L184/K184,0)</f>
        <v>0.930764644231375</v>
      </c>
      <c r="U184" s="10" t="n">
        <v>2295.2</v>
      </c>
      <c r="V184" s="5" t="n">
        <v>16</v>
      </c>
      <c r="W184" s="10" t="n">
        <v>56.8</v>
      </c>
      <c r="X184" s="15" t="n">
        <f aca="false">IF(U184&gt;0,W184/U184,0)</f>
        <v>0.024747298710352</v>
      </c>
      <c r="Y184" s="12" t="n">
        <f aca="false">IF(U184&gt;0,L184/U184,0)</f>
        <v>109.500697107006</v>
      </c>
      <c r="Z184" s="16" t="n">
        <f aca="false">L184*INDEX(Parametros!$E$2:$E$9,MATCH($E184,Parametros!$A$2:$A$9,0))</f>
        <v>185981.24</v>
      </c>
      <c r="AA184" s="16" t="n">
        <f aca="false">Z184*INDEX(Parametros!$F$2:$F$9,MATCH($E184,Parametros!$A$2:$A$9,0))</f>
        <v>8369.1558</v>
      </c>
      <c r="AB184" s="17" t="n">
        <f aca="false">Z184+AA184</f>
        <v>194350.3958</v>
      </c>
      <c r="AC184" s="18" t="n">
        <v>192274.93</v>
      </c>
      <c r="AD184" s="17" t="n">
        <f aca="false">AC184-AB184</f>
        <v>-2075.46580000001</v>
      </c>
      <c r="AE184" s="17" t="n">
        <f aca="false">AA184+AD184</f>
        <v>6293.68999999999</v>
      </c>
      <c r="AF184" s="19" t="n">
        <f aca="false">IF(Z184&gt;0,AE184/Z184,0)</f>
        <v>0.0338404561664391</v>
      </c>
      <c r="AG184" s="16" t="n">
        <f aca="false">(U184-W184)*INDEX(Parametros!$H$2:$H$9,MATCH($E184,Parametros!$A$2:$A$9,0))+W184*INDEX(Parametros!$H$2:$H$9,MATCH($E184,Parametros!$A$2:$A$9,0))*Parametros!$N$3</f>
        <v>69708</v>
      </c>
      <c r="AH184" s="13" t="n">
        <v>13736</v>
      </c>
      <c r="AI184" s="16" t="n">
        <f aca="false">AH184*Parametros!$N$2</f>
        <v>1263.712</v>
      </c>
      <c r="AJ184" s="18" t="n">
        <v>8705</v>
      </c>
      <c r="AK184" s="18" t="n">
        <v>6054</v>
      </c>
      <c r="AL184" s="17" t="n">
        <f aca="false">AG184+AI184+AJ184+AK184</f>
        <v>85730.712</v>
      </c>
      <c r="AM184" s="20" t="n">
        <f aca="false">IF(L184&gt;0,AL184/L184,0)</f>
        <v>0.341113581563388</v>
      </c>
      <c r="AN184" s="16" t="n">
        <f aca="false">L184*INDEX(Parametros!$G$2:$G$9,MATCH($E184,Parametros!$A$2:$A$9,0))</f>
        <v>432280.72</v>
      </c>
      <c r="AO184" s="17" t="n">
        <f aca="false">AN184-AC184-AL184</f>
        <v>154275.078</v>
      </c>
      <c r="AP184" s="15" t="n">
        <f aca="false">IF(AN184&gt;0,AO184/AN184,0)</f>
        <v>0.356886326089214</v>
      </c>
      <c r="AQ184" s="16" t="n">
        <f aca="false">INDEX(Parametros!$I$2:$I$9,MATCH($E184,Parametros!$A$2:$A$9,0))</f>
        <v>15900000</v>
      </c>
      <c r="AR184" s="19" t="n">
        <f aca="false">IF(AQ184&gt;0,AO184/AQ184,0)</f>
        <v>0.00970283509433962</v>
      </c>
    </row>
    <row r="185" customFormat="false" ht="15" hidden="false" customHeight="false" outlineLevel="0" collapsed="false">
      <c r="A185" s="5" t="s">
        <v>320</v>
      </c>
      <c r="B185" s="9" t="n">
        <v>45705</v>
      </c>
      <c r="C185" s="2" t="str">
        <f aca="false">TEXT(B185,"yyyy")</f>
        <v>2025</v>
      </c>
      <c r="D185" s="2" t="n">
        <f aca="false">WEEKNUM(B185,2)</f>
        <v>8</v>
      </c>
      <c r="E185" s="5" t="s">
        <v>144</v>
      </c>
      <c r="F185" s="6" t="str">
        <f aca="false">INDEX(Parametros!$B$2:$B$9,MATCH($E185,Parametros!$A$2:$A$9,0))</f>
        <v>Salsas picantes</v>
      </c>
      <c r="G185" s="10" t="n">
        <v>103.6</v>
      </c>
      <c r="H185" s="10" t="n">
        <v>6.4</v>
      </c>
      <c r="I185" s="11" t="n">
        <f aca="false">SUMIFS(Eventos_Paro!$J$2:$J$2186,Eventos_Paro!$D$2:$D$2186,$E185,Eventos_Paro!$B$2:$B$2186,$B185)</f>
        <v>3.36666666666667</v>
      </c>
      <c r="J185" s="12" t="n">
        <f aca="false">G185-H185-I185</f>
        <v>93.8333333333333</v>
      </c>
      <c r="K185" s="13" t="n">
        <v>251942</v>
      </c>
      <c r="L185" s="13" t="n">
        <v>235179</v>
      </c>
      <c r="M185" s="13" t="n">
        <v>5116</v>
      </c>
      <c r="N185" s="14" t="n">
        <f aca="false">L185+M185</f>
        <v>240295</v>
      </c>
      <c r="O185" s="11" t="n">
        <f aca="false">INDEX(Parametros!$D$2:$D$9,MATCH($E185,Parametros!$A$2:$A$9,0))</f>
        <v>3100</v>
      </c>
      <c r="P185" s="15" t="n">
        <f aca="false">IF((G185-H185)&gt;0,J185/(G185-H185),0)</f>
        <v>0.965363511659808</v>
      </c>
      <c r="Q185" s="15" t="n">
        <f aca="false">IF(J185*O185&gt;0,N185/(O185*J185),0)</f>
        <v>0.826087205637999</v>
      </c>
      <c r="R185" s="15" t="n">
        <f aca="false">IF(N185&gt;0,L185/N185,0)</f>
        <v>0.978709502902682</v>
      </c>
      <c r="S185" s="15" t="n">
        <f aca="false">P185*Q185*R185</f>
        <v>0.780495818399044</v>
      </c>
      <c r="T185" s="15" t="n">
        <f aca="false">IF(K185&gt;0,L185/K185,0)</f>
        <v>0.933464845083392</v>
      </c>
      <c r="U185" s="10" t="n">
        <v>995.1</v>
      </c>
      <c r="V185" s="5" t="n">
        <v>9</v>
      </c>
      <c r="W185" s="10" t="n">
        <v>62.7</v>
      </c>
      <c r="X185" s="15" t="n">
        <f aca="false">IF(U185&gt;0,W185/U185,0)</f>
        <v>0.0630087428399156</v>
      </c>
      <c r="Y185" s="12" t="n">
        <f aca="false">IF(U185&gt;0,L185/U185,0)</f>
        <v>236.337051552608</v>
      </c>
      <c r="Z185" s="16" t="n">
        <f aca="false">L185*INDEX(Parametros!$E$2:$E$9,MATCH($E185,Parametros!$A$2:$A$9,0))</f>
        <v>155218.14</v>
      </c>
      <c r="AA185" s="16" t="n">
        <f aca="false">Z185*INDEX(Parametros!$F$2:$F$9,MATCH($E185,Parametros!$A$2:$A$9,0))</f>
        <v>4035.67164</v>
      </c>
      <c r="AB185" s="17" t="n">
        <f aca="false">Z185+AA185</f>
        <v>159253.81164</v>
      </c>
      <c r="AC185" s="18" t="n">
        <v>162133.4</v>
      </c>
      <c r="AD185" s="17" t="n">
        <f aca="false">AC185-AB185</f>
        <v>2879.58835999999</v>
      </c>
      <c r="AE185" s="17" t="n">
        <f aca="false">AA185+AD185</f>
        <v>6915.26</v>
      </c>
      <c r="AF185" s="19" t="n">
        <f aca="false">IF(Z185&gt;0,AE185/Z185,0)</f>
        <v>0.04455188034079</v>
      </c>
      <c r="AG185" s="16" t="n">
        <f aca="false">(U185-W185)*INDEX(Parametros!$H$2:$H$9,MATCH($E185,Parametros!$A$2:$A$9,0))+W185*INDEX(Parametros!$H$2:$H$9,MATCH($E185,Parametros!$A$2:$A$9,0))*Parametros!$N$3</f>
        <v>32333.175</v>
      </c>
      <c r="AH185" s="13" t="n">
        <v>11997</v>
      </c>
      <c r="AI185" s="16" t="n">
        <f aca="false">AH185*Parametros!$N$2</f>
        <v>1103.724</v>
      </c>
      <c r="AJ185" s="18" t="n">
        <v>6629</v>
      </c>
      <c r="AK185" s="18" t="n">
        <v>3932</v>
      </c>
      <c r="AL185" s="17" t="n">
        <f aca="false">AG185+AI185+AJ185+AK185</f>
        <v>43997.899</v>
      </c>
      <c r="AM185" s="20" t="n">
        <f aca="false">IF(L185&gt;0,AL185/L185,0)</f>
        <v>0.187082600912496</v>
      </c>
      <c r="AN185" s="16" t="n">
        <f aca="false">L185*INDEX(Parametros!$G$2:$G$9,MATCH($E185,Parametros!$A$2:$A$9,0))</f>
        <v>293973.75</v>
      </c>
      <c r="AO185" s="17" t="n">
        <f aca="false">AN185-AC185-AL185</f>
        <v>87842.451</v>
      </c>
      <c r="AP185" s="15" t="n">
        <f aca="false">IF(AN185&gt;0,AO185/AN185,0)</f>
        <v>0.298810526450066</v>
      </c>
      <c r="AQ185" s="16" t="n">
        <f aca="false">INDEX(Parametros!$I$2:$I$9,MATCH($E185,Parametros!$A$2:$A$9,0))</f>
        <v>13300000</v>
      </c>
      <c r="AR185" s="19" t="n">
        <f aca="false">IF(AQ185&gt;0,AO185/AQ185,0)</f>
        <v>0.00660469556390978</v>
      </c>
    </row>
    <row r="186" customFormat="false" ht="15" hidden="false" customHeight="false" outlineLevel="0" collapsed="false">
      <c r="A186" s="5" t="s">
        <v>321</v>
      </c>
      <c r="B186" s="9" t="n">
        <v>45712</v>
      </c>
      <c r="C186" s="2" t="str">
        <f aca="false">TEXT(B186,"yyyy")</f>
        <v>2025</v>
      </c>
      <c r="D186" s="2" t="n">
        <f aca="false">WEEKNUM(B186,2)</f>
        <v>9</v>
      </c>
      <c r="E186" s="5" t="s">
        <v>130</v>
      </c>
      <c r="F186" s="6" t="str">
        <f aca="false">INDEX(Parametros!$B$2:$B$9,MATCH($E186,Parametros!$A$2:$A$9,0))</f>
        <v>Ketchup botella</v>
      </c>
      <c r="G186" s="10" t="n">
        <v>118.1</v>
      </c>
      <c r="H186" s="10" t="n">
        <v>7.3</v>
      </c>
      <c r="I186" s="11" t="n">
        <f aca="false">SUMIFS(Eventos_Paro!$J$2:$J$2186,Eventos_Paro!$D$2:$D$2186,$E186,Eventos_Paro!$B$2:$B$2186,$B186)</f>
        <v>2.01666666666667</v>
      </c>
      <c r="J186" s="12" t="n">
        <f aca="false">G186-H186-I186</f>
        <v>108.783333333333</v>
      </c>
      <c r="K186" s="13" t="n">
        <v>775440</v>
      </c>
      <c r="L186" s="13" t="n">
        <v>825742</v>
      </c>
      <c r="M186" s="13" t="n">
        <v>16264</v>
      </c>
      <c r="N186" s="14" t="n">
        <f aca="false">L186+M186</f>
        <v>842006</v>
      </c>
      <c r="O186" s="11" t="n">
        <f aca="false">INDEX(Parametros!$D$2:$D$9,MATCH($E186,Parametros!$A$2:$A$9,0))</f>
        <v>9000</v>
      </c>
      <c r="P186" s="15" t="n">
        <f aca="false">IF((G186-H186)&gt;0,J186/(G186-H186),0)</f>
        <v>0.981799037304453</v>
      </c>
      <c r="Q186" s="15" t="n">
        <f aca="false">IF(J186*O186&gt;0,N186/(O186*J186),0)</f>
        <v>0.860023492160768</v>
      </c>
      <c r="R186" s="15" t="n">
        <f aca="false">IF(N186&gt;0,L186/N186,0)</f>
        <v>0.980684223152804</v>
      </c>
      <c r="S186" s="15" t="n">
        <f aca="false">P186*Q186*R186</f>
        <v>0.828060569594866</v>
      </c>
      <c r="T186" s="15" t="n">
        <f aca="false">IF(K186&gt;0,L186/K186,0)</f>
        <v>1.06486897761271</v>
      </c>
      <c r="U186" s="10" t="n">
        <v>1685.7</v>
      </c>
      <c r="V186" s="5" t="n">
        <v>14</v>
      </c>
      <c r="W186" s="10" t="n">
        <v>32.3</v>
      </c>
      <c r="X186" s="15" t="n">
        <f aca="false">IF(U186&gt;0,W186/U186,0)</f>
        <v>0.0191611793320282</v>
      </c>
      <c r="Y186" s="12" t="n">
        <f aca="false">IF(U186&gt;0,L186/U186,0)</f>
        <v>489.851100433055</v>
      </c>
      <c r="Z186" s="16" t="n">
        <f aca="false">L186*INDEX(Parametros!$E$2:$E$9,MATCH($E186,Parametros!$A$2:$A$9,0))</f>
        <v>346811.64</v>
      </c>
      <c r="AA186" s="16" t="n">
        <f aca="false">Z186*INDEX(Parametros!$F$2:$F$9,MATCH($E186,Parametros!$A$2:$A$9,0))</f>
        <v>6936.2328</v>
      </c>
      <c r="AB186" s="17" t="n">
        <f aca="false">Z186+AA186</f>
        <v>353747.8728</v>
      </c>
      <c r="AC186" s="18" t="n">
        <v>357415.3</v>
      </c>
      <c r="AD186" s="17" t="n">
        <f aca="false">AC186-AB186</f>
        <v>3667.42719999998</v>
      </c>
      <c r="AE186" s="17" t="n">
        <f aca="false">AA186+AD186</f>
        <v>10603.66</v>
      </c>
      <c r="AF186" s="19" t="n">
        <f aca="false">IF(Z186&gt;0,AE186/Z186,0)</f>
        <v>0.0305746946671109</v>
      </c>
      <c r="AG186" s="16" t="n">
        <f aca="false">(U186-W186)*INDEX(Parametros!$H$2:$H$9,MATCH($E186,Parametros!$A$2:$A$9,0))+W186*INDEX(Parametros!$H$2:$H$9,MATCH($E186,Parametros!$A$2:$A$9,0))*Parametros!$N$3</f>
        <v>53608.275</v>
      </c>
      <c r="AH186" s="13" t="n">
        <v>41684</v>
      </c>
      <c r="AI186" s="16" t="n">
        <f aca="false">AH186*Parametros!$N$2</f>
        <v>3834.928</v>
      </c>
      <c r="AJ186" s="18" t="n">
        <v>15114</v>
      </c>
      <c r="AK186" s="18" t="n">
        <v>2555</v>
      </c>
      <c r="AL186" s="17" t="n">
        <f aca="false">AG186+AI186+AJ186+AK186</f>
        <v>75112.203</v>
      </c>
      <c r="AM186" s="20" t="n">
        <f aca="false">IF(L186&gt;0,AL186/L186,0)</f>
        <v>0.0909632827202686</v>
      </c>
      <c r="AN186" s="16" t="n">
        <f aca="false">L186*INDEX(Parametros!$G$2:$G$9,MATCH($E186,Parametros!$A$2:$A$9,0))</f>
        <v>586276.82</v>
      </c>
      <c r="AO186" s="17" t="n">
        <f aca="false">AN186-AC186-AL186</f>
        <v>153749.317</v>
      </c>
      <c r="AP186" s="15" t="n">
        <f aca="false">IF(AN186&gt;0,AO186/AN186,0)</f>
        <v>0.262246965520486</v>
      </c>
      <c r="AQ186" s="16" t="n">
        <f aca="false">INDEX(Parametros!$I$2:$I$9,MATCH($E186,Parametros!$A$2:$A$9,0))</f>
        <v>29300000</v>
      </c>
      <c r="AR186" s="19" t="n">
        <f aca="false">IF(AQ186&gt;0,AO186/AQ186,0)</f>
        <v>0.00524741696245734</v>
      </c>
    </row>
    <row r="187" customFormat="false" ht="15" hidden="false" customHeight="false" outlineLevel="0" collapsed="false">
      <c r="A187" s="5" t="s">
        <v>322</v>
      </c>
      <c r="B187" s="9" t="n">
        <v>45712</v>
      </c>
      <c r="C187" s="2" t="str">
        <f aca="false">TEXT(B187,"yyyy")</f>
        <v>2025</v>
      </c>
      <c r="D187" s="2" t="n">
        <f aca="false">WEEKNUM(B187,2)</f>
        <v>9</v>
      </c>
      <c r="E187" s="5" t="s">
        <v>132</v>
      </c>
      <c r="F187" s="6" t="str">
        <f aca="false">INDEX(Parametros!$B$2:$B$9,MATCH($E187,Parametros!$A$2:$A$9,0))</f>
        <v>Mayonesa frasco</v>
      </c>
      <c r="G187" s="10" t="n">
        <v>114.4</v>
      </c>
      <c r="H187" s="10" t="n">
        <v>8.6</v>
      </c>
      <c r="I187" s="11" t="n">
        <f aca="false">SUMIFS(Eventos_Paro!$J$2:$J$2186,Eventos_Paro!$D$2:$D$2186,$E187,Eventos_Paro!$B$2:$B$2186,$B187)</f>
        <v>4.01666666666667</v>
      </c>
      <c r="J187" s="12" t="n">
        <f aca="false">G187-H187-I187</f>
        <v>101.783333333333</v>
      </c>
      <c r="K187" s="13" t="n">
        <v>534767</v>
      </c>
      <c r="L187" s="13" t="n">
        <v>557833</v>
      </c>
      <c r="M187" s="13" t="n">
        <v>8639</v>
      </c>
      <c r="N187" s="14" t="n">
        <f aca="false">L187+M187</f>
        <v>566472</v>
      </c>
      <c r="O187" s="11" t="n">
        <f aca="false">INDEX(Parametros!$D$2:$D$9,MATCH($E187,Parametros!$A$2:$A$9,0))</f>
        <v>6500</v>
      </c>
      <c r="P187" s="15" t="n">
        <f aca="false">IF((G187-H187)&gt;0,J187/(G187-H187),0)</f>
        <v>0.962035286704474</v>
      </c>
      <c r="Q187" s="15" t="n">
        <f aca="false">IF(J187*O187&gt;0,N187/(O187*J187),0)</f>
        <v>0.856226020581678</v>
      </c>
      <c r="R187" s="15" t="n">
        <f aca="false">IF(N187&gt;0,L187/N187,0)</f>
        <v>0.98474946687568</v>
      </c>
      <c r="S187" s="15" t="n">
        <f aca="false">P187*Q187*R187</f>
        <v>0.811157481459939</v>
      </c>
      <c r="T187" s="15" t="n">
        <f aca="false">IF(K187&gt;0,L187/K187,0)</f>
        <v>1.04313280363224</v>
      </c>
      <c r="U187" s="10" t="n">
        <v>1578.1</v>
      </c>
      <c r="V187" s="5" t="n">
        <v>13</v>
      </c>
      <c r="W187" s="10" t="n">
        <v>90.9</v>
      </c>
      <c r="X187" s="15" t="n">
        <f aca="false">IF(U187&gt;0,W187/U187,0)</f>
        <v>0.0576009124897028</v>
      </c>
      <c r="Y187" s="12" t="n">
        <f aca="false">IF(U187&gt;0,L187/U187,0)</f>
        <v>353.48393637919</v>
      </c>
      <c r="Z187" s="16" t="n">
        <f aca="false">L187*INDEX(Parametros!$E$2:$E$9,MATCH($E187,Parametros!$A$2:$A$9,0))</f>
        <v>340278.13</v>
      </c>
      <c r="AA187" s="16" t="n">
        <f aca="false">Z187*INDEX(Parametros!$F$2:$F$9,MATCH($E187,Parametros!$A$2:$A$9,0))</f>
        <v>8506.95325</v>
      </c>
      <c r="AB187" s="17" t="n">
        <f aca="false">Z187+AA187</f>
        <v>348785.08325</v>
      </c>
      <c r="AC187" s="18" t="n">
        <v>344149.29</v>
      </c>
      <c r="AD187" s="17" t="n">
        <f aca="false">AC187-AB187</f>
        <v>-4635.79325000005</v>
      </c>
      <c r="AE187" s="17" t="n">
        <f aca="false">AA187+AD187</f>
        <v>3871.15999999995</v>
      </c>
      <c r="AF187" s="19" t="n">
        <f aca="false">IF(Z187&gt;0,AE187/Z187,0)</f>
        <v>0.0113764584282862</v>
      </c>
      <c r="AG187" s="16" t="n">
        <f aca="false">(U187-W187)*INDEX(Parametros!$H$2:$H$9,MATCH($E187,Parametros!$A$2:$A$9,0))+W187*INDEX(Parametros!$H$2:$H$9,MATCH($E187,Parametros!$A$2:$A$9,0))*Parametros!$N$3</f>
        <v>51141.825</v>
      </c>
      <c r="AH187" s="13" t="n">
        <v>30471</v>
      </c>
      <c r="AI187" s="16" t="n">
        <f aca="false">AH187*Parametros!$N$2</f>
        <v>2803.332</v>
      </c>
      <c r="AJ187" s="18" t="n">
        <v>11965</v>
      </c>
      <c r="AK187" s="18" t="n">
        <v>4091</v>
      </c>
      <c r="AL187" s="17" t="n">
        <f aca="false">AG187+AI187+AJ187+AK187</f>
        <v>70001.157</v>
      </c>
      <c r="AM187" s="20" t="n">
        <f aca="false">IF(L187&gt;0,AL187/L187,0)</f>
        <v>0.125487658492775</v>
      </c>
      <c r="AN187" s="16" t="n">
        <f aca="false">L187*INDEX(Parametros!$G$2:$G$9,MATCH($E187,Parametros!$A$2:$A$9,0))</f>
        <v>535519.68</v>
      </c>
      <c r="AO187" s="17" t="n">
        <f aca="false">AN187-AC187-AL187</f>
        <v>121369.233</v>
      </c>
      <c r="AP187" s="15" t="n">
        <f aca="false">IF(AN187&gt;0,AO187/AN187,0)</f>
        <v>0.226638231110386</v>
      </c>
      <c r="AQ187" s="16" t="n">
        <f aca="false">INDEX(Parametros!$I$2:$I$9,MATCH($E187,Parametros!$A$2:$A$9,0))</f>
        <v>29700000</v>
      </c>
      <c r="AR187" s="19" t="n">
        <f aca="false">IF(AQ187&gt;0,AO187/AQ187,0)</f>
        <v>0.00408650616161616</v>
      </c>
    </row>
    <row r="188" customFormat="false" ht="15" hidden="false" customHeight="false" outlineLevel="0" collapsed="false">
      <c r="A188" s="5" t="s">
        <v>323</v>
      </c>
      <c r="B188" s="9" t="n">
        <v>45712</v>
      </c>
      <c r="C188" s="2" t="str">
        <f aca="false">TEXT(B188,"yyyy")</f>
        <v>2025</v>
      </c>
      <c r="D188" s="2" t="n">
        <f aca="false">WEEKNUM(B188,2)</f>
        <v>9</v>
      </c>
      <c r="E188" s="5" t="s">
        <v>134</v>
      </c>
      <c r="F188" s="6" t="str">
        <f aca="false">INDEX(Parametros!$B$2:$B$9,MATCH($E188,Parametros!$A$2:$A$9,0))</f>
        <v>Aderezos vertibles</v>
      </c>
      <c r="G188" s="10" t="n">
        <v>113.7</v>
      </c>
      <c r="H188" s="10" t="n">
        <v>8</v>
      </c>
      <c r="I188" s="11" t="n">
        <f aca="false">SUMIFS(Eventos_Paro!$J$2:$J$2186,Eventos_Paro!$D$2:$D$2186,$E188,Eventos_Paro!$B$2:$B$2186,$B188)</f>
        <v>2.1</v>
      </c>
      <c r="J188" s="12" t="n">
        <f aca="false">G188-H188-I188</f>
        <v>103.6</v>
      </c>
      <c r="K188" s="13" t="n">
        <v>427410</v>
      </c>
      <c r="L188" s="13" t="n">
        <v>452991</v>
      </c>
      <c r="M188" s="13" t="n">
        <v>12966</v>
      </c>
      <c r="N188" s="14" t="n">
        <f aca="false">L188+M188</f>
        <v>465957</v>
      </c>
      <c r="O188" s="11" t="n">
        <f aca="false">INDEX(Parametros!$D$2:$D$9,MATCH($E188,Parametros!$A$2:$A$9,0))</f>
        <v>5200</v>
      </c>
      <c r="P188" s="15" t="n">
        <f aca="false">IF((G188-H188)&gt;0,J188/(G188-H188),0)</f>
        <v>0.980132450331126</v>
      </c>
      <c r="Q188" s="15" t="n">
        <f aca="false">IF(J188*O188&gt;0,N188/(O188*J188),0)</f>
        <v>0.864933546183546</v>
      </c>
      <c r="R188" s="15" t="n">
        <f aca="false">IF(N188&gt;0,L188/N188,0)</f>
        <v>0.972173397974491</v>
      </c>
      <c r="S188" s="15" t="n">
        <f aca="false">P188*Q188*R188</f>
        <v>0.824159449821702</v>
      </c>
      <c r="T188" s="15" t="n">
        <f aca="false">IF(K188&gt;0,L188/K188,0)</f>
        <v>1.05985119674317</v>
      </c>
      <c r="U188" s="10" t="n">
        <v>1466.5</v>
      </c>
      <c r="V188" s="5" t="n">
        <v>12</v>
      </c>
      <c r="W188" s="10" t="n">
        <v>102.1</v>
      </c>
      <c r="X188" s="15" t="n">
        <f aca="false">IF(U188&gt;0,W188/U188,0)</f>
        <v>0.0696215479031708</v>
      </c>
      <c r="Y188" s="12" t="n">
        <f aca="false">IF(U188&gt;0,L188/U188,0)</f>
        <v>308.892601431981</v>
      </c>
      <c r="Z188" s="16" t="n">
        <f aca="false">L188*INDEX(Parametros!$E$2:$E$9,MATCH($E188,Parametros!$A$2:$A$9,0))</f>
        <v>249145.05</v>
      </c>
      <c r="AA188" s="16" t="n">
        <f aca="false">Z188*INDEX(Parametros!$F$2:$F$9,MATCH($E188,Parametros!$A$2:$A$9,0))</f>
        <v>7474.3515</v>
      </c>
      <c r="AB188" s="17" t="n">
        <f aca="false">Z188+AA188</f>
        <v>256619.4015</v>
      </c>
      <c r="AC188" s="18" t="n">
        <v>260568.71</v>
      </c>
      <c r="AD188" s="17" t="n">
        <f aca="false">AC188-AB188</f>
        <v>3949.30849999998</v>
      </c>
      <c r="AE188" s="17" t="n">
        <f aca="false">AA188+AD188</f>
        <v>11423.66</v>
      </c>
      <c r="AF188" s="19" t="n">
        <f aca="false">IF(Z188&gt;0,AE188/Z188,0)</f>
        <v>0.0458514427639641</v>
      </c>
      <c r="AG188" s="16" t="n">
        <f aca="false">(U188-W188)*INDEX(Parametros!$H$2:$H$9,MATCH($E188,Parametros!$A$2:$A$9,0))+W188*INDEX(Parametros!$H$2:$H$9,MATCH($E188,Parametros!$A$2:$A$9,0))*Parametros!$N$3</f>
        <v>47802.825</v>
      </c>
      <c r="AH188" s="13" t="n">
        <v>23646</v>
      </c>
      <c r="AI188" s="16" t="n">
        <f aca="false">AH188*Parametros!$N$2</f>
        <v>2175.432</v>
      </c>
      <c r="AJ188" s="18" t="n">
        <v>8730</v>
      </c>
      <c r="AK188" s="18" t="n">
        <v>2069</v>
      </c>
      <c r="AL188" s="17" t="n">
        <f aca="false">AG188+AI188+AJ188+AK188</f>
        <v>60777.257</v>
      </c>
      <c r="AM188" s="20" t="n">
        <f aca="false">IF(L188&gt;0,AL188/L188,0)</f>
        <v>0.134168795848041</v>
      </c>
      <c r="AN188" s="16" t="n">
        <f aca="false">L188*INDEX(Parametros!$G$2:$G$9,MATCH($E188,Parametros!$A$2:$A$9,0))</f>
        <v>462050.82</v>
      </c>
      <c r="AO188" s="17" t="n">
        <f aca="false">AN188-AC188-AL188</f>
        <v>140704.853</v>
      </c>
      <c r="AP188" s="15" t="n">
        <f aca="false">IF(AN188&gt;0,AO188/AN188,0)</f>
        <v>0.304522461403705</v>
      </c>
      <c r="AQ188" s="16" t="n">
        <f aca="false">INDEX(Parametros!$I$2:$I$9,MATCH($E188,Parametros!$A$2:$A$9,0))</f>
        <v>19300000</v>
      </c>
      <c r="AR188" s="19" t="n">
        <f aca="false">IF(AQ188&gt;0,AO188/AQ188,0)</f>
        <v>0.00729040689119171</v>
      </c>
    </row>
    <row r="189" customFormat="false" ht="15" hidden="false" customHeight="false" outlineLevel="0" collapsed="false">
      <c r="A189" s="5" t="s">
        <v>324</v>
      </c>
      <c r="B189" s="9" t="n">
        <v>45712</v>
      </c>
      <c r="C189" s="2" t="str">
        <f aca="false">TEXT(B189,"yyyy")</f>
        <v>2025</v>
      </c>
      <c r="D189" s="2" t="n">
        <f aca="false">WEEKNUM(B189,2)</f>
        <v>9</v>
      </c>
      <c r="E189" s="5" t="s">
        <v>136</v>
      </c>
      <c r="F189" s="6" t="str">
        <f aca="false">INDEX(Parametros!$B$2:$B$9,MATCH($E189,Parametros!$A$2:$A$9,0))</f>
        <v>Salsa BBQ</v>
      </c>
      <c r="G189" s="10" t="n">
        <v>80.1</v>
      </c>
      <c r="H189" s="10" t="n">
        <v>8.9</v>
      </c>
      <c r="I189" s="11" t="n">
        <f aca="false">SUMIFS(Eventos_Paro!$J$2:$J$2186,Eventos_Paro!$D$2:$D$2186,$E189,Eventos_Paro!$B$2:$B$2186,$B189)</f>
        <v>1.73333333333333</v>
      </c>
      <c r="J189" s="12" t="n">
        <f aca="false">G189-H189-I189</f>
        <v>69.4666666666667</v>
      </c>
      <c r="K189" s="13" t="n">
        <v>238985</v>
      </c>
      <c r="L189" s="13" t="n">
        <v>260926</v>
      </c>
      <c r="M189" s="13" t="n">
        <v>9411</v>
      </c>
      <c r="N189" s="14" t="n">
        <f aca="false">L189+M189</f>
        <v>270337</v>
      </c>
      <c r="O189" s="11" t="n">
        <f aca="false">INDEX(Parametros!$D$2:$D$9,MATCH($E189,Parametros!$A$2:$A$9,0))</f>
        <v>4800</v>
      </c>
      <c r="P189" s="15" t="n">
        <f aca="false">IF((G189-H189)&gt;0,J189/(G189-H189),0)</f>
        <v>0.97565543071161</v>
      </c>
      <c r="Q189" s="15" t="n">
        <f aca="false">IF(J189*O189&gt;0,N189/(O189*J189),0)</f>
        <v>0.81075155950096</v>
      </c>
      <c r="R189" s="15" t="n">
        <f aca="false">IF(N189&gt;0,L189/N189,0)</f>
        <v>0.965187895108698</v>
      </c>
      <c r="S189" s="15" t="n">
        <f aca="false">P189*Q189*R189</f>
        <v>0.763477294007491</v>
      </c>
      <c r="T189" s="15" t="n">
        <f aca="false">IF(K189&gt;0,L189/K189,0)</f>
        <v>1.09180910935833</v>
      </c>
      <c r="U189" s="10" t="n">
        <v>907.4</v>
      </c>
      <c r="V189" s="5" t="n">
        <v>11</v>
      </c>
      <c r="W189" s="10" t="n">
        <v>26.3</v>
      </c>
      <c r="X189" s="15" t="n">
        <f aca="false">IF(U189&gt;0,W189/U189,0)</f>
        <v>0.0289839100727353</v>
      </c>
      <c r="Y189" s="12" t="n">
        <f aca="false">IF(U189&gt;0,L189/U189,0)</f>
        <v>287.553449415914</v>
      </c>
      <c r="Z189" s="16" t="n">
        <f aca="false">L189*INDEX(Parametros!$E$2:$E$9,MATCH($E189,Parametros!$A$2:$A$9,0))</f>
        <v>151337.08</v>
      </c>
      <c r="AA189" s="16" t="n">
        <f aca="false">Z189*INDEX(Parametros!$F$2:$F$9,MATCH($E189,Parametros!$A$2:$A$9,0))</f>
        <v>4237.43824</v>
      </c>
      <c r="AB189" s="17" t="n">
        <f aca="false">Z189+AA189</f>
        <v>155574.51824</v>
      </c>
      <c r="AC189" s="18" t="n">
        <v>155217.54</v>
      </c>
      <c r="AD189" s="17" t="n">
        <f aca="false">AC189-AB189</f>
        <v>-356.978239999968</v>
      </c>
      <c r="AE189" s="17" t="n">
        <f aca="false">AA189+AD189</f>
        <v>3880.46000000003</v>
      </c>
      <c r="AF189" s="19" t="n">
        <f aca="false">IF(Z189&gt;0,AE189/Z189,0)</f>
        <v>0.0256411713507359</v>
      </c>
      <c r="AG189" s="16" t="n">
        <f aca="false">(U189-W189)*INDEX(Parametros!$H$2:$H$9,MATCH($E189,Parametros!$A$2:$A$9,0))+W189*INDEX(Parametros!$H$2:$H$9,MATCH($E189,Parametros!$A$2:$A$9,0))*Parametros!$N$3</f>
        <v>28997.325</v>
      </c>
      <c r="AH189" s="13" t="n">
        <v>13888</v>
      </c>
      <c r="AI189" s="16" t="n">
        <f aca="false">AH189*Parametros!$N$2</f>
        <v>1277.696</v>
      </c>
      <c r="AJ189" s="18" t="n">
        <v>8342</v>
      </c>
      <c r="AK189" s="18" t="n">
        <v>1847</v>
      </c>
      <c r="AL189" s="17" t="n">
        <f aca="false">AG189+AI189+AJ189+AK189</f>
        <v>40464.021</v>
      </c>
      <c r="AM189" s="20" t="n">
        <f aca="false">IF(L189&gt;0,AL189/L189,0)</f>
        <v>0.155078531844278</v>
      </c>
      <c r="AN189" s="16" t="n">
        <f aca="false">L189*INDEX(Parametros!$G$2:$G$9,MATCH($E189,Parametros!$A$2:$A$9,0))</f>
        <v>255707.48</v>
      </c>
      <c r="AO189" s="17" t="n">
        <f aca="false">AN189-AC189-AL189</f>
        <v>60025.919</v>
      </c>
      <c r="AP189" s="15" t="n">
        <f aca="false">IF(AN189&gt;0,AO189/AN189,0)</f>
        <v>0.234744478339077</v>
      </c>
      <c r="AQ189" s="16" t="n">
        <f aca="false">INDEX(Parametros!$I$2:$I$9,MATCH($E189,Parametros!$A$2:$A$9,0))</f>
        <v>17000000</v>
      </c>
      <c r="AR189" s="19" t="n">
        <f aca="false">IF(AQ189&gt;0,AO189/AQ189,0)</f>
        <v>0.0035309364117647</v>
      </c>
    </row>
    <row r="190" customFormat="false" ht="15" hidden="false" customHeight="false" outlineLevel="0" collapsed="false">
      <c r="A190" s="5" t="s">
        <v>325</v>
      </c>
      <c r="B190" s="9" t="n">
        <v>45712</v>
      </c>
      <c r="C190" s="2" t="str">
        <f aca="false">TEXT(B190,"yyyy")</f>
        <v>2025</v>
      </c>
      <c r="D190" s="2" t="n">
        <f aca="false">WEEKNUM(B190,2)</f>
        <v>9</v>
      </c>
      <c r="E190" s="5" t="s">
        <v>138</v>
      </c>
      <c r="F190" s="6" t="str">
        <f aca="false">INDEX(Parametros!$B$2:$B$9,MATCH($E190,Parametros!$A$2:$A$9,0))</f>
        <v>Queso crema</v>
      </c>
      <c r="G190" s="10" t="n">
        <v>113.8</v>
      </c>
      <c r="H190" s="10" t="n">
        <v>8.3</v>
      </c>
      <c r="I190" s="11" t="n">
        <f aca="false">SUMIFS(Eventos_Paro!$J$2:$J$2186,Eventos_Paro!$D$2:$D$2186,$E190,Eventos_Paro!$B$2:$B$2186,$B190)</f>
        <v>4.43333333333333</v>
      </c>
      <c r="J190" s="12" t="n">
        <f aca="false">G190-H190-I190</f>
        <v>101.066666666667</v>
      </c>
      <c r="K190" s="13" t="n">
        <v>311747</v>
      </c>
      <c r="L190" s="13" t="n">
        <v>292187</v>
      </c>
      <c r="M190" s="13" t="n">
        <v>12242</v>
      </c>
      <c r="N190" s="14" t="n">
        <f aca="false">L190+M190</f>
        <v>304429</v>
      </c>
      <c r="O190" s="11" t="n">
        <f aca="false">INDEX(Parametros!$D$2:$D$9,MATCH($E190,Parametros!$A$2:$A$9,0))</f>
        <v>3800</v>
      </c>
      <c r="P190" s="15" t="n">
        <f aca="false">IF((G190-H190)&gt;0,J190/(G190-H190),0)</f>
        <v>0.957977883096366</v>
      </c>
      <c r="Q190" s="15" t="n">
        <f aca="false">IF(J190*O190&gt;0,N190/(O190*J190),0)</f>
        <v>0.792673760588807</v>
      </c>
      <c r="R190" s="15" t="n">
        <f aca="false">IF(N190&gt;0,L190/N190,0)</f>
        <v>0.959787011092899</v>
      </c>
      <c r="S190" s="15" t="n">
        <f aca="false">P190*Q190*R190</f>
        <v>0.728827637814916</v>
      </c>
      <c r="T190" s="15" t="n">
        <f aca="false">IF(K190&gt;0,L190/K190,0)</f>
        <v>0.93725681401906</v>
      </c>
      <c r="U190" s="10" t="n">
        <v>1651</v>
      </c>
      <c r="V190" s="5" t="n">
        <v>14</v>
      </c>
      <c r="W190" s="10" t="n">
        <v>57.8</v>
      </c>
      <c r="X190" s="15" t="n">
        <f aca="false">IF(U190&gt;0,W190/U190,0)</f>
        <v>0.0350090854027862</v>
      </c>
      <c r="Y190" s="12" t="n">
        <f aca="false">IF(U190&gt;0,L190/U190,0)</f>
        <v>176.975772259237</v>
      </c>
      <c r="Z190" s="16" t="n">
        <f aca="false">L190*INDEX(Parametros!$E$2:$E$9,MATCH($E190,Parametros!$A$2:$A$9,0))</f>
        <v>327249.44</v>
      </c>
      <c r="AA190" s="16" t="n">
        <f aca="false">Z190*INDEX(Parametros!$F$2:$F$9,MATCH($E190,Parametros!$A$2:$A$9,0))</f>
        <v>11453.7304</v>
      </c>
      <c r="AB190" s="17" t="n">
        <f aca="false">Z190+AA190</f>
        <v>338703.1704</v>
      </c>
      <c r="AC190" s="18" t="n">
        <v>337716.13</v>
      </c>
      <c r="AD190" s="17" t="n">
        <f aca="false">AC190-AB190</f>
        <v>-987.040399999998</v>
      </c>
      <c r="AE190" s="17" t="n">
        <f aca="false">AA190+AD190</f>
        <v>10466.69</v>
      </c>
      <c r="AF190" s="19" t="n">
        <f aca="false">IF(Z190&gt;0,AE190/Z190,0)</f>
        <v>0.031983828604871</v>
      </c>
      <c r="AG190" s="16" t="n">
        <f aca="false">(U190-W190)*INDEX(Parametros!$H$2:$H$9,MATCH($E190,Parametros!$A$2:$A$9,0))+W190*INDEX(Parametros!$H$2:$H$9,MATCH($E190,Parametros!$A$2:$A$9,0))*Parametros!$N$3</f>
        <v>55436.7</v>
      </c>
      <c r="AH190" s="13" t="n">
        <v>17152</v>
      </c>
      <c r="AI190" s="16" t="n">
        <f aca="false">AH190*Parametros!$N$2</f>
        <v>1577.984</v>
      </c>
      <c r="AJ190" s="18" t="n">
        <v>14221</v>
      </c>
      <c r="AK190" s="18" t="n">
        <v>3281</v>
      </c>
      <c r="AL190" s="17" t="n">
        <f aca="false">AG190+AI190+AJ190+AK190</f>
        <v>74516.684</v>
      </c>
      <c r="AM190" s="20" t="n">
        <f aca="false">IF(L190&gt;0,AL190/L190,0)</f>
        <v>0.255030798769281</v>
      </c>
      <c r="AN190" s="16" t="n">
        <f aca="false">L190*INDEX(Parametros!$G$2:$G$9,MATCH($E190,Parametros!$A$2:$A$9,0))</f>
        <v>523014.73</v>
      </c>
      <c r="AO190" s="17" t="n">
        <f aca="false">AN190-AC190-AL190</f>
        <v>110781.916</v>
      </c>
      <c r="AP190" s="15" t="n">
        <f aca="false">IF(AN190&gt;0,AO190/AN190,0)</f>
        <v>0.21181414144875</v>
      </c>
      <c r="AQ190" s="16" t="n">
        <f aca="false">INDEX(Parametros!$I$2:$I$9,MATCH($E190,Parametros!$A$2:$A$9,0))</f>
        <v>33200000</v>
      </c>
      <c r="AR190" s="19" t="n">
        <f aca="false">IF(AQ190&gt;0,AO190/AQ190,0)</f>
        <v>0.00333680469879518</v>
      </c>
    </row>
    <row r="191" customFormat="false" ht="15" hidden="false" customHeight="false" outlineLevel="0" collapsed="false">
      <c r="A191" s="5" t="s">
        <v>326</v>
      </c>
      <c r="B191" s="9" t="n">
        <v>45712</v>
      </c>
      <c r="C191" s="2" t="str">
        <f aca="false">TEXT(B191,"yyyy")</f>
        <v>2025</v>
      </c>
      <c r="D191" s="2" t="n">
        <f aca="false">WEEKNUM(B191,2)</f>
        <v>9</v>
      </c>
      <c r="E191" s="5" t="s">
        <v>140</v>
      </c>
      <c r="F191" s="6" t="str">
        <f aca="false">INDEX(Parametros!$B$2:$B$9,MATCH($E191,Parametros!$A$2:$A$9,0))</f>
        <v>Crema de cacahuate</v>
      </c>
      <c r="G191" s="10" t="n">
        <v>103</v>
      </c>
      <c r="H191" s="10" t="n">
        <v>8.7</v>
      </c>
      <c r="I191" s="11" t="n">
        <f aca="false">SUMIFS(Eventos_Paro!$J$2:$J$2186,Eventos_Paro!$D$2:$D$2186,$E191,Eventos_Paro!$B$2:$B$2186,$B191)</f>
        <v>3.21666666666667</v>
      </c>
      <c r="J191" s="12" t="n">
        <f aca="false">G191-H191-I191</f>
        <v>91.0833333333333</v>
      </c>
      <c r="K191" s="13" t="n">
        <v>307983</v>
      </c>
      <c r="L191" s="13" t="n">
        <v>321159</v>
      </c>
      <c r="M191" s="13" t="n">
        <v>8730</v>
      </c>
      <c r="N191" s="14" t="n">
        <f aca="false">L191+M191</f>
        <v>329889</v>
      </c>
      <c r="O191" s="11" t="n">
        <f aca="false">INDEX(Parametros!$D$2:$D$9,MATCH($E191,Parametros!$A$2:$A$9,0))</f>
        <v>4200</v>
      </c>
      <c r="P191" s="15" t="n">
        <f aca="false">IF((G191-H191)&gt;0,J191/(G191-H191),0)</f>
        <v>0.965889006716154</v>
      </c>
      <c r="Q191" s="15" t="n">
        <f aca="false">IF(J191*O191&gt;0,N191/(O191*J191),0)</f>
        <v>0.862342177493138</v>
      </c>
      <c r="R191" s="15" t="n">
        <f aca="false">IF(N191&gt;0,L191/N191,0)</f>
        <v>0.97353655320426</v>
      </c>
      <c r="S191" s="15" t="n">
        <f aca="false">P191*Q191*R191</f>
        <v>0.810884714437206</v>
      </c>
      <c r="T191" s="15" t="n">
        <f aca="false">IF(K191&gt;0,L191/K191,0)</f>
        <v>1.04278158210031</v>
      </c>
      <c r="U191" s="10" t="n">
        <v>1241.7</v>
      </c>
      <c r="V191" s="5" t="n">
        <v>11</v>
      </c>
      <c r="W191" s="10" t="n">
        <v>108.7</v>
      </c>
      <c r="X191" s="15" t="n">
        <f aca="false">IF(U191&gt;0,W191/U191,0)</f>
        <v>0.0875412740597568</v>
      </c>
      <c r="Y191" s="12" t="n">
        <f aca="false">IF(U191&gt;0,L191/U191,0)</f>
        <v>258.644600144963</v>
      </c>
      <c r="Z191" s="16" t="n">
        <f aca="false">L191*INDEX(Parametros!$E$2:$E$9,MATCH($E191,Parametros!$A$2:$A$9,0))</f>
        <v>311524.23</v>
      </c>
      <c r="AA191" s="16" t="n">
        <f aca="false">Z191*INDEX(Parametros!$F$2:$F$9,MATCH($E191,Parametros!$A$2:$A$9,0))</f>
        <v>6853.53306</v>
      </c>
      <c r="AB191" s="17" t="n">
        <f aca="false">Z191+AA191</f>
        <v>318377.76306</v>
      </c>
      <c r="AC191" s="18" t="n">
        <v>321048.19</v>
      </c>
      <c r="AD191" s="17" t="n">
        <f aca="false">AC191-AB191</f>
        <v>2670.42694000003</v>
      </c>
      <c r="AE191" s="17" t="n">
        <f aca="false">AA191+AD191</f>
        <v>9523.96000000003</v>
      </c>
      <c r="AF191" s="19" t="n">
        <f aca="false">IF(Z191&gt;0,AE191/Z191,0)</f>
        <v>0.0305721323827685</v>
      </c>
      <c r="AG191" s="16" t="n">
        <f aca="false">(U191-W191)*INDEX(Parametros!$H$2:$H$9,MATCH($E191,Parametros!$A$2:$A$9,0))+W191*INDEX(Parametros!$H$2:$H$9,MATCH($E191,Parametros!$A$2:$A$9,0))*Parametros!$N$3</f>
        <v>40825.575</v>
      </c>
      <c r="AH191" s="13" t="n">
        <v>16972</v>
      </c>
      <c r="AI191" s="16" t="n">
        <f aca="false">AH191*Parametros!$N$2</f>
        <v>1561.424</v>
      </c>
      <c r="AJ191" s="18" t="n">
        <v>13193</v>
      </c>
      <c r="AK191" s="18" t="n">
        <v>2661</v>
      </c>
      <c r="AL191" s="17" t="n">
        <f aca="false">AG191+AI191+AJ191+AK191</f>
        <v>58240.999</v>
      </c>
      <c r="AM191" s="20" t="n">
        <f aca="false">IF(L191&gt;0,AL191/L191,0)</f>
        <v>0.181346308214934</v>
      </c>
      <c r="AN191" s="16" t="n">
        <f aca="false">L191*INDEX(Parametros!$G$2:$G$9,MATCH($E191,Parametros!$A$2:$A$9,0))</f>
        <v>520277.58</v>
      </c>
      <c r="AO191" s="17" t="n">
        <f aca="false">AN191-AC191-AL191</f>
        <v>140988.391</v>
      </c>
      <c r="AP191" s="15" t="n">
        <f aca="false">IF(AN191&gt;0,AO191/AN191,0)</f>
        <v>0.270986866280112</v>
      </c>
      <c r="AQ191" s="16" t="n">
        <f aca="false">INDEX(Parametros!$I$2:$I$9,MATCH($E191,Parametros!$A$2:$A$9,0))</f>
        <v>28000000</v>
      </c>
      <c r="AR191" s="19" t="n">
        <f aca="false">IF(AQ191&gt;0,AO191/AQ191,0)</f>
        <v>0.00503529967857143</v>
      </c>
    </row>
    <row r="192" customFormat="false" ht="15" hidden="false" customHeight="false" outlineLevel="0" collapsed="false">
      <c r="A192" s="5" t="s">
        <v>327</v>
      </c>
      <c r="B192" s="9" t="n">
        <v>45712</v>
      </c>
      <c r="C192" s="2" t="str">
        <f aca="false">TEXT(B192,"yyyy")</f>
        <v>2025</v>
      </c>
      <c r="D192" s="2" t="n">
        <f aca="false">WEEKNUM(B192,2)</f>
        <v>9</v>
      </c>
      <c r="E192" s="5" t="s">
        <v>142</v>
      </c>
      <c r="F192" s="6" t="str">
        <f aca="false">INDEX(Parametros!$B$2:$B$9,MATCH($E192,Parametros!$A$2:$A$9,0))</f>
        <v>Porciones single serve</v>
      </c>
      <c r="G192" s="10" t="n">
        <v>141.9</v>
      </c>
      <c r="H192" s="10" t="n">
        <v>5.6</v>
      </c>
      <c r="I192" s="11" t="n">
        <f aca="false">SUMIFS(Eventos_Paro!$J$2:$J$2186,Eventos_Paro!$D$2:$D$2186,$E192,Eventos_Paro!$B$2:$B$2186,$B192)</f>
        <v>4.16666666666667</v>
      </c>
      <c r="J192" s="12" t="n">
        <f aca="false">G192-H192-I192</f>
        <v>132.133333333333</v>
      </c>
      <c r="K192" s="13" t="n">
        <v>275572</v>
      </c>
      <c r="L192" s="13" t="n">
        <v>260933</v>
      </c>
      <c r="M192" s="13" t="n">
        <v>11817</v>
      </c>
      <c r="N192" s="14" t="n">
        <f aca="false">L192+M192</f>
        <v>272750</v>
      </c>
      <c r="O192" s="11" t="n">
        <f aca="false">INDEX(Parametros!$D$2:$D$9,MATCH($E192,Parametros!$A$2:$A$9,0))</f>
        <v>2600</v>
      </c>
      <c r="P192" s="15" t="n">
        <f aca="false">IF((G192-H192)&gt;0,J192/(G192-H192),0)</f>
        <v>0.969430178527758</v>
      </c>
      <c r="Q192" s="15" t="n">
        <f aca="false">IF(J192*O192&gt;0,N192/(O192*J192),0)</f>
        <v>0.793924163626484</v>
      </c>
      <c r="R192" s="15" t="n">
        <f aca="false">IF(N192&gt;0,L192/N192,0)</f>
        <v>0.956674610449129</v>
      </c>
      <c r="S192" s="15" t="n">
        <f aca="false">P192*Q192*R192</f>
        <v>0.736308482420001</v>
      </c>
      <c r="T192" s="15" t="n">
        <f aca="false">IF(K192&gt;0,L192/K192,0)</f>
        <v>0.946877766971971</v>
      </c>
      <c r="U192" s="10" t="n">
        <v>2665.5</v>
      </c>
      <c r="V192" s="5" t="n">
        <v>17</v>
      </c>
      <c r="W192" s="10" t="n">
        <v>253.2</v>
      </c>
      <c r="X192" s="15" t="n">
        <f aca="false">IF(U192&gt;0,W192/U192,0)</f>
        <v>0.094991558806978</v>
      </c>
      <c r="Y192" s="12" t="n">
        <f aca="false">IF(U192&gt;0,L192/U192,0)</f>
        <v>97.8927030575877</v>
      </c>
      <c r="Z192" s="16" t="n">
        <f aca="false">L192*INDEX(Parametros!$E$2:$E$9,MATCH($E192,Parametros!$A$2:$A$9,0))</f>
        <v>193090.42</v>
      </c>
      <c r="AA192" s="16" t="n">
        <f aca="false">Z192*INDEX(Parametros!$F$2:$F$9,MATCH($E192,Parametros!$A$2:$A$9,0))</f>
        <v>8689.0689</v>
      </c>
      <c r="AB192" s="17" t="n">
        <f aca="false">Z192+AA192</f>
        <v>201779.4889</v>
      </c>
      <c r="AC192" s="18" t="n">
        <v>200912.7</v>
      </c>
      <c r="AD192" s="17" t="n">
        <f aca="false">AC192-AB192</f>
        <v>-866.788899999985</v>
      </c>
      <c r="AE192" s="17" t="n">
        <f aca="false">AA192+AD192</f>
        <v>7822.28000000001</v>
      </c>
      <c r="AF192" s="19" t="n">
        <f aca="false">IF(Z192&gt;0,AE192/Z192,0)</f>
        <v>0.0405109689025484</v>
      </c>
      <c r="AG192" s="16" t="n">
        <f aca="false">(U192-W192)*INDEX(Parametros!$H$2:$H$9,MATCH($E192,Parametros!$A$2:$A$9,0))+W192*INDEX(Parametros!$H$2:$H$9,MATCH($E192,Parametros!$A$2:$A$9,0))*Parametros!$N$3</f>
        <v>83763</v>
      </c>
      <c r="AH192" s="13" t="n">
        <v>13462</v>
      </c>
      <c r="AI192" s="16" t="n">
        <f aca="false">AH192*Parametros!$N$2</f>
        <v>1238.504</v>
      </c>
      <c r="AJ192" s="18" t="n">
        <v>11683</v>
      </c>
      <c r="AK192" s="18" t="n">
        <v>4949</v>
      </c>
      <c r="AL192" s="17" t="n">
        <f aca="false">AG192+AI192+AJ192+AK192</f>
        <v>101633.504</v>
      </c>
      <c r="AM192" s="20" t="n">
        <f aca="false">IF(L192&gt;0,AL192/L192,0)</f>
        <v>0.389500385156343</v>
      </c>
      <c r="AN192" s="16" t="n">
        <f aca="false">L192*INDEX(Parametros!$G$2:$G$9,MATCH($E192,Parametros!$A$2:$A$9,0))</f>
        <v>448804.76</v>
      </c>
      <c r="AO192" s="17" t="n">
        <f aca="false">AN192-AC192-AL192</f>
        <v>146258.556</v>
      </c>
      <c r="AP192" s="15" t="n">
        <f aca="false">IF(AN192&gt;0,AO192/AN192,0)</f>
        <v>0.325884591776611</v>
      </c>
      <c r="AQ192" s="16" t="n">
        <f aca="false">INDEX(Parametros!$I$2:$I$9,MATCH($E192,Parametros!$A$2:$A$9,0))</f>
        <v>15900000</v>
      </c>
      <c r="AR192" s="19" t="n">
        <f aca="false">IF(AQ192&gt;0,AO192/AQ192,0)</f>
        <v>0.00919865132075472</v>
      </c>
    </row>
    <row r="193" customFormat="false" ht="15" hidden="false" customHeight="false" outlineLevel="0" collapsed="false">
      <c r="A193" s="5" t="s">
        <v>328</v>
      </c>
      <c r="B193" s="9" t="n">
        <v>45712</v>
      </c>
      <c r="C193" s="2" t="str">
        <f aca="false">TEXT(B193,"yyyy")</f>
        <v>2025</v>
      </c>
      <c r="D193" s="2" t="n">
        <f aca="false">WEEKNUM(B193,2)</f>
        <v>9</v>
      </c>
      <c r="E193" s="5" t="s">
        <v>144</v>
      </c>
      <c r="F193" s="6" t="str">
        <f aca="false">INDEX(Parametros!$B$2:$B$9,MATCH($E193,Parametros!$A$2:$A$9,0))</f>
        <v>Salsas picantes</v>
      </c>
      <c r="G193" s="10" t="n">
        <v>91.1</v>
      </c>
      <c r="H193" s="10" t="n">
        <v>8.8</v>
      </c>
      <c r="I193" s="11" t="n">
        <f aca="false">SUMIFS(Eventos_Paro!$J$2:$J$2186,Eventos_Paro!$D$2:$D$2186,$E193,Eventos_Paro!$B$2:$B$2186,$B193)</f>
        <v>0.566666666666667</v>
      </c>
      <c r="J193" s="12" t="n">
        <f aca="false">G193-H193-I193</f>
        <v>81.7333333333333</v>
      </c>
      <c r="K193" s="13" t="n">
        <v>212285</v>
      </c>
      <c r="L193" s="13" t="n">
        <v>216427</v>
      </c>
      <c r="M193" s="13" t="n">
        <v>5418</v>
      </c>
      <c r="N193" s="14" t="n">
        <f aca="false">L193+M193</f>
        <v>221845</v>
      </c>
      <c r="O193" s="11" t="n">
        <f aca="false">INDEX(Parametros!$D$2:$D$9,MATCH($E193,Parametros!$A$2:$A$9,0))</f>
        <v>3100</v>
      </c>
      <c r="P193" s="15" t="n">
        <f aca="false">IF((G193-H193)&gt;0,J193/(G193-H193),0)</f>
        <v>0.993114621304172</v>
      </c>
      <c r="Q193" s="15" t="n">
        <f aca="false">IF(J193*O193&gt;0,N193/(O193*J193),0)</f>
        <v>0.875565700152608</v>
      </c>
      <c r="R193" s="15" t="n">
        <f aca="false">IF(N193&gt;0,L193/N193,0)</f>
        <v>0.975577542879037</v>
      </c>
      <c r="S193" s="15" t="n">
        <f aca="false">P193*Q193*R193</f>
        <v>0.848300866225062</v>
      </c>
      <c r="T193" s="15" t="n">
        <f aca="false">IF(K193&gt;0,L193/K193,0)</f>
        <v>1.01951150575877</v>
      </c>
      <c r="U193" s="10" t="n">
        <v>1009.8</v>
      </c>
      <c r="V193" s="5" t="n">
        <v>10</v>
      </c>
      <c r="W193" s="10" t="n">
        <v>98.8</v>
      </c>
      <c r="X193" s="15" t="n">
        <f aca="false">IF(U193&gt;0,W193/U193,0)</f>
        <v>0.0978411566646861</v>
      </c>
      <c r="Y193" s="12" t="n">
        <f aca="false">IF(U193&gt;0,L193/U193,0)</f>
        <v>214.326599326599</v>
      </c>
      <c r="Z193" s="16" t="n">
        <f aca="false">L193*INDEX(Parametros!$E$2:$E$9,MATCH($E193,Parametros!$A$2:$A$9,0))</f>
        <v>142841.82</v>
      </c>
      <c r="AA193" s="16" t="n">
        <f aca="false">Z193*INDEX(Parametros!$F$2:$F$9,MATCH($E193,Parametros!$A$2:$A$9,0))</f>
        <v>3713.88732</v>
      </c>
      <c r="AB193" s="17" t="n">
        <f aca="false">Z193+AA193</f>
        <v>146555.70732</v>
      </c>
      <c r="AC193" s="18" t="n">
        <v>145546.7</v>
      </c>
      <c r="AD193" s="17" t="n">
        <f aca="false">AC193-AB193</f>
        <v>-1009.00732</v>
      </c>
      <c r="AE193" s="17" t="n">
        <f aca="false">AA193+AD193</f>
        <v>2704.88</v>
      </c>
      <c r="AF193" s="19" t="n">
        <f aca="false">IF(Z193&gt;0,AE193/Z193,0)</f>
        <v>0.0189361910958569</v>
      </c>
      <c r="AG193" s="16" t="n">
        <f aca="false">(U193-W193)*INDEX(Parametros!$H$2:$H$9,MATCH($E193,Parametros!$A$2:$A$9,0))+W193*INDEX(Parametros!$H$2:$H$9,MATCH($E193,Parametros!$A$2:$A$9,0))*Parametros!$N$3</f>
        <v>33364.8</v>
      </c>
      <c r="AH193" s="13" t="n">
        <v>11524</v>
      </c>
      <c r="AI193" s="16" t="n">
        <f aca="false">AH193*Parametros!$N$2</f>
        <v>1060.208</v>
      </c>
      <c r="AJ193" s="18" t="n">
        <v>6113</v>
      </c>
      <c r="AK193" s="18" t="n">
        <v>709</v>
      </c>
      <c r="AL193" s="17" t="n">
        <f aca="false">AG193+AI193+AJ193+AK193</f>
        <v>41247.008</v>
      </c>
      <c r="AM193" s="20" t="n">
        <f aca="false">IF(L193&gt;0,AL193/L193,0)</f>
        <v>0.190581618744427</v>
      </c>
      <c r="AN193" s="16" t="n">
        <f aca="false">L193*INDEX(Parametros!$G$2:$G$9,MATCH($E193,Parametros!$A$2:$A$9,0))</f>
        <v>270533.75</v>
      </c>
      <c r="AO193" s="17" t="n">
        <f aca="false">AN193-AC193-AL193</f>
        <v>83740.042</v>
      </c>
      <c r="AP193" s="15" t="n">
        <f aca="false">IF(AN193&gt;0,AO193/AN193,0)</f>
        <v>0.309536396105846</v>
      </c>
      <c r="AQ193" s="16" t="n">
        <f aca="false">INDEX(Parametros!$I$2:$I$9,MATCH($E193,Parametros!$A$2:$A$9,0))</f>
        <v>13300000</v>
      </c>
      <c r="AR193" s="19" t="n">
        <f aca="false">IF(AQ193&gt;0,AO193/AQ193,0)</f>
        <v>0.0062962437593985</v>
      </c>
    </row>
    <row r="194" customFormat="false" ht="15" hidden="false" customHeight="false" outlineLevel="0" collapsed="false">
      <c r="A194" s="5" t="s">
        <v>329</v>
      </c>
      <c r="B194" s="9" t="n">
        <v>45719</v>
      </c>
      <c r="C194" s="2" t="str">
        <f aca="false">TEXT(B194,"yyyy")</f>
        <v>2025</v>
      </c>
      <c r="D194" s="2" t="n">
        <f aca="false">WEEKNUM(B194,2)</f>
        <v>10</v>
      </c>
      <c r="E194" s="5" t="s">
        <v>130</v>
      </c>
      <c r="F194" s="6" t="str">
        <f aca="false">INDEX(Parametros!$B$2:$B$9,MATCH($E194,Parametros!$A$2:$A$9,0))</f>
        <v>Ketchup botella</v>
      </c>
      <c r="G194" s="10" t="n">
        <v>114.2</v>
      </c>
      <c r="H194" s="10" t="n">
        <v>7.3</v>
      </c>
      <c r="I194" s="11" t="n">
        <f aca="false">SUMIFS(Eventos_Paro!$J$2:$J$2186,Eventos_Paro!$D$2:$D$2186,$E194,Eventos_Paro!$B$2:$B$2186,$B194)</f>
        <v>2.21666666666667</v>
      </c>
      <c r="J194" s="12" t="n">
        <f aca="false">G194-H194-I194</f>
        <v>104.683333333333</v>
      </c>
      <c r="K194" s="13" t="n">
        <v>750947</v>
      </c>
      <c r="L194" s="13" t="n">
        <v>792870</v>
      </c>
      <c r="M194" s="13" t="n">
        <v>13203</v>
      </c>
      <c r="N194" s="14" t="n">
        <f aca="false">L194+M194</f>
        <v>806073</v>
      </c>
      <c r="O194" s="11" t="n">
        <f aca="false">INDEX(Parametros!$D$2:$D$9,MATCH($E194,Parametros!$A$2:$A$9,0))</f>
        <v>9000</v>
      </c>
      <c r="P194" s="15" t="n">
        <f aca="false">IF((G194-H194)&gt;0,J194/(G194-H194),0)</f>
        <v>0.9792641097599</v>
      </c>
      <c r="Q194" s="15" t="n">
        <f aca="false">IF(J194*O194&gt;0,N194/(O194*J194),0)</f>
        <v>0.855567584779494</v>
      </c>
      <c r="R194" s="15" t="n">
        <f aca="false">IF(N194&gt;0,L194/N194,0)</f>
        <v>0.983620590194685</v>
      </c>
      <c r="S194" s="15" t="n">
        <f aca="false">P194*Q194*R194</f>
        <v>0.824103523542251</v>
      </c>
      <c r="T194" s="15" t="n">
        <f aca="false">IF(K194&gt;0,L194/K194,0)</f>
        <v>1.05582684264003</v>
      </c>
      <c r="U194" s="10" t="n">
        <v>1713</v>
      </c>
      <c r="V194" s="5" t="n">
        <v>15</v>
      </c>
      <c r="W194" s="10" t="n">
        <v>0</v>
      </c>
      <c r="X194" s="15" t="n">
        <f aca="false">IF(U194&gt;0,W194/U194,0)</f>
        <v>0</v>
      </c>
      <c r="Y194" s="12" t="n">
        <f aca="false">IF(U194&gt;0,L194/U194,0)</f>
        <v>462.854640980736</v>
      </c>
      <c r="Z194" s="16" t="n">
        <f aca="false">L194*INDEX(Parametros!$E$2:$E$9,MATCH($E194,Parametros!$A$2:$A$9,0))</f>
        <v>333005.4</v>
      </c>
      <c r="AA194" s="16" t="n">
        <f aca="false">Z194*INDEX(Parametros!$F$2:$F$9,MATCH($E194,Parametros!$A$2:$A$9,0))</f>
        <v>6660.108</v>
      </c>
      <c r="AB194" s="17" t="n">
        <f aca="false">Z194+AA194</f>
        <v>339665.508</v>
      </c>
      <c r="AC194" s="18" t="n">
        <v>337509.04</v>
      </c>
      <c r="AD194" s="17" t="n">
        <f aca="false">AC194-AB194</f>
        <v>-2156.46799999999</v>
      </c>
      <c r="AE194" s="17" t="n">
        <f aca="false">AA194+AD194</f>
        <v>4503.64000000001</v>
      </c>
      <c r="AF194" s="19" t="n">
        <f aca="false">IF(Z194&gt;0,AE194/Z194,0)</f>
        <v>0.0135242251326856</v>
      </c>
      <c r="AG194" s="16" t="n">
        <f aca="false">(U194-W194)*INDEX(Parametros!$H$2:$H$9,MATCH($E194,Parametros!$A$2:$A$9,0))+W194*INDEX(Parametros!$H$2:$H$9,MATCH($E194,Parametros!$A$2:$A$9,0))*Parametros!$N$3</f>
        <v>53959.5</v>
      </c>
      <c r="AH194" s="13" t="n">
        <v>38661</v>
      </c>
      <c r="AI194" s="16" t="n">
        <f aca="false">AH194*Parametros!$N$2</f>
        <v>3556.812</v>
      </c>
      <c r="AJ194" s="18" t="n">
        <v>15943</v>
      </c>
      <c r="AK194" s="18" t="n">
        <v>1774</v>
      </c>
      <c r="AL194" s="17" t="n">
        <f aca="false">AG194+AI194+AJ194+AK194</f>
        <v>75233.312</v>
      </c>
      <c r="AM194" s="20" t="n">
        <f aca="false">IF(L194&gt;0,AL194/L194,0)</f>
        <v>0.0948873232686317</v>
      </c>
      <c r="AN194" s="16" t="n">
        <f aca="false">L194*INDEX(Parametros!$G$2:$G$9,MATCH($E194,Parametros!$A$2:$A$9,0))</f>
        <v>562937.7</v>
      </c>
      <c r="AO194" s="17" t="n">
        <f aca="false">AN194-AC194-AL194</f>
        <v>150195.348</v>
      </c>
      <c r="AP194" s="15" t="n">
        <f aca="false">IF(AN194&gt;0,AO194/AN194,0)</f>
        <v>0.266806341092451</v>
      </c>
      <c r="AQ194" s="16" t="n">
        <f aca="false">INDEX(Parametros!$I$2:$I$9,MATCH($E194,Parametros!$A$2:$A$9,0))</f>
        <v>29300000</v>
      </c>
      <c r="AR194" s="19" t="n">
        <f aca="false">IF(AQ194&gt;0,AO194/AQ194,0)</f>
        <v>0.00512612109215017</v>
      </c>
    </row>
    <row r="195" customFormat="false" ht="15" hidden="false" customHeight="false" outlineLevel="0" collapsed="false">
      <c r="A195" s="5" t="s">
        <v>330</v>
      </c>
      <c r="B195" s="9" t="n">
        <v>45719</v>
      </c>
      <c r="C195" s="2" t="str">
        <f aca="false">TEXT(B195,"yyyy")</f>
        <v>2025</v>
      </c>
      <c r="D195" s="2" t="n">
        <f aca="false">WEEKNUM(B195,2)</f>
        <v>10</v>
      </c>
      <c r="E195" s="5" t="s">
        <v>132</v>
      </c>
      <c r="F195" s="6" t="str">
        <f aca="false">INDEX(Parametros!$B$2:$B$9,MATCH($E195,Parametros!$A$2:$A$9,0))</f>
        <v>Mayonesa frasco</v>
      </c>
      <c r="G195" s="10" t="n">
        <v>111.1</v>
      </c>
      <c r="H195" s="10" t="n">
        <v>6.7</v>
      </c>
      <c r="I195" s="11" t="n">
        <f aca="false">SUMIFS(Eventos_Paro!$J$2:$J$2186,Eventos_Paro!$D$2:$D$2186,$E195,Eventos_Paro!$B$2:$B$2186,$B195)</f>
        <v>1.83333333333333</v>
      </c>
      <c r="J195" s="12" t="n">
        <f aca="false">G195-H195-I195</f>
        <v>102.566666666667</v>
      </c>
      <c r="K195" s="13" t="n">
        <v>529667</v>
      </c>
      <c r="L195" s="13" t="n">
        <v>525216</v>
      </c>
      <c r="M195" s="13" t="n">
        <v>16227</v>
      </c>
      <c r="N195" s="14" t="n">
        <f aca="false">L195+M195</f>
        <v>541443</v>
      </c>
      <c r="O195" s="11" t="n">
        <f aca="false">INDEX(Parametros!$D$2:$D$9,MATCH($E195,Parametros!$A$2:$A$9,0))</f>
        <v>6500</v>
      </c>
      <c r="P195" s="15" t="n">
        <f aca="false">IF((G195-H195)&gt;0,J195/(G195-H195),0)</f>
        <v>0.982439335887612</v>
      </c>
      <c r="Q195" s="15" t="n">
        <f aca="false">IF(J195*O195&gt;0,N195/(O195*J195),0)</f>
        <v>0.81214419639509</v>
      </c>
      <c r="R195" s="15" t="n">
        <f aca="false">IF(N195&gt;0,L195/N195,0)</f>
        <v>0.970030086269469</v>
      </c>
      <c r="S195" s="15" t="n">
        <f aca="false">P195*Q195*R195</f>
        <v>0.773969938107869</v>
      </c>
      <c r="T195" s="15" t="n">
        <f aca="false">IF(K195&gt;0,L195/K195,0)</f>
        <v>0.991596606924728</v>
      </c>
      <c r="U195" s="10" t="n">
        <v>1681.3</v>
      </c>
      <c r="V195" s="5" t="n">
        <v>14</v>
      </c>
      <c r="W195" s="10" t="n">
        <v>125.9</v>
      </c>
      <c r="X195" s="15" t="n">
        <f aca="false">IF(U195&gt;0,W195/U195,0)</f>
        <v>0.0748825313745316</v>
      </c>
      <c r="Y195" s="12" t="n">
        <f aca="false">IF(U195&gt;0,L195/U195,0)</f>
        <v>312.386843513948</v>
      </c>
      <c r="Z195" s="16" t="n">
        <f aca="false">L195*INDEX(Parametros!$E$2:$E$9,MATCH($E195,Parametros!$A$2:$A$9,0))</f>
        <v>320381.76</v>
      </c>
      <c r="AA195" s="16" t="n">
        <f aca="false">Z195*INDEX(Parametros!$F$2:$F$9,MATCH($E195,Parametros!$A$2:$A$9,0))</f>
        <v>8009.544</v>
      </c>
      <c r="AB195" s="17" t="n">
        <f aca="false">Z195+AA195</f>
        <v>328391.304</v>
      </c>
      <c r="AC195" s="18" t="n">
        <v>325924.74</v>
      </c>
      <c r="AD195" s="17" t="n">
        <f aca="false">AC195-AB195</f>
        <v>-2466.56400000001</v>
      </c>
      <c r="AE195" s="17" t="n">
        <f aca="false">AA195+AD195</f>
        <v>5542.97999999999</v>
      </c>
      <c r="AF195" s="19" t="n">
        <f aca="false">IF(Z195&gt;0,AE195/Z195,0)</f>
        <v>0.0173011722015635</v>
      </c>
      <c r="AG195" s="16" t="n">
        <f aca="false">(U195-W195)*INDEX(Parametros!$H$2:$H$9,MATCH($E195,Parametros!$A$2:$A$9,0))+W195*INDEX(Parametros!$H$2:$H$9,MATCH($E195,Parametros!$A$2:$A$9,0))*Parametros!$N$3</f>
        <v>54943.875</v>
      </c>
      <c r="AH195" s="13" t="n">
        <v>27259</v>
      </c>
      <c r="AI195" s="16" t="n">
        <f aca="false">AH195*Parametros!$N$2</f>
        <v>2507.828</v>
      </c>
      <c r="AJ195" s="18" t="n">
        <v>14380</v>
      </c>
      <c r="AK195" s="18" t="n">
        <v>951</v>
      </c>
      <c r="AL195" s="17" t="n">
        <f aca="false">AG195+AI195+AJ195+AK195</f>
        <v>72782.703</v>
      </c>
      <c r="AM195" s="20" t="n">
        <f aca="false">IF(L195&gt;0,AL195/L195,0)</f>
        <v>0.138576705583988</v>
      </c>
      <c r="AN195" s="16" t="n">
        <f aca="false">L195*INDEX(Parametros!$G$2:$G$9,MATCH($E195,Parametros!$A$2:$A$9,0))</f>
        <v>504207.36</v>
      </c>
      <c r="AO195" s="17" t="n">
        <f aca="false">AN195-AC195-AL195</f>
        <v>105499.917</v>
      </c>
      <c r="AP195" s="15" t="n">
        <f aca="false">IF(AN195&gt;0,AO195/AN195,0)</f>
        <v>0.209239145180269</v>
      </c>
      <c r="AQ195" s="16" t="n">
        <f aca="false">INDEX(Parametros!$I$2:$I$9,MATCH($E195,Parametros!$A$2:$A$9,0))</f>
        <v>29700000</v>
      </c>
      <c r="AR195" s="19" t="n">
        <f aca="false">IF(AQ195&gt;0,AO195/AQ195,0)</f>
        <v>0.00355218575757576</v>
      </c>
    </row>
    <row r="196" customFormat="false" ht="15" hidden="false" customHeight="false" outlineLevel="0" collapsed="false">
      <c r="A196" s="5" t="s">
        <v>331</v>
      </c>
      <c r="B196" s="9" t="n">
        <v>45719</v>
      </c>
      <c r="C196" s="2" t="str">
        <f aca="false">TEXT(B196,"yyyy")</f>
        <v>2025</v>
      </c>
      <c r="D196" s="2" t="n">
        <f aca="false">WEEKNUM(B196,2)</f>
        <v>10</v>
      </c>
      <c r="E196" s="5" t="s">
        <v>134</v>
      </c>
      <c r="F196" s="6" t="str">
        <f aca="false">INDEX(Parametros!$B$2:$B$9,MATCH($E196,Parametros!$A$2:$A$9,0))</f>
        <v>Aderezos vertibles</v>
      </c>
      <c r="G196" s="10" t="n">
        <v>102.6</v>
      </c>
      <c r="H196" s="10" t="n">
        <v>8.1</v>
      </c>
      <c r="I196" s="11" t="n">
        <f aca="false">SUMIFS(Eventos_Paro!$J$2:$J$2186,Eventos_Paro!$D$2:$D$2186,$E196,Eventos_Paro!$B$2:$B$2186,$B196)</f>
        <v>1.71666666666667</v>
      </c>
      <c r="J196" s="12" t="n">
        <f aca="false">G196-H196-I196</f>
        <v>92.7833333333333</v>
      </c>
      <c r="K196" s="13" t="n">
        <v>383552</v>
      </c>
      <c r="L196" s="13" t="n">
        <v>382229</v>
      </c>
      <c r="M196" s="13" t="n">
        <v>16914</v>
      </c>
      <c r="N196" s="14" t="n">
        <f aca="false">L196+M196</f>
        <v>399143</v>
      </c>
      <c r="O196" s="11" t="n">
        <f aca="false">INDEX(Parametros!$D$2:$D$9,MATCH($E196,Parametros!$A$2:$A$9,0))</f>
        <v>5200</v>
      </c>
      <c r="P196" s="15" t="n">
        <f aca="false">IF((G196-H196)&gt;0,J196/(G196-H196),0)</f>
        <v>0.981834215167548</v>
      </c>
      <c r="Q196" s="15" t="n">
        <f aca="false">IF(J196*O196&gt;0,N196/(O196*J196),0)</f>
        <v>0.827285100385514</v>
      </c>
      <c r="R196" s="15" t="n">
        <f aca="false">IF(N196&gt;0,L196/N196,0)</f>
        <v>0.957624209869646</v>
      </c>
      <c r="S196" s="15" t="n">
        <f aca="false">P196*Q196*R196</f>
        <v>0.777836792836793</v>
      </c>
      <c r="T196" s="15" t="n">
        <f aca="false">IF(K196&gt;0,L196/K196,0)</f>
        <v>0.99655066327382</v>
      </c>
      <c r="U196" s="10" t="n">
        <v>1319.9</v>
      </c>
      <c r="V196" s="5" t="n">
        <v>12</v>
      </c>
      <c r="W196" s="10" t="n">
        <v>88.7</v>
      </c>
      <c r="X196" s="15" t="n">
        <f aca="false">IF(U196&gt;0,W196/U196,0)</f>
        <v>0.067202060762179</v>
      </c>
      <c r="Y196" s="12" t="n">
        <f aca="false">IF(U196&gt;0,L196/U196,0)</f>
        <v>289.589362830517</v>
      </c>
      <c r="Z196" s="16" t="n">
        <f aca="false">L196*INDEX(Parametros!$E$2:$E$9,MATCH($E196,Parametros!$A$2:$A$9,0))</f>
        <v>210225.95</v>
      </c>
      <c r="AA196" s="16" t="n">
        <f aca="false">Z196*INDEX(Parametros!$F$2:$F$9,MATCH($E196,Parametros!$A$2:$A$9,0))</f>
        <v>6306.7785</v>
      </c>
      <c r="AB196" s="17" t="n">
        <f aca="false">Z196+AA196</f>
        <v>216532.7285</v>
      </c>
      <c r="AC196" s="18" t="n">
        <v>216254.56</v>
      </c>
      <c r="AD196" s="17" t="n">
        <f aca="false">AC196-AB196</f>
        <v>-278.168500000029</v>
      </c>
      <c r="AE196" s="17" t="n">
        <f aca="false">AA196+AD196</f>
        <v>6028.60999999997</v>
      </c>
      <c r="AF196" s="19" t="n">
        <f aca="false">IF(Z196&gt;0,AE196/Z196,0)</f>
        <v>0.0286768117827508</v>
      </c>
      <c r="AG196" s="16" t="n">
        <f aca="false">(U196-W196)*INDEX(Parametros!$H$2:$H$9,MATCH($E196,Parametros!$A$2:$A$9,0))+W196*INDEX(Parametros!$H$2:$H$9,MATCH($E196,Parametros!$A$2:$A$9,0))*Parametros!$N$3</f>
        <v>42973.875</v>
      </c>
      <c r="AH196" s="13" t="n">
        <v>20151</v>
      </c>
      <c r="AI196" s="16" t="n">
        <f aca="false">AH196*Parametros!$N$2</f>
        <v>1853.892</v>
      </c>
      <c r="AJ196" s="18" t="n">
        <v>10937</v>
      </c>
      <c r="AK196" s="18" t="n">
        <v>1294</v>
      </c>
      <c r="AL196" s="17" t="n">
        <f aca="false">AG196+AI196+AJ196+AK196</f>
        <v>57058.767</v>
      </c>
      <c r="AM196" s="20" t="n">
        <f aca="false">IF(L196&gt;0,AL196/L196,0)</f>
        <v>0.1492790107501</v>
      </c>
      <c r="AN196" s="16" t="n">
        <f aca="false">L196*INDEX(Parametros!$G$2:$G$9,MATCH($E196,Parametros!$A$2:$A$9,0))</f>
        <v>389873.58</v>
      </c>
      <c r="AO196" s="17" t="n">
        <f aca="false">AN196-AC196-AL196</f>
        <v>116560.253</v>
      </c>
      <c r="AP196" s="15" t="n">
        <f aca="false">IF(AN196&gt;0,AO196/AN196,0)</f>
        <v>0.298969355656262</v>
      </c>
      <c r="AQ196" s="16" t="n">
        <f aca="false">INDEX(Parametros!$I$2:$I$9,MATCH($E196,Parametros!$A$2:$A$9,0))</f>
        <v>19300000</v>
      </c>
      <c r="AR196" s="19" t="n">
        <f aca="false">IF(AQ196&gt;0,AO196/AQ196,0)</f>
        <v>0.00603939134715026</v>
      </c>
    </row>
    <row r="197" customFormat="false" ht="15" hidden="false" customHeight="false" outlineLevel="0" collapsed="false">
      <c r="A197" s="5" t="s">
        <v>332</v>
      </c>
      <c r="B197" s="9" t="n">
        <v>45719</v>
      </c>
      <c r="C197" s="2" t="str">
        <f aca="false">TEXT(B197,"yyyy")</f>
        <v>2025</v>
      </c>
      <c r="D197" s="2" t="n">
        <f aca="false">WEEKNUM(B197,2)</f>
        <v>10</v>
      </c>
      <c r="E197" s="5" t="s">
        <v>136</v>
      </c>
      <c r="F197" s="6" t="str">
        <f aca="false">INDEX(Parametros!$B$2:$B$9,MATCH($E197,Parametros!$A$2:$A$9,0))</f>
        <v>Salsa BBQ</v>
      </c>
      <c r="G197" s="10" t="n">
        <v>88.6</v>
      </c>
      <c r="H197" s="10" t="n">
        <v>7.4</v>
      </c>
      <c r="I197" s="11" t="n">
        <f aca="false">SUMIFS(Eventos_Paro!$J$2:$J$2186,Eventos_Paro!$D$2:$D$2186,$E197,Eventos_Paro!$B$2:$B$2186,$B197)</f>
        <v>1.4</v>
      </c>
      <c r="J197" s="12" t="n">
        <f aca="false">G197-H197-I197</f>
        <v>79.8</v>
      </c>
      <c r="K197" s="13" t="n">
        <v>277657</v>
      </c>
      <c r="L197" s="13" t="n">
        <v>331249</v>
      </c>
      <c r="M197" s="13" t="n">
        <v>8407</v>
      </c>
      <c r="N197" s="14" t="n">
        <f aca="false">L197+M197</f>
        <v>339656</v>
      </c>
      <c r="O197" s="11" t="n">
        <f aca="false">INDEX(Parametros!$D$2:$D$9,MATCH($E197,Parametros!$A$2:$A$9,0))</f>
        <v>4800</v>
      </c>
      <c r="P197" s="15" t="n">
        <f aca="false">IF((G197-H197)&gt;0,J197/(G197-H197),0)</f>
        <v>0.982758620689655</v>
      </c>
      <c r="Q197" s="15" t="n">
        <f aca="false">IF(J197*O197&gt;0,N197/(O197*J197),0)</f>
        <v>0.886737677527151</v>
      </c>
      <c r="R197" s="15" t="n">
        <f aca="false">IF(N197&gt;0,L197/N197,0)</f>
        <v>0.975248486704195</v>
      </c>
      <c r="S197" s="15" t="n">
        <f aca="false">P197*Q197*R197</f>
        <v>0.849879412972086</v>
      </c>
      <c r="T197" s="15" t="n">
        <f aca="false">IF(K197&gt;0,L197/K197,0)</f>
        <v>1.19301512297547</v>
      </c>
      <c r="U197" s="10" t="n">
        <v>958</v>
      </c>
      <c r="V197" s="5" t="n">
        <v>10</v>
      </c>
      <c r="W197" s="10" t="n">
        <v>72</v>
      </c>
      <c r="X197" s="15" t="n">
        <f aca="false">IF(U197&gt;0,W197/U197,0)</f>
        <v>0.0751565762004175</v>
      </c>
      <c r="Y197" s="12" t="n">
        <f aca="false">IF(U197&gt;0,L197/U197,0)</f>
        <v>345.77139874739</v>
      </c>
      <c r="Z197" s="16" t="n">
        <f aca="false">L197*INDEX(Parametros!$E$2:$E$9,MATCH($E197,Parametros!$A$2:$A$9,0))</f>
        <v>192124.42</v>
      </c>
      <c r="AA197" s="16" t="n">
        <f aca="false">Z197*INDEX(Parametros!$F$2:$F$9,MATCH($E197,Parametros!$A$2:$A$9,0))</f>
        <v>5379.48376</v>
      </c>
      <c r="AB197" s="17" t="n">
        <f aca="false">Z197+AA197</f>
        <v>197503.90376</v>
      </c>
      <c r="AC197" s="18" t="n">
        <v>196268.61</v>
      </c>
      <c r="AD197" s="17" t="n">
        <f aca="false">AC197-AB197</f>
        <v>-1235.29376</v>
      </c>
      <c r="AE197" s="17" t="n">
        <f aca="false">AA197+AD197</f>
        <v>4144.19</v>
      </c>
      <c r="AF197" s="19" t="n">
        <f aca="false">IF(Z197&gt;0,AE197/Z197,0)</f>
        <v>0.0215703448837998</v>
      </c>
      <c r="AG197" s="16" t="n">
        <f aca="false">(U197-W197)*INDEX(Parametros!$H$2:$H$9,MATCH($E197,Parametros!$A$2:$A$9,0))+W197*INDEX(Parametros!$H$2:$H$9,MATCH($E197,Parametros!$A$2:$A$9,0))*Parametros!$N$3</f>
        <v>31311</v>
      </c>
      <c r="AH197" s="13" t="n">
        <v>16503</v>
      </c>
      <c r="AI197" s="16" t="n">
        <f aca="false">AH197*Parametros!$N$2</f>
        <v>1518.276</v>
      </c>
      <c r="AJ197" s="18" t="n">
        <v>9695</v>
      </c>
      <c r="AK197" s="18" t="n">
        <v>1358</v>
      </c>
      <c r="AL197" s="17" t="n">
        <f aca="false">AG197+AI197+AJ197+AK197</f>
        <v>43882.276</v>
      </c>
      <c r="AM197" s="20" t="n">
        <f aca="false">IF(L197&gt;0,AL197/L197,0)</f>
        <v>0.132475195396816</v>
      </c>
      <c r="AN197" s="16" t="n">
        <f aca="false">L197*INDEX(Parametros!$G$2:$G$9,MATCH($E197,Parametros!$A$2:$A$9,0))</f>
        <v>324624.02</v>
      </c>
      <c r="AO197" s="17" t="n">
        <f aca="false">AN197-AC197-AL197</f>
        <v>84473.134</v>
      </c>
      <c r="AP197" s="15" t="n">
        <f aca="false">IF(AN197&gt;0,AO197/AN197,0)</f>
        <v>0.260218372010796</v>
      </c>
      <c r="AQ197" s="16" t="n">
        <f aca="false">INDEX(Parametros!$I$2:$I$9,MATCH($E197,Parametros!$A$2:$A$9,0))</f>
        <v>17000000</v>
      </c>
      <c r="AR197" s="19" t="n">
        <f aca="false">IF(AQ197&gt;0,AO197/AQ197,0)</f>
        <v>0.00496900788235294</v>
      </c>
    </row>
    <row r="198" customFormat="false" ht="15" hidden="false" customHeight="false" outlineLevel="0" collapsed="false">
      <c r="A198" s="5" t="s">
        <v>333</v>
      </c>
      <c r="B198" s="9" t="n">
        <v>45719</v>
      </c>
      <c r="C198" s="2" t="str">
        <f aca="false">TEXT(B198,"yyyy")</f>
        <v>2025</v>
      </c>
      <c r="D198" s="2" t="n">
        <f aca="false">WEEKNUM(B198,2)</f>
        <v>10</v>
      </c>
      <c r="E198" s="5" t="s">
        <v>138</v>
      </c>
      <c r="F198" s="6" t="str">
        <f aca="false">INDEX(Parametros!$B$2:$B$9,MATCH($E198,Parametros!$A$2:$A$9,0))</f>
        <v>Queso crema</v>
      </c>
      <c r="G198" s="10" t="n">
        <v>111.1</v>
      </c>
      <c r="H198" s="10" t="n">
        <v>8.7</v>
      </c>
      <c r="I198" s="11" t="n">
        <f aca="false">SUMIFS(Eventos_Paro!$J$2:$J$2186,Eventos_Paro!$D$2:$D$2186,$E198,Eventos_Paro!$B$2:$B$2186,$B198)</f>
        <v>1.55</v>
      </c>
      <c r="J198" s="12" t="n">
        <f aca="false">G198-H198-I198</f>
        <v>100.85</v>
      </c>
      <c r="K198" s="13" t="n">
        <v>303719</v>
      </c>
      <c r="L198" s="13" t="n">
        <v>284830</v>
      </c>
      <c r="M198" s="13" t="n">
        <v>8999</v>
      </c>
      <c r="N198" s="14" t="n">
        <f aca="false">L198+M198</f>
        <v>293829</v>
      </c>
      <c r="O198" s="11" t="n">
        <f aca="false">INDEX(Parametros!$D$2:$D$9,MATCH($E198,Parametros!$A$2:$A$9,0))</f>
        <v>3800</v>
      </c>
      <c r="P198" s="15" t="n">
        <f aca="false">IF((G198-H198)&gt;0,J198/(G198-H198),0)</f>
        <v>0.98486328125</v>
      </c>
      <c r="Q198" s="15" t="n">
        <f aca="false">IF(J198*O198&gt;0,N198/(O198*J198),0)</f>
        <v>0.766717115048404</v>
      </c>
      <c r="R198" s="15" t="n">
        <f aca="false">IF(N198&gt;0,L198/N198,0)</f>
        <v>0.969373342998819</v>
      </c>
      <c r="S198" s="15" t="n">
        <f aca="false">P198*Q198*R198</f>
        <v>0.731984991776316</v>
      </c>
      <c r="T198" s="15" t="n">
        <f aca="false">IF(K198&gt;0,L198/K198,0)</f>
        <v>0.937807644566194</v>
      </c>
      <c r="U198" s="10" t="n">
        <v>1611.6</v>
      </c>
      <c r="V198" s="5" t="n">
        <v>14</v>
      </c>
      <c r="W198" s="10" t="n">
        <v>56.2</v>
      </c>
      <c r="X198" s="15" t="n">
        <f aca="false">IF(U198&gt;0,W198/U198,0)</f>
        <v>0.0348721767187888</v>
      </c>
      <c r="Y198" s="12" t="n">
        <f aca="false">IF(U198&gt;0,L198/U198,0)</f>
        <v>176.737403822288</v>
      </c>
      <c r="Z198" s="16" t="n">
        <f aca="false">L198*INDEX(Parametros!$E$2:$E$9,MATCH($E198,Parametros!$A$2:$A$9,0))</f>
        <v>319009.6</v>
      </c>
      <c r="AA198" s="16" t="n">
        <f aca="false">Z198*INDEX(Parametros!$F$2:$F$9,MATCH($E198,Parametros!$A$2:$A$9,0))</f>
        <v>11165.336</v>
      </c>
      <c r="AB198" s="17" t="n">
        <f aca="false">Z198+AA198</f>
        <v>330174.936</v>
      </c>
      <c r="AC198" s="18" t="n">
        <v>327001.25</v>
      </c>
      <c r="AD198" s="17" t="n">
        <f aca="false">AC198-AB198</f>
        <v>-3173.68600000005</v>
      </c>
      <c r="AE198" s="17" t="n">
        <f aca="false">AA198+AD198</f>
        <v>7991.64999999996</v>
      </c>
      <c r="AF198" s="19" t="n">
        <f aca="false">IF(Z198&gt;0,AE198/Z198,0)</f>
        <v>0.0250514404582181</v>
      </c>
      <c r="AG198" s="16" t="n">
        <f aca="false">(U198-W198)*INDEX(Parametros!$H$2:$H$9,MATCH($E198,Parametros!$A$2:$A$9,0))+W198*INDEX(Parametros!$H$2:$H$9,MATCH($E198,Parametros!$A$2:$A$9,0))*Parametros!$N$3</f>
        <v>54110.1</v>
      </c>
      <c r="AH198" s="13" t="n">
        <v>16293</v>
      </c>
      <c r="AI198" s="16" t="n">
        <f aca="false">AH198*Parametros!$N$2</f>
        <v>1498.956</v>
      </c>
      <c r="AJ198" s="18" t="n">
        <v>19518</v>
      </c>
      <c r="AK198" s="18" t="n">
        <v>1435</v>
      </c>
      <c r="AL198" s="17" t="n">
        <f aca="false">AG198+AI198+AJ198+AK198</f>
        <v>76562.056</v>
      </c>
      <c r="AM198" s="20" t="n">
        <f aca="false">IF(L198&gt;0,AL198/L198,0)</f>
        <v>0.2687991293052</v>
      </c>
      <c r="AN198" s="16" t="n">
        <f aca="false">L198*INDEX(Parametros!$G$2:$G$9,MATCH($E198,Parametros!$A$2:$A$9,0))</f>
        <v>509845.7</v>
      </c>
      <c r="AO198" s="17" t="n">
        <f aca="false">AN198-AC198-AL198</f>
        <v>106282.394</v>
      </c>
      <c r="AP198" s="15" t="n">
        <f aca="false">IF(AN198&gt;0,AO198/AN198,0)</f>
        <v>0.208459920324914</v>
      </c>
      <c r="AQ198" s="16" t="n">
        <f aca="false">INDEX(Parametros!$I$2:$I$9,MATCH($E198,Parametros!$A$2:$A$9,0))</f>
        <v>33200000</v>
      </c>
      <c r="AR198" s="19" t="n">
        <f aca="false">IF(AQ198&gt;0,AO198/AQ198,0)</f>
        <v>0.00320127692771084</v>
      </c>
    </row>
    <row r="199" customFormat="false" ht="15" hidden="false" customHeight="false" outlineLevel="0" collapsed="false">
      <c r="A199" s="5" t="s">
        <v>334</v>
      </c>
      <c r="B199" s="9" t="n">
        <v>45719</v>
      </c>
      <c r="C199" s="2" t="str">
        <f aca="false">TEXT(B199,"yyyy")</f>
        <v>2025</v>
      </c>
      <c r="D199" s="2" t="n">
        <f aca="false">WEEKNUM(B199,2)</f>
        <v>10</v>
      </c>
      <c r="E199" s="5" t="s">
        <v>140</v>
      </c>
      <c r="F199" s="6" t="str">
        <f aca="false">INDEX(Parametros!$B$2:$B$9,MATCH($E199,Parametros!$A$2:$A$9,0))</f>
        <v>Crema de cacahuate</v>
      </c>
      <c r="G199" s="10" t="n">
        <v>108.3</v>
      </c>
      <c r="H199" s="10" t="n">
        <v>8</v>
      </c>
      <c r="I199" s="11" t="n">
        <f aca="false">SUMIFS(Eventos_Paro!$J$2:$J$2186,Eventos_Paro!$D$2:$D$2186,$E199,Eventos_Paro!$B$2:$B$2186,$B199)</f>
        <v>2.11666666666667</v>
      </c>
      <c r="J199" s="12" t="n">
        <f aca="false">G199-H199-I199</f>
        <v>98.1833333333333</v>
      </c>
      <c r="K199" s="13" t="n">
        <v>328806</v>
      </c>
      <c r="L199" s="13" t="n">
        <v>346766</v>
      </c>
      <c r="M199" s="13" t="n">
        <v>6749</v>
      </c>
      <c r="N199" s="14" t="n">
        <f aca="false">L199+M199</f>
        <v>353515</v>
      </c>
      <c r="O199" s="11" t="n">
        <f aca="false">INDEX(Parametros!$D$2:$D$9,MATCH($E199,Parametros!$A$2:$A$9,0))</f>
        <v>4200</v>
      </c>
      <c r="P199" s="15" t="n">
        <f aca="false">IF((G199-H199)&gt;0,J199/(G199-H199),0)</f>
        <v>0.978896643403124</v>
      </c>
      <c r="Q199" s="15" t="n">
        <f aca="false">IF(J199*O199&gt;0,N199/(O199*J199),0)</f>
        <v>0.857276232509639</v>
      </c>
      <c r="R199" s="15" t="n">
        <f aca="false">IF(N199&gt;0,L199/N199,0)</f>
        <v>0.980908872325078</v>
      </c>
      <c r="S199" s="15" t="n">
        <f aca="false">P199*Q199*R199</f>
        <v>0.82316384180791</v>
      </c>
      <c r="T199" s="15" t="n">
        <f aca="false">IF(K199&gt;0,L199/K199,0)</f>
        <v>1.0546218742967</v>
      </c>
      <c r="U199" s="10" t="n">
        <v>1417.5</v>
      </c>
      <c r="V199" s="5" t="n">
        <v>12</v>
      </c>
      <c r="W199" s="10" t="n">
        <v>117.9</v>
      </c>
      <c r="X199" s="15" t="n">
        <f aca="false">IF(U199&gt;0,W199/U199,0)</f>
        <v>0.0831746031746032</v>
      </c>
      <c r="Y199" s="12" t="n">
        <f aca="false">IF(U199&gt;0,L199/U199,0)</f>
        <v>244.632098765432</v>
      </c>
      <c r="Z199" s="16" t="n">
        <f aca="false">L199*INDEX(Parametros!$E$2:$E$9,MATCH($E199,Parametros!$A$2:$A$9,0))</f>
        <v>336363.02</v>
      </c>
      <c r="AA199" s="16" t="n">
        <f aca="false">Z199*INDEX(Parametros!$F$2:$F$9,MATCH($E199,Parametros!$A$2:$A$9,0))</f>
        <v>7399.98644</v>
      </c>
      <c r="AB199" s="17" t="n">
        <f aca="false">Z199+AA199</f>
        <v>343763.00644</v>
      </c>
      <c r="AC199" s="18" t="n">
        <v>349239.3</v>
      </c>
      <c r="AD199" s="17" t="n">
        <f aca="false">AC199-AB199</f>
        <v>5476.29355999996</v>
      </c>
      <c r="AE199" s="17" t="n">
        <f aca="false">AA199+AD199</f>
        <v>12876.28</v>
      </c>
      <c r="AF199" s="19" t="n">
        <f aca="false">IF(Z199&gt;0,AE199/Z199,0)</f>
        <v>0.0382809025795998</v>
      </c>
      <c r="AG199" s="16" t="n">
        <f aca="false">(U199-W199)*INDEX(Parametros!$H$2:$H$9,MATCH($E199,Parametros!$A$2:$A$9,0))+W199*INDEX(Parametros!$H$2:$H$9,MATCH($E199,Parametros!$A$2:$A$9,0))*Parametros!$N$3</f>
        <v>46508.175</v>
      </c>
      <c r="AH199" s="13" t="n">
        <v>17936</v>
      </c>
      <c r="AI199" s="16" t="n">
        <f aca="false">AH199*Parametros!$N$2</f>
        <v>1650.112</v>
      </c>
      <c r="AJ199" s="18" t="n">
        <v>12654</v>
      </c>
      <c r="AK199" s="18" t="n">
        <v>1733</v>
      </c>
      <c r="AL199" s="17" t="n">
        <f aca="false">AG199+AI199+AJ199+AK199</f>
        <v>62545.287</v>
      </c>
      <c r="AM199" s="20" t="n">
        <f aca="false">IF(L199&gt;0,AL199/L199,0)</f>
        <v>0.180367414913804</v>
      </c>
      <c r="AN199" s="16" t="n">
        <f aca="false">L199*INDEX(Parametros!$G$2:$G$9,MATCH($E199,Parametros!$A$2:$A$9,0))</f>
        <v>561760.92</v>
      </c>
      <c r="AO199" s="17" t="n">
        <f aca="false">AN199-AC199-AL199</f>
        <v>149976.333</v>
      </c>
      <c r="AP199" s="15" t="n">
        <f aca="false">IF(AN199&gt;0,AO199/AN199,0)</f>
        <v>0.26697537628641</v>
      </c>
      <c r="AQ199" s="16" t="n">
        <f aca="false">INDEX(Parametros!$I$2:$I$9,MATCH($E199,Parametros!$A$2:$A$9,0))</f>
        <v>28000000</v>
      </c>
      <c r="AR199" s="19" t="n">
        <f aca="false">IF(AQ199&gt;0,AO199/AQ199,0)</f>
        <v>0.00535629760714286</v>
      </c>
    </row>
    <row r="200" customFormat="false" ht="15" hidden="false" customHeight="false" outlineLevel="0" collapsed="false">
      <c r="A200" s="5" t="s">
        <v>335</v>
      </c>
      <c r="B200" s="9" t="n">
        <v>45719</v>
      </c>
      <c r="C200" s="2" t="str">
        <f aca="false">TEXT(B200,"yyyy")</f>
        <v>2025</v>
      </c>
      <c r="D200" s="2" t="n">
        <f aca="false">WEEKNUM(B200,2)</f>
        <v>10</v>
      </c>
      <c r="E200" s="5" t="s">
        <v>142</v>
      </c>
      <c r="F200" s="6" t="str">
        <f aca="false">INDEX(Parametros!$B$2:$B$9,MATCH($E200,Parametros!$A$2:$A$9,0))</f>
        <v>Porciones single serve</v>
      </c>
      <c r="G200" s="10" t="n">
        <v>133.4</v>
      </c>
      <c r="H200" s="10" t="n">
        <v>7.9</v>
      </c>
      <c r="I200" s="11" t="n">
        <f aca="false">SUMIFS(Eventos_Paro!$J$2:$J$2186,Eventos_Paro!$D$2:$D$2186,$E200,Eventos_Paro!$B$2:$B$2186,$B200)</f>
        <v>6.88333333333333</v>
      </c>
      <c r="J200" s="12" t="n">
        <f aca="false">G200-H200-I200</f>
        <v>118.616666666667</v>
      </c>
      <c r="K200" s="13" t="n">
        <v>254687</v>
      </c>
      <c r="L200" s="13" t="n">
        <v>236596</v>
      </c>
      <c r="M200" s="13" t="n">
        <v>11273</v>
      </c>
      <c r="N200" s="14" t="n">
        <f aca="false">L200+M200</f>
        <v>247869</v>
      </c>
      <c r="O200" s="11" t="n">
        <f aca="false">INDEX(Parametros!$D$2:$D$9,MATCH($E200,Parametros!$A$2:$A$9,0))</f>
        <v>2600</v>
      </c>
      <c r="P200" s="15" t="n">
        <f aca="false">IF((G200-H200)&gt;0,J200/(G200-H200),0)</f>
        <v>0.945152722443559</v>
      </c>
      <c r="Q200" s="15" t="n">
        <f aca="false">IF(J200*O200&gt;0,N200/(O200*J200),0)</f>
        <v>0.803716993979745</v>
      </c>
      <c r="R200" s="15" t="n">
        <f aca="false">IF(N200&gt;0,L200/N200,0)</f>
        <v>0.954520331304036</v>
      </c>
      <c r="S200" s="15" t="n">
        <f aca="false">P200*Q200*R200</f>
        <v>0.725087342935949</v>
      </c>
      <c r="T200" s="15" t="n">
        <f aca="false">IF(K200&gt;0,L200/K200,0)</f>
        <v>0.928967713310848</v>
      </c>
      <c r="U200" s="10" t="n">
        <v>2291.5</v>
      </c>
      <c r="V200" s="5" t="n">
        <v>16</v>
      </c>
      <c r="W200" s="10" t="n">
        <v>157.1</v>
      </c>
      <c r="X200" s="15" t="n">
        <f aca="false">IF(U200&gt;0,W200/U200,0)</f>
        <v>0.0685577132882392</v>
      </c>
      <c r="Y200" s="12" t="n">
        <f aca="false">IF(U200&gt;0,L200/U200,0)</f>
        <v>103.24939995636</v>
      </c>
      <c r="Z200" s="16" t="n">
        <f aca="false">L200*INDEX(Parametros!$E$2:$E$9,MATCH($E200,Parametros!$A$2:$A$9,0))</f>
        <v>175081.04</v>
      </c>
      <c r="AA200" s="16" t="n">
        <f aca="false">Z200*INDEX(Parametros!$F$2:$F$9,MATCH($E200,Parametros!$A$2:$A$9,0))</f>
        <v>7878.6468</v>
      </c>
      <c r="AB200" s="17" t="n">
        <f aca="false">Z200+AA200</f>
        <v>182959.6868</v>
      </c>
      <c r="AC200" s="18" t="n">
        <v>182058.48</v>
      </c>
      <c r="AD200" s="17" t="n">
        <f aca="false">AC200-AB200</f>
        <v>-901.206799999985</v>
      </c>
      <c r="AE200" s="17" t="n">
        <f aca="false">AA200+AD200</f>
        <v>6977.44000000002</v>
      </c>
      <c r="AF200" s="19" t="n">
        <f aca="false">IF(Z200&gt;0,AE200/Z200,0)</f>
        <v>0.0398526305304105</v>
      </c>
      <c r="AG200" s="16" t="n">
        <f aca="false">(U200-W200)*INDEX(Parametros!$H$2:$H$9,MATCH($E200,Parametros!$A$2:$A$9,0))+W200*INDEX(Parametros!$H$2:$H$9,MATCH($E200,Parametros!$A$2:$A$9,0))*Parametros!$N$3</f>
        <v>71101.5</v>
      </c>
      <c r="AH200" s="13" t="n">
        <v>12381</v>
      </c>
      <c r="AI200" s="16" t="n">
        <f aca="false">AH200*Parametros!$N$2</f>
        <v>1139.052</v>
      </c>
      <c r="AJ200" s="18" t="n">
        <v>10695</v>
      </c>
      <c r="AK200" s="18" t="n">
        <v>4297</v>
      </c>
      <c r="AL200" s="17" t="n">
        <f aca="false">AG200+AI200+AJ200+AK200</f>
        <v>87232.552</v>
      </c>
      <c r="AM200" s="20" t="n">
        <f aca="false">IF(L200&gt;0,AL200/L200,0)</f>
        <v>0.368698338095319</v>
      </c>
      <c r="AN200" s="16" t="n">
        <f aca="false">L200*INDEX(Parametros!$G$2:$G$9,MATCH($E200,Parametros!$A$2:$A$9,0))</f>
        <v>406945.12</v>
      </c>
      <c r="AO200" s="17" t="n">
        <f aca="false">AN200-AC200-AL200</f>
        <v>137654.088</v>
      </c>
      <c r="AP200" s="15" t="n">
        <f aca="false">IF(AN200&gt;0,AO200/AN200,0)</f>
        <v>0.33826204378615</v>
      </c>
      <c r="AQ200" s="16" t="n">
        <f aca="false">INDEX(Parametros!$I$2:$I$9,MATCH($E200,Parametros!$A$2:$A$9,0))</f>
        <v>15900000</v>
      </c>
      <c r="AR200" s="19" t="n">
        <f aca="false">IF(AQ200&gt;0,AO200/AQ200,0)</f>
        <v>0.00865748981132075</v>
      </c>
    </row>
    <row r="201" customFormat="false" ht="15" hidden="false" customHeight="false" outlineLevel="0" collapsed="false">
      <c r="A201" s="5" t="s">
        <v>336</v>
      </c>
      <c r="B201" s="9" t="n">
        <v>45719</v>
      </c>
      <c r="C201" s="2" t="str">
        <f aca="false">TEXT(B201,"yyyy")</f>
        <v>2025</v>
      </c>
      <c r="D201" s="2" t="n">
        <f aca="false">WEEKNUM(B201,2)</f>
        <v>10</v>
      </c>
      <c r="E201" s="5" t="s">
        <v>144</v>
      </c>
      <c r="F201" s="6" t="str">
        <f aca="false">INDEX(Parametros!$B$2:$B$9,MATCH($E201,Parametros!$A$2:$A$9,0))</f>
        <v>Salsas picantes</v>
      </c>
      <c r="G201" s="10" t="n">
        <v>98.8</v>
      </c>
      <c r="H201" s="10" t="n">
        <v>5.6</v>
      </c>
      <c r="I201" s="11" t="n">
        <f aca="false">SUMIFS(Eventos_Paro!$J$2:$J$2186,Eventos_Paro!$D$2:$D$2186,$E201,Eventos_Paro!$B$2:$B$2186,$B201)</f>
        <v>2.31666666666667</v>
      </c>
      <c r="J201" s="12" t="n">
        <f aca="false">G201-H201-I201</f>
        <v>90.8833333333333</v>
      </c>
      <c r="K201" s="13" t="n">
        <v>239093</v>
      </c>
      <c r="L201" s="13" t="n">
        <v>227209</v>
      </c>
      <c r="M201" s="13" t="n">
        <v>5846</v>
      </c>
      <c r="N201" s="14" t="n">
        <f aca="false">L201+M201</f>
        <v>233055</v>
      </c>
      <c r="O201" s="11" t="n">
        <f aca="false">INDEX(Parametros!$D$2:$D$9,MATCH($E201,Parametros!$A$2:$A$9,0))</f>
        <v>3100</v>
      </c>
      <c r="P201" s="15" t="n">
        <f aca="false">IF((G201-H201)&gt;0,J201/(G201-H201),0)</f>
        <v>0.975143061516452</v>
      </c>
      <c r="Q201" s="15" t="n">
        <f aca="false">IF(J201*O201&gt;0,N201/(O201*J201),0)</f>
        <v>0.827203729228658</v>
      </c>
      <c r="R201" s="15" t="n">
        <f aca="false">IF(N201&gt;0,L201/N201,0)</f>
        <v>0.974915792409517</v>
      </c>
      <c r="S201" s="15" t="n">
        <f aca="false">P201*Q201*R201</f>
        <v>0.786408002215146</v>
      </c>
      <c r="T201" s="15" t="n">
        <f aca="false">IF(K201&gt;0,L201/K201,0)</f>
        <v>0.95029549171243</v>
      </c>
      <c r="U201" s="10" t="n">
        <v>940.3</v>
      </c>
      <c r="V201" s="5" t="n">
        <v>9</v>
      </c>
      <c r="W201" s="10" t="n">
        <v>51.1</v>
      </c>
      <c r="X201" s="15" t="n">
        <f aca="false">IF(U201&gt;0,W201/U201,0)</f>
        <v>0.0543443581835584</v>
      </c>
      <c r="Y201" s="12" t="n">
        <f aca="false">IF(U201&gt;0,L201/U201,0)</f>
        <v>241.634584707008</v>
      </c>
      <c r="Z201" s="16" t="n">
        <f aca="false">L201*INDEX(Parametros!$E$2:$E$9,MATCH($E201,Parametros!$A$2:$A$9,0))</f>
        <v>149957.94</v>
      </c>
      <c r="AA201" s="16" t="n">
        <f aca="false">Z201*INDEX(Parametros!$F$2:$F$9,MATCH($E201,Parametros!$A$2:$A$9,0))</f>
        <v>3898.90644</v>
      </c>
      <c r="AB201" s="17" t="n">
        <f aca="false">Z201+AA201</f>
        <v>153856.84644</v>
      </c>
      <c r="AC201" s="18" t="n">
        <v>154439.3</v>
      </c>
      <c r="AD201" s="17" t="n">
        <f aca="false">AC201-AB201</f>
        <v>582.453559999995</v>
      </c>
      <c r="AE201" s="17" t="n">
        <f aca="false">AA201+AD201</f>
        <v>4481.35999999999</v>
      </c>
      <c r="AF201" s="19" t="n">
        <f aca="false">IF(Z201&gt;0,AE201/Z201,0)</f>
        <v>0.0298841128385732</v>
      </c>
      <c r="AG201" s="16" t="n">
        <f aca="false">(U201-W201)*INDEX(Parametros!$H$2:$H$9,MATCH($E201,Parametros!$A$2:$A$9,0))+W201*INDEX(Parametros!$H$2:$H$9,MATCH($E201,Parametros!$A$2:$A$9,0))*Parametros!$N$3</f>
        <v>30424.275</v>
      </c>
      <c r="AH201" s="13" t="n">
        <v>12736</v>
      </c>
      <c r="AI201" s="16" t="n">
        <f aca="false">AH201*Parametros!$N$2</f>
        <v>1171.712</v>
      </c>
      <c r="AJ201" s="18" t="n">
        <v>6805</v>
      </c>
      <c r="AK201" s="18" t="n">
        <v>2478</v>
      </c>
      <c r="AL201" s="17" t="n">
        <f aca="false">AG201+AI201+AJ201+AK201</f>
        <v>40878.987</v>
      </c>
      <c r="AM201" s="20" t="n">
        <f aca="false">IF(L201&gt;0,AL201/L201,0)</f>
        <v>0.179917991804902</v>
      </c>
      <c r="AN201" s="16" t="n">
        <f aca="false">L201*INDEX(Parametros!$G$2:$G$9,MATCH($E201,Parametros!$A$2:$A$9,0))</f>
        <v>284011.25</v>
      </c>
      <c r="AO201" s="17" t="n">
        <f aca="false">AN201-AC201-AL201</f>
        <v>88692.963</v>
      </c>
      <c r="AP201" s="15" t="n">
        <f aca="false">IF(AN201&gt;0,AO201/AN201,0)</f>
        <v>0.312286794977312</v>
      </c>
      <c r="AQ201" s="16" t="n">
        <f aca="false">INDEX(Parametros!$I$2:$I$9,MATCH($E201,Parametros!$A$2:$A$9,0))</f>
        <v>13300000</v>
      </c>
      <c r="AR201" s="19" t="n">
        <f aca="false">IF(AQ201&gt;0,AO201/AQ201,0)</f>
        <v>0.00666864383458647</v>
      </c>
    </row>
    <row r="202" customFormat="false" ht="15" hidden="false" customHeight="false" outlineLevel="0" collapsed="false">
      <c r="A202" s="5" t="s">
        <v>337</v>
      </c>
      <c r="B202" s="9" t="n">
        <v>45726</v>
      </c>
      <c r="C202" s="2" t="str">
        <f aca="false">TEXT(B202,"yyyy")</f>
        <v>2025</v>
      </c>
      <c r="D202" s="2" t="n">
        <f aca="false">WEEKNUM(B202,2)</f>
        <v>11</v>
      </c>
      <c r="E202" s="5" t="s">
        <v>130</v>
      </c>
      <c r="F202" s="6" t="str">
        <f aca="false">INDEX(Parametros!$B$2:$B$9,MATCH($E202,Parametros!$A$2:$A$9,0))</f>
        <v>Ketchup botella</v>
      </c>
      <c r="G202" s="10" t="n">
        <v>112.8</v>
      </c>
      <c r="H202" s="10" t="n">
        <v>6.3</v>
      </c>
      <c r="I202" s="11" t="n">
        <f aca="false">SUMIFS(Eventos_Paro!$J$2:$J$2186,Eventos_Paro!$D$2:$D$2186,$E202,Eventos_Paro!$B$2:$B$2186,$B202)</f>
        <v>2.2</v>
      </c>
      <c r="J202" s="12" t="n">
        <f aca="false">G202-H202-I202</f>
        <v>104.3</v>
      </c>
      <c r="K202" s="13" t="n">
        <v>751198</v>
      </c>
      <c r="L202" s="13" t="n">
        <v>799254</v>
      </c>
      <c r="M202" s="13" t="n">
        <v>21514</v>
      </c>
      <c r="N202" s="14" t="n">
        <f aca="false">L202+M202</f>
        <v>820768</v>
      </c>
      <c r="O202" s="11" t="n">
        <f aca="false">INDEX(Parametros!$D$2:$D$9,MATCH($E202,Parametros!$A$2:$A$9,0))</f>
        <v>9000</v>
      </c>
      <c r="P202" s="15" t="n">
        <f aca="false">IF((G202-H202)&gt;0,J202/(G202-H202),0)</f>
        <v>0.979342723004695</v>
      </c>
      <c r="Q202" s="15" t="n">
        <f aca="false">IF(J202*O202&gt;0,N202/(O202*J202),0)</f>
        <v>0.874366677319697</v>
      </c>
      <c r="R202" s="15" t="n">
        <f aca="false">IF(N202&gt;0,L202/N202,0)</f>
        <v>0.973787964443058</v>
      </c>
      <c r="S202" s="15" t="n">
        <f aca="false">P202*Q202*R202</f>
        <v>0.833859154929578</v>
      </c>
      <c r="T202" s="15" t="n">
        <f aca="false">IF(K202&gt;0,L202/K202,0)</f>
        <v>1.06397248128989</v>
      </c>
      <c r="U202" s="10" t="n">
        <v>1767.9</v>
      </c>
      <c r="V202" s="5" t="n">
        <v>15</v>
      </c>
      <c r="W202" s="10" t="n">
        <v>75.9</v>
      </c>
      <c r="X202" s="15" t="n">
        <f aca="false">IF(U202&gt;0,W202/U202,0)</f>
        <v>0.0429322925504836</v>
      </c>
      <c r="Y202" s="12" t="n">
        <f aca="false">IF(U202&gt;0,L202/U202,0)</f>
        <v>452.092312913626</v>
      </c>
      <c r="Z202" s="16" t="n">
        <f aca="false">L202*INDEX(Parametros!$E$2:$E$9,MATCH($E202,Parametros!$A$2:$A$9,0))</f>
        <v>335686.68</v>
      </c>
      <c r="AA202" s="16" t="n">
        <f aca="false">Z202*INDEX(Parametros!$F$2:$F$9,MATCH($E202,Parametros!$A$2:$A$9,0))</f>
        <v>6713.7336</v>
      </c>
      <c r="AB202" s="17" t="n">
        <f aca="false">Z202+AA202</f>
        <v>342400.4136</v>
      </c>
      <c r="AC202" s="18" t="n">
        <v>343998.41</v>
      </c>
      <c r="AD202" s="17" t="n">
        <f aca="false">AC202-AB202</f>
        <v>1597.9964</v>
      </c>
      <c r="AE202" s="17" t="n">
        <f aca="false">AA202+AD202</f>
        <v>8311.73</v>
      </c>
      <c r="AF202" s="19" t="n">
        <f aca="false">IF(Z202&gt;0,AE202/Z202,0)</f>
        <v>0.0247603807216897</v>
      </c>
      <c r="AG202" s="16" t="n">
        <f aca="false">(U202-W202)*INDEX(Parametros!$H$2:$H$9,MATCH($E202,Parametros!$A$2:$A$9,0))+W202*INDEX(Parametros!$H$2:$H$9,MATCH($E202,Parametros!$A$2:$A$9,0))*Parametros!$N$3</f>
        <v>56884.275</v>
      </c>
      <c r="AH202" s="13" t="n">
        <v>41171</v>
      </c>
      <c r="AI202" s="16" t="n">
        <f aca="false">AH202*Parametros!$N$2</f>
        <v>3787.732</v>
      </c>
      <c r="AJ202" s="18" t="n">
        <v>15497</v>
      </c>
      <c r="AK202" s="18" t="n">
        <v>1871</v>
      </c>
      <c r="AL202" s="17" t="n">
        <f aca="false">AG202+AI202+AJ202+AK202</f>
        <v>78040.007</v>
      </c>
      <c r="AM202" s="20" t="n">
        <f aca="false">IF(L202&gt;0,AL202/L202,0)</f>
        <v>0.0976410590375525</v>
      </c>
      <c r="AN202" s="16" t="n">
        <f aca="false">L202*INDEX(Parametros!$G$2:$G$9,MATCH($E202,Parametros!$A$2:$A$9,0))</f>
        <v>567470.34</v>
      </c>
      <c r="AO202" s="17" t="n">
        <f aca="false">AN202-AC202-AL202</f>
        <v>145431.923</v>
      </c>
      <c r="AP202" s="15" t="n">
        <f aca="false">IF(AN202&gt;0,AO202/AN202,0)</f>
        <v>0.256281100083574</v>
      </c>
      <c r="AQ202" s="16" t="n">
        <f aca="false">INDEX(Parametros!$I$2:$I$9,MATCH($E202,Parametros!$A$2:$A$9,0))</f>
        <v>29300000</v>
      </c>
      <c r="AR202" s="19" t="n">
        <f aca="false">IF(AQ202&gt;0,AO202/AQ202,0)</f>
        <v>0.00496354686006826</v>
      </c>
    </row>
    <row r="203" customFormat="false" ht="15" hidden="false" customHeight="false" outlineLevel="0" collapsed="false">
      <c r="A203" s="5" t="s">
        <v>338</v>
      </c>
      <c r="B203" s="9" t="n">
        <v>45726</v>
      </c>
      <c r="C203" s="2" t="str">
        <f aca="false">TEXT(B203,"yyyy")</f>
        <v>2025</v>
      </c>
      <c r="D203" s="2" t="n">
        <f aca="false">WEEKNUM(B203,2)</f>
        <v>11</v>
      </c>
      <c r="E203" s="5" t="s">
        <v>132</v>
      </c>
      <c r="F203" s="6" t="str">
        <f aca="false">INDEX(Parametros!$B$2:$B$9,MATCH($E203,Parametros!$A$2:$A$9,0))</f>
        <v>Mayonesa frasco</v>
      </c>
      <c r="G203" s="10" t="n">
        <v>126.4</v>
      </c>
      <c r="H203" s="10" t="n">
        <v>8.4</v>
      </c>
      <c r="I203" s="11" t="n">
        <f aca="false">SUMIFS(Eventos_Paro!$J$2:$J$2186,Eventos_Paro!$D$2:$D$2186,$E203,Eventos_Paro!$B$2:$B$2186,$B203)</f>
        <v>8.85</v>
      </c>
      <c r="J203" s="12" t="n">
        <f aca="false">G203-H203-I203</f>
        <v>109.15</v>
      </c>
      <c r="K203" s="13" t="n">
        <v>601115</v>
      </c>
      <c r="L203" s="13" t="n">
        <v>578820</v>
      </c>
      <c r="M203" s="13" t="n">
        <v>23661</v>
      </c>
      <c r="N203" s="14" t="n">
        <f aca="false">L203+M203</f>
        <v>602481</v>
      </c>
      <c r="O203" s="11" t="n">
        <f aca="false">INDEX(Parametros!$D$2:$D$9,MATCH($E203,Parametros!$A$2:$A$9,0))</f>
        <v>6500</v>
      </c>
      <c r="P203" s="15" t="n">
        <f aca="false">IF((G203-H203)&gt;0,J203/(G203-H203),0)</f>
        <v>0.925</v>
      </c>
      <c r="Q203" s="15" t="n">
        <f aca="false">IF(J203*O203&gt;0,N203/(O203*J203),0)</f>
        <v>0.849192712921526</v>
      </c>
      <c r="R203" s="15" t="n">
        <f aca="false">IF(N203&gt;0,L203/N203,0)</f>
        <v>0.960727392233116</v>
      </c>
      <c r="S203" s="15" t="n">
        <f aca="false">P203*Q203*R203</f>
        <v>0.754654498044329</v>
      </c>
      <c r="T203" s="15" t="n">
        <f aca="false">IF(K203&gt;0,L203/K203,0)</f>
        <v>0.962910591151444</v>
      </c>
      <c r="U203" s="10" t="n">
        <v>1730.2</v>
      </c>
      <c r="V203" s="5" t="n">
        <v>13</v>
      </c>
      <c r="W203" s="10" t="n">
        <v>87</v>
      </c>
      <c r="X203" s="15" t="n">
        <f aca="false">IF(U203&gt;0,W203/U203,0)</f>
        <v>0.0502832042538435</v>
      </c>
      <c r="Y203" s="12" t="n">
        <f aca="false">IF(U203&gt;0,L203/U203,0)</f>
        <v>334.539359611606</v>
      </c>
      <c r="Z203" s="16" t="n">
        <f aca="false">L203*INDEX(Parametros!$E$2:$E$9,MATCH($E203,Parametros!$A$2:$A$9,0))</f>
        <v>353080.2</v>
      </c>
      <c r="AA203" s="16" t="n">
        <f aca="false">Z203*INDEX(Parametros!$F$2:$F$9,MATCH($E203,Parametros!$A$2:$A$9,0))</f>
        <v>8827.005</v>
      </c>
      <c r="AB203" s="17" t="n">
        <f aca="false">Z203+AA203</f>
        <v>361907.205</v>
      </c>
      <c r="AC203" s="18" t="n">
        <v>361035.58</v>
      </c>
      <c r="AD203" s="17" t="n">
        <f aca="false">AC203-AB203</f>
        <v>-871.625</v>
      </c>
      <c r="AE203" s="17" t="n">
        <f aca="false">AA203+AD203</f>
        <v>7955.38</v>
      </c>
      <c r="AF203" s="19" t="n">
        <f aca="false">IF(Z203&gt;0,AE203/Z203,0)</f>
        <v>0.0225313682273886</v>
      </c>
      <c r="AG203" s="16" t="n">
        <f aca="false">(U203-W203)*INDEX(Parametros!$H$2:$H$9,MATCH($E203,Parametros!$A$2:$A$9,0))+W203*INDEX(Parametros!$H$2:$H$9,MATCH($E203,Parametros!$A$2:$A$9,0))*Parametros!$N$3</f>
        <v>55871.55</v>
      </c>
      <c r="AH203" s="13" t="n">
        <v>28860</v>
      </c>
      <c r="AI203" s="16" t="n">
        <f aca="false">AH203*Parametros!$N$2</f>
        <v>2655.12</v>
      </c>
      <c r="AJ203" s="18" t="n">
        <v>15266</v>
      </c>
      <c r="AK203" s="18" t="n">
        <v>8389</v>
      </c>
      <c r="AL203" s="17" t="n">
        <f aca="false">AG203+AI203+AJ203+AK203</f>
        <v>82181.67</v>
      </c>
      <c r="AM203" s="20" t="n">
        <f aca="false">IF(L203&gt;0,AL203/L203,0)</f>
        <v>0.141981393179227</v>
      </c>
      <c r="AN203" s="16" t="n">
        <f aca="false">L203*INDEX(Parametros!$G$2:$G$9,MATCH($E203,Parametros!$A$2:$A$9,0))</f>
        <v>555667.2</v>
      </c>
      <c r="AO203" s="17" t="n">
        <f aca="false">AN203-AC203-AL203</f>
        <v>112449.95</v>
      </c>
      <c r="AP203" s="15" t="n">
        <f aca="false">IF(AN203&gt;0,AO203/AN203,0)</f>
        <v>0.202369241877152</v>
      </c>
      <c r="AQ203" s="16" t="n">
        <f aca="false">INDEX(Parametros!$I$2:$I$9,MATCH($E203,Parametros!$A$2:$A$9,0))</f>
        <v>29700000</v>
      </c>
      <c r="AR203" s="19" t="n">
        <f aca="false">IF(AQ203&gt;0,AO203/AQ203,0)</f>
        <v>0.0037861936026936</v>
      </c>
    </row>
    <row r="204" customFormat="false" ht="15" hidden="false" customHeight="false" outlineLevel="0" collapsed="false">
      <c r="A204" s="5" t="s">
        <v>339</v>
      </c>
      <c r="B204" s="9" t="n">
        <v>45726</v>
      </c>
      <c r="C204" s="2" t="str">
        <f aca="false">TEXT(B204,"yyyy")</f>
        <v>2025</v>
      </c>
      <c r="D204" s="2" t="n">
        <f aca="false">WEEKNUM(B204,2)</f>
        <v>11</v>
      </c>
      <c r="E204" s="5" t="s">
        <v>134</v>
      </c>
      <c r="F204" s="6" t="str">
        <f aca="false">INDEX(Parametros!$B$2:$B$9,MATCH($E204,Parametros!$A$2:$A$9,0))</f>
        <v>Aderezos vertibles</v>
      </c>
      <c r="G204" s="10" t="n">
        <v>101.4</v>
      </c>
      <c r="H204" s="10" t="n">
        <v>5.1</v>
      </c>
      <c r="I204" s="11" t="n">
        <f aca="false">SUMIFS(Eventos_Paro!$J$2:$J$2186,Eventos_Paro!$D$2:$D$2186,$E204,Eventos_Paro!$B$2:$B$2186,$B204)</f>
        <v>2.05</v>
      </c>
      <c r="J204" s="12" t="n">
        <f aca="false">G204-H204-I204</f>
        <v>94.25</v>
      </c>
      <c r="K204" s="13" t="n">
        <v>392457</v>
      </c>
      <c r="L204" s="13" t="n">
        <v>419207</v>
      </c>
      <c r="M204" s="13" t="n">
        <v>17006</v>
      </c>
      <c r="N204" s="14" t="n">
        <f aca="false">L204+M204</f>
        <v>436213</v>
      </c>
      <c r="O204" s="11" t="n">
        <f aca="false">INDEX(Parametros!$D$2:$D$9,MATCH($E204,Parametros!$A$2:$A$9,0))</f>
        <v>5200</v>
      </c>
      <c r="P204" s="15" t="n">
        <f aca="false">IF((G204-H204)&gt;0,J204/(G204-H204),0)</f>
        <v>0.97871235721703</v>
      </c>
      <c r="Q204" s="15" t="n">
        <f aca="false">IF(J204*O204&gt;0,N204/(O204*J204),0)</f>
        <v>0.890048969598041</v>
      </c>
      <c r="R204" s="15" t="n">
        <f aca="false">IF(N204&gt;0,L204/N204,0)</f>
        <v>0.961014458532873</v>
      </c>
      <c r="S204" s="15" t="n">
        <f aca="false">P204*Q204*R204</f>
        <v>0.837141544851825</v>
      </c>
      <c r="T204" s="15" t="n">
        <f aca="false">IF(K204&gt;0,L204/K204,0)</f>
        <v>1.06816033348876</v>
      </c>
      <c r="U204" s="10" t="n">
        <v>1296.1</v>
      </c>
      <c r="V204" s="5" t="n">
        <v>12</v>
      </c>
      <c r="W204" s="10" t="n">
        <v>79.3</v>
      </c>
      <c r="X204" s="15" t="n">
        <f aca="false">IF(U204&gt;0,W204/U204,0)</f>
        <v>0.0611835506519559</v>
      </c>
      <c r="Y204" s="12" t="n">
        <f aca="false">IF(U204&gt;0,L204/U204,0)</f>
        <v>323.437234781267</v>
      </c>
      <c r="Z204" s="16" t="n">
        <f aca="false">L204*INDEX(Parametros!$E$2:$E$9,MATCH($E204,Parametros!$A$2:$A$9,0))</f>
        <v>230563.85</v>
      </c>
      <c r="AA204" s="16" t="n">
        <f aca="false">Z204*INDEX(Parametros!$F$2:$F$9,MATCH($E204,Parametros!$A$2:$A$9,0))</f>
        <v>6916.9155</v>
      </c>
      <c r="AB204" s="17" t="n">
        <f aca="false">Z204+AA204</f>
        <v>237480.7655</v>
      </c>
      <c r="AC204" s="18" t="n">
        <v>235772.06</v>
      </c>
      <c r="AD204" s="17" t="n">
        <f aca="false">AC204-AB204</f>
        <v>-1708.70550000001</v>
      </c>
      <c r="AE204" s="17" t="n">
        <f aca="false">AA204+AD204</f>
        <v>5208.20999999999</v>
      </c>
      <c r="AF204" s="19" t="n">
        <f aca="false">IF(Z204&gt;0,AE204/Z204,0)</f>
        <v>0.0225890138458392</v>
      </c>
      <c r="AG204" s="16" t="n">
        <f aca="false">(U204-W204)*INDEX(Parametros!$H$2:$H$9,MATCH($E204,Parametros!$A$2:$A$9,0))+W204*INDEX(Parametros!$H$2:$H$9,MATCH($E204,Parametros!$A$2:$A$9,0))*Parametros!$N$3</f>
        <v>42076.125</v>
      </c>
      <c r="AH204" s="13" t="n">
        <v>20852</v>
      </c>
      <c r="AI204" s="16" t="n">
        <f aca="false">AH204*Parametros!$N$2</f>
        <v>1918.384</v>
      </c>
      <c r="AJ204" s="18" t="n">
        <v>9282</v>
      </c>
      <c r="AK204" s="18" t="n">
        <v>2243</v>
      </c>
      <c r="AL204" s="17" t="n">
        <f aca="false">AG204+AI204+AJ204+AK204</f>
        <v>55519.509</v>
      </c>
      <c r="AM204" s="20" t="n">
        <f aca="false">IF(L204&gt;0,AL204/L204,0)</f>
        <v>0.132439365277774</v>
      </c>
      <c r="AN204" s="16" t="n">
        <f aca="false">L204*INDEX(Parametros!$G$2:$G$9,MATCH($E204,Parametros!$A$2:$A$9,0))</f>
        <v>427591.14</v>
      </c>
      <c r="AO204" s="17" t="n">
        <f aca="false">AN204-AC204-AL204</f>
        <v>136299.571</v>
      </c>
      <c r="AP204" s="15" t="n">
        <f aca="false">IF(AN204&gt;0,AO204/AN204,0)</f>
        <v>0.318761448144131</v>
      </c>
      <c r="AQ204" s="16" t="n">
        <f aca="false">INDEX(Parametros!$I$2:$I$9,MATCH($E204,Parametros!$A$2:$A$9,0))</f>
        <v>19300000</v>
      </c>
      <c r="AR204" s="19" t="n">
        <f aca="false">IF(AQ204&gt;0,AO204/AQ204,0)</f>
        <v>0.00706215393782384</v>
      </c>
    </row>
    <row r="205" customFormat="false" ht="15" hidden="false" customHeight="false" outlineLevel="0" collapsed="false">
      <c r="A205" s="5" t="s">
        <v>340</v>
      </c>
      <c r="B205" s="9" t="n">
        <v>45726</v>
      </c>
      <c r="C205" s="2" t="str">
        <f aca="false">TEXT(B205,"yyyy")</f>
        <v>2025</v>
      </c>
      <c r="D205" s="2" t="n">
        <f aca="false">WEEKNUM(B205,2)</f>
        <v>11</v>
      </c>
      <c r="E205" s="5" t="s">
        <v>136</v>
      </c>
      <c r="F205" s="6" t="str">
        <f aca="false">INDEX(Parametros!$B$2:$B$9,MATCH($E205,Parametros!$A$2:$A$9,0))</f>
        <v>Salsa BBQ</v>
      </c>
      <c r="G205" s="10" t="n">
        <v>101.8</v>
      </c>
      <c r="H205" s="10" t="n">
        <v>7.2</v>
      </c>
      <c r="I205" s="11" t="n">
        <f aca="false">SUMIFS(Eventos_Paro!$J$2:$J$2186,Eventos_Paro!$D$2:$D$2186,$E205,Eventos_Paro!$B$2:$B$2186,$B205)</f>
        <v>0.85</v>
      </c>
      <c r="J205" s="12" t="n">
        <f aca="false">G205-H205-I205</f>
        <v>93.75</v>
      </c>
      <c r="K205" s="13" t="n">
        <v>330003</v>
      </c>
      <c r="L205" s="13" t="n">
        <v>366553</v>
      </c>
      <c r="M205" s="13" t="n">
        <v>7150</v>
      </c>
      <c r="N205" s="14" t="n">
        <f aca="false">L205+M205</f>
        <v>373703</v>
      </c>
      <c r="O205" s="11" t="n">
        <f aca="false">INDEX(Parametros!$D$2:$D$9,MATCH($E205,Parametros!$A$2:$A$9,0))</f>
        <v>4800</v>
      </c>
      <c r="P205" s="15" t="n">
        <f aca="false">IF((G205-H205)&gt;0,J205/(G205-H205),0)</f>
        <v>0.991014799154334</v>
      </c>
      <c r="Q205" s="15" t="n">
        <f aca="false">IF(J205*O205&gt;0,N205/(O205*J205),0)</f>
        <v>0.830451111111111</v>
      </c>
      <c r="R205" s="15" t="n">
        <f aca="false">IF(N205&gt;0,L205/N205,0)</f>
        <v>0.980867159214671</v>
      </c>
      <c r="S205" s="15" t="n">
        <f aca="false">P205*Q205*R205</f>
        <v>0.807243217054264</v>
      </c>
      <c r="T205" s="15" t="n">
        <f aca="false">IF(K205&gt;0,L205/K205,0)</f>
        <v>1.11075656887968</v>
      </c>
      <c r="U205" s="10" t="n">
        <v>1328.5</v>
      </c>
      <c r="V205" s="5" t="n">
        <v>12</v>
      </c>
      <c r="W205" s="10" t="n">
        <v>106.9</v>
      </c>
      <c r="X205" s="15" t="n">
        <f aca="false">IF(U205&gt;0,W205/U205,0)</f>
        <v>0.0804666917576214</v>
      </c>
      <c r="Y205" s="12" t="n">
        <f aca="false">IF(U205&gt;0,L205/U205,0)</f>
        <v>275.91494166353</v>
      </c>
      <c r="Z205" s="16" t="n">
        <f aca="false">L205*INDEX(Parametros!$E$2:$E$9,MATCH($E205,Parametros!$A$2:$A$9,0))</f>
        <v>212600.74</v>
      </c>
      <c r="AA205" s="16" t="n">
        <f aca="false">Z205*INDEX(Parametros!$F$2:$F$9,MATCH($E205,Parametros!$A$2:$A$9,0))</f>
        <v>5952.82072</v>
      </c>
      <c r="AB205" s="17" t="n">
        <f aca="false">Z205+AA205</f>
        <v>218553.56072</v>
      </c>
      <c r="AC205" s="18" t="n">
        <v>216136.74</v>
      </c>
      <c r="AD205" s="17" t="n">
        <f aca="false">AC205-AB205</f>
        <v>-2416.82071999999</v>
      </c>
      <c r="AE205" s="17" t="n">
        <f aca="false">AA205+AD205</f>
        <v>3536.00000000001</v>
      </c>
      <c r="AF205" s="19" t="n">
        <f aca="false">IF(Z205&gt;0,AE205/Z205,0)</f>
        <v>0.016632115203362</v>
      </c>
      <c r="AG205" s="16" t="n">
        <f aca="false">(U205-W205)*INDEX(Parametros!$H$2:$H$9,MATCH($E205,Parametros!$A$2:$A$9,0))+W205*INDEX(Parametros!$H$2:$H$9,MATCH($E205,Parametros!$A$2:$A$9,0))*Parametros!$N$3</f>
        <v>43531.425</v>
      </c>
      <c r="AH205" s="13" t="n">
        <v>18042</v>
      </c>
      <c r="AI205" s="16" t="n">
        <f aca="false">AH205*Parametros!$N$2</f>
        <v>1659.864</v>
      </c>
      <c r="AJ205" s="18" t="n">
        <v>9779</v>
      </c>
      <c r="AK205" s="18" t="n">
        <v>819</v>
      </c>
      <c r="AL205" s="17" t="n">
        <f aca="false">AG205+AI205+AJ205+AK205</f>
        <v>55789.289</v>
      </c>
      <c r="AM205" s="20" t="n">
        <f aca="false">IF(L205&gt;0,AL205/L205,0)</f>
        <v>0.152199788298009</v>
      </c>
      <c r="AN205" s="16" t="n">
        <f aca="false">L205*INDEX(Parametros!$G$2:$G$9,MATCH($E205,Parametros!$A$2:$A$9,0))</f>
        <v>359221.94</v>
      </c>
      <c r="AO205" s="17" t="n">
        <f aca="false">AN205-AC205-AL205</f>
        <v>87295.911</v>
      </c>
      <c r="AP205" s="15" t="n">
        <f aca="false">IF(AN205&gt;0,AO205/AN205,0)</f>
        <v>0.243013862126573</v>
      </c>
      <c r="AQ205" s="16" t="n">
        <f aca="false">INDEX(Parametros!$I$2:$I$9,MATCH($E205,Parametros!$A$2:$A$9,0))</f>
        <v>17000000</v>
      </c>
      <c r="AR205" s="19" t="n">
        <f aca="false">IF(AQ205&gt;0,AO205/AQ205,0)</f>
        <v>0.0051350535882353</v>
      </c>
    </row>
    <row r="206" customFormat="false" ht="15" hidden="false" customHeight="false" outlineLevel="0" collapsed="false">
      <c r="A206" s="5" t="s">
        <v>341</v>
      </c>
      <c r="B206" s="9" t="n">
        <v>45726</v>
      </c>
      <c r="C206" s="2" t="str">
        <f aca="false">TEXT(B206,"yyyy")</f>
        <v>2025</v>
      </c>
      <c r="D206" s="2" t="n">
        <f aca="false">WEEKNUM(B206,2)</f>
        <v>11</v>
      </c>
      <c r="E206" s="5" t="s">
        <v>138</v>
      </c>
      <c r="F206" s="6" t="str">
        <f aca="false">INDEX(Parametros!$B$2:$B$9,MATCH($E206,Parametros!$A$2:$A$9,0))</f>
        <v>Queso crema</v>
      </c>
      <c r="G206" s="10" t="n">
        <v>114.1</v>
      </c>
      <c r="H206" s="10" t="n">
        <v>7.9</v>
      </c>
      <c r="I206" s="11" t="n">
        <f aca="false">SUMIFS(Eventos_Paro!$J$2:$J$2186,Eventos_Paro!$D$2:$D$2186,$E206,Eventos_Paro!$B$2:$B$2186,$B206)</f>
        <v>0</v>
      </c>
      <c r="J206" s="12" t="n">
        <f aca="false">G206-H206-I206</f>
        <v>106.2</v>
      </c>
      <c r="K206" s="13" t="n">
        <v>316279</v>
      </c>
      <c r="L206" s="13" t="n">
        <v>302473</v>
      </c>
      <c r="M206" s="13" t="n">
        <v>12130</v>
      </c>
      <c r="N206" s="14" t="n">
        <f aca="false">L206+M206</f>
        <v>314603</v>
      </c>
      <c r="O206" s="11" t="n">
        <f aca="false">INDEX(Parametros!$D$2:$D$9,MATCH($E206,Parametros!$A$2:$A$9,0))</f>
        <v>3800</v>
      </c>
      <c r="P206" s="15" t="n">
        <f aca="false">IF((G206-H206)&gt;0,J206/(G206-H206),0)</f>
        <v>1</v>
      </c>
      <c r="Q206" s="15" t="n">
        <f aca="false">IF(J206*O206&gt;0,N206/(O206*J206),0)</f>
        <v>0.779569332936862</v>
      </c>
      <c r="R206" s="15" t="n">
        <f aca="false">IF(N206&gt;0,L206/N206,0)</f>
        <v>0.961443470024126</v>
      </c>
      <c r="S206" s="15" t="n">
        <f aca="false">P206*Q206*R206</f>
        <v>0.74951184458321</v>
      </c>
      <c r="T206" s="15" t="n">
        <f aca="false">IF(K206&gt;0,L206/K206,0)</f>
        <v>0.956348666841618</v>
      </c>
      <c r="U206" s="10" t="n">
        <v>1955.6</v>
      </c>
      <c r="V206" s="5" t="n">
        <v>16</v>
      </c>
      <c r="W206" s="10" t="n">
        <v>130</v>
      </c>
      <c r="X206" s="15" t="n">
        <f aca="false">IF(U206&gt;0,W206/U206,0)</f>
        <v>0.0664757619145019</v>
      </c>
      <c r="Y206" s="12" t="n">
        <f aca="false">IF(U206&gt;0,L206/U206,0)</f>
        <v>154.670177950501</v>
      </c>
      <c r="Z206" s="16" t="n">
        <f aca="false">L206*INDEX(Parametros!$E$2:$E$9,MATCH($E206,Parametros!$A$2:$A$9,0))</f>
        <v>338769.76</v>
      </c>
      <c r="AA206" s="16" t="n">
        <f aca="false">Z206*INDEX(Parametros!$F$2:$F$9,MATCH($E206,Parametros!$A$2:$A$9,0))</f>
        <v>11856.9416</v>
      </c>
      <c r="AB206" s="17" t="n">
        <f aca="false">Z206+AA206</f>
        <v>350626.7016</v>
      </c>
      <c r="AC206" s="18" t="n">
        <v>351281.45</v>
      </c>
      <c r="AD206" s="17" t="n">
        <f aca="false">AC206-AB206</f>
        <v>654.748399999982</v>
      </c>
      <c r="AE206" s="17" t="n">
        <f aca="false">AA206+AD206</f>
        <v>12511.69</v>
      </c>
      <c r="AF206" s="19" t="n">
        <f aca="false">IF(Z206&gt;0,AE206/Z206,0)</f>
        <v>0.0369327238653178</v>
      </c>
      <c r="AG206" s="16" t="n">
        <f aca="false">(U206-W206)*INDEX(Parametros!$H$2:$H$9,MATCH($E206,Parametros!$A$2:$A$9,0))+W206*INDEX(Parametros!$H$2:$H$9,MATCH($E206,Parametros!$A$2:$A$9,0))*Parametros!$N$3</f>
        <v>66679.8</v>
      </c>
      <c r="AH206" s="13" t="n">
        <v>16607</v>
      </c>
      <c r="AI206" s="16" t="n">
        <f aca="false">AH206*Parametros!$N$2</f>
        <v>1527.844</v>
      </c>
      <c r="AJ206" s="18" t="n">
        <v>21781</v>
      </c>
      <c r="AK206" s="18" t="n">
        <v>0</v>
      </c>
      <c r="AL206" s="17" t="n">
        <f aca="false">AG206+AI206+AJ206+AK206</f>
        <v>89988.644</v>
      </c>
      <c r="AM206" s="20" t="n">
        <f aca="false">IF(L206&gt;0,AL206/L206,0)</f>
        <v>0.297509675243741</v>
      </c>
      <c r="AN206" s="16" t="n">
        <f aca="false">L206*INDEX(Parametros!$G$2:$G$9,MATCH($E206,Parametros!$A$2:$A$9,0))</f>
        <v>541426.67</v>
      </c>
      <c r="AO206" s="17" t="n">
        <f aca="false">AN206-AC206-AL206</f>
        <v>100156.576</v>
      </c>
      <c r="AP206" s="15" t="n">
        <f aca="false">IF(AN206&gt;0,AO206/AN206,0)</f>
        <v>0.184986410071007</v>
      </c>
      <c r="AQ206" s="16" t="n">
        <f aca="false">INDEX(Parametros!$I$2:$I$9,MATCH($E206,Parametros!$A$2:$A$9,0))</f>
        <v>33200000</v>
      </c>
      <c r="AR206" s="19" t="n">
        <f aca="false">IF(AQ206&gt;0,AO206/AQ206,0)</f>
        <v>0.0030167643373494</v>
      </c>
    </row>
    <row r="207" customFormat="false" ht="15" hidden="false" customHeight="false" outlineLevel="0" collapsed="false">
      <c r="A207" s="5" t="s">
        <v>342</v>
      </c>
      <c r="B207" s="9" t="n">
        <v>45726</v>
      </c>
      <c r="C207" s="2" t="str">
        <f aca="false">TEXT(B207,"yyyy")</f>
        <v>2025</v>
      </c>
      <c r="D207" s="2" t="n">
        <f aca="false">WEEKNUM(B207,2)</f>
        <v>11</v>
      </c>
      <c r="E207" s="5" t="s">
        <v>140</v>
      </c>
      <c r="F207" s="6" t="str">
        <f aca="false">INDEX(Parametros!$B$2:$B$9,MATCH($E207,Parametros!$A$2:$A$9,0))</f>
        <v>Crema de cacahuate</v>
      </c>
      <c r="G207" s="10" t="n">
        <v>115.6</v>
      </c>
      <c r="H207" s="10" t="n">
        <v>8.1</v>
      </c>
      <c r="I207" s="11" t="n">
        <f aca="false">SUMIFS(Eventos_Paro!$J$2:$J$2186,Eventos_Paro!$D$2:$D$2186,$E207,Eventos_Paro!$B$2:$B$2186,$B207)</f>
        <v>0</v>
      </c>
      <c r="J207" s="12" t="n">
        <f aca="false">G207-H207-I207</f>
        <v>107.5</v>
      </c>
      <c r="K207" s="13" t="n">
        <v>353851</v>
      </c>
      <c r="L207" s="13" t="n">
        <v>392211</v>
      </c>
      <c r="M207" s="13" t="n">
        <v>12643</v>
      </c>
      <c r="N207" s="14" t="n">
        <f aca="false">L207+M207</f>
        <v>404854</v>
      </c>
      <c r="O207" s="11" t="n">
        <f aca="false">INDEX(Parametros!$D$2:$D$9,MATCH($E207,Parametros!$A$2:$A$9,0))</f>
        <v>4200</v>
      </c>
      <c r="P207" s="15" t="n">
        <f aca="false">IF((G207-H207)&gt;0,J207/(G207-H207),0)</f>
        <v>1</v>
      </c>
      <c r="Q207" s="15" t="n">
        <f aca="false">IF(J207*O207&gt;0,N207/(O207*J207),0)</f>
        <v>0.896686600221484</v>
      </c>
      <c r="R207" s="15" t="n">
        <f aca="false">IF(N207&gt;0,L207/N207,0)</f>
        <v>0.968771458352888</v>
      </c>
      <c r="S207" s="15" t="n">
        <f aca="false">P207*Q207*R207</f>
        <v>0.86868438538206</v>
      </c>
      <c r="T207" s="15" t="n">
        <f aca="false">IF(K207&gt;0,L207/K207,0)</f>
        <v>1.10840721094472</v>
      </c>
      <c r="U207" s="10" t="n">
        <v>1445.2</v>
      </c>
      <c r="V207" s="5" t="n">
        <v>12</v>
      </c>
      <c r="W207" s="10" t="n">
        <v>58</v>
      </c>
      <c r="X207" s="15" t="n">
        <f aca="false">IF(U207&gt;0,W207/U207,0)</f>
        <v>0.040132853584279</v>
      </c>
      <c r="Y207" s="12" t="n">
        <f aca="false">IF(U207&gt;0,L207/U207,0)</f>
        <v>271.388735123166</v>
      </c>
      <c r="Z207" s="16" t="n">
        <f aca="false">L207*INDEX(Parametros!$E$2:$E$9,MATCH($E207,Parametros!$A$2:$A$9,0))</f>
        <v>380444.67</v>
      </c>
      <c r="AA207" s="16" t="n">
        <f aca="false">Z207*INDEX(Parametros!$F$2:$F$9,MATCH($E207,Parametros!$A$2:$A$9,0))</f>
        <v>8369.78274</v>
      </c>
      <c r="AB207" s="17" t="n">
        <f aca="false">Z207+AA207</f>
        <v>388814.45274</v>
      </c>
      <c r="AC207" s="18" t="n">
        <v>388985.25</v>
      </c>
      <c r="AD207" s="17" t="n">
        <f aca="false">AC207-AB207</f>
        <v>170.797260000021</v>
      </c>
      <c r="AE207" s="17" t="n">
        <f aca="false">AA207+AD207</f>
        <v>8540.58000000002</v>
      </c>
      <c r="AF207" s="19" t="n">
        <f aca="false">IF(Z207&gt;0,AE207/Z207,0)</f>
        <v>0.0224489411298626</v>
      </c>
      <c r="AG207" s="16" t="n">
        <f aca="false">(U207-W207)*INDEX(Parametros!$H$2:$H$9,MATCH($E207,Parametros!$A$2:$A$9,0))+W207*INDEX(Parametros!$H$2:$H$9,MATCH($E207,Parametros!$A$2:$A$9,0))*Parametros!$N$3</f>
        <v>46437.3</v>
      </c>
      <c r="AH207" s="13" t="n">
        <v>20015</v>
      </c>
      <c r="AI207" s="16" t="n">
        <f aca="false">AH207*Parametros!$N$2</f>
        <v>1841.38</v>
      </c>
      <c r="AJ207" s="18" t="n">
        <v>14731</v>
      </c>
      <c r="AK207" s="18" t="n">
        <v>0</v>
      </c>
      <c r="AL207" s="17" t="n">
        <f aca="false">AG207+AI207+AJ207+AK207</f>
        <v>63009.68</v>
      </c>
      <c r="AM207" s="20" t="n">
        <f aca="false">IF(L207&gt;0,AL207/L207,0)</f>
        <v>0.160652505921558</v>
      </c>
      <c r="AN207" s="16" t="n">
        <f aca="false">L207*INDEX(Parametros!$G$2:$G$9,MATCH($E207,Parametros!$A$2:$A$9,0))</f>
        <v>635381.82</v>
      </c>
      <c r="AO207" s="17" t="n">
        <f aca="false">AN207-AC207-AL207</f>
        <v>183386.89</v>
      </c>
      <c r="AP207" s="15" t="n">
        <f aca="false">IF(AN207&gt;0,AO207/AN207,0)</f>
        <v>0.288624704433627</v>
      </c>
      <c r="AQ207" s="16" t="n">
        <f aca="false">INDEX(Parametros!$I$2:$I$9,MATCH($E207,Parametros!$A$2:$A$9,0))</f>
        <v>28000000</v>
      </c>
      <c r="AR207" s="19" t="n">
        <f aca="false">IF(AQ207&gt;0,AO207/AQ207,0)</f>
        <v>0.00654953178571429</v>
      </c>
    </row>
    <row r="208" customFormat="false" ht="15" hidden="false" customHeight="false" outlineLevel="0" collapsed="false">
      <c r="A208" s="5" t="s">
        <v>343</v>
      </c>
      <c r="B208" s="9" t="n">
        <v>45726</v>
      </c>
      <c r="C208" s="2" t="str">
        <f aca="false">TEXT(B208,"yyyy")</f>
        <v>2025</v>
      </c>
      <c r="D208" s="2" t="n">
        <f aca="false">WEEKNUM(B208,2)</f>
        <v>11</v>
      </c>
      <c r="E208" s="5" t="s">
        <v>142</v>
      </c>
      <c r="F208" s="6" t="str">
        <f aca="false">INDEX(Parametros!$B$2:$B$9,MATCH($E208,Parametros!$A$2:$A$9,0))</f>
        <v>Porciones single serve</v>
      </c>
      <c r="G208" s="10" t="n">
        <v>110.2</v>
      </c>
      <c r="H208" s="10" t="n">
        <v>5.3</v>
      </c>
      <c r="I208" s="11" t="n">
        <f aca="false">SUMIFS(Eventos_Paro!$J$2:$J$2186,Eventos_Paro!$D$2:$D$2186,$E208,Eventos_Paro!$B$2:$B$2186,$B208)</f>
        <v>2.06666666666667</v>
      </c>
      <c r="J208" s="12" t="n">
        <f aca="false">G208-H208-I208</f>
        <v>102.833333333333</v>
      </c>
      <c r="K208" s="13" t="n">
        <v>213752</v>
      </c>
      <c r="L208" s="13" t="n">
        <v>181998</v>
      </c>
      <c r="M208" s="13" t="n">
        <v>8983</v>
      </c>
      <c r="N208" s="14" t="n">
        <f aca="false">L208+M208</f>
        <v>190981</v>
      </c>
      <c r="O208" s="11" t="n">
        <f aca="false">INDEX(Parametros!$D$2:$D$9,MATCH($E208,Parametros!$A$2:$A$9,0))</f>
        <v>2600</v>
      </c>
      <c r="P208" s="15" t="n">
        <f aca="false">IF((G208-H208)&gt;0,J208/(G208-H208),0)</f>
        <v>0.98029869717191</v>
      </c>
      <c r="Q208" s="15" t="n">
        <f aca="false">IF(J208*O208&gt;0,N208/(O208*J208),0)</f>
        <v>0.714303702780202</v>
      </c>
      <c r="R208" s="15" t="n">
        <f aca="false">IF(N208&gt;0,L208/N208,0)</f>
        <v>0.952963907404402</v>
      </c>
      <c r="S208" s="15" t="n">
        <f aca="false">P208*Q208*R208</f>
        <v>0.66729485957322</v>
      </c>
      <c r="T208" s="15" t="n">
        <f aca="false">IF(K208&gt;0,L208/K208,0)</f>
        <v>0.851444664845241</v>
      </c>
      <c r="U208" s="10" t="n">
        <v>1846.3</v>
      </c>
      <c r="V208" s="5" t="n">
        <v>16</v>
      </c>
      <c r="W208" s="10" t="n">
        <v>83.1</v>
      </c>
      <c r="X208" s="15" t="n">
        <f aca="false">IF(U208&gt;0,W208/U208,0)</f>
        <v>0.0450089367925039</v>
      </c>
      <c r="Y208" s="12" t="n">
        <f aca="false">IF(U208&gt;0,L208/U208,0)</f>
        <v>98.5744461896767</v>
      </c>
      <c r="Z208" s="16" t="n">
        <f aca="false">L208*INDEX(Parametros!$E$2:$E$9,MATCH($E208,Parametros!$A$2:$A$9,0))</f>
        <v>134678.52</v>
      </c>
      <c r="AA208" s="16" t="n">
        <f aca="false">Z208*INDEX(Parametros!$F$2:$F$9,MATCH($E208,Parametros!$A$2:$A$9,0))</f>
        <v>6060.5334</v>
      </c>
      <c r="AB208" s="17" t="n">
        <f aca="false">Z208+AA208</f>
        <v>140739.0534</v>
      </c>
      <c r="AC208" s="18" t="n">
        <v>138824.67</v>
      </c>
      <c r="AD208" s="17" t="n">
        <f aca="false">AC208-AB208</f>
        <v>-1914.38339999996</v>
      </c>
      <c r="AE208" s="17" t="n">
        <f aca="false">AA208+AD208</f>
        <v>4146.15000000004</v>
      </c>
      <c r="AF208" s="19" t="n">
        <f aca="false">IF(Z208&gt;0,AE208/Z208,0)</f>
        <v>0.0307855328377535</v>
      </c>
      <c r="AG208" s="16" t="n">
        <f aca="false">(U208-W208)*INDEX(Parametros!$H$2:$H$9,MATCH($E208,Parametros!$A$2:$A$9,0))+W208*INDEX(Parametros!$H$2:$H$9,MATCH($E208,Parametros!$A$2:$A$9,0))*Parametros!$N$3</f>
        <v>56635.5</v>
      </c>
      <c r="AH208" s="13" t="n">
        <v>10450</v>
      </c>
      <c r="AI208" s="16" t="n">
        <f aca="false">AH208*Parametros!$N$2</f>
        <v>961.4</v>
      </c>
      <c r="AJ208" s="18" t="n">
        <v>11535</v>
      </c>
      <c r="AK208" s="18" t="n">
        <v>1632</v>
      </c>
      <c r="AL208" s="17" t="n">
        <f aca="false">AG208+AI208+AJ208+AK208</f>
        <v>70763.9</v>
      </c>
      <c r="AM208" s="20" t="n">
        <f aca="false">IF(L208&gt;0,AL208/L208,0)</f>
        <v>0.388816910075935</v>
      </c>
      <c r="AN208" s="16" t="n">
        <f aca="false">L208*INDEX(Parametros!$G$2:$G$9,MATCH($E208,Parametros!$A$2:$A$9,0))</f>
        <v>313036.56</v>
      </c>
      <c r="AO208" s="17" t="n">
        <f aca="false">AN208-AC208-AL208</f>
        <v>103447.99</v>
      </c>
      <c r="AP208" s="15" t="n">
        <f aca="false">IF(AN208&gt;0,AO208/AN208,0)</f>
        <v>0.330466160246586</v>
      </c>
      <c r="AQ208" s="16" t="n">
        <f aca="false">INDEX(Parametros!$I$2:$I$9,MATCH($E208,Parametros!$A$2:$A$9,0))</f>
        <v>15900000</v>
      </c>
      <c r="AR208" s="19" t="n">
        <f aca="false">IF(AQ208&gt;0,AO208/AQ208,0)</f>
        <v>0.00650616289308176</v>
      </c>
    </row>
    <row r="209" customFormat="false" ht="15" hidden="false" customHeight="false" outlineLevel="0" collapsed="false">
      <c r="A209" s="5" t="s">
        <v>344</v>
      </c>
      <c r="B209" s="9" t="n">
        <v>45726</v>
      </c>
      <c r="C209" s="2" t="str">
        <f aca="false">TEXT(B209,"yyyy")</f>
        <v>2025</v>
      </c>
      <c r="D209" s="2" t="n">
        <f aca="false">WEEKNUM(B209,2)</f>
        <v>11</v>
      </c>
      <c r="E209" s="5" t="s">
        <v>144</v>
      </c>
      <c r="F209" s="6" t="str">
        <f aca="false">INDEX(Parametros!$B$2:$B$9,MATCH($E209,Parametros!$A$2:$A$9,0))</f>
        <v>Salsas picantes</v>
      </c>
      <c r="G209" s="10" t="n">
        <v>104.4</v>
      </c>
      <c r="H209" s="10" t="n">
        <v>6.8</v>
      </c>
      <c r="I209" s="11" t="n">
        <f aca="false">SUMIFS(Eventos_Paro!$J$2:$J$2186,Eventos_Paro!$D$2:$D$2186,$E209,Eventos_Paro!$B$2:$B$2186,$B209)</f>
        <v>5.63333333333333</v>
      </c>
      <c r="J209" s="12" t="n">
        <f aca="false">G209-H209-I209</f>
        <v>91.9666666666667</v>
      </c>
      <c r="K209" s="13" t="n">
        <v>248891</v>
      </c>
      <c r="L209" s="13" t="n">
        <v>231974</v>
      </c>
      <c r="M209" s="13" t="n">
        <v>8281</v>
      </c>
      <c r="N209" s="14" t="n">
        <f aca="false">L209+M209</f>
        <v>240255</v>
      </c>
      <c r="O209" s="11" t="n">
        <f aca="false">INDEX(Parametros!$D$2:$D$9,MATCH($E209,Parametros!$A$2:$A$9,0))</f>
        <v>3100</v>
      </c>
      <c r="P209" s="15" t="n">
        <f aca="false">IF((G209-H209)&gt;0,J209/(G209-H209),0)</f>
        <v>0.942281420765027</v>
      </c>
      <c r="Q209" s="15" t="n">
        <f aca="false">IF(J209*O209&gt;0,N209/(O209*J209),0)</f>
        <v>0.842714167124601</v>
      </c>
      <c r="R209" s="15" t="n">
        <f aca="false">IF(N209&gt;0,L209/N209,0)</f>
        <v>0.96553245509979</v>
      </c>
      <c r="S209" s="15" t="n">
        <f aca="false">P209*Q209*R209</f>
        <v>0.766704124801692</v>
      </c>
      <c r="T209" s="15" t="n">
        <f aca="false">IF(K209&gt;0,L209/K209,0)</f>
        <v>0.932030487241403</v>
      </c>
      <c r="U209" s="10" t="n">
        <v>1257.1</v>
      </c>
      <c r="V209" s="5" t="n">
        <v>11</v>
      </c>
      <c r="W209" s="10" t="n">
        <v>108.7</v>
      </c>
      <c r="X209" s="15" t="n">
        <f aca="false">IF(U209&gt;0,W209/U209,0)</f>
        <v>0.0864688568928486</v>
      </c>
      <c r="Y209" s="12" t="n">
        <f aca="false">IF(U209&gt;0,L209/U209,0)</f>
        <v>184.531063558985</v>
      </c>
      <c r="Z209" s="16" t="n">
        <f aca="false">L209*INDEX(Parametros!$E$2:$E$9,MATCH($E209,Parametros!$A$2:$A$9,0))</f>
        <v>153102.84</v>
      </c>
      <c r="AA209" s="16" t="n">
        <f aca="false">Z209*INDEX(Parametros!$F$2:$F$9,MATCH($E209,Parametros!$A$2:$A$9,0))</f>
        <v>3980.67384</v>
      </c>
      <c r="AB209" s="17" t="n">
        <f aca="false">Z209+AA209</f>
        <v>157083.51384</v>
      </c>
      <c r="AC209" s="18" t="n">
        <v>155947.83</v>
      </c>
      <c r="AD209" s="17" t="n">
        <f aca="false">AC209-AB209</f>
        <v>-1135.68384000001</v>
      </c>
      <c r="AE209" s="17" t="n">
        <f aca="false">AA209+AD209</f>
        <v>2844.98999999999</v>
      </c>
      <c r="AF209" s="19" t="n">
        <f aca="false">IF(Z209&gt;0,AE209/Z209,0)</f>
        <v>0.0185822157185326</v>
      </c>
      <c r="AG209" s="16" t="n">
        <f aca="false">(U209-W209)*INDEX(Parametros!$H$2:$H$9,MATCH($E209,Parametros!$A$2:$A$9,0))+W209*INDEX(Parametros!$H$2:$H$9,MATCH($E209,Parametros!$A$2:$A$9,0))*Parametros!$N$3</f>
        <v>41310.675</v>
      </c>
      <c r="AH209" s="13" t="n">
        <v>11906</v>
      </c>
      <c r="AI209" s="16" t="n">
        <f aca="false">AH209*Parametros!$N$2</f>
        <v>1095.352</v>
      </c>
      <c r="AJ209" s="18" t="n">
        <v>5532</v>
      </c>
      <c r="AK209" s="18" t="n">
        <v>5343</v>
      </c>
      <c r="AL209" s="17" t="n">
        <f aca="false">AG209+AI209+AJ209+AK209</f>
        <v>53281.027</v>
      </c>
      <c r="AM209" s="20" t="n">
        <f aca="false">IF(L209&gt;0,AL209/L209,0)</f>
        <v>0.22968533973635</v>
      </c>
      <c r="AN209" s="16" t="n">
        <f aca="false">L209*INDEX(Parametros!$G$2:$G$9,MATCH($E209,Parametros!$A$2:$A$9,0))</f>
        <v>289967.5</v>
      </c>
      <c r="AO209" s="17" t="n">
        <f aca="false">AN209-AC209-AL209</f>
        <v>80738.643</v>
      </c>
      <c r="AP209" s="15" t="n">
        <f aca="false">IF(AN209&gt;0,AO209/AN209,0)</f>
        <v>0.278440318311535</v>
      </c>
      <c r="AQ209" s="16" t="n">
        <f aca="false">INDEX(Parametros!$I$2:$I$9,MATCH($E209,Parametros!$A$2:$A$9,0))</f>
        <v>13300000</v>
      </c>
      <c r="AR209" s="19" t="n">
        <f aca="false">IF(AQ209&gt;0,AO209/AQ209,0)</f>
        <v>0.00607057466165414</v>
      </c>
    </row>
    <row r="210" customFormat="false" ht="15" hidden="false" customHeight="false" outlineLevel="0" collapsed="false">
      <c r="A210" s="5" t="s">
        <v>345</v>
      </c>
      <c r="B210" s="9" t="n">
        <v>45733</v>
      </c>
      <c r="C210" s="2" t="str">
        <f aca="false">TEXT(B210,"yyyy")</f>
        <v>2025</v>
      </c>
      <c r="D210" s="2" t="n">
        <f aca="false">WEEKNUM(B210,2)</f>
        <v>12</v>
      </c>
      <c r="E210" s="5" t="s">
        <v>130</v>
      </c>
      <c r="F210" s="6" t="str">
        <f aca="false">INDEX(Parametros!$B$2:$B$9,MATCH($E210,Parametros!$A$2:$A$9,0))</f>
        <v>Ketchup botella</v>
      </c>
      <c r="G210" s="10" t="n">
        <v>116.5</v>
      </c>
      <c r="H210" s="10" t="n">
        <v>12.9</v>
      </c>
      <c r="I210" s="11" t="n">
        <f aca="false">SUMIFS(Eventos_Paro!$J$2:$J$2186,Eventos_Paro!$D$2:$D$2186,$E210,Eventos_Paro!$B$2:$B$2186,$B210)</f>
        <v>1.78333333333333</v>
      </c>
      <c r="J210" s="12" t="n">
        <f aca="false">G210-H210-I210</f>
        <v>101.816666666667</v>
      </c>
      <c r="K210" s="13" t="n">
        <v>733941</v>
      </c>
      <c r="L210" s="13" t="n">
        <v>827228</v>
      </c>
      <c r="M210" s="13" t="n">
        <v>13045</v>
      </c>
      <c r="N210" s="14" t="n">
        <f aca="false">L210+M210</f>
        <v>840273</v>
      </c>
      <c r="O210" s="11" t="n">
        <f aca="false">INDEX(Parametros!$D$2:$D$9,MATCH($E210,Parametros!$A$2:$A$9,0))</f>
        <v>9000</v>
      </c>
      <c r="P210" s="15" t="n">
        <f aca="false">IF((G210-H210)&gt;0,J210/(G210-H210),0)</f>
        <v>0.982786357786358</v>
      </c>
      <c r="Q210" s="15" t="n">
        <f aca="false">IF(J210*O210&gt;0,N210/(O210*J210),0)</f>
        <v>0.916978228842691</v>
      </c>
      <c r="R210" s="15" t="n">
        <f aca="false">IF(N210&gt;0,L210/N210,0)</f>
        <v>0.984475283628059</v>
      </c>
      <c r="S210" s="15" t="n">
        <f aca="false">P210*Q210*R210</f>
        <v>0.887202917202917</v>
      </c>
      <c r="T210" s="15" t="n">
        <f aca="false">IF(K210&gt;0,L210/K210,0)</f>
        <v>1.127104222274</v>
      </c>
      <c r="U210" s="10" t="n">
        <v>1639.1</v>
      </c>
      <c r="V210" s="5" t="n">
        <v>13</v>
      </c>
      <c r="W210" s="10" t="n">
        <v>124.6</v>
      </c>
      <c r="X210" s="15" t="n">
        <f aca="false">IF(U210&gt;0,W210/U210,0)</f>
        <v>0.0760173265816607</v>
      </c>
      <c r="Y210" s="12" t="n">
        <f aca="false">IF(U210&gt;0,L210/U210,0)</f>
        <v>504.684277957416</v>
      </c>
      <c r="Z210" s="16" t="n">
        <f aca="false">L210*INDEX(Parametros!$E$2:$E$9,MATCH($E210,Parametros!$A$2:$A$9,0))</f>
        <v>347435.76</v>
      </c>
      <c r="AA210" s="16" t="n">
        <f aca="false">Z210*INDEX(Parametros!$F$2:$F$9,MATCH($E210,Parametros!$A$2:$A$9,0))</f>
        <v>6948.7152</v>
      </c>
      <c r="AB210" s="17" t="n">
        <f aca="false">Z210+AA210</f>
        <v>354384.4752</v>
      </c>
      <c r="AC210" s="18" t="n">
        <v>356686.53</v>
      </c>
      <c r="AD210" s="17" t="n">
        <f aca="false">AC210-AB210</f>
        <v>2302.05480000004</v>
      </c>
      <c r="AE210" s="17" t="n">
        <f aca="false">AA210+AD210</f>
        <v>9250.77000000004</v>
      </c>
      <c r="AF210" s="19" t="n">
        <f aca="false">IF(Z210&gt;0,AE210/Z210,0)</f>
        <v>0.0266258430047616</v>
      </c>
      <c r="AG210" s="16" t="n">
        <f aca="false">(U210-W210)*INDEX(Parametros!$H$2:$H$9,MATCH($E210,Parametros!$A$2:$A$9,0))+W210*INDEX(Parametros!$H$2:$H$9,MATCH($E210,Parametros!$A$2:$A$9,0))*Parametros!$N$3</f>
        <v>53594.1</v>
      </c>
      <c r="AH210" s="13" t="n">
        <v>41649</v>
      </c>
      <c r="AI210" s="16" t="n">
        <f aca="false">AH210*Parametros!$N$2</f>
        <v>3831.708</v>
      </c>
      <c r="AJ210" s="18" t="n">
        <v>11885</v>
      </c>
      <c r="AK210" s="18" t="n">
        <v>1592</v>
      </c>
      <c r="AL210" s="17" t="n">
        <f aca="false">AG210+AI210+AJ210+AK210</f>
        <v>70902.808</v>
      </c>
      <c r="AM210" s="20" t="n">
        <f aca="false">IF(L210&gt;0,AL210/L210,0)</f>
        <v>0.0857113250518599</v>
      </c>
      <c r="AN210" s="16" t="n">
        <f aca="false">L210*INDEX(Parametros!$G$2:$G$9,MATCH($E210,Parametros!$A$2:$A$9,0))</f>
        <v>587331.88</v>
      </c>
      <c r="AO210" s="17" t="n">
        <f aca="false">AN210-AC210-AL210</f>
        <v>159742.542</v>
      </c>
      <c r="AP210" s="15" t="n">
        <f aca="false">IF(AN210&gt;0,AO210/AN210,0)</f>
        <v>0.271980029417099</v>
      </c>
      <c r="AQ210" s="16" t="n">
        <f aca="false">INDEX(Parametros!$I$2:$I$9,MATCH($E210,Parametros!$A$2:$A$9,0))</f>
        <v>29300000</v>
      </c>
      <c r="AR210" s="19" t="n">
        <f aca="false">IF(AQ210&gt;0,AO210/AQ210,0)</f>
        <v>0.00545196389078498</v>
      </c>
    </row>
    <row r="211" customFormat="false" ht="15" hidden="false" customHeight="false" outlineLevel="0" collapsed="false">
      <c r="A211" s="5" t="s">
        <v>346</v>
      </c>
      <c r="B211" s="9" t="n">
        <v>45733</v>
      </c>
      <c r="C211" s="2" t="str">
        <f aca="false">TEXT(B211,"yyyy")</f>
        <v>2025</v>
      </c>
      <c r="D211" s="2" t="n">
        <f aca="false">WEEKNUM(B211,2)</f>
        <v>12</v>
      </c>
      <c r="E211" s="5" t="s">
        <v>132</v>
      </c>
      <c r="F211" s="6" t="str">
        <f aca="false">INDEX(Parametros!$B$2:$B$9,MATCH($E211,Parametros!$A$2:$A$9,0))</f>
        <v>Mayonesa frasco</v>
      </c>
      <c r="G211" s="10" t="n">
        <v>100.4</v>
      </c>
      <c r="H211" s="10" t="n">
        <v>9.9</v>
      </c>
      <c r="I211" s="11" t="n">
        <f aca="false">SUMIFS(Eventos_Paro!$J$2:$J$2186,Eventos_Paro!$D$2:$D$2186,$E211,Eventos_Paro!$B$2:$B$2186,$B211)</f>
        <v>0.233333333333333</v>
      </c>
      <c r="J211" s="12" t="n">
        <f aca="false">G211-H211-I211</f>
        <v>90.2666666666667</v>
      </c>
      <c r="K211" s="13" t="n">
        <v>463042</v>
      </c>
      <c r="L211" s="13" t="n">
        <v>490856</v>
      </c>
      <c r="M211" s="13" t="n">
        <v>11354</v>
      </c>
      <c r="N211" s="14" t="n">
        <f aca="false">L211+M211</f>
        <v>502210</v>
      </c>
      <c r="O211" s="11" t="n">
        <f aca="false">INDEX(Parametros!$D$2:$D$9,MATCH($E211,Parametros!$A$2:$A$9,0))</f>
        <v>6500</v>
      </c>
      <c r="P211" s="15" t="n">
        <f aca="false">IF((G211-H211)&gt;0,J211/(G211-H211),0)</f>
        <v>0.997421731123389</v>
      </c>
      <c r="Q211" s="15" t="n">
        <f aca="false">IF(J211*O211&gt;0,N211/(O211*J211),0)</f>
        <v>0.855942506533349</v>
      </c>
      <c r="R211" s="15" t="n">
        <f aca="false">IF(N211&gt;0,L211/N211,0)</f>
        <v>0.977391927679656</v>
      </c>
      <c r="S211" s="15" t="n">
        <f aca="false">P211*Q211*R211</f>
        <v>0.834434339141521</v>
      </c>
      <c r="T211" s="15" t="n">
        <f aca="false">IF(K211&gt;0,L211/K211,0)</f>
        <v>1.06006798519357</v>
      </c>
      <c r="U211" s="10" t="n">
        <v>1277.8</v>
      </c>
      <c r="V211" s="5" t="n">
        <v>12</v>
      </c>
      <c r="W211" s="10" t="n">
        <v>73</v>
      </c>
      <c r="X211" s="15" t="n">
        <f aca="false">IF(U211&gt;0,W211/U211,0)</f>
        <v>0.0571294412271091</v>
      </c>
      <c r="Y211" s="12" t="n">
        <f aca="false">IF(U211&gt;0,L211/U211,0)</f>
        <v>384.141493191423</v>
      </c>
      <c r="Z211" s="16" t="n">
        <f aca="false">L211*INDEX(Parametros!$E$2:$E$9,MATCH($E211,Parametros!$A$2:$A$9,0))</f>
        <v>299422.16</v>
      </c>
      <c r="AA211" s="16" t="n">
        <f aca="false">Z211*INDEX(Parametros!$F$2:$F$9,MATCH($E211,Parametros!$A$2:$A$9,0))</f>
        <v>7485.554</v>
      </c>
      <c r="AB211" s="17" t="n">
        <f aca="false">Z211+AA211</f>
        <v>306907.714</v>
      </c>
      <c r="AC211" s="18" t="n">
        <v>307432.49</v>
      </c>
      <c r="AD211" s="17" t="n">
        <f aca="false">AC211-AB211</f>
        <v>524.776000000013</v>
      </c>
      <c r="AE211" s="17" t="n">
        <f aca="false">AA211+AD211</f>
        <v>8010.33000000001</v>
      </c>
      <c r="AF211" s="19" t="n">
        <f aca="false">IF(Z211&gt;0,AE211/Z211,0)</f>
        <v>0.026752629130723</v>
      </c>
      <c r="AG211" s="16" t="n">
        <f aca="false">(U211-W211)*INDEX(Parametros!$H$2:$H$9,MATCH($E211,Parametros!$A$2:$A$9,0))+W211*INDEX(Parametros!$H$2:$H$9,MATCH($E211,Parametros!$A$2:$A$9,0))*Parametros!$N$3</f>
        <v>41400.45</v>
      </c>
      <c r="AH211" s="13" t="n">
        <v>26432</v>
      </c>
      <c r="AI211" s="16" t="n">
        <f aca="false">AH211*Parametros!$N$2</f>
        <v>2431.744</v>
      </c>
      <c r="AJ211" s="18" t="n">
        <v>14204</v>
      </c>
      <c r="AK211" s="18" t="n">
        <v>204</v>
      </c>
      <c r="AL211" s="17" t="n">
        <f aca="false">AG211+AI211+AJ211+AK211</f>
        <v>58240.194</v>
      </c>
      <c r="AM211" s="20" t="n">
        <f aca="false">IF(L211&gt;0,AL211/L211,0)</f>
        <v>0.118650264028554</v>
      </c>
      <c r="AN211" s="16" t="n">
        <f aca="false">L211*INDEX(Parametros!$G$2:$G$9,MATCH($E211,Parametros!$A$2:$A$9,0))</f>
        <v>471221.76</v>
      </c>
      <c r="AO211" s="17" t="n">
        <f aca="false">AN211-AC211-AL211</f>
        <v>105549.076</v>
      </c>
      <c r="AP211" s="15" t="n">
        <f aca="false">IF(AN211&gt;0,AO211/AN211,0)</f>
        <v>0.223990241876776</v>
      </c>
      <c r="AQ211" s="16" t="n">
        <f aca="false">INDEX(Parametros!$I$2:$I$9,MATCH($E211,Parametros!$A$2:$A$9,0))</f>
        <v>29700000</v>
      </c>
      <c r="AR211" s="19" t="n">
        <f aca="false">IF(AQ211&gt;0,AO211/AQ211,0)</f>
        <v>0.00355384094276094</v>
      </c>
    </row>
    <row r="212" customFormat="false" ht="15" hidden="false" customHeight="false" outlineLevel="0" collapsed="false">
      <c r="A212" s="5" t="s">
        <v>347</v>
      </c>
      <c r="B212" s="9" t="n">
        <v>45733</v>
      </c>
      <c r="C212" s="2" t="str">
        <f aca="false">TEXT(B212,"yyyy")</f>
        <v>2025</v>
      </c>
      <c r="D212" s="2" t="n">
        <f aca="false">WEEKNUM(B212,2)</f>
        <v>12</v>
      </c>
      <c r="E212" s="5" t="s">
        <v>134</v>
      </c>
      <c r="F212" s="6" t="str">
        <f aca="false">INDEX(Parametros!$B$2:$B$9,MATCH($E212,Parametros!$A$2:$A$9,0))</f>
        <v>Aderezos vertibles</v>
      </c>
      <c r="G212" s="10" t="n">
        <v>116.1</v>
      </c>
      <c r="H212" s="10" t="n">
        <v>9.9</v>
      </c>
      <c r="I212" s="11" t="n">
        <f aca="false">SUMIFS(Eventos_Paro!$J$2:$J$2186,Eventos_Paro!$D$2:$D$2186,$E212,Eventos_Paro!$B$2:$B$2186,$B212)</f>
        <v>2.98333333333333</v>
      </c>
      <c r="J212" s="12" t="n">
        <f aca="false">G212-H212-I212</f>
        <v>103.216666666667</v>
      </c>
      <c r="K212" s="13" t="n">
        <v>434697</v>
      </c>
      <c r="L212" s="13" t="n">
        <v>418647</v>
      </c>
      <c r="M212" s="13" t="n">
        <v>14393</v>
      </c>
      <c r="N212" s="14" t="n">
        <f aca="false">L212+M212</f>
        <v>433040</v>
      </c>
      <c r="O212" s="11" t="n">
        <f aca="false">INDEX(Parametros!$D$2:$D$9,MATCH($E212,Parametros!$A$2:$A$9,0))</f>
        <v>5200</v>
      </c>
      <c r="P212" s="15" t="n">
        <f aca="false">IF((G212-H212)&gt;0,J212/(G212-H212),0)</f>
        <v>0.971908349026993</v>
      </c>
      <c r="Q212" s="15" t="n">
        <f aca="false">IF(J212*O212&gt;0,N212/(O212*J212),0)</f>
        <v>0.806816629196736</v>
      </c>
      <c r="R212" s="15" t="n">
        <f aca="false">IF(N212&gt;0,L212/N212,0)</f>
        <v>0.966762885645668</v>
      </c>
      <c r="S212" s="15" t="n">
        <f aca="false">P212*Q212*R212</f>
        <v>0.758088874402434</v>
      </c>
      <c r="T212" s="15" t="n">
        <f aca="false">IF(K212&gt;0,L212/K212,0)</f>
        <v>0.963077730005038</v>
      </c>
      <c r="U212" s="10" t="n">
        <v>1724.6</v>
      </c>
      <c r="V212" s="5" t="n">
        <v>14</v>
      </c>
      <c r="W212" s="10" t="n">
        <v>99.2</v>
      </c>
      <c r="X212" s="15" t="n">
        <f aca="false">IF(U212&gt;0,W212/U212,0)</f>
        <v>0.0575205844833585</v>
      </c>
      <c r="Y212" s="12" t="n">
        <f aca="false">IF(U212&gt;0,L212/U212,0)</f>
        <v>242.750202945611</v>
      </c>
      <c r="Z212" s="16" t="n">
        <f aca="false">L212*INDEX(Parametros!$E$2:$E$9,MATCH($E212,Parametros!$A$2:$A$9,0))</f>
        <v>230255.85</v>
      </c>
      <c r="AA212" s="16" t="n">
        <f aca="false">Z212*INDEX(Parametros!$F$2:$F$9,MATCH($E212,Parametros!$A$2:$A$9,0))</f>
        <v>6907.6755</v>
      </c>
      <c r="AB212" s="17" t="n">
        <f aca="false">Z212+AA212</f>
        <v>237163.5255</v>
      </c>
      <c r="AC212" s="18" t="n">
        <v>237638.06</v>
      </c>
      <c r="AD212" s="17" t="n">
        <f aca="false">AC212-AB212</f>
        <v>474.53449999998</v>
      </c>
      <c r="AE212" s="17" t="n">
        <f aca="false">AA212+AD212</f>
        <v>7382.20999999998</v>
      </c>
      <c r="AF212" s="19" t="n">
        <f aca="false">IF(Z212&gt;0,AE212/Z212,0)</f>
        <v>0.0320609009499649</v>
      </c>
      <c r="AG212" s="16" t="n">
        <f aca="false">(U212-W212)*INDEX(Parametros!$H$2:$H$9,MATCH($E212,Parametros!$A$2:$A$9,0))+W212*INDEX(Parametros!$H$2:$H$9,MATCH($E212,Parametros!$A$2:$A$9,0))*Parametros!$N$3</f>
        <v>55887.3</v>
      </c>
      <c r="AH212" s="13" t="n">
        <v>20894</v>
      </c>
      <c r="AI212" s="16" t="n">
        <f aca="false">AH212*Parametros!$N$2</f>
        <v>1922.248</v>
      </c>
      <c r="AJ212" s="18" t="n">
        <v>12044</v>
      </c>
      <c r="AK212" s="18" t="n">
        <v>2535</v>
      </c>
      <c r="AL212" s="17" t="n">
        <f aca="false">AG212+AI212+AJ212+AK212</f>
        <v>72388.548</v>
      </c>
      <c r="AM212" s="20" t="n">
        <f aca="false">IF(L212&gt;0,AL212/L212,0)</f>
        <v>0.172910705200324</v>
      </c>
      <c r="AN212" s="16" t="n">
        <f aca="false">L212*INDEX(Parametros!$G$2:$G$9,MATCH($E212,Parametros!$A$2:$A$9,0))</f>
        <v>427019.94</v>
      </c>
      <c r="AO212" s="17" t="n">
        <f aca="false">AN212-AC212-AL212</f>
        <v>116993.332</v>
      </c>
      <c r="AP212" s="15" t="n">
        <f aca="false">IF(AN212&gt;0,AO212/AN212,0)</f>
        <v>0.273976273801172</v>
      </c>
      <c r="AQ212" s="16" t="n">
        <f aca="false">INDEX(Parametros!$I$2:$I$9,MATCH($E212,Parametros!$A$2:$A$9,0))</f>
        <v>19300000</v>
      </c>
      <c r="AR212" s="19" t="n">
        <f aca="false">IF(AQ212&gt;0,AO212/AQ212,0)</f>
        <v>0.00606183067357513</v>
      </c>
    </row>
    <row r="213" customFormat="false" ht="15" hidden="false" customHeight="false" outlineLevel="0" collapsed="false">
      <c r="A213" s="5" t="s">
        <v>348</v>
      </c>
      <c r="B213" s="9" t="n">
        <v>45733</v>
      </c>
      <c r="C213" s="2" t="str">
        <f aca="false">TEXT(B213,"yyyy")</f>
        <v>2025</v>
      </c>
      <c r="D213" s="2" t="n">
        <f aca="false">WEEKNUM(B213,2)</f>
        <v>12</v>
      </c>
      <c r="E213" s="5" t="s">
        <v>136</v>
      </c>
      <c r="F213" s="6" t="str">
        <f aca="false">INDEX(Parametros!$B$2:$B$9,MATCH($E213,Parametros!$A$2:$A$9,0))</f>
        <v>Salsa BBQ</v>
      </c>
      <c r="G213" s="10" t="n">
        <v>96.9</v>
      </c>
      <c r="H213" s="10" t="n">
        <v>10.2</v>
      </c>
      <c r="I213" s="11" t="n">
        <f aca="false">SUMIFS(Eventos_Paro!$J$2:$J$2186,Eventos_Paro!$D$2:$D$2186,$E213,Eventos_Paro!$B$2:$B$2186,$B213)</f>
        <v>2.36666666666667</v>
      </c>
      <c r="J213" s="12" t="n">
        <f aca="false">G213-H213-I213</f>
        <v>84.3333333333333</v>
      </c>
      <c r="K213" s="13" t="n">
        <v>308868</v>
      </c>
      <c r="L213" s="13" t="n">
        <v>347076</v>
      </c>
      <c r="M213" s="13" t="n">
        <v>10882</v>
      </c>
      <c r="N213" s="14" t="n">
        <f aca="false">L213+M213</f>
        <v>357958</v>
      </c>
      <c r="O213" s="11" t="n">
        <f aca="false">INDEX(Parametros!$D$2:$D$9,MATCH($E213,Parametros!$A$2:$A$9,0))</f>
        <v>4800</v>
      </c>
      <c r="P213" s="15" t="n">
        <f aca="false">IF((G213-H213)&gt;0,J213/(G213-H213),0)</f>
        <v>0.972702806612841</v>
      </c>
      <c r="Q213" s="15" t="n">
        <f aca="false">IF(J213*O213&gt;0,N213/(O213*J213),0)</f>
        <v>0.884283596837945</v>
      </c>
      <c r="R213" s="15" t="n">
        <f aca="false">IF(N213&gt;0,L213/N213,0)</f>
        <v>0.96959978544969</v>
      </c>
      <c r="S213" s="15" t="n">
        <f aca="false">P213*Q213*R213</f>
        <v>0.833996539792388</v>
      </c>
      <c r="T213" s="15" t="n">
        <f aca="false">IF(K213&gt;0,L213/K213,0)</f>
        <v>1.12370332957768</v>
      </c>
      <c r="U213" s="10" t="n">
        <v>1030.7</v>
      </c>
      <c r="V213" s="5" t="n">
        <v>10</v>
      </c>
      <c r="W213" s="10" t="n">
        <v>61.7</v>
      </c>
      <c r="X213" s="15" t="n">
        <f aca="false">IF(U213&gt;0,W213/U213,0)</f>
        <v>0.0598622295527312</v>
      </c>
      <c r="Y213" s="12" t="n">
        <f aca="false">IF(U213&gt;0,L213/U213,0)</f>
        <v>336.738139128747</v>
      </c>
      <c r="Z213" s="16" t="n">
        <f aca="false">L213*INDEX(Parametros!$E$2:$E$9,MATCH($E213,Parametros!$A$2:$A$9,0))</f>
        <v>201304.08</v>
      </c>
      <c r="AA213" s="16" t="n">
        <f aca="false">Z213*INDEX(Parametros!$F$2:$F$9,MATCH($E213,Parametros!$A$2:$A$9,0))</f>
        <v>5636.51424</v>
      </c>
      <c r="AB213" s="17" t="n">
        <f aca="false">Z213+AA213</f>
        <v>206940.59424</v>
      </c>
      <c r="AC213" s="18" t="n">
        <v>211734.01</v>
      </c>
      <c r="AD213" s="17" t="n">
        <f aca="false">AC213-AB213</f>
        <v>4793.41576000003</v>
      </c>
      <c r="AE213" s="17" t="n">
        <f aca="false">AA213+AD213</f>
        <v>10429.93</v>
      </c>
      <c r="AF213" s="19" t="n">
        <f aca="false">IF(Z213&gt;0,AE213/Z213,0)</f>
        <v>0.0518118162334317</v>
      </c>
      <c r="AG213" s="16" t="n">
        <f aca="false">(U213-W213)*INDEX(Parametros!$H$2:$H$9,MATCH($E213,Parametros!$A$2:$A$9,0))+W213*INDEX(Parametros!$H$2:$H$9,MATCH($E213,Parametros!$A$2:$A$9,0))*Parametros!$N$3</f>
        <v>33438.825</v>
      </c>
      <c r="AH213" s="13" t="n">
        <v>17898</v>
      </c>
      <c r="AI213" s="16" t="n">
        <f aca="false">AH213*Parametros!$N$2</f>
        <v>1646.616</v>
      </c>
      <c r="AJ213" s="18" t="n">
        <v>8594</v>
      </c>
      <c r="AK213" s="18" t="n">
        <v>2944</v>
      </c>
      <c r="AL213" s="17" t="n">
        <f aca="false">AG213+AI213+AJ213+AK213</f>
        <v>46623.441</v>
      </c>
      <c r="AM213" s="20" t="n">
        <f aca="false">IF(L213&gt;0,AL213/L213,0)</f>
        <v>0.134332080005532</v>
      </c>
      <c r="AN213" s="16" t="n">
        <f aca="false">L213*INDEX(Parametros!$G$2:$G$9,MATCH($E213,Parametros!$A$2:$A$9,0))</f>
        <v>340134.48</v>
      </c>
      <c r="AO213" s="17" t="n">
        <f aca="false">AN213-AC213-AL213</f>
        <v>81777.029</v>
      </c>
      <c r="AP213" s="15" t="n">
        <f aca="false">IF(AN213&gt;0,AO213/AN213,0)</f>
        <v>0.240425578141916</v>
      </c>
      <c r="AQ213" s="16" t="n">
        <f aca="false">INDEX(Parametros!$I$2:$I$9,MATCH($E213,Parametros!$A$2:$A$9,0))</f>
        <v>17000000</v>
      </c>
      <c r="AR213" s="19" t="n">
        <f aca="false">IF(AQ213&gt;0,AO213/AQ213,0)</f>
        <v>0.00481041347058823</v>
      </c>
    </row>
    <row r="214" customFormat="false" ht="15" hidden="false" customHeight="false" outlineLevel="0" collapsed="false">
      <c r="A214" s="5" t="s">
        <v>349</v>
      </c>
      <c r="B214" s="9" t="n">
        <v>45733</v>
      </c>
      <c r="C214" s="2" t="str">
        <f aca="false">TEXT(B214,"yyyy")</f>
        <v>2025</v>
      </c>
      <c r="D214" s="2" t="n">
        <f aca="false">WEEKNUM(B214,2)</f>
        <v>12</v>
      </c>
      <c r="E214" s="5" t="s">
        <v>138</v>
      </c>
      <c r="F214" s="6" t="str">
        <f aca="false">INDEX(Parametros!$B$2:$B$9,MATCH($E214,Parametros!$A$2:$A$9,0))</f>
        <v>Queso crema</v>
      </c>
      <c r="G214" s="10" t="n">
        <v>113.6</v>
      </c>
      <c r="H214" s="10" t="n">
        <v>9.3</v>
      </c>
      <c r="I214" s="11" t="n">
        <f aca="false">SUMIFS(Eventos_Paro!$J$2:$J$2186,Eventos_Paro!$D$2:$D$2186,$E214,Eventos_Paro!$B$2:$B$2186,$B214)</f>
        <v>6.63333333333333</v>
      </c>
      <c r="J214" s="12" t="n">
        <f aca="false">G214-H214-I214</f>
        <v>97.6666666666667</v>
      </c>
      <c r="K214" s="13" t="n">
        <v>311980</v>
      </c>
      <c r="L214" s="13" t="n">
        <v>288827</v>
      </c>
      <c r="M214" s="13" t="n">
        <v>11667</v>
      </c>
      <c r="N214" s="14" t="n">
        <f aca="false">L214+M214</f>
        <v>300494</v>
      </c>
      <c r="O214" s="11" t="n">
        <f aca="false">INDEX(Parametros!$D$2:$D$9,MATCH($E214,Parametros!$A$2:$A$9,0))</f>
        <v>3800</v>
      </c>
      <c r="P214" s="15" t="n">
        <f aca="false">IF((G214-H214)&gt;0,J214/(G214-H214),0)</f>
        <v>0.936401406200064</v>
      </c>
      <c r="Q214" s="15" t="n">
        <f aca="false">IF(J214*O214&gt;0,N214/(O214*J214),0)</f>
        <v>0.809665888270164</v>
      </c>
      <c r="R214" s="15" t="n">
        <f aca="false">IF(N214&gt;0,L214/N214,0)</f>
        <v>0.961173933589356</v>
      </c>
      <c r="S214" s="15" t="n">
        <f aca="false">P214*Q214*R214</f>
        <v>0.728735429176969</v>
      </c>
      <c r="T214" s="15" t="n">
        <f aca="false">IF(K214&gt;0,L214/K214,0)</f>
        <v>0.92578690941727</v>
      </c>
      <c r="U214" s="10" t="n">
        <v>1833.3</v>
      </c>
      <c r="V214" s="5" t="n">
        <v>15</v>
      </c>
      <c r="W214" s="10" t="n">
        <v>129.3</v>
      </c>
      <c r="X214" s="15" t="n">
        <f aca="false">IF(U214&gt;0,W214/U214,0)</f>
        <v>0.0705285550646376</v>
      </c>
      <c r="Y214" s="12" t="n">
        <f aca="false">IF(U214&gt;0,L214/U214,0)</f>
        <v>157.544864452081</v>
      </c>
      <c r="Z214" s="16" t="n">
        <f aca="false">L214*INDEX(Parametros!$E$2:$E$9,MATCH($E214,Parametros!$A$2:$A$9,0))</f>
        <v>323486.24</v>
      </c>
      <c r="AA214" s="16" t="n">
        <f aca="false">Z214*INDEX(Parametros!$F$2:$F$9,MATCH($E214,Parametros!$A$2:$A$9,0))</f>
        <v>11322.0184</v>
      </c>
      <c r="AB214" s="17" t="n">
        <f aca="false">Z214+AA214</f>
        <v>334808.2584</v>
      </c>
      <c r="AC214" s="18" t="n">
        <v>335824.32</v>
      </c>
      <c r="AD214" s="17" t="n">
        <f aca="false">AC214-AB214</f>
        <v>1016.06159999996</v>
      </c>
      <c r="AE214" s="17" t="n">
        <f aca="false">AA214+AD214</f>
        <v>12338.08</v>
      </c>
      <c r="AF214" s="19" t="n">
        <f aca="false">IF(Z214&gt;0,AE214/Z214,0)</f>
        <v>0.038140973167823</v>
      </c>
      <c r="AG214" s="16" t="n">
        <f aca="false">(U214-W214)*INDEX(Parametros!$H$2:$H$9,MATCH($E214,Parametros!$A$2:$A$9,0))+W214*INDEX(Parametros!$H$2:$H$9,MATCH($E214,Parametros!$A$2:$A$9,0))*Parametros!$N$3</f>
        <v>62632.35</v>
      </c>
      <c r="AH214" s="13" t="n">
        <v>15557</v>
      </c>
      <c r="AI214" s="16" t="n">
        <f aca="false">AH214*Parametros!$N$2</f>
        <v>1431.244</v>
      </c>
      <c r="AJ214" s="18" t="n">
        <v>19082</v>
      </c>
      <c r="AK214" s="18" t="n">
        <v>3989</v>
      </c>
      <c r="AL214" s="17" t="n">
        <f aca="false">AG214+AI214+AJ214+AK214</f>
        <v>87134.594</v>
      </c>
      <c r="AM214" s="20" t="n">
        <f aca="false">IF(L214&gt;0,AL214/L214,0)</f>
        <v>0.301684378538018</v>
      </c>
      <c r="AN214" s="16" t="n">
        <f aca="false">L214*INDEX(Parametros!$G$2:$G$9,MATCH($E214,Parametros!$A$2:$A$9,0))</f>
        <v>517000.33</v>
      </c>
      <c r="AO214" s="17" t="n">
        <f aca="false">AN214-AC214-AL214</f>
        <v>94041.416</v>
      </c>
      <c r="AP214" s="15" t="n">
        <f aca="false">IF(AN214&gt;0,AO214/AN214,0)</f>
        <v>0.181898174030179</v>
      </c>
      <c r="AQ214" s="16" t="n">
        <f aca="false">INDEX(Parametros!$I$2:$I$9,MATCH($E214,Parametros!$A$2:$A$9,0))</f>
        <v>33200000</v>
      </c>
      <c r="AR214" s="19" t="n">
        <f aca="false">IF(AQ214&gt;0,AO214/AQ214,0)</f>
        <v>0.00283257277108434</v>
      </c>
    </row>
    <row r="215" customFormat="false" ht="15" hidden="false" customHeight="false" outlineLevel="0" collapsed="false">
      <c r="A215" s="5" t="s">
        <v>350</v>
      </c>
      <c r="B215" s="9" t="n">
        <v>45733</v>
      </c>
      <c r="C215" s="2" t="str">
        <f aca="false">TEXT(B215,"yyyy")</f>
        <v>2025</v>
      </c>
      <c r="D215" s="2" t="n">
        <f aca="false">WEEKNUM(B215,2)</f>
        <v>12</v>
      </c>
      <c r="E215" s="5" t="s">
        <v>140</v>
      </c>
      <c r="F215" s="6" t="str">
        <f aca="false">INDEX(Parametros!$B$2:$B$9,MATCH($E215,Parametros!$A$2:$A$9,0))</f>
        <v>Crema de cacahuate</v>
      </c>
      <c r="G215" s="10" t="n">
        <v>113</v>
      </c>
      <c r="H215" s="10" t="n">
        <v>10.6</v>
      </c>
      <c r="I215" s="11" t="n">
        <f aca="false">SUMIFS(Eventos_Paro!$J$2:$J$2186,Eventos_Paro!$D$2:$D$2186,$E215,Eventos_Paro!$B$2:$B$2186,$B215)</f>
        <v>0</v>
      </c>
      <c r="J215" s="12" t="n">
        <f aca="false">G215-H215-I215</f>
        <v>102.4</v>
      </c>
      <c r="K215" s="13" t="n">
        <v>338538</v>
      </c>
      <c r="L215" s="13" t="n">
        <v>367312</v>
      </c>
      <c r="M215" s="13" t="n">
        <v>6743</v>
      </c>
      <c r="N215" s="14" t="n">
        <f aca="false">L215+M215</f>
        <v>374055</v>
      </c>
      <c r="O215" s="11" t="n">
        <f aca="false">INDEX(Parametros!$D$2:$D$9,MATCH($E215,Parametros!$A$2:$A$9,0))</f>
        <v>4200</v>
      </c>
      <c r="P215" s="15" t="n">
        <f aca="false">IF((G215-H215)&gt;0,J215/(G215-H215),0)</f>
        <v>1</v>
      </c>
      <c r="Q215" s="15" t="n">
        <f aca="false">IF(J215*O215&gt;0,N215/(O215*J215),0)</f>
        <v>0.869733537946429</v>
      </c>
      <c r="R215" s="15" t="n">
        <f aca="false">IF(N215&gt;0,L215/N215,0)</f>
        <v>0.981973239229525</v>
      </c>
      <c r="S215" s="15" t="n">
        <f aca="false">P215*Q215*R215</f>
        <v>0.85405505952381</v>
      </c>
      <c r="T215" s="15" t="n">
        <f aca="false">IF(K215&gt;0,L215/K215,0)</f>
        <v>1.08499488979081</v>
      </c>
      <c r="U215" s="10" t="n">
        <v>1506</v>
      </c>
      <c r="V215" s="5" t="n">
        <v>13</v>
      </c>
      <c r="W215" s="10" t="n">
        <v>37</v>
      </c>
      <c r="X215" s="15" t="n">
        <f aca="false">IF(U215&gt;0,W215/U215,0)</f>
        <v>0.0245683930942895</v>
      </c>
      <c r="Y215" s="12" t="n">
        <f aca="false">IF(U215&gt;0,L215/U215,0)</f>
        <v>243.899070385126</v>
      </c>
      <c r="Z215" s="16" t="n">
        <f aca="false">L215*INDEX(Parametros!$E$2:$E$9,MATCH($E215,Parametros!$A$2:$A$9,0))</f>
        <v>356292.64</v>
      </c>
      <c r="AA215" s="16" t="n">
        <f aca="false">Z215*INDEX(Parametros!$F$2:$F$9,MATCH($E215,Parametros!$A$2:$A$9,0))</f>
        <v>7838.43808</v>
      </c>
      <c r="AB215" s="17" t="n">
        <f aca="false">Z215+AA215</f>
        <v>364131.07808</v>
      </c>
      <c r="AC215" s="18" t="n">
        <v>367794.26</v>
      </c>
      <c r="AD215" s="17" t="n">
        <f aca="false">AC215-AB215</f>
        <v>3663.18192</v>
      </c>
      <c r="AE215" s="17" t="n">
        <f aca="false">AA215+AD215</f>
        <v>11501.62</v>
      </c>
      <c r="AF215" s="19" t="n">
        <f aca="false">IF(Z215&gt;0,AE215/Z215,0)</f>
        <v>0.0322813853241538</v>
      </c>
      <c r="AG215" s="16" t="n">
        <f aca="false">(U215-W215)*INDEX(Parametros!$H$2:$H$9,MATCH($E215,Parametros!$A$2:$A$9,0))+W215*INDEX(Parametros!$H$2:$H$9,MATCH($E215,Parametros!$A$2:$A$9,0))*Parametros!$N$3</f>
        <v>48021.75</v>
      </c>
      <c r="AH215" s="13" t="n">
        <v>18717</v>
      </c>
      <c r="AI215" s="16" t="n">
        <f aca="false">AH215*Parametros!$N$2</f>
        <v>1721.964</v>
      </c>
      <c r="AJ215" s="18" t="n">
        <v>13317</v>
      </c>
      <c r="AK215" s="18" t="n">
        <v>0</v>
      </c>
      <c r="AL215" s="17" t="n">
        <f aca="false">AG215+AI215+AJ215+AK215</f>
        <v>63060.714</v>
      </c>
      <c r="AM215" s="20" t="n">
        <f aca="false">IF(L215&gt;0,AL215/L215,0)</f>
        <v>0.171681605828288</v>
      </c>
      <c r="AN215" s="16" t="n">
        <f aca="false">L215*INDEX(Parametros!$G$2:$G$9,MATCH($E215,Parametros!$A$2:$A$9,0))</f>
        <v>595045.44</v>
      </c>
      <c r="AO215" s="17" t="n">
        <f aca="false">AN215-AC215-AL215</f>
        <v>164190.466</v>
      </c>
      <c r="AP215" s="15" t="n">
        <f aca="false">IF(AN215&gt;0,AO215/AN215,0)</f>
        <v>0.275929290374866</v>
      </c>
      <c r="AQ215" s="16" t="n">
        <f aca="false">INDEX(Parametros!$I$2:$I$9,MATCH($E215,Parametros!$A$2:$A$9,0))</f>
        <v>28000000</v>
      </c>
      <c r="AR215" s="19" t="n">
        <f aca="false">IF(AQ215&gt;0,AO215/AQ215,0)</f>
        <v>0.00586394521428572</v>
      </c>
    </row>
    <row r="216" customFormat="false" ht="15" hidden="false" customHeight="false" outlineLevel="0" collapsed="false">
      <c r="A216" s="5" t="s">
        <v>351</v>
      </c>
      <c r="B216" s="9" t="n">
        <v>45733</v>
      </c>
      <c r="C216" s="2" t="str">
        <f aca="false">TEXT(B216,"yyyy")</f>
        <v>2025</v>
      </c>
      <c r="D216" s="2" t="n">
        <f aca="false">WEEKNUM(B216,2)</f>
        <v>12</v>
      </c>
      <c r="E216" s="5" t="s">
        <v>142</v>
      </c>
      <c r="F216" s="6" t="str">
        <f aca="false">INDEX(Parametros!$B$2:$B$9,MATCH($E216,Parametros!$A$2:$A$9,0))</f>
        <v>Porciones single serve</v>
      </c>
      <c r="G216" s="10" t="n">
        <v>104.7</v>
      </c>
      <c r="H216" s="10" t="n">
        <v>9.4</v>
      </c>
      <c r="I216" s="11" t="n">
        <f aca="false">SUMIFS(Eventos_Paro!$J$2:$J$2186,Eventos_Paro!$D$2:$D$2186,$E216,Eventos_Paro!$B$2:$B$2186,$B216)</f>
        <v>1.25</v>
      </c>
      <c r="J216" s="12" t="n">
        <f aca="false">G216-H216-I216</f>
        <v>94.05</v>
      </c>
      <c r="K216" s="13" t="n">
        <v>195041</v>
      </c>
      <c r="L216" s="13" t="n">
        <v>164973</v>
      </c>
      <c r="M216" s="13" t="n">
        <v>11164</v>
      </c>
      <c r="N216" s="14" t="n">
        <f aca="false">L216+M216</f>
        <v>176137</v>
      </c>
      <c r="O216" s="11" t="n">
        <f aca="false">INDEX(Parametros!$D$2:$D$9,MATCH($E216,Parametros!$A$2:$A$9,0))</f>
        <v>2600</v>
      </c>
      <c r="P216" s="15" t="n">
        <f aca="false">IF((G216-H216)&gt;0,J216/(G216-H216),0)</f>
        <v>0.98688352570829</v>
      </c>
      <c r="Q216" s="15" t="n">
        <f aca="false">IF(J216*O216&gt;0,N216/(O216*J216),0)</f>
        <v>0.720308346624136</v>
      </c>
      <c r="R216" s="15" t="n">
        <f aca="false">IF(N216&gt;0,L216/N216,0)</f>
        <v>0.93661751931735</v>
      </c>
      <c r="S216" s="15" t="n">
        <f aca="false">P216*Q216*R216</f>
        <v>0.66580434256195</v>
      </c>
      <c r="T216" s="15" t="n">
        <f aca="false">IF(K216&gt;0,L216/K216,0)</f>
        <v>0.845837541850175</v>
      </c>
      <c r="U216" s="10" t="n">
        <v>1526.6</v>
      </c>
      <c r="V216" s="5" t="n">
        <v>14</v>
      </c>
      <c r="W216" s="10" t="n">
        <v>60.8</v>
      </c>
      <c r="X216" s="15" t="n">
        <f aca="false">IF(U216&gt;0,W216/U216,0)</f>
        <v>0.0398270666841347</v>
      </c>
      <c r="Y216" s="12" t="n">
        <f aca="false">IF(U216&gt;0,L216/U216,0)</f>
        <v>108.065636053976</v>
      </c>
      <c r="Z216" s="16" t="n">
        <f aca="false">L216*INDEX(Parametros!$E$2:$E$9,MATCH($E216,Parametros!$A$2:$A$9,0))</f>
        <v>122080.02</v>
      </c>
      <c r="AA216" s="16" t="n">
        <f aca="false">Z216*INDEX(Parametros!$F$2:$F$9,MATCH($E216,Parametros!$A$2:$A$9,0))</f>
        <v>5493.6009</v>
      </c>
      <c r="AB216" s="17" t="n">
        <f aca="false">Z216+AA216</f>
        <v>127573.6209</v>
      </c>
      <c r="AC216" s="18" t="n">
        <v>125178.37</v>
      </c>
      <c r="AD216" s="17" t="n">
        <f aca="false">AC216-AB216</f>
        <v>-2395.25090000001</v>
      </c>
      <c r="AE216" s="17" t="n">
        <f aca="false">AA216+AD216</f>
        <v>3098.34999999999</v>
      </c>
      <c r="AF216" s="19" t="n">
        <f aca="false">IF(Z216&gt;0,AE216/Z216,0)</f>
        <v>0.0253796649115882</v>
      </c>
      <c r="AG216" s="16" t="n">
        <f aca="false">(U216-W216)*INDEX(Parametros!$H$2:$H$9,MATCH($E216,Parametros!$A$2:$A$9,0))+W216*INDEX(Parametros!$H$2:$H$9,MATCH($E216,Parametros!$A$2:$A$9,0))*Parametros!$N$3</f>
        <v>46710</v>
      </c>
      <c r="AH216" s="13" t="n">
        <v>9626</v>
      </c>
      <c r="AI216" s="16" t="n">
        <f aca="false">AH216*Parametros!$N$2</f>
        <v>885.592</v>
      </c>
      <c r="AJ216" s="18" t="n">
        <v>12808</v>
      </c>
      <c r="AK216" s="18" t="n">
        <v>1428</v>
      </c>
      <c r="AL216" s="17" t="n">
        <f aca="false">AG216+AI216+AJ216+AK216</f>
        <v>61831.592</v>
      </c>
      <c r="AM216" s="20" t="n">
        <f aca="false">IF(L216&gt;0,AL216/L216,0)</f>
        <v>0.374798251835149</v>
      </c>
      <c r="AN216" s="16" t="n">
        <f aca="false">L216*INDEX(Parametros!$G$2:$G$9,MATCH($E216,Parametros!$A$2:$A$9,0))</f>
        <v>283753.56</v>
      </c>
      <c r="AO216" s="17" t="n">
        <f aca="false">AN216-AC216-AL216</f>
        <v>96743.598</v>
      </c>
      <c r="AP216" s="15" t="n">
        <f aca="false">IF(AN216&gt;0,AO216/AN216,0)</f>
        <v>0.340942323331556</v>
      </c>
      <c r="AQ216" s="16" t="n">
        <f aca="false">INDEX(Parametros!$I$2:$I$9,MATCH($E216,Parametros!$A$2:$A$9,0))</f>
        <v>15900000</v>
      </c>
      <c r="AR216" s="19" t="n">
        <f aca="false">IF(AQ216&gt;0,AO216/AQ216,0)</f>
        <v>0.00608450301886792</v>
      </c>
    </row>
    <row r="217" customFormat="false" ht="15" hidden="false" customHeight="false" outlineLevel="0" collapsed="false">
      <c r="A217" s="5" t="s">
        <v>352</v>
      </c>
      <c r="B217" s="9" t="n">
        <v>45733</v>
      </c>
      <c r="C217" s="2" t="str">
        <f aca="false">TEXT(B217,"yyyy")</f>
        <v>2025</v>
      </c>
      <c r="D217" s="2" t="n">
        <f aca="false">WEEKNUM(B217,2)</f>
        <v>12</v>
      </c>
      <c r="E217" s="5" t="s">
        <v>144</v>
      </c>
      <c r="F217" s="6" t="str">
        <f aca="false">INDEX(Parametros!$B$2:$B$9,MATCH($E217,Parametros!$A$2:$A$9,0))</f>
        <v>Salsas picantes</v>
      </c>
      <c r="G217" s="10" t="n">
        <v>112.6</v>
      </c>
      <c r="H217" s="10" t="n">
        <v>11.8</v>
      </c>
      <c r="I217" s="11" t="n">
        <f aca="false">SUMIFS(Eventos_Paro!$J$2:$J$2186,Eventos_Paro!$D$2:$D$2186,$E217,Eventos_Paro!$B$2:$B$2186,$B217)</f>
        <v>3.63333333333333</v>
      </c>
      <c r="J217" s="12" t="n">
        <f aca="false">G217-H217-I217</f>
        <v>97.1666666666667</v>
      </c>
      <c r="K217" s="13" t="n">
        <v>255409</v>
      </c>
      <c r="L217" s="13" t="n">
        <v>248258</v>
      </c>
      <c r="M217" s="13" t="n">
        <v>6735</v>
      </c>
      <c r="N217" s="14" t="n">
        <f aca="false">L217+M217</f>
        <v>254993</v>
      </c>
      <c r="O217" s="11" t="n">
        <f aca="false">INDEX(Parametros!$D$2:$D$9,MATCH($E217,Parametros!$A$2:$A$9,0))</f>
        <v>3100</v>
      </c>
      <c r="P217" s="15" t="n">
        <f aca="false">IF((G217-H217)&gt;0,J217/(G217-H217),0)</f>
        <v>0.963955026455026</v>
      </c>
      <c r="Q217" s="15" t="n">
        <f aca="false">IF(J217*O217&gt;0,N217/(O217*J217),0)</f>
        <v>0.846543462623804</v>
      </c>
      <c r="R217" s="15" t="n">
        <f aca="false">IF(N217&gt;0,L217/N217,0)</f>
        <v>0.973587510245379</v>
      </c>
      <c r="S217" s="15" t="n">
        <f aca="false">P217*Q217*R217</f>
        <v>0.794476446492576</v>
      </c>
      <c r="T217" s="15" t="n">
        <f aca="false">IF(K217&gt;0,L217/K217,0)</f>
        <v>0.972001769710543</v>
      </c>
      <c r="U217" s="10" t="n">
        <v>1095.5</v>
      </c>
      <c r="V217" s="5" t="n">
        <v>9</v>
      </c>
      <c r="W217" s="10" t="n">
        <v>82.1</v>
      </c>
      <c r="X217" s="15" t="n">
        <f aca="false">IF(U217&gt;0,W217/U217,0)</f>
        <v>0.0749429484253765</v>
      </c>
      <c r="Y217" s="12" t="n">
        <f aca="false">IF(U217&gt;0,L217/U217,0)</f>
        <v>226.616157005933</v>
      </c>
      <c r="Z217" s="16" t="n">
        <f aca="false">L217*INDEX(Parametros!$E$2:$E$9,MATCH($E217,Parametros!$A$2:$A$9,0))</f>
        <v>163850.28</v>
      </c>
      <c r="AA217" s="16" t="n">
        <f aca="false">Z217*INDEX(Parametros!$F$2:$F$9,MATCH($E217,Parametros!$A$2:$A$9,0))</f>
        <v>4260.10728</v>
      </c>
      <c r="AB217" s="17" t="n">
        <f aca="false">Z217+AA217</f>
        <v>168110.38728</v>
      </c>
      <c r="AC217" s="18" t="n">
        <v>168830.42</v>
      </c>
      <c r="AD217" s="17" t="n">
        <f aca="false">AC217-AB217</f>
        <v>720.032720000017</v>
      </c>
      <c r="AE217" s="17" t="n">
        <f aca="false">AA217+AD217</f>
        <v>4980.14000000002</v>
      </c>
      <c r="AF217" s="19" t="n">
        <f aca="false">IF(Z217&gt;0,AE217/Z217,0)</f>
        <v>0.0303944552307144</v>
      </c>
      <c r="AG217" s="16" t="n">
        <f aca="false">(U217-W217)*INDEX(Parametros!$H$2:$H$9,MATCH($E217,Parametros!$A$2:$A$9,0))+W217*INDEX(Parametros!$H$2:$H$9,MATCH($E217,Parametros!$A$2:$A$9,0))*Parametros!$N$3</f>
        <v>35801.325</v>
      </c>
      <c r="AH217" s="13" t="n">
        <v>12596</v>
      </c>
      <c r="AI217" s="16" t="n">
        <f aca="false">AH217*Parametros!$N$2</f>
        <v>1158.832</v>
      </c>
      <c r="AJ217" s="18" t="n">
        <v>6973</v>
      </c>
      <c r="AK217" s="18" t="n">
        <v>3564</v>
      </c>
      <c r="AL217" s="17" t="n">
        <f aca="false">AG217+AI217+AJ217+AK217</f>
        <v>47497.157</v>
      </c>
      <c r="AM217" s="20" t="n">
        <f aca="false">IF(L217&gt;0,AL217/L217,0)</f>
        <v>0.191321758009812</v>
      </c>
      <c r="AN217" s="16" t="n">
        <f aca="false">L217*INDEX(Parametros!$G$2:$G$9,MATCH($E217,Parametros!$A$2:$A$9,0))</f>
        <v>310322.5</v>
      </c>
      <c r="AO217" s="17" t="n">
        <f aca="false">AN217-AC217-AL217</f>
        <v>93994.923</v>
      </c>
      <c r="AP217" s="15" t="n">
        <f aca="false">IF(AN217&gt;0,AO217/AN217,0)</f>
        <v>0.302894321230333</v>
      </c>
      <c r="AQ217" s="16" t="n">
        <f aca="false">INDEX(Parametros!$I$2:$I$9,MATCH($E217,Parametros!$A$2:$A$9,0))</f>
        <v>13300000</v>
      </c>
      <c r="AR217" s="19" t="n">
        <f aca="false">IF(AQ217&gt;0,AO217/AQ217,0)</f>
        <v>0.00706728744360902</v>
      </c>
    </row>
    <row r="218" customFormat="false" ht="15" hidden="false" customHeight="false" outlineLevel="0" collapsed="false">
      <c r="A218" s="5" t="s">
        <v>353</v>
      </c>
      <c r="B218" s="9" t="n">
        <v>45740</v>
      </c>
      <c r="C218" s="2" t="str">
        <f aca="false">TEXT(B218,"yyyy")</f>
        <v>2025</v>
      </c>
      <c r="D218" s="2" t="n">
        <f aca="false">WEEKNUM(B218,2)</f>
        <v>13</v>
      </c>
      <c r="E218" s="5" t="s">
        <v>130</v>
      </c>
      <c r="F218" s="6" t="str">
        <f aca="false">INDEX(Parametros!$B$2:$B$9,MATCH($E218,Parametros!$A$2:$A$9,0))</f>
        <v>Ketchup botella</v>
      </c>
      <c r="G218" s="10" t="n">
        <v>115.5</v>
      </c>
      <c r="H218" s="10" t="n">
        <v>8.4</v>
      </c>
      <c r="I218" s="11" t="n">
        <f aca="false">SUMIFS(Eventos_Paro!$J$2:$J$2186,Eventos_Paro!$D$2:$D$2186,$E218,Eventos_Paro!$B$2:$B$2186,$B218)</f>
        <v>5.05</v>
      </c>
      <c r="J218" s="12" t="n">
        <f aca="false">G218-H218-I218</f>
        <v>102.05</v>
      </c>
      <c r="K218" s="13" t="n">
        <v>762222</v>
      </c>
      <c r="L218" s="13" t="n">
        <v>803579</v>
      </c>
      <c r="M218" s="13" t="n">
        <v>23576</v>
      </c>
      <c r="N218" s="14" t="n">
        <f aca="false">L218+M218</f>
        <v>827155</v>
      </c>
      <c r="O218" s="11" t="n">
        <f aca="false">INDEX(Parametros!$D$2:$D$9,MATCH($E218,Parametros!$A$2:$A$9,0))</f>
        <v>9000</v>
      </c>
      <c r="P218" s="15" t="n">
        <f aca="false">IF((G218-H218)&gt;0,J218/(G218-H218),0)</f>
        <v>0.952847805788982</v>
      </c>
      <c r="Q218" s="15" t="n">
        <f aca="false">IF(J218*O218&gt;0,N218/(O218*J218),0)</f>
        <v>0.90059883499374</v>
      </c>
      <c r="R218" s="15" t="n">
        <f aca="false">IF(N218&gt;0,L218/N218,0)</f>
        <v>0.971497482334024</v>
      </c>
      <c r="S218" s="15" t="n">
        <f aca="false">P218*Q218*R218</f>
        <v>0.833674655047204</v>
      </c>
      <c r="T218" s="15" t="n">
        <f aca="false">IF(K218&gt;0,L218/K218,0)</f>
        <v>1.05425847062929</v>
      </c>
      <c r="U218" s="10" t="n">
        <v>1680.9</v>
      </c>
      <c r="V218" s="5" t="n">
        <v>13</v>
      </c>
      <c r="W218" s="10" t="n">
        <v>179.4</v>
      </c>
      <c r="X218" s="15" t="n">
        <f aca="false">IF(U218&gt;0,W218/U218,0)</f>
        <v>0.106728538283063</v>
      </c>
      <c r="Y218" s="12" t="n">
        <f aca="false">IF(U218&gt;0,L218/U218,0)</f>
        <v>478.06472722946</v>
      </c>
      <c r="Z218" s="16" t="n">
        <f aca="false">L218*INDEX(Parametros!$E$2:$E$9,MATCH($E218,Parametros!$A$2:$A$9,0))</f>
        <v>337503.18</v>
      </c>
      <c r="AA218" s="16" t="n">
        <f aca="false">Z218*INDEX(Parametros!$F$2:$F$9,MATCH($E218,Parametros!$A$2:$A$9,0))</f>
        <v>6750.0636</v>
      </c>
      <c r="AB218" s="17" t="n">
        <f aca="false">Z218+AA218</f>
        <v>344253.2436</v>
      </c>
      <c r="AC218" s="18" t="n">
        <v>347403.18</v>
      </c>
      <c r="AD218" s="17" t="n">
        <f aca="false">AC218-AB218</f>
        <v>3149.93640000001</v>
      </c>
      <c r="AE218" s="17" t="n">
        <f aca="false">AA218+AD218</f>
        <v>9900.00000000001</v>
      </c>
      <c r="AF218" s="19" t="n">
        <f aca="false">IF(Z218&gt;0,AE218/Z218,0)</f>
        <v>0.0293330569507523</v>
      </c>
      <c r="AG218" s="16" t="n">
        <f aca="false">(U218-W218)*INDEX(Parametros!$H$2:$H$9,MATCH($E218,Parametros!$A$2:$A$9,0))+W218*INDEX(Parametros!$H$2:$H$9,MATCH($E218,Parametros!$A$2:$A$9,0))*Parametros!$N$3</f>
        <v>55773.9</v>
      </c>
      <c r="AH218" s="13" t="n">
        <v>41248</v>
      </c>
      <c r="AI218" s="16" t="n">
        <f aca="false">AH218*Parametros!$N$2</f>
        <v>3794.816</v>
      </c>
      <c r="AJ218" s="18" t="n">
        <v>14974</v>
      </c>
      <c r="AK218" s="18" t="n">
        <v>1970</v>
      </c>
      <c r="AL218" s="17" t="n">
        <f aca="false">AG218+AI218+AJ218+AK218</f>
        <v>76512.716</v>
      </c>
      <c r="AM218" s="20" t="n">
        <f aca="false">IF(L218&gt;0,AL218/L218,0)</f>
        <v>0.0952149272193524</v>
      </c>
      <c r="AN218" s="16" t="n">
        <f aca="false">L218*INDEX(Parametros!$G$2:$G$9,MATCH($E218,Parametros!$A$2:$A$9,0))</f>
        <v>570541.09</v>
      </c>
      <c r="AO218" s="17" t="n">
        <f aca="false">AN218-AC218-AL218</f>
        <v>146625.194</v>
      </c>
      <c r="AP218" s="15" t="n">
        <f aca="false">IF(AN218&gt;0,AO218/AN218,0)</f>
        <v>0.256993223748354</v>
      </c>
      <c r="AQ218" s="16" t="n">
        <f aca="false">INDEX(Parametros!$I$2:$I$9,MATCH($E218,Parametros!$A$2:$A$9,0))</f>
        <v>29300000</v>
      </c>
      <c r="AR218" s="19" t="n">
        <f aca="false">IF(AQ218&gt;0,AO218/AQ218,0)</f>
        <v>0.0050042728327645</v>
      </c>
    </row>
    <row r="219" customFormat="false" ht="15" hidden="false" customHeight="false" outlineLevel="0" collapsed="false">
      <c r="A219" s="5" t="s">
        <v>354</v>
      </c>
      <c r="B219" s="9" t="n">
        <v>45740</v>
      </c>
      <c r="C219" s="2" t="str">
        <f aca="false">TEXT(B219,"yyyy")</f>
        <v>2025</v>
      </c>
      <c r="D219" s="2" t="n">
        <f aca="false">WEEKNUM(B219,2)</f>
        <v>13</v>
      </c>
      <c r="E219" s="5" t="s">
        <v>132</v>
      </c>
      <c r="F219" s="6" t="str">
        <f aca="false">INDEX(Parametros!$B$2:$B$9,MATCH($E219,Parametros!$A$2:$A$9,0))</f>
        <v>Mayonesa frasco</v>
      </c>
      <c r="G219" s="10" t="n">
        <v>125</v>
      </c>
      <c r="H219" s="10" t="n">
        <v>8.4</v>
      </c>
      <c r="I219" s="11" t="n">
        <f aca="false">SUMIFS(Eventos_Paro!$J$2:$J$2186,Eventos_Paro!$D$2:$D$2186,$E219,Eventos_Paro!$B$2:$B$2186,$B219)</f>
        <v>3.13333333333333</v>
      </c>
      <c r="J219" s="12" t="n">
        <f aca="false">G219-H219-I219</f>
        <v>113.466666666667</v>
      </c>
      <c r="K219" s="13" t="n">
        <v>599323</v>
      </c>
      <c r="L219" s="13" t="n">
        <v>595485</v>
      </c>
      <c r="M219" s="13" t="n">
        <v>18730</v>
      </c>
      <c r="N219" s="14" t="n">
        <f aca="false">L219+M219</f>
        <v>614215</v>
      </c>
      <c r="O219" s="11" t="n">
        <f aca="false">INDEX(Parametros!$D$2:$D$9,MATCH($E219,Parametros!$A$2:$A$9,0))</f>
        <v>6500</v>
      </c>
      <c r="P219" s="15" t="n">
        <f aca="false">IF((G219-H219)&gt;0,J219/(G219-H219),0)</f>
        <v>0.973127501429388</v>
      </c>
      <c r="Q219" s="15" t="n">
        <f aca="false">IF(J219*O219&gt;0,N219/(O219*J219),0)</f>
        <v>0.832796257796258</v>
      </c>
      <c r="R219" s="15" t="n">
        <f aca="false">IF(N219&gt;0,L219/N219,0)</f>
        <v>0.969505791945817</v>
      </c>
      <c r="S219" s="15" t="n">
        <f aca="false">P219*Q219*R219</f>
        <v>0.785703918722787</v>
      </c>
      <c r="T219" s="15" t="n">
        <f aca="false">IF(K219&gt;0,L219/K219,0)</f>
        <v>0.993596107608085</v>
      </c>
      <c r="U219" s="10" t="n">
        <v>1716.9</v>
      </c>
      <c r="V219" s="5" t="n">
        <v>13</v>
      </c>
      <c r="W219" s="10" t="n">
        <v>91.9</v>
      </c>
      <c r="X219" s="15" t="n">
        <f aca="false">IF(U219&gt;0,W219/U219,0)</f>
        <v>0.0535267051080436</v>
      </c>
      <c r="Y219" s="12" t="n">
        <f aca="false">IF(U219&gt;0,L219/U219,0)</f>
        <v>346.837323082299</v>
      </c>
      <c r="Z219" s="16" t="n">
        <f aca="false">L219*INDEX(Parametros!$E$2:$E$9,MATCH($E219,Parametros!$A$2:$A$9,0))</f>
        <v>363245.85</v>
      </c>
      <c r="AA219" s="16" t="n">
        <f aca="false">Z219*INDEX(Parametros!$F$2:$F$9,MATCH($E219,Parametros!$A$2:$A$9,0))</f>
        <v>9081.14625</v>
      </c>
      <c r="AB219" s="17" t="n">
        <f aca="false">Z219+AA219</f>
        <v>372326.99625</v>
      </c>
      <c r="AC219" s="18" t="n">
        <v>365781.73</v>
      </c>
      <c r="AD219" s="17" t="n">
        <f aca="false">AC219-AB219</f>
        <v>-6545.26624999999</v>
      </c>
      <c r="AE219" s="17" t="n">
        <f aca="false">AA219+AD219</f>
        <v>2535.88000000001</v>
      </c>
      <c r="AF219" s="19" t="n">
        <f aca="false">IF(Z219&gt;0,AE219/Z219,0)</f>
        <v>0.00698116716268063</v>
      </c>
      <c r="AG219" s="16" t="n">
        <f aca="false">(U219-W219)*INDEX(Parametros!$H$2:$H$9,MATCH($E219,Parametros!$A$2:$A$9,0))+W219*INDEX(Parametros!$H$2:$H$9,MATCH($E219,Parametros!$A$2:$A$9,0))*Parametros!$N$3</f>
        <v>55529.775</v>
      </c>
      <c r="AH219" s="13" t="n">
        <v>31987</v>
      </c>
      <c r="AI219" s="16" t="n">
        <f aca="false">AH219*Parametros!$N$2</f>
        <v>2942.804</v>
      </c>
      <c r="AJ219" s="18" t="n">
        <v>12019</v>
      </c>
      <c r="AK219" s="18" t="n">
        <v>3113</v>
      </c>
      <c r="AL219" s="17" t="n">
        <f aca="false">AG219+AI219+AJ219+AK219</f>
        <v>73604.579</v>
      </c>
      <c r="AM219" s="20" t="n">
        <f aca="false">IF(L219&gt;0,AL219/L219,0)</f>
        <v>0.123604421605918</v>
      </c>
      <c r="AN219" s="16" t="n">
        <f aca="false">L219*INDEX(Parametros!$G$2:$G$9,MATCH($E219,Parametros!$A$2:$A$9,0))</f>
        <v>571665.6</v>
      </c>
      <c r="AO219" s="17" t="n">
        <f aca="false">AN219-AC219-AL219</f>
        <v>132279.291</v>
      </c>
      <c r="AP219" s="15" t="n">
        <f aca="false">IF(AN219&gt;0,AO219/AN219,0)</f>
        <v>0.231392777525882</v>
      </c>
      <c r="AQ219" s="16" t="n">
        <f aca="false">INDEX(Parametros!$I$2:$I$9,MATCH($E219,Parametros!$A$2:$A$9,0))</f>
        <v>29700000</v>
      </c>
      <c r="AR219" s="19" t="n">
        <f aca="false">IF(AQ219&gt;0,AO219/AQ219,0)</f>
        <v>0.00445384818181818</v>
      </c>
    </row>
    <row r="220" customFormat="false" ht="15" hidden="false" customHeight="false" outlineLevel="0" collapsed="false">
      <c r="A220" s="5" t="s">
        <v>355</v>
      </c>
      <c r="B220" s="9" t="n">
        <v>45740</v>
      </c>
      <c r="C220" s="2" t="str">
        <f aca="false">TEXT(B220,"yyyy")</f>
        <v>2025</v>
      </c>
      <c r="D220" s="2" t="n">
        <f aca="false">WEEKNUM(B220,2)</f>
        <v>13</v>
      </c>
      <c r="E220" s="5" t="s">
        <v>134</v>
      </c>
      <c r="F220" s="6" t="str">
        <f aca="false">INDEX(Parametros!$B$2:$B$9,MATCH($E220,Parametros!$A$2:$A$9,0))</f>
        <v>Aderezos vertibles</v>
      </c>
      <c r="G220" s="10" t="n">
        <v>110.9</v>
      </c>
      <c r="H220" s="10" t="n">
        <v>6.3</v>
      </c>
      <c r="I220" s="11" t="n">
        <f aca="false">SUMIFS(Eventos_Paro!$J$2:$J$2186,Eventos_Paro!$D$2:$D$2186,$E220,Eventos_Paro!$B$2:$B$2186,$B220)</f>
        <v>0.883333333333333</v>
      </c>
      <c r="J220" s="12" t="n">
        <f aca="false">G220-H220-I220</f>
        <v>103.716666666667</v>
      </c>
      <c r="K220" s="13" t="n">
        <v>430115</v>
      </c>
      <c r="L220" s="13" t="n">
        <v>427205</v>
      </c>
      <c r="M220" s="13" t="n">
        <v>15281</v>
      </c>
      <c r="N220" s="14" t="n">
        <f aca="false">L220+M220</f>
        <v>442486</v>
      </c>
      <c r="O220" s="11" t="n">
        <f aca="false">INDEX(Parametros!$D$2:$D$9,MATCH($E220,Parametros!$A$2:$A$9,0))</f>
        <v>5200</v>
      </c>
      <c r="P220" s="15" t="n">
        <f aca="false">IF((G220-H220)&gt;0,J220/(G220-H220),0)</f>
        <v>0.991555130656469</v>
      </c>
      <c r="Q220" s="15" t="n">
        <f aca="false">IF(J220*O220&gt;0,N220/(O220*J220),0)</f>
        <v>0.820441538214317</v>
      </c>
      <c r="R220" s="15" t="n">
        <f aca="false">IF(N220&gt;0,L220/N220,0)</f>
        <v>0.96546557405206</v>
      </c>
      <c r="S220" s="15" t="n">
        <f aca="false">P220*Q220*R220</f>
        <v>0.78541881158994</v>
      </c>
      <c r="T220" s="15" t="n">
        <f aca="false">IF(K220&gt;0,L220/K220,0)</f>
        <v>0.993234367552864</v>
      </c>
      <c r="U220" s="10" t="n">
        <v>1360</v>
      </c>
      <c r="V220" s="5" t="n">
        <v>12</v>
      </c>
      <c r="W220" s="10" t="n">
        <v>29.2</v>
      </c>
      <c r="X220" s="15" t="n">
        <f aca="false">IF(U220&gt;0,W220/U220,0)</f>
        <v>0.0214705882352941</v>
      </c>
      <c r="Y220" s="12" t="n">
        <f aca="false">IF(U220&gt;0,L220/U220,0)</f>
        <v>314.121323529412</v>
      </c>
      <c r="Z220" s="16" t="n">
        <f aca="false">L220*INDEX(Parametros!$E$2:$E$9,MATCH($E220,Parametros!$A$2:$A$9,0))</f>
        <v>234962.75</v>
      </c>
      <c r="AA220" s="16" t="n">
        <f aca="false">Z220*INDEX(Parametros!$F$2:$F$9,MATCH($E220,Parametros!$A$2:$A$9,0))</f>
        <v>7048.8825</v>
      </c>
      <c r="AB220" s="17" t="n">
        <f aca="false">Z220+AA220</f>
        <v>242011.6325</v>
      </c>
      <c r="AC220" s="18" t="n">
        <v>240850.75</v>
      </c>
      <c r="AD220" s="17" t="n">
        <f aca="false">AC220-AB220</f>
        <v>-1160.88250000004</v>
      </c>
      <c r="AE220" s="17" t="n">
        <f aca="false">AA220+AD220</f>
        <v>5887.99999999996</v>
      </c>
      <c r="AF220" s="19" t="n">
        <f aca="false">IF(Z220&gt;0,AE220/Z220,0)</f>
        <v>0.0250592913131974</v>
      </c>
      <c r="AG220" s="16" t="n">
        <f aca="false">(U220-W220)*INDEX(Parametros!$H$2:$H$9,MATCH($E220,Parametros!$A$2:$A$9,0))+W220*INDEX(Parametros!$H$2:$H$9,MATCH($E220,Parametros!$A$2:$A$9,0))*Parametros!$N$3</f>
        <v>43299.9</v>
      </c>
      <c r="AH220" s="13" t="n">
        <v>22052</v>
      </c>
      <c r="AI220" s="16" t="n">
        <f aca="false">AH220*Parametros!$N$2</f>
        <v>2028.784</v>
      </c>
      <c r="AJ220" s="18" t="n">
        <v>10178</v>
      </c>
      <c r="AK220" s="18" t="n">
        <v>913</v>
      </c>
      <c r="AL220" s="17" t="n">
        <f aca="false">AG220+AI220+AJ220+AK220</f>
        <v>56419.684</v>
      </c>
      <c r="AM220" s="20" t="n">
        <f aca="false">IF(L220&gt;0,AL220/L220,0)</f>
        <v>0.132067002961108</v>
      </c>
      <c r="AN220" s="16" t="n">
        <f aca="false">L220*INDEX(Parametros!$G$2:$G$9,MATCH($E220,Parametros!$A$2:$A$9,0))</f>
        <v>435749.1</v>
      </c>
      <c r="AO220" s="17" t="n">
        <f aca="false">AN220-AC220-AL220</f>
        <v>138478.666</v>
      </c>
      <c r="AP220" s="15" t="n">
        <f aca="false">IF(AN220&gt;0,AO220/AN220,0)</f>
        <v>0.317794496879053</v>
      </c>
      <c r="AQ220" s="16" t="n">
        <f aca="false">INDEX(Parametros!$I$2:$I$9,MATCH($E220,Parametros!$A$2:$A$9,0))</f>
        <v>19300000</v>
      </c>
      <c r="AR220" s="19" t="n">
        <f aca="false">IF(AQ220&gt;0,AO220/AQ220,0)</f>
        <v>0.00717506041450777</v>
      </c>
    </row>
    <row r="221" customFormat="false" ht="15" hidden="false" customHeight="false" outlineLevel="0" collapsed="false">
      <c r="A221" s="5" t="s">
        <v>356</v>
      </c>
      <c r="B221" s="9" t="n">
        <v>45740</v>
      </c>
      <c r="C221" s="2" t="str">
        <f aca="false">TEXT(B221,"yyyy")</f>
        <v>2025</v>
      </c>
      <c r="D221" s="2" t="n">
        <f aca="false">WEEKNUM(B221,2)</f>
        <v>13</v>
      </c>
      <c r="E221" s="5" t="s">
        <v>136</v>
      </c>
      <c r="F221" s="6" t="str">
        <f aca="false">INDEX(Parametros!$B$2:$B$9,MATCH($E221,Parametros!$A$2:$A$9,0))</f>
        <v>Salsa BBQ</v>
      </c>
      <c r="G221" s="10" t="n">
        <v>97.3</v>
      </c>
      <c r="H221" s="10" t="n">
        <v>7.4</v>
      </c>
      <c r="I221" s="11" t="n">
        <f aca="false">SUMIFS(Eventos_Paro!$J$2:$J$2186,Eventos_Paro!$D$2:$D$2186,$E221,Eventos_Paro!$B$2:$B$2186,$B221)</f>
        <v>7.76666666666667</v>
      </c>
      <c r="J221" s="12" t="n">
        <f aca="false">G221-H221-I221</f>
        <v>82.1333333333333</v>
      </c>
      <c r="K221" s="13" t="n">
        <v>327290</v>
      </c>
      <c r="L221" s="13" t="n">
        <v>302603</v>
      </c>
      <c r="M221" s="13" t="n">
        <v>9707</v>
      </c>
      <c r="N221" s="14" t="n">
        <f aca="false">L221+M221</f>
        <v>312310</v>
      </c>
      <c r="O221" s="11" t="n">
        <f aca="false">INDEX(Parametros!$D$2:$D$9,MATCH($E221,Parametros!$A$2:$A$9,0))</f>
        <v>4800</v>
      </c>
      <c r="P221" s="15" t="n">
        <f aca="false">IF((G221-H221)&gt;0,J221/(G221-H221),0)</f>
        <v>0.913607712272896</v>
      </c>
      <c r="Q221" s="15" t="n">
        <f aca="false">IF(J221*O221&gt;0,N221/(O221*J221),0)</f>
        <v>0.792182426948052</v>
      </c>
      <c r="R221" s="15" t="n">
        <f aca="false">IF(N221&gt;0,L221/N221,0)</f>
        <v>0.968918702571163</v>
      </c>
      <c r="S221" s="15" t="n">
        <f aca="false">P221*Q221*R221</f>
        <v>0.701249073044123</v>
      </c>
      <c r="T221" s="15" t="n">
        <f aca="false">IF(K221&gt;0,L221/K221,0)</f>
        <v>0.924571480949617</v>
      </c>
      <c r="U221" s="10" t="n">
        <v>1044</v>
      </c>
      <c r="V221" s="5" t="n">
        <v>10</v>
      </c>
      <c r="W221" s="10" t="n">
        <v>71</v>
      </c>
      <c r="X221" s="15" t="n">
        <f aca="false">IF(U221&gt;0,W221/U221,0)</f>
        <v>0.0680076628352491</v>
      </c>
      <c r="Y221" s="12" t="n">
        <f aca="false">IF(U221&gt;0,L221/U221,0)</f>
        <v>289.849616858238</v>
      </c>
      <c r="Z221" s="16" t="n">
        <f aca="false">L221*INDEX(Parametros!$E$2:$E$9,MATCH($E221,Parametros!$A$2:$A$9,0))</f>
        <v>175509.74</v>
      </c>
      <c r="AA221" s="16" t="n">
        <f aca="false">Z221*INDEX(Parametros!$F$2:$F$9,MATCH($E221,Parametros!$A$2:$A$9,0))</f>
        <v>4914.27272</v>
      </c>
      <c r="AB221" s="17" t="n">
        <f aca="false">Z221+AA221</f>
        <v>180424.01272</v>
      </c>
      <c r="AC221" s="18" t="n">
        <v>179997.2</v>
      </c>
      <c r="AD221" s="17" t="n">
        <f aca="false">AC221-AB221</f>
        <v>-426.812719999987</v>
      </c>
      <c r="AE221" s="17" t="n">
        <f aca="false">AA221+AD221</f>
        <v>4487.46000000001</v>
      </c>
      <c r="AF221" s="19" t="n">
        <f aca="false">IF(Z221&gt;0,AE221/Z221,0)</f>
        <v>0.0255681536534668</v>
      </c>
      <c r="AG221" s="16" t="n">
        <f aca="false">(U221-W221)*INDEX(Parametros!$H$2:$H$9,MATCH($E221,Parametros!$A$2:$A$9,0))+W221*INDEX(Parametros!$H$2:$H$9,MATCH($E221,Parametros!$A$2:$A$9,0))*Parametros!$N$3</f>
        <v>34004.25</v>
      </c>
      <c r="AH221" s="13" t="n">
        <v>17018</v>
      </c>
      <c r="AI221" s="16" t="n">
        <f aca="false">AH221*Parametros!$N$2</f>
        <v>1565.656</v>
      </c>
      <c r="AJ221" s="18" t="n">
        <v>8488</v>
      </c>
      <c r="AK221" s="18" t="n">
        <v>6075</v>
      </c>
      <c r="AL221" s="17" t="n">
        <f aca="false">AG221+AI221+AJ221+AK221</f>
        <v>50132.906</v>
      </c>
      <c r="AM221" s="20" t="n">
        <f aca="false">IF(L221&gt;0,AL221/L221,0)</f>
        <v>0.165672204175107</v>
      </c>
      <c r="AN221" s="16" t="n">
        <f aca="false">L221*INDEX(Parametros!$G$2:$G$9,MATCH($E221,Parametros!$A$2:$A$9,0))</f>
        <v>296550.94</v>
      </c>
      <c r="AO221" s="17" t="n">
        <f aca="false">AN221-AC221-AL221</f>
        <v>66420.834</v>
      </c>
      <c r="AP221" s="15" t="n">
        <f aca="false">IF(AN221&gt;0,AO221/AN221,0)</f>
        <v>0.223977823169267</v>
      </c>
      <c r="AQ221" s="16" t="n">
        <f aca="false">INDEX(Parametros!$I$2:$I$9,MATCH($E221,Parametros!$A$2:$A$9,0))</f>
        <v>17000000</v>
      </c>
      <c r="AR221" s="19" t="n">
        <f aca="false">IF(AQ221&gt;0,AO221/AQ221,0)</f>
        <v>0.00390710788235294</v>
      </c>
    </row>
    <row r="222" customFormat="false" ht="15" hidden="false" customHeight="false" outlineLevel="0" collapsed="false">
      <c r="A222" s="5" t="s">
        <v>357</v>
      </c>
      <c r="B222" s="9" t="n">
        <v>45740</v>
      </c>
      <c r="C222" s="2" t="str">
        <f aca="false">TEXT(B222,"yyyy")</f>
        <v>2025</v>
      </c>
      <c r="D222" s="2" t="n">
        <f aca="false">WEEKNUM(B222,2)</f>
        <v>13</v>
      </c>
      <c r="E222" s="5" t="s">
        <v>138</v>
      </c>
      <c r="F222" s="6" t="str">
        <f aca="false">INDEX(Parametros!$B$2:$B$9,MATCH($E222,Parametros!$A$2:$A$9,0))</f>
        <v>Queso crema</v>
      </c>
      <c r="G222" s="10" t="n">
        <v>137.2</v>
      </c>
      <c r="H222" s="10" t="n">
        <v>7.7</v>
      </c>
      <c r="I222" s="11" t="n">
        <f aca="false">SUMIFS(Eventos_Paro!$J$2:$J$2186,Eventos_Paro!$D$2:$D$2186,$E222,Eventos_Paro!$B$2:$B$2186,$B222)</f>
        <v>0.466666666666667</v>
      </c>
      <c r="J222" s="12" t="n">
        <f aca="false">G222-H222-I222</f>
        <v>129.033333333333</v>
      </c>
      <c r="K222" s="13" t="n">
        <v>389137</v>
      </c>
      <c r="L222" s="13" t="n">
        <v>358372</v>
      </c>
      <c r="M222" s="13" t="n">
        <v>14409</v>
      </c>
      <c r="N222" s="14" t="n">
        <f aca="false">L222+M222</f>
        <v>372781</v>
      </c>
      <c r="O222" s="11" t="n">
        <f aca="false">INDEX(Parametros!$D$2:$D$9,MATCH($E222,Parametros!$A$2:$A$9,0))</f>
        <v>3800</v>
      </c>
      <c r="P222" s="15" t="n">
        <f aca="false">IF((G222-H222)&gt;0,J222/(G222-H222),0)</f>
        <v>0.996396396396396</v>
      </c>
      <c r="Q222" s="15" t="n">
        <f aca="false">IF(J222*O222&gt;0,N222/(O222*J222),0)</f>
        <v>0.760270703884485</v>
      </c>
      <c r="R222" s="15" t="n">
        <f aca="false">IF(N222&gt;0,L222/N222,0)</f>
        <v>0.961347278965398</v>
      </c>
      <c r="S222" s="15" t="n">
        <f aca="false">P222*Q222*R222</f>
        <v>0.728250355618777</v>
      </c>
      <c r="T222" s="15" t="n">
        <f aca="false">IF(K222&gt;0,L222/K222,0)</f>
        <v>0.92094043999928</v>
      </c>
      <c r="U222" s="10" t="n">
        <v>2314.9</v>
      </c>
      <c r="V222" s="5" t="n">
        <v>15</v>
      </c>
      <c r="W222" s="10" t="n">
        <v>256.9</v>
      </c>
      <c r="X222" s="15" t="n">
        <f aca="false">IF(U222&gt;0,W222/U222,0)</f>
        <v>0.110976716056849</v>
      </c>
      <c r="Y222" s="12" t="n">
        <f aca="false">IF(U222&gt;0,L222/U222,0)</f>
        <v>154.811006954944</v>
      </c>
      <c r="Z222" s="16" t="n">
        <f aca="false">L222*INDEX(Parametros!$E$2:$E$9,MATCH($E222,Parametros!$A$2:$A$9,0))</f>
        <v>401376.64</v>
      </c>
      <c r="AA222" s="16" t="n">
        <f aca="false">Z222*INDEX(Parametros!$F$2:$F$9,MATCH($E222,Parametros!$A$2:$A$9,0))</f>
        <v>14048.1824</v>
      </c>
      <c r="AB222" s="17" t="n">
        <f aca="false">Z222+AA222</f>
        <v>415424.8224</v>
      </c>
      <c r="AC222" s="18" t="n">
        <v>424445.6</v>
      </c>
      <c r="AD222" s="17" t="n">
        <f aca="false">AC222-AB222</f>
        <v>9020.77759999997</v>
      </c>
      <c r="AE222" s="17" t="n">
        <f aca="false">AA222+AD222</f>
        <v>23068.96</v>
      </c>
      <c r="AF222" s="19" t="n">
        <f aca="false">IF(Z222&gt;0,AE222/Z222,0)</f>
        <v>0.0574745954323599</v>
      </c>
      <c r="AG222" s="16" t="n">
        <f aca="false">(U222-W222)*INDEX(Parametros!$H$2:$H$9,MATCH($E222,Parametros!$A$2:$A$9,0))+W222*INDEX(Parametros!$H$2:$H$9,MATCH($E222,Parametros!$A$2:$A$9,0))*Parametros!$N$3</f>
        <v>80630.55</v>
      </c>
      <c r="AH222" s="13" t="n">
        <v>20342</v>
      </c>
      <c r="AI222" s="16" t="n">
        <f aca="false">AH222*Parametros!$N$2</f>
        <v>1871.464</v>
      </c>
      <c r="AJ222" s="18" t="n">
        <v>18558</v>
      </c>
      <c r="AK222" s="18" t="n">
        <v>261</v>
      </c>
      <c r="AL222" s="17" t="n">
        <f aca="false">AG222+AI222+AJ222+AK222</f>
        <v>101321.014</v>
      </c>
      <c r="AM222" s="20" t="n">
        <f aca="false">IF(L222&gt;0,AL222/L222,0)</f>
        <v>0.282725810052125</v>
      </c>
      <c r="AN222" s="16" t="n">
        <f aca="false">L222*INDEX(Parametros!$G$2:$G$9,MATCH($E222,Parametros!$A$2:$A$9,0))</f>
        <v>641485.88</v>
      </c>
      <c r="AO222" s="17" t="n">
        <f aca="false">AN222-AC222-AL222</f>
        <v>115719.266</v>
      </c>
      <c r="AP222" s="15" t="n">
        <f aca="false">IF(AN222&gt;0,AO222/AN222,0)</f>
        <v>0.180392538024376</v>
      </c>
      <c r="AQ222" s="16" t="n">
        <f aca="false">INDEX(Parametros!$I$2:$I$9,MATCH($E222,Parametros!$A$2:$A$9,0))</f>
        <v>33200000</v>
      </c>
      <c r="AR222" s="19" t="n">
        <f aca="false">IF(AQ222&gt;0,AO222/AQ222,0)</f>
        <v>0.00348552006024096</v>
      </c>
    </row>
    <row r="223" customFormat="false" ht="15" hidden="false" customHeight="false" outlineLevel="0" collapsed="false">
      <c r="A223" s="5" t="s">
        <v>358</v>
      </c>
      <c r="B223" s="9" t="n">
        <v>45740</v>
      </c>
      <c r="C223" s="2" t="str">
        <f aca="false">TEXT(B223,"yyyy")</f>
        <v>2025</v>
      </c>
      <c r="D223" s="2" t="n">
        <f aca="false">WEEKNUM(B223,2)</f>
        <v>13</v>
      </c>
      <c r="E223" s="5" t="s">
        <v>140</v>
      </c>
      <c r="F223" s="6" t="str">
        <f aca="false">INDEX(Parametros!$B$2:$B$9,MATCH($E223,Parametros!$A$2:$A$9,0))</f>
        <v>Crema de cacahuate</v>
      </c>
      <c r="G223" s="10" t="n">
        <v>97.7</v>
      </c>
      <c r="H223" s="10" t="n">
        <v>8.5</v>
      </c>
      <c r="I223" s="11" t="n">
        <f aca="false">SUMIFS(Eventos_Paro!$J$2:$J$2186,Eventos_Paro!$D$2:$D$2186,$E223,Eventos_Paro!$B$2:$B$2186,$B223)</f>
        <v>0.9</v>
      </c>
      <c r="J223" s="12" t="n">
        <f aca="false">G223-H223-I223</f>
        <v>88.3</v>
      </c>
      <c r="K223" s="13" t="n">
        <v>296254</v>
      </c>
      <c r="L223" s="13" t="n">
        <v>299843</v>
      </c>
      <c r="M223" s="13" t="n">
        <v>9193</v>
      </c>
      <c r="N223" s="14" t="n">
        <f aca="false">L223+M223</f>
        <v>309036</v>
      </c>
      <c r="O223" s="11" t="n">
        <f aca="false">INDEX(Parametros!$D$2:$D$9,MATCH($E223,Parametros!$A$2:$A$9,0))</f>
        <v>4200</v>
      </c>
      <c r="P223" s="15" t="n">
        <f aca="false">IF((G223-H223)&gt;0,J223/(G223-H223),0)</f>
        <v>0.989910313901345</v>
      </c>
      <c r="Q223" s="15" t="n">
        <f aca="false">IF(J223*O223&gt;0,N223/(O223*J223),0)</f>
        <v>0.833295583238958</v>
      </c>
      <c r="R223" s="15" t="n">
        <f aca="false">IF(N223&gt;0,L223/N223,0)</f>
        <v>0.970252656648416</v>
      </c>
      <c r="S223" s="15" t="n">
        <f aca="false">P223*Q223*R223</f>
        <v>0.800349669015588</v>
      </c>
      <c r="T223" s="15" t="n">
        <f aca="false">IF(K223&gt;0,L223/K223,0)</f>
        <v>1.01211460435977</v>
      </c>
      <c r="U223" s="10" t="n">
        <v>1287.2</v>
      </c>
      <c r="V223" s="5" t="n">
        <v>13</v>
      </c>
      <c r="W223" s="10" t="n">
        <v>17.1</v>
      </c>
      <c r="X223" s="15" t="n">
        <f aca="false">IF(U223&gt;0,W223/U223,0)</f>
        <v>0.0132846488502175</v>
      </c>
      <c r="Y223" s="12" t="n">
        <f aca="false">IF(U223&gt;0,L223/U223,0)</f>
        <v>232.942044748291</v>
      </c>
      <c r="Z223" s="16" t="n">
        <f aca="false">L223*INDEX(Parametros!$E$2:$E$9,MATCH($E223,Parametros!$A$2:$A$9,0))</f>
        <v>290847.71</v>
      </c>
      <c r="AA223" s="16" t="n">
        <f aca="false">Z223*INDEX(Parametros!$F$2:$F$9,MATCH($E223,Parametros!$A$2:$A$9,0))</f>
        <v>6398.64962</v>
      </c>
      <c r="AB223" s="17" t="n">
        <f aca="false">Z223+AA223</f>
        <v>297246.35962</v>
      </c>
      <c r="AC223" s="18" t="n">
        <v>294969.5</v>
      </c>
      <c r="AD223" s="17" t="n">
        <f aca="false">AC223-AB223</f>
        <v>-2276.85962</v>
      </c>
      <c r="AE223" s="17" t="n">
        <f aca="false">AA223+AD223</f>
        <v>4121.79</v>
      </c>
      <c r="AF223" s="19" t="n">
        <f aca="false">IF(Z223&gt;0,AE223/Z223,0)</f>
        <v>0.0141716432974494</v>
      </c>
      <c r="AG223" s="16" t="n">
        <f aca="false">(U223-W223)*INDEX(Parametros!$H$2:$H$9,MATCH($E223,Parametros!$A$2:$A$9,0))+W223*INDEX(Parametros!$H$2:$H$9,MATCH($E223,Parametros!$A$2:$A$9,0))*Parametros!$N$3</f>
        <v>40816.125</v>
      </c>
      <c r="AH223" s="13" t="n">
        <v>16486</v>
      </c>
      <c r="AI223" s="16" t="n">
        <f aca="false">AH223*Parametros!$N$2</f>
        <v>1516.712</v>
      </c>
      <c r="AJ223" s="18" t="n">
        <v>10743</v>
      </c>
      <c r="AK223" s="18" t="n">
        <v>573</v>
      </c>
      <c r="AL223" s="17" t="n">
        <f aca="false">AG223+AI223+AJ223+AK223</f>
        <v>53648.837</v>
      </c>
      <c r="AM223" s="20" t="n">
        <f aca="false">IF(L223&gt;0,AL223/L223,0)</f>
        <v>0.178923093085381</v>
      </c>
      <c r="AN223" s="16" t="n">
        <f aca="false">L223*INDEX(Parametros!$G$2:$G$9,MATCH($E223,Parametros!$A$2:$A$9,0))</f>
        <v>485745.66</v>
      </c>
      <c r="AO223" s="17" t="n">
        <f aca="false">AN223-AC223-AL223</f>
        <v>137127.323</v>
      </c>
      <c r="AP223" s="15" t="n">
        <f aca="false">IF(AN223&gt;0,AO223/AN223,0)</f>
        <v>0.28230272402228</v>
      </c>
      <c r="AQ223" s="16" t="n">
        <f aca="false">INDEX(Parametros!$I$2:$I$9,MATCH($E223,Parametros!$A$2:$A$9,0))</f>
        <v>28000000</v>
      </c>
      <c r="AR223" s="19" t="n">
        <f aca="false">IF(AQ223&gt;0,AO223/AQ223,0)</f>
        <v>0.00489740439285714</v>
      </c>
    </row>
    <row r="224" customFormat="false" ht="15" hidden="false" customHeight="false" outlineLevel="0" collapsed="false">
      <c r="A224" s="5" t="s">
        <v>359</v>
      </c>
      <c r="B224" s="9" t="n">
        <v>45740</v>
      </c>
      <c r="C224" s="2" t="str">
        <f aca="false">TEXT(B224,"yyyy")</f>
        <v>2025</v>
      </c>
      <c r="D224" s="2" t="n">
        <f aca="false">WEEKNUM(B224,2)</f>
        <v>13</v>
      </c>
      <c r="E224" s="5" t="s">
        <v>142</v>
      </c>
      <c r="F224" s="6" t="str">
        <f aca="false">INDEX(Parametros!$B$2:$B$9,MATCH($E224,Parametros!$A$2:$A$9,0))</f>
        <v>Porciones single serve</v>
      </c>
      <c r="G224" s="10" t="n">
        <v>116.4</v>
      </c>
      <c r="H224" s="10" t="n">
        <v>5.9</v>
      </c>
      <c r="I224" s="11" t="n">
        <f aca="false">SUMIFS(Eventos_Paro!$J$2:$J$2186,Eventos_Paro!$D$2:$D$2186,$E224,Eventos_Paro!$B$2:$B$2186,$B224)</f>
        <v>0.666666666666667</v>
      </c>
      <c r="J224" s="12" t="n">
        <f aca="false">G224-H224-I224</f>
        <v>109.833333333333</v>
      </c>
      <c r="K224" s="13" t="n">
        <v>227188</v>
      </c>
      <c r="L224" s="13" t="n">
        <v>213829</v>
      </c>
      <c r="M224" s="13" t="n">
        <v>13498</v>
      </c>
      <c r="N224" s="14" t="n">
        <f aca="false">L224+M224</f>
        <v>227327</v>
      </c>
      <c r="O224" s="11" t="n">
        <f aca="false">INDEX(Parametros!$D$2:$D$9,MATCH($E224,Parametros!$A$2:$A$9,0))</f>
        <v>2600</v>
      </c>
      <c r="P224" s="15" t="n">
        <f aca="false">IF((G224-H224)&gt;0,J224/(G224-H224),0)</f>
        <v>0.993966817496229</v>
      </c>
      <c r="Q224" s="15" t="n">
        <f aca="false">IF(J224*O224&gt;0,N224/(O224*J224),0)</f>
        <v>0.796055795494339</v>
      </c>
      <c r="R224" s="15" t="n">
        <f aca="false">IF(N224&gt;0,L224/N224,0)</f>
        <v>0.940622979232559</v>
      </c>
      <c r="S224" s="15" t="n">
        <f aca="false">P224*Q224*R224</f>
        <v>0.744270797076227</v>
      </c>
      <c r="T224" s="15" t="n">
        <f aca="false">IF(K224&gt;0,L224/K224,0)</f>
        <v>0.941198478792894</v>
      </c>
      <c r="U224" s="10" t="n">
        <v>2120.5</v>
      </c>
      <c r="V224" s="5" t="n">
        <v>17</v>
      </c>
      <c r="W224" s="10" t="n">
        <v>141.7</v>
      </c>
      <c r="X224" s="15" t="n">
        <f aca="false">IF(U224&gt;0,W224/U224,0)</f>
        <v>0.0668238622966282</v>
      </c>
      <c r="Y224" s="12" t="n">
        <f aca="false">IF(U224&gt;0,L224/U224,0)</f>
        <v>100.838953077104</v>
      </c>
      <c r="Z224" s="16" t="n">
        <f aca="false">L224*INDEX(Parametros!$E$2:$E$9,MATCH($E224,Parametros!$A$2:$A$9,0))</f>
        <v>158233.46</v>
      </c>
      <c r="AA224" s="16" t="n">
        <f aca="false">Z224*INDEX(Parametros!$F$2:$F$9,MATCH($E224,Parametros!$A$2:$A$9,0))</f>
        <v>7120.5057</v>
      </c>
      <c r="AB224" s="17" t="n">
        <f aca="false">Z224+AA224</f>
        <v>165353.9657</v>
      </c>
      <c r="AC224" s="18" t="n">
        <v>167256.89</v>
      </c>
      <c r="AD224" s="17" t="n">
        <f aca="false">AC224-AB224</f>
        <v>1902.92430000001</v>
      </c>
      <c r="AE224" s="17" t="n">
        <f aca="false">AA224+AD224</f>
        <v>9023.43000000001</v>
      </c>
      <c r="AF224" s="19" t="n">
        <f aca="false">IF(Z224&gt;0,AE224/Z224,0)</f>
        <v>0.0570260550455006</v>
      </c>
      <c r="AG224" s="16" t="n">
        <f aca="false">(U224-W224)*INDEX(Parametros!$H$2:$H$9,MATCH($E224,Parametros!$A$2:$A$9,0))+W224*INDEX(Parametros!$H$2:$H$9,MATCH($E224,Parametros!$A$2:$A$9,0))*Parametros!$N$3</f>
        <v>65740.5</v>
      </c>
      <c r="AH224" s="13" t="n">
        <v>11484</v>
      </c>
      <c r="AI224" s="16" t="n">
        <f aca="false">AH224*Parametros!$N$2</f>
        <v>1056.528</v>
      </c>
      <c r="AJ224" s="18" t="n">
        <v>11278</v>
      </c>
      <c r="AK224" s="18" t="n">
        <v>217</v>
      </c>
      <c r="AL224" s="17" t="n">
        <f aca="false">AG224+AI224+AJ224+AK224</f>
        <v>78292.028</v>
      </c>
      <c r="AM224" s="20" t="n">
        <f aca="false">IF(L224&gt;0,AL224/L224,0)</f>
        <v>0.366143170477344</v>
      </c>
      <c r="AN224" s="16" t="n">
        <f aca="false">L224*INDEX(Parametros!$G$2:$G$9,MATCH($E224,Parametros!$A$2:$A$9,0))</f>
        <v>367785.88</v>
      </c>
      <c r="AO224" s="17" t="n">
        <f aca="false">AN224-AC224-AL224</f>
        <v>122236.962</v>
      </c>
      <c r="AP224" s="15" t="n">
        <f aca="false">IF(AN224&gt;0,AO224/AN224,0)</f>
        <v>0.332359039993596</v>
      </c>
      <c r="AQ224" s="16" t="n">
        <f aca="false">INDEX(Parametros!$I$2:$I$9,MATCH($E224,Parametros!$A$2:$A$9,0))</f>
        <v>15900000</v>
      </c>
      <c r="AR224" s="19" t="n">
        <f aca="false">IF(AQ224&gt;0,AO224/AQ224,0)</f>
        <v>0.00768785924528302</v>
      </c>
    </row>
    <row r="225" customFormat="false" ht="15" hidden="false" customHeight="false" outlineLevel="0" collapsed="false">
      <c r="A225" s="5" t="s">
        <v>360</v>
      </c>
      <c r="B225" s="9" t="n">
        <v>45740</v>
      </c>
      <c r="C225" s="2" t="str">
        <f aca="false">TEXT(B225,"yyyy")</f>
        <v>2025</v>
      </c>
      <c r="D225" s="2" t="n">
        <f aca="false">WEEKNUM(B225,2)</f>
        <v>13</v>
      </c>
      <c r="E225" s="5" t="s">
        <v>144</v>
      </c>
      <c r="F225" s="6" t="str">
        <f aca="false">INDEX(Parametros!$B$2:$B$9,MATCH($E225,Parametros!$A$2:$A$9,0))</f>
        <v>Salsas picantes</v>
      </c>
      <c r="G225" s="10" t="n">
        <v>105.9</v>
      </c>
      <c r="H225" s="10" t="n">
        <v>9</v>
      </c>
      <c r="I225" s="11" t="n">
        <f aca="false">SUMIFS(Eventos_Paro!$J$2:$J$2186,Eventos_Paro!$D$2:$D$2186,$E225,Eventos_Paro!$B$2:$B$2186,$B225)</f>
        <v>0.45</v>
      </c>
      <c r="J225" s="12" t="n">
        <f aca="false">G225-H225-I225</f>
        <v>96.45</v>
      </c>
      <c r="K225" s="13" t="n">
        <v>243874</v>
      </c>
      <c r="L225" s="13" t="n">
        <v>247931</v>
      </c>
      <c r="M225" s="13" t="n">
        <v>5015</v>
      </c>
      <c r="N225" s="14" t="n">
        <f aca="false">L225+M225</f>
        <v>252946</v>
      </c>
      <c r="O225" s="11" t="n">
        <f aca="false">INDEX(Parametros!$D$2:$D$9,MATCH($E225,Parametros!$A$2:$A$9,0))</f>
        <v>3100</v>
      </c>
      <c r="P225" s="15" t="n">
        <f aca="false">IF((G225-H225)&gt;0,J225/(G225-H225),0)</f>
        <v>0.995356037151703</v>
      </c>
      <c r="Q225" s="15" t="n">
        <f aca="false">IF(J225*O225&gt;0,N225/(O225*J225),0)</f>
        <v>0.845987391093497</v>
      </c>
      <c r="R225" s="15" t="n">
        <f aca="false">IF(N225&gt;0,L225/N225,0)</f>
        <v>0.980173633898144</v>
      </c>
      <c r="S225" s="15" t="n">
        <f aca="false">P225*Q225*R225</f>
        <v>0.825363693864643</v>
      </c>
      <c r="T225" s="15" t="n">
        <f aca="false">IF(K225&gt;0,L225/K225,0)</f>
        <v>1.01663563971559</v>
      </c>
      <c r="U225" s="10" t="n">
        <v>1032.9</v>
      </c>
      <c r="V225" s="5" t="n">
        <v>9</v>
      </c>
      <c r="W225" s="10" t="n">
        <v>79.8</v>
      </c>
      <c r="X225" s="15" t="n">
        <f aca="false">IF(U225&gt;0,W225/U225,0)</f>
        <v>0.0772582050537322</v>
      </c>
      <c r="Y225" s="12" t="n">
        <f aca="false">IF(U225&gt;0,L225/U225,0)</f>
        <v>240.033885177655</v>
      </c>
      <c r="Z225" s="16" t="n">
        <f aca="false">L225*INDEX(Parametros!$E$2:$E$9,MATCH($E225,Parametros!$A$2:$A$9,0))</f>
        <v>163634.46</v>
      </c>
      <c r="AA225" s="16" t="n">
        <f aca="false">Z225*INDEX(Parametros!$F$2:$F$9,MATCH($E225,Parametros!$A$2:$A$9,0))</f>
        <v>4254.49596</v>
      </c>
      <c r="AB225" s="17" t="n">
        <f aca="false">Z225+AA225</f>
        <v>167888.95596</v>
      </c>
      <c r="AC225" s="18" t="n">
        <v>169774.65</v>
      </c>
      <c r="AD225" s="17" t="n">
        <f aca="false">AC225-AB225</f>
        <v>1885.69403999997</v>
      </c>
      <c r="AE225" s="17" t="n">
        <f aca="false">AA225+AD225</f>
        <v>6140.18999999997</v>
      </c>
      <c r="AF225" s="19" t="n">
        <f aca="false">IF(Z225&gt;0,AE225/Z225,0)</f>
        <v>0.0375238198604375</v>
      </c>
      <c r="AG225" s="16" t="n">
        <f aca="false">(U225-W225)*INDEX(Parametros!$H$2:$H$9,MATCH($E225,Parametros!$A$2:$A$9,0))+W225*INDEX(Parametros!$H$2:$H$9,MATCH($E225,Parametros!$A$2:$A$9,0))*Parametros!$N$3</f>
        <v>33793.2</v>
      </c>
      <c r="AH225" s="13" t="n">
        <v>13047</v>
      </c>
      <c r="AI225" s="16" t="n">
        <f aca="false">AH225*Parametros!$N$2</f>
        <v>1200.324</v>
      </c>
      <c r="AJ225" s="18" t="n">
        <v>5665</v>
      </c>
      <c r="AK225" s="18" t="n">
        <v>281</v>
      </c>
      <c r="AL225" s="17" t="n">
        <f aca="false">AG225+AI225+AJ225+AK225</f>
        <v>40939.524</v>
      </c>
      <c r="AM225" s="20" t="n">
        <f aca="false">IF(L225&gt;0,AL225/L225,0)</f>
        <v>0.165124667750302</v>
      </c>
      <c r="AN225" s="16" t="n">
        <f aca="false">L225*INDEX(Parametros!$G$2:$G$9,MATCH($E225,Parametros!$A$2:$A$9,0))</f>
        <v>309913.75</v>
      </c>
      <c r="AO225" s="17" t="n">
        <f aca="false">AN225-AC225-AL225</f>
        <v>99199.576</v>
      </c>
      <c r="AP225" s="15" t="n">
        <f aca="false">IF(AN225&gt;0,AO225/AN225,0)</f>
        <v>0.320087688913448</v>
      </c>
      <c r="AQ225" s="16" t="n">
        <f aca="false">INDEX(Parametros!$I$2:$I$9,MATCH($E225,Parametros!$A$2:$A$9,0))</f>
        <v>13300000</v>
      </c>
      <c r="AR225" s="19" t="n">
        <f aca="false">IF(AQ225&gt;0,AO225/AQ225,0)</f>
        <v>0.00745861473684211</v>
      </c>
    </row>
    <row r="226" customFormat="false" ht="15" hidden="false" customHeight="false" outlineLevel="0" collapsed="false">
      <c r="A226" s="5" t="s">
        <v>361</v>
      </c>
      <c r="B226" s="9" t="n">
        <v>45747</v>
      </c>
      <c r="C226" s="2" t="str">
        <f aca="false">TEXT(B226,"yyyy")</f>
        <v>2025</v>
      </c>
      <c r="D226" s="2" t="n">
        <f aca="false">WEEKNUM(B226,2)</f>
        <v>14</v>
      </c>
      <c r="E226" s="5" t="s">
        <v>130</v>
      </c>
      <c r="F226" s="6" t="str">
        <f aca="false">INDEX(Parametros!$B$2:$B$9,MATCH($E226,Parametros!$A$2:$A$9,0))</f>
        <v>Ketchup botella</v>
      </c>
      <c r="G226" s="10" t="n">
        <v>133</v>
      </c>
      <c r="H226" s="10" t="n">
        <v>8.5</v>
      </c>
      <c r="I226" s="11" t="n">
        <f aca="false">SUMIFS(Eventos_Paro!$J$2:$J$2186,Eventos_Paro!$D$2:$D$2186,$E226,Eventos_Paro!$B$2:$B$2186,$B226)</f>
        <v>0.316666666666667</v>
      </c>
      <c r="J226" s="12" t="n">
        <f aca="false">G226-H226-I226</f>
        <v>124.183333333333</v>
      </c>
      <c r="K226" s="13" t="n">
        <v>890258</v>
      </c>
      <c r="L226" s="13" t="n">
        <v>994564</v>
      </c>
      <c r="M226" s="13" t="n">
        <v>16849</v>
      </c>
      <c r="N226" s="14" t="n">
        <f aca="false">L226+M226</f>
        <v>1011413</v>
      </c>
      <c r="O226" s="11" t="n">
        <f aca="false">INDEX(Parametros!$D$2:$D$9,MATCH($E226,Parametros!$A$2:$A$9,0))</f>
        <v>9000</v>
      </c>
      <c r="P226" s="15" t="n">
        <f aca="false">IF((G226-H226)&gt;0,J226/(G226-H226),0)</f>
        <v>0.997456492637216</v>
      </c>
      <c r="Q226" s="15" t="n">
        <f aca="false">IF(J226*O226&gt;0,N226/(O226*J226),0)</f>
        <v>0.904946092247126</v>
      </c>
      <c r="R226" s="15" t="n">
        <f aca="false">IF(N226&gt;0,L226/N226,0)</f>
        <v>0.983341127709452</v>
      </c>
      <c r="S226" s="15" t="n">
        <f aca="false">P226*Q226*R226</f>
        <v>0.887607318161535</v>
      </c>
      <c r="T226" s="15" t="n">
        <f aca="false">IF(K226&gt;0,L226/K226,0)</f>
        <v>1.1171637884748</v>
      </c>
      <c r="U226" s="10" t="n">
        <v>1962.6</v>
      </c>
      <c r="V226" s="5" t="n">
        <v>14</v>
      </c>
      <c r="W226" s="10" t="n">
        <v>100.6</v>
      </c>
      <c r="X226" s="15" t="n">
        <f aca="false">IF(U226&gt;0,W226/U226,0)</f>
        <v>0.0512585345969632</v>
      </c>
      <c r="Y226" s="12" t="n">
        <f aca="false">IF(U226&gt;0,L226/U226,0)</f>
        <v>506.75838173851</v>
      </c>
      <c r="Z226" s="16" t="n">
        <f aca="false">L226*INDEX(Parametros!$E$2:$E$9,MATCH($E226,Parametros!$A$2:$A$9,0))</f>
        <v>417716.88</v>
      </c>
      <c r="AA226" s="16" t="n">
        <f aca="false">Z226*INDEX(Parametros!$F$2:$F$9,MATCH($E226,Parametros!$A$2:$A$9,0))</f>
        <v>8354.3376</v>
      </c>
      <c r="AB226" s="17" t="n">
        <f aca="false">Z226+AA226</f>
        <v>426071.2176</v>
      </c>
      <c r="AC226" s="18" t="n">
        <v>429570.82</v>
      </c>
      <c r="AD226" s="17" t="n">
        <f aca="false">AC226-AB226</f>
        <v>3499.60239999997</v>
      </c>
      <c r="AE226" s="17" t="n">
        <f aca="false">AA226+AD226</f>
        <v>11853.94</v>
      </c>
      <c r="AF226" s="19" t="n">
        <f aca="false">IF(Z226&gt;0,AE226/Z226,0)</f>
        <v>0.0283779290891955</v>
      </c>
      <c r="AG226" s="16" t="n">
        <f aca="false">(U226-W226)*INDEX(Parametros!$H$2:$H$9,MATCH($E226,Parametros!$A$2:$A$9,0))+W226*INDEX(Parametros!$H$2:$H$9,MATCH($E226,Parametros!$A$2:$A$9,0))*Parametros!$N$3</f>
        <v>63406.35</v>
      </c>
      <c r="AH226" s="13" t="n">
        <v>50182</v>
      </c>
      <c r="AI226" s="16" t="n">
        <f aca="false">AH226*Parametros!$N$2</f>
        <v>4616.744</v>
      </c>
      <c r="AJ226" s="18" t="n">
        <v>16952</v>
      </c>
      <c r="AK226" s="18" t="n">
        <v>236</v>
      </c>
      <c r="AL226" s="17" t="n">
        <f aca="false">AG226+AI226+AJ226+AK226</f>
        <v>85211.094</v>
      </c>
      <c r="AM226" s="20" t="n">
        <f aca="false">IF(L226&gt;0,AL226/L226,0)</f>
        <v>0.085676833265632</v>
      </c>
      <c r="AN226" s="16" t="n">
        <f aca="false">L226*INDEX(Parametros!$G$2:$G$9,MATCH($E226,Parametros!$A$2:$A$9,0))</f>
        <v>706140.44</v>
      </c>
      <c r="AO226" s="17" t="n">
        <f aca="false">AN226-AC226-AL226</f>
        <v>191358.526</v>
      </c>
      <c r="AP226" s="15" t="n">
        <f aca="false">IF(AN226&gt;0,AO226/AN226,0)</f>
        <v>0.270992164108318</v>
      </c>
      <c r="AQ226" s="16" t="n">
        <f aca="false">INDEX(Parametros!$I$2:$I$9,MATCH($E226,Parametros!$A$2:$A$9,0))</f>
        <v>29300000</v>
      </c>
      <c r="AR226" s="19" t="n">
        <f aca="false">IF(AQ226&gt;0,AO226/AQ226,0)</f>
        <v>0.00653100771331058</v>
      </c>
    </row>
    <row r="227" customFormat="false" ht="15" hidden="false" customHeight="false" outlineLevel="0" collapsed="false">
      <c r="A227" s="5" t="s">
        <v>362</v>
      </c>
      <c r="B227" s="9" t="n">
        <v>45747</v>
      </c>
      <c r="C227" s="2" t="str">
        <f aca="false">TEXT(B227,"yyyy")</f>
        <v>2025</v>
      </c>
      <c r="D227" s="2" t="n">
        <f aca="false">WEEKNUM(B227,2)</f>
        <v>14</v>
      </c>
      <c r="E227" s="5" t="s">
        <v>132</v>
      </c>
      <c r="F227" s="6" t="str">
        <f aca="false">INDEX(Parametros!$B$2:$B$9,MATCH($E227,Parametros!$A$2:$A$9,0))</f>
        <v>Mayonesa frasco</v>
      </c>
      <c r="G227" s="10" t="n">
        <v>123.7</v>
      </c>
      <c r="H227" s="10" t="n">
        <v>8.6</v>
      </c>
      <c r="I227" s="11" t="n">
        <f aca="false">SUMIFS(Eventos_Paro!$J$2:$J$2186,Eventos_Paro!$D$2:$D$2186,$E227,Eventos_Paro!$B$2:$B$2186,$B227)</f>
        <v>3.06666666666667</v>
      </c>
      <c r="J227" s="12" t="n">
        <f aca="false">G227-H227-I227</f>
        <v>112.033333333333</v>
      </c>
      <c r="K227" s="13" t="n">
        <v>594419</v>
      </c>
      <c r="L227" s="13" t="n">
        <v>595763</v>
      </c>
      <c r="M227" s="13" t="n">
        <v>17012</v>
      </c>
      <c r="N227" s="14" t="n">
        <f aca="false">L227+M227</f>
        <v>612775</v>
      </c>
      <c r="O227" s="11" t="n">
        <f aca="false">INDEX(Parametros!$D$2:$D$9,MATCH($E227,Parametros!$A$2:$A$9,0))</f>
        <v>6500</v>
      </c>
      <c r="P227" s="15" t="n">
        <f aca="false">IF((G227-H227)&gt;0,J227/(G227-H227),0)</f>
        <v>0.973356501592818</v>
      </c>
      <c r="Q227" s="15" t="n">
        <f aca="false">IF(J227*O227&gt;0,N227/(O227*J227),0)</f>
        <v>0.841473462568375</v>
      </c>
      <c r="R227" s="15" t="n">
        <f aca="false">IF(N227&gt;0,L227/N227,0)</f>
        <v>0.972237770796785</v>
      </c>
      <c r="S227" s="15" t="n">
        <f aca="false">P227*Q227*R227</f>
        <v>0.796314910111609</v>
      </c>
      <c r="T227" s="15" t="n">
        <f aca="false">IF(K227&gt;0,L227/K227,0)</f>
        <v>1.00226103136003</v>
      </c>
      <c r="U227" s="10" t="n">
        <v>1763.5</v>
      </c>
      <c r="V227" s="5" t="n">
        <v>13</v>
      </c>
      <c r="W227" s="10" t="n">
        <v>155.4</v>
      </c>
      <c r="X227" s="15" t="n">
        <f aca="false">IF(U227&gt;0,W227/U227,0)</f>
        <v>0.0881202154805784</v>
      </c>
      <c r="Y227" s="12" t="n">
        <f aca="false">IF(U227&gt;0,L227/U227,0)</f>
        <v>337.829883753899</v>
      </c>
      <c r="Z227" s="16" t="n">
        <f aca="false">L227*INDEX(Parametros!$E$2:$E$9,MATCH($E227,Parametros!$A$2:$A$9,0))</f>
        <v>363415.43</v>
      </c>
      <c r="AA227" s="16" t="n">
        <f aca="false">Z227*INDEX(Parametros!$F$2:$F$9,MATCH($E227,Parametros!$A$2:$A$9,0))</f>
        <v>9085.38575</v>
      </c>
      <c r="AB227" s="17" t="n">
        <f aca="false">Z227+AA227</f>
        <v>372500.81575</v>
      </c>
      <c r="AC227" s="18" t="n">
        <v>374984.33</v>
      </c>
      <c r="AD227" s="17" t="n">
        <f aca="false">AC227-AB227</f>
        <v>2483.51425000001</v>
      </c>
      <c r="AE227" s="17" t="n">
        <f aca="false">AA227+AD227</f>
        <v>11568.9</v>
      </c>
      <c r="AF227" s="19" t="n">
        <f aca="false">IF(Z227&gt;0,AE227/Z227,0)</f>
        <v>0.0318338161921193</v>
      </c>
      <c r="AG227" s="16" t="n">
        <f aca="false">(U227-W227)*INDEX(Parametros!$H$2:$H$9,MATCH($E227,Parametros!$A$2:$A$9,0))+W227*INDEX(Parametros!$H$2:$H$9,MATCH($E227,Parametros!$A$2:$A$9,0))*Parametros!$N$3</f>
        <v>57997.8</v>
      </c>
      <c r="AH227" s="13" t="n">
        <v>30961</v>
      </c>
      <c r="AI227" s="16" t="n">
        <f aca="false">AH227*Parametros!$N$2</f>
        <v>2848.412</v>
      </c>
      <c r="AJ227" s="18" t="n">
        <v>12182</v>
      </c>
      <c r="AK227" s="18" t="n">
        <v>2988</v>
      </c>
      <c r="AL227" s="17" t="n">
        <f aca="false">AG227+AI227+AJ227+AK227</f>
        <v>76016.212</v>
      </c>
      <c r="AM227" s="20" t="n">
        <f aca="false">IF(L227&gt;0,AL227/L227,0)</f>
        <v>0.127594718033849</v>
      </c>
      <c r="AN227" s="16" t="n">
        <f aca="false">L227*INDEX(Parametros!$G$2:$G$9,MATCH($E227,Parametros!$A$2:$A$9,0))</f>
        <v>571932.48</v>
      </c>
      <c r="AO227" s="17" t="n">
        <f aca="false">AN227-AC227-AL227</f>
        <v>120931.938</v>
      </c>
      <c r="AP227" s="15" t="n">
        <f aca="false">IF(AN227&gt;0,AO227/AN227,0)</f>
        <v>0.211444431342665</v>
      </c>
      <c r="AQ227" s="16" t="n">
        <f aca="false">INDEX(Parametros!$I$2:$I$9,MATCH($E227,Parametros!$A$2:$A$9,0))</f>
        <v>29700000</v>
      </c>
      <c r="AR227" s="19" t="n">
        <f aca="false">IF(AQ227&gt;0,AO227/AQ227,0)</f>
        <v>0.00407178242424242</v>
      </c>
    </row>
    <row r="228" customFormat="false" ht="15" hidden="false" customHeight="false" outlineLevel="0" collapsed="false">
      <c r="A228" s="5" t="s">
        <v>363</v>
      </c>
      <c r="B228" s="9" t="n">
        <v>45747</v>
      </c>
      <c r="C228" s="2" t="str">
        <f aca="false">TEXT(B228,"yyyy")</f>
        <v>2025</v>
      </c>
      <c r="D228" s="2" t="n">
        <f aca="false">WEEKNUM(B228,2)</f>
        <v>14</v>
      </c>
      <c r="E228" s="5" t="s">
        <v>134</v>
      </c>
      <c r="F228" s="6" t="str">
        <f aca="false">INDEX(Parametros!$B$2:$B$9,MATCH($E228,Parametros!$A$2:$A$9,0))</f>
        <v>Aderezos vertibles</v>
      </c>
      <c r="G228" s="10" t="n">
        <v>113.9</v>
      </c>
      <c r="H228" s="10" t="n">
        <v>8.2</v>
      </c>
      <c r="I228" s="11" t="n">
        <f aca="false">SUMIFS(Eventos_Paro!$J$2:$J$2186,Eventos_Paro!$D$2:$D$2186,$E228,Eventos_Paro!$B$2:$B$2186,$B228)</f>
        <v>1.3</v>
      </c>
      <c r="J228" s="12" t="n">
        <f aca="false">G228-H228-I228</f>
        <v>104.4</v>
      </c>
      <c r="K228" s="13" t="n">
        <v>436699</v>
      </c>
      <c r="L228" s="13" t="n">
        <v>453295</v>
      </c>
      <c r="M228" s="13" t="n">
        <v>12510</v>
      </c>
      <c r="N228" s="14" t="n">
        <f aca="false">L228+M228</f>
        <v>465805</v>
      </c>
      <c r="O228" s="11" t="n">
        <f aca="false">INDEX(Parametros!$D$2:$D$9,MATCH($E228,Parametros!$A$2:$A$9,0))</f>
        <v>5200</v>
      </c>
      <c r="P228" s="15" t="n">
        <f aca="false">IF((G228-H228)&gt;0,J228/(G228-H228),0)</f>
        <v>0.987701040681173</v>
      </c>
      <c r="Q228" s="15" t="n">
        <f aca="false">IF(J228*O228&gt;0,N228/(O228*J228),0)</f>
        <v>0.858025714706749</v>
      </c>
      <c r="R228" s="15" t="n">
        <f aca="false">IF(N228&gt;0,L228/N228,0)</f>
        <v>0.973143268105752</v>
      </c>
      <c r="S228" s="15" t="n">
        <f aca="false">P228*Q228*R228</f>
        <v>0.824712539116513</v>
      </c>
      <c r="T228" s="15" t="n">
        <f aca="false">IF(K228&gt;0,L228/K228,0)</f>
        <v>1.03800329288595</v>
      </c>
      <c r="U228" s="10" t="n">
        <v>1451.4</v>
      </c>
      <c r="V228" s="5" t="n">
        <v>12</v>
      </c>
      <c r="W228" s="10" t="n">
        <v>84.6</v>
      </c>
      <c r="X228" s="15" t="n">
        <f aca="false">IF(U228&gt;0,W228/U228,0)</f>
        <v>0.0582885489871848</v>
      </c>
      <c r="Y228" s="12" t="n">
        <f aca="false">IF(U228&gt;0,L228/U228,0)</f>
        <v>312.31569519085</v>
      </c>
      <c r="Z228" s="16" t="n">
        <f aca="false">L228*INDEX(Parametros!$E$2:$E$9,MATCH($E228,Parametros!$A$2:$A$9,0))</f>
        <v>249312.25</v>
      </c>
      <c r="AA228" s="16" t="n">
        <f aca="false">Z228*INDEX(Parametros!$F$2:$F$9,MATCH($E228,Parametros!$A$2:$A$9,0))</f>
        <v>7479.3675</v>
      </c>
      <c r="AB228" s="17" t="n">
        <f aca="false">Z228+AA228</f>
        <v>256791.6175</v>
      </c>
      <c r="AC228" s="18" t="n">
        <v>263953.44</v>
      </c>
      <c r="AD228" s="17" t="n">
        <f aca="false">AC228-AB228</f>
        <v>7161.82249999998</v>
      </c>
      <c r="AE228" s="17" t="n">
        <f aca="false">AA228+AD228</f>
        <v>14641.19</v>
      </c>
      <c r="AF228" s="19" t="n">
        <f aca="false">IF(Z228&gt;0,AE228/Z228,0)</f>
        <v>0.0587263160955789</v>
      </c>
      <c r="AG228" s="16" t="n">
        <f aca="false">(U228-W228)*INDEX(Parametros!$H$2:$H$9,MATCH($E228,Parametros!$A$2:$A$9,0))+W228*INDEX(Parametros!$H$2:$H$9,MATCH($E228,Parametros!$A$2:$A$9,0))*Parametros!$N$3</f>
        <v>47051.55</v>
      </c>
      <c r="AH228" s="13" t="n">
        <v>22642</v>
      </c>
      <c r="AI228" s="16" t="n">
        <f aca="false">AH228*Parametros!$N$2</f>
        <v>2083.064</v>
      </c>
      <c r="AJ228" s="18" t="n">
        <v>10037</v>
      </c>
      <c r="AK228" s="18" t="n">
        <v>1258</v>
      </c>
      <c r="AL228" s="17" t="n">
        <f aca="false">AG228+AI228+AJ228+AK228</f>
        <v>60429.614</v>
      </c>
      <c r="AM228" s="20" t="n">
        <f aca="false">IF(L228&gt;0,AL228/L228,0)</f>
        <v>0.133311891814381</v>
      </c>
      <c r="AN228" s="16" t="n">
        <f aca="false">L228*INDEX(Parametros!$G$2:$G$9,MATCH($E228,Parametros!$A$2:$A$9,0))</f>
        <v>462360.9</v>
      </c>
      <c r="AO228" s="17" t="n">
        <f aca="false">AN228-AC228-AL228</f>
        <v>137977.846</v>
      </c>
      <c r="AP228" s="15" t="n">
        <f aca="false">IF(AN228&gt;0,AO228/AN228,0)</f>
        <v>0.298420229738285</v>
      </c>
      <c r="AQ228" s="16" t="n">
        <f aca="false">INDEX(Parametros!$I$2:$I$9,MATCH($E228,Parametros!$A$2:$A$9,0))</f>
        <v>19300000</v>
      </c>
      <c r="AR228" s="19" t="n">
        <f aca="false">IF(AQ228&gt;0,AO228/AQ228,0)</f>
        <v>0.00714911119170985</v>
      </c>
    </row>
    <row r="229" customFormat="false" ht="15" hidden="false" customHeight="false" outlineLevel="0" collapsed="false">
      <c r="A229" s="5" t="s">
        <v>364</v>
      </c>
      <c r="B229" s="9" t="n">
        <v>45747</v>
      </c>
      <c r="C229" s="2" t="str">
        <f aca="false">TEXT(B229,"yyyy")</f>
        <v>2025</v>
      </c>
      <c r="D229" s="2" t="n">
        <f aca="false">WEEKNUM(B229,2)</f>
        <v>14</v>
      </c>
      <c r="E229" s="5" t="s">
        <v>136</v>
      </c>
      <c r="F229" s="6" t="str">
        <f aca="false">INDEX(Parametros!$B$2:$B$9,MATCH($E229,Parametros!$A$2:$A$9,0))</f>
        <v>Salsa BBQ</v>
      </c>
      <c r="G229" s="10" t="n">
        <v>109.3</v>
      </c>
      <c r="H229" s="10" t="n">
        <v>6</v>
      </c>
      <c r="I229" s="11" t="n">
        <f aca="false">SUMIFS(Eventos_Paro!$J$2:$J$2186,Eventos_Paro!$D$2:$D$2186,$E229,Eventos_Paro!$B$2:$B$2186,$B229)</f>
        <v>0</v>
      </c>
      <c r="J229" s="12" t="n">
        <f aca="false">G229-H229-I229</f>
        <v>103.3</v>
      </c>
      <c r="K229" s="13" t="n">
        <v>384442</v>
      </c>
      <c r="L229" s="13" t="n">
        <v>411186</v>
      </c>
      <c r="M229" s="13" t="n">
        <v>10921</v>
      </c>
      <c r="N229" s="14" t="n">
        <f aca="false">L229+M229</f>
        <v>422107</v>
      </c>
      <c r="O229" s="11" t="n">
        <f aca="false">INDEX(Parametros!$D$2:$D$9,MATCH($E229,Parametros!$A$2:$A$9,0))</f>
        <v>4800</v>
      </c>
      <c r="P229" s="15" t="n">
        <f aca="false">IF((G229-H229)&gt;0,J229/(G229-H229),0)</f>
        <v>1</v>
      </c>
      <c r="Q229" s="15" t="n">
        <f aca="false">IF(J229*O229&gt;0,N229/(O229*J229),0)</f>
        <v>0.851296789286867</v>
      </c>
      <c r="R229" s="15" t="n">
        <f aca="false">IF(N229&gt;0,L229/N229,0)</f>
        <v>0.974127413191442</v>
      </c>
      <c r="S229" s="15" t="n">
        <f aca="false">P229*Q229*R229</f>
        <v>0.829271539206196</v>
      </c>
      <c r="T229" s="15" t="n">
        <f aca="false">IF(K229&gt;0,L229/K229,0)</f>
        <v>1.06956576024472</v>
      </c>
      <c r="U229" s="10" t="n">
        <v>1260.3</v>
      </c>
      <c r="V229" s="5" t="n">
        <v>11</v>
      </c>
      <c r="W229" s="10" t="n">
        <v>58</v>
      </c>
      <c r="X229" s="15" t="n">
        <f aca="false">IF(U229&gt;0,W229/U229,0)</f>
        <v>0.0460207887011029</v>
      </c>
      <c r="Y229" s="12" t="n">
        <f aca="false">IF(U229&gt;0,L229/U229,0)</f>
        <v>326.260414187098</v>
      </c>
      <c r="Z229" s="16" t="n">
        <f aca="false">L229*INDEX(Parametros!$E$2:$E$9,MATCH($E229,Parametros!$A$2:$A$9,0))</f>
        <v>238487.88</v>
      </c>
      <c r="AA229" s="16" t="n">
        <f aca="false">Z229*INDEX(Parametros!$F$2:$F$9,MATCH($E229,Parametros!$A$2:$A$9,0))</f>
        <v>6677.66064</v>
      </c>
      <c r="AB229" s="17" t="n">
        <f aca="false">Z229+AA229</f>
        <v>245165.54064</v>
      </c>
      <c r="AC229" s="18" t="n">
        <v>244803.02</v>
      </c>
      <c r="AD229" s="17" t="n">
        <f aca="false">AC229-AB229</f>
        <v>-362.520639999973</v>
      </c>
      <c r="AE229" s="17" t="n">
        <f aca="false">AA229+AD229</f>
        <v>6315.14000000003</v>
      </c>
      <c r="AF229" s="19" t="n">
        <f aca="false">IF(Z229&gt;0,AE229/Z229,0)</f>
        <v>0.0264799200697328</v>
      </c>
      <c r="AG229" s="16" t="n">
        <f aca="false">(U229-W229)*INDEX(Parametros!$H$2:$H$9,MATCH($E229,Parametros!$A$2:$A$9,0))+W229*INDEX(Parametros!$H$2:$H$9,MATCH($E229,Parametros!$A$2:$A$9,0))*Parametros!$N$3</f>
        <v>40612.95</v>
      </c>
      <c r="AH229" s="13" t="n">
        <v>20459</v>
      </c>
      <c r="AI229" s="16" t="n">
        <f aca="false">AH229*Parametros!$N$2</f>
        <v>1882.228</v>
      </c>
      <c r="AJ229" s="18" t="n">
        <v>7704</v>
      </c>
      <c r="AK229" s="18" t="n">
        <v>0</v>
      </c>
      <c r="AL229" s="17" t="n">
        <f aca="false">AG229+AI229+AJ229+AK229</f>
        <v>50199.178</v>
      </c>
      <c r="AM229" s="20" t="n">
        <f aca="false">IF(L229&gt;0,AL229/L229,0)</f>
        <v>0.122083869587</v>
      </c>
      <c r="AN229" s="16" t="n">
        <f aca="false">L229*INDEX(Parametros!$G$2:$G$9,MATCH($E229,Parametros!$A$2:$A$9,0))</f>
        <v>402962.28</v>
      </c>
      <c r="AO229" s="17" t="n">
        <f aca="false">AN229-AC229-AL229</f>
        <v>107960.082</v>
      </c>
      <c r="AP229" s="15" t="n">
        <f aca="false">IF(AN229&gt;0,AO229/AN229,0)</f>
        <v>0.267916098747506</v>
      </c>
      <c r="AQ229" s="16" t="n">
        <f aca="false">INDEX(Parametros!$I$2:$I$9,MATCH($E229,Parametros!$A$2:$A$9,0))</f>
        <v>17000000</v>
      </c>
      <c r="AR229" s="19" t="n">
        <f aca="false">IF(AQ229&gt;0,AO229/AQ229,0)</f>
        <v>0.00635059305882353</v>
      </c>
    </row>
    <row r="230" customFormat="false" ht="15" hidden="false" customHeight="false" outlineLevel="0" collapsed="false">
      <c r="A230" s="5" t="s">
        <v>365</v>
      </c>
      <c r="B230" s="9" t="n">
        <v>45747</v>
      </c>
      <c r="C230" s="2" t="str">
        <f aca="false">TEXT(B230,"yyyy")</f>
        <v>2025</v>
      </c>
      <c r="D230" s="2" t="n">
        <f aca="false">WEEKNUM(B230,2)</f>
        <v>14</v>
      </c>
      <c r="E230" s="5" t="s">
        <v>138</v>
      </c>
      <c r="F230" s="6" t="str">
        <f aca="false">INDEX(Parametros!$B$2:$B$9,MATCH($E230,Parametros!$A$2:$A$9,0))</f>
        <v>Queso crema</v>
      </c>
      <c r="G230" s="10" t="n">
        <v>122.2</v>
      </c>
      <c r="H230" s="10" t="n">
        <v>5.9</v>
      </c>
      <c r="I230" s="11" t="n">
        <f aca="false">SUMIFS(Eventos_Paro!$J$2:$J$2186,Eventos_Paro!$D$2:$D$2186,$E230,Eventos_Paro!$B$2:$B$2186,$B230)</f>
        <v>1.61666666666667</v>
      </c>
      <c r="J230" s="12" t="n">
        <f aca="false">G230-H230-I230</f>
        <v>114.683333333333</v>
      </c>
      <c r="K230" s="13" t="n">
        <v>351130</v>
      </c>
      <c r="L230" s="13" t="n">
        <v>356128</v>
      </c>
      <c r="M230" s="13" t="n">
        <v>13685</v>
      </c>
      <c r="N230" s="14" t="n">
        <f aca="false">L230+M230</f>
        <v>369813</v>
      </c>
      <c r="O230" s="11" t="n">
        <f aca="false">INDEX(Parametros!$D$2:$D$9,MATCH($E230,Parametros!$A$2:$A$9,0))</f>
        <v>3800</v>
      </c>
      <c r="P230" s="15" t="n">
        <f aca="false">IF((G230-H230)&gt;0,J230/(G230-H230),0)</f>
        <v>0.98609916881628</v>
      </c>
      <c r="Q230" s="15" t="n">
        <f aca="false">IF(J230*O230&gt;0,N230/(O230*J230),0)</f>
        <v>0.848590703615601</v>
      </c>
      <c r="R230" s="15" t="n">
        <f aca="false">IF(N230&gt;0,L230/N230,0)</f>
        <v>0.96299481089091</v>
      </c>
      <c r="S230" s="15" t="n">
        <f aca="false">P230*Q230*R230</f>
        <v>0.805828845544644</v>
      </c>
      <c r="T230" s="15" t="n">
        <f aca="false">IF(K230&gt;0,L230/K230,0)</f>
        <v>1.01423404437103</v>
      </c>
      <c r="U230" s="10" t="n">
        <v>1932.8</v>
      </c>
      <c r="V230" s="5" t="n">
        <v>15</v>
      </c>
      <c r="W230" s="10" t="n">
        <v>99.8</v>
      </c>
      <c r="X230" s="15" t="n">
        <f aca="false">IF(U230&gt;0,W230/U230,0)</f>
        <v>0.0516349337748344</v>
      </c>
      <c r="Y230" s="12" t="n">
        <f aca="false">IF(U230&gt;0,L230/U230,0)</f>
        <v>184.254966887417</v>
      </c>
      <c r="Z230" s="16" t="n">
        <f aca="false">L230*INDEX(Parametros!$E$2:$E$9,MATCH($E230,Parametros!$A$2:$A$9,0))</f>
        <v>398863.36</v>
      </c>
      <c r="AA230" s="16" t="n">
        <f aca="false">Z230*INDEX(Parametros!$F$2:$F$9,MATCH($E230,Parametros!$A$2:$A$9,0))</f>
        <v>13960.2176</v>
      </c>
      <c r="AB230" s="17" t="n">
        <f aca="false">Z230+AA230</f>
        <v>412823.5776</v>
      </c>
      <c r="AC230" s="18" t="n">
        <v>413987.83</v>
      </c>
      <c r="AD230" s="17" t="n">
        <f aca="false">AC230-AB230</f>
        <v>1164.25239999994</v>
      </c>
      <c r="AE230" s="17" t="n">
        <f aca="false">AA230+AD230</f>
        <v>15124.4699999999</v>
      </c>
      <c r="AF230" s="19" t="n">
        <f aca="false">IF(Z230&gt;0,AE230/Z230,0)</f>
        <v>0.037918925418469</v>
      </c>
      <c r="AG230" s="16" t="n">
        <f aca="false">(U230-W230)*INDEX(Parametros!$H$2:$H$9,MATCH($E230,Parametros!$A$2:$A$9,0))+W230*INDEX(Parametros!$H$2:$H$9,MATCH($E230,Parametros!$A$2:$A$9,0))*Parametros!$N$3</f>
        <v>65429.1</v>
      </c>
      <c r="AH230" s="13" t="n">
        <v>17500</v>
      </c>
      <c r="AI230" s="16" t="n">
        <f aca="false">AH230*Parametros!$N$2</f>
        <v>1610</v>
      </c>
      <c r="AJ230" s="18" t="n">
        <v>22483</v>
      </c>
      <c r="AK230" s="18" t="n">
        <v>981</v>
      </c>
      <c r="AL230" s="17" t="n">
        <f aca="false">AG230+AI230+AJ230+AK230</f>
        <v>90503.1</v>
      </c>
      <c r="AM230" s="20" t="n">
        <f aca="false">IF(L230&gt;0,AL230/L230,0)</f>
        <v>0.254130818132806</v>
      </c>
      <c r="AN230" s="16" t="n">
        <f aca="false">L230*INDEX(Parametros!$G$2:$G$9,MATCH($E230,Parametros!$A$2:$A$9,0))</f>
        <v>637469.12</v>
      </c>
      <c r="AO230" s="17" t="n">
        <f aca="false">AN230-AC230-AL230</f>
        <v>132978.19</v>
      </c>
      <c r="AP230" s="15" t="n">
        <f aca="false">IF(AN230&gt;0,AO230/AN230,0)</f>
        <v>0.208603343798049</v>
      </c>
      <c r="AQ230" s="16" t="n">
        <f aca="false">INDEX(Parametros!$I$2:$I$9,MATCH($E230,Parametros!$A$2:$A$9,0))</f>
        <v>33200000</v>
      </c>
      <c r="AR230" s="19" t="n">
        <f aca="false">IF(AQ230&gt;0,AO230/AQ230,0)</f>
        <v>0.0040053671686747</v>
      </c>
    </row>
    <row r="231" customFormat="false" ht="15" hidden="false" customHeight="false" outlineLevel="0" collapsed="false">
      <c r="A231" s="5" t="s">
        <v>366</v>
      </c>
      <c r="B231" s="9" t="n">
        <v>45747</v>
      </c>
      <c r="C231" s="2" t="str">
        <f aca="false">TEXT(B231,"yyyy")</f>
        <v>2025</v>
      </c>
      <c r="D231" s="2" t="n">
        <f aca="false">WEEKNUM(B231,2)</f>
        <v>14</v>
      </c>
      <c r="E231" s="5" t="s">
        <v>140</v>
      </c>
      <c r="F231" s="6" t="str">
        <f aca="false">INDEX(Parametros!$B$2:$B$9,MATCH($E231,Parametros!$A$2:$A$9,0))</f>
        <v>Crema de cacahuate</v>
      </c>
      <c r="G231" s="10" t="n">
        <v>109</v>
      </c>
      <c r="H231" s="10" t="n">
        <v>6.9</v>
      </c>
      <c r="I231" s="11" t="n">
        <f aca="false">SUMIFS(Eventos_Paro!$J$2:$J$2186,Eventos_Paro!$D$2:$D$2186,$E231,Eventos_Paro!$B$2:$B$2186,$B231)</f>
        <v>0</v>
      </c>
      <c r="J231" s="12" t="n">
        <f aca="false">G231-H231-I231</f>
        <v>102.1</v>
      </c>
      <c r="K231" s="13" t="n">
        <v>340705</v>
      </c>
      <c r="L231" s="13" t="n">
        <v>366034</v>
      </c>
      <c r="M231" s="13" t="n">
        <v>9256</v>
      </c>
      <c r="N231" s="14" t="n">
        <f aca="false">L231+M231</f>
        <v>375290</v>
      </c>
      <c r="O231" s="11" t="n">
        <f aca="false">INDEX(Parametros!$D$2:$D$9,MATCH($E231,Parametros!$A$2:$A$9,0))</f>
        <v>4200</v>
      </c>
      <c r="P231" s="15" t="n">
        <f aca="false">IF((G231-H231)&gt;0,J231/(G231-H231),0)</f>
        <v>1</v>
      </c>
      <c r="Q231" s="15" t="n">
        <f aca="false">IF(J231*O231&gt;0,N231/(O231*J231),0)</f>
        <v>0.875169068606875</v>
      </c>
      <c r="R231" s="15" t="n">
        <f aca="false">IF(N231&gt;0,L231/N231,0)</f>
        <v>0.975336406512297</v>
      </c>
      <c r="S231" s="15" t="n">
        <f aca="false">P231*Q231*R231</f>
        <v>0.853584254465743</v>
      </c>
      <c r="T231" s="15" t="n">
        <f aca="false">IF(K231&gt;0,L231/K231,0)</f>
        <v>1.0743429066201</v>
      </c>
      <c r="U231" s="10" t="n">
        <v>1416.2</v>
      </c>
      <c r="V231" s="5" t="n">
        <v>12</v>
      </c>
      <c r="W231" s="10" t="n">
        <v>108.2</v>
      </c>
      <c r="X231" s="15" t="n">
        <f aca="false">IF(U231&gt;0,W231/U231,0)</f>
        <v>0.0764016381866968</v>
      </c>
      <c r="Y231" s="12" t="n">
        <f aca="false">IF(U231&gt;0,L231/U231,0)</f>
        <v>258.462081626889</v>
      </c>
      <c r="Z231" s="16" t="n">
        <f aca="false">L231*INDEX(Parametros!$E$2:$E$9,MATCH($E231,Parametros!$A$2:$A$9,0))</f>
        <v>355052.98</v>
      </c>
      <c r="AA231" s="16" t="n">
        <f aca="false">Z231*INDEX(Parametros!$F$2:$F$9,MATCH($E231,Parametros!$A$2:$A$9,0))</f>
        <v>7811.16556</v>
      </c>
      <c r="AB231" s="17" t="n">
        <f aca="false">Z231+AA231</f>
        <v>362864.14556</v>
      </c>
      <c r="AC231" s="18" t="n">
        <v>356044.7</v>
      </c>
      <c r="AD231" s="17" t="n">
        <f aca="false">AC231-AB231</f>
        <v>-6819.44555999996</v>
      </c>
      <c r="AE231" s="17" t="n">
        <f aca="false">AA231+AD231</f>
        <v>991.720000000036</v>
      </c>
      <c r="AF231" s="19" t="n">
        <f aca="false">IF(Z231&gt;0,AE231/Z231,0)</f>
        <v>0.00279316061507225</v>
      </c>
      <c r="AG231" s="16" t="n">
        <f aca="false">(U231-W231)*INDEX(Parametros!$H$2:$H$9,MATCH($E231,Parametros!$A$2:$A$9,0))+W231*INDEX(Parametros!$H$2:$H$9,MATCH($E231,Parametros!$A$2:$A$9,0))*Parametros!$N$3</f>
        <v>46314.45</v>
      </c>
      <c r="AH231" s="13" t="n">
        <v>18100</v>
      </c>
      <c r="AI231" s="16" t="n">
        <f aca="false">AH231*Parametros!$N$2</f>
        <v>1665.2</v>
      </c>
      <c r="AJ231" s="18" t="n">
        <v>12549</v>
      </c>
      <c r="AK231" s="18" t="n">
        <v>0</v>
      </c>
      <c r="AL231" s="17" t="n">
        <f aca="false">AG231+AI231+AJ231+AK231</f>
        <v>60528.65</v>
      </c>
      <c r="AM231" s="20" t="n">
        <f aca="false">IF(L231&gt;0,AL231/L231,0)</f>
        <v>0.16536346350339</v>
      </c>
      <c r="AN231" s="16" t="n">
        <f aca="false">L231*INDEX(Parametros!$G$2:$G$9,MATCH($E231,Parametros!$A$2:$A$9,0))</f>
        <v>592975.08</v>
      </c>
      <c r="AO231" s="17" t="n">
        <f aca="false">AN231-AC231-AL231</f>
        <v>176401.73</v>
      </c>
      <c r="AP231" s="15" t="n">
        <f aca="false">IF(AN231&gt;0,AO231/AN231,0)</f>
        <v>0.2974859078395</v>
      </c>
      <c r="AQ231" s="16" t="n">
        <f aca="false">INDEX(Parametros!$I$2:$I$9,MATCH($E231,Parametros!$A$2:$A$9,0))</f>
        <v>28000000</v>
      </c>
      <c r="AR231" s="19" t="n">
        <f aca="false">IF(AQ231&gt;0,AO231/AQ231,0)</f>
        <v>0.00630006178571429</v>
      </c>
    </row>
    <row r="232" customFormat="false" ht="15" hidden="false" customHeight="false" outlineLevel="0" collapsed="false">
      <c r="A232" s="5" t="s">
        <v>367</v>
      </c>
      <c r="B232" s="9" t="n">
        <v>45747</v>
      </c>
      <c r="C232" s="2" t="str">
        <f aca="false">TEXT(B232,"yyyy")</f>
        <v>2025</v>
      </c>
      <c r="D232" s="2" t="n">
        <f aca="false">WEEKNUM(B232,2)</f>
        <v>14</v>
      </c>
      <c r="E232" s="5" t="s">
        <v>142</v>
      </c>
      <c r="F232" s="6" t="str">
        <f aca="false">INDEX(Parametros!$B$2:$B$9,MATCH($E232,Parametros!$A$2:$A$9,0))</f>
        <v>Porciones single serve</v>
      </c>
      <c r="G232" s="10" t="n">
        <v>135</v>
      </c>
      <c r="H232" s="10" t="n">
        <v>5.1</v>
      </c>
      <c r="I232" s="11" t="n">
        <f aca="false">SUMIFS(Eventos_Paro!$J$2:$J$2186,Eventos_Paro!$D$2:$D$2186,$E232,Eventos_Paro!$B$2:$B$2186,$B232)</f>
        <v>3.2</v>
      </c>
      <c r="J232" s="12" t="n">
        <f aca="false">G232-H232-I232</f>
        <v>126.7</v>
      </c>
      <c r="K232" s="13" t="n">
        <v>268341</v>
      </c>
      <c r="L232" s="13" t="n">
        <v>232394</v>
      </c>
      <c r="M232" s="13" t="n">
        <v>10231</v>
      </c>
      <c r="N232" s="14" t="n">
        <f aca="false">L232+M232</f>
        <v>242625</v>
      </c>
      <c r="O232" s="11" t="n">
        <f aca="false">INDEX(Parametros!$D$2:$D$9,MATCH($E232,Parametros!$A$2:$A$9,0))</f>
        <v>2600</v>
      </c>
      <c r="P232" s="15" t="n">
        <f aca="false">IF((G232-H232)&gt;0,J232/(G232-H232),0)</f>
        <v>0.975365665896844</v>
      </c>
      <c r="Q232" s="15" t="n">
        <f aca="false">IF(J232*O232&gt;0,N232/(O232*J232),0)</f>
        <v>0.73652176552729</v>
      </c>
      <c r="R232" s="15" t="n">
        <f aca="false">IF(N232&gt;0,L232/N232,0)</f>
        <v>0.957832045337455</v>
      </c>
      <c r="S232" s="15" t="n">
        <f aca="false">P232*Q232*R232</f>
        <v>0.68808550956357</v>
      </c>
      <c r="T232" s="15" t="n">
        <f aca="false">IF(K232&gt;0,L232/K232,0)</f>
        <v>0.866039852277513</v>
      </c>
      <c r="U232" s="10" t="n">
        <v>2031.5</v>
      </c>
      <c r="V232" s="5" t="n">
        <v>14</v>
      </c>
      <c r="W232" s="10" t="n">
        <v>141.5</v>
      </c>
      <c r="X232" s="15" t="n">
        <f aca="false">IF(U232&gt;0,W232/U232,0)</f>
        <v>0.069652965788826</v>
      </c>
      <c r="Y232" s="12" t="n">
        <f aca="false">IF(U232&gt;0,L232/U232,0)</f>
        <v>114.395274427763</v>
      </c>
      <c r="Z232" s="16" t="n">
        <f aca="false">L232*INDEX(Parametros!$E$2:$E$9,MATCH($E232,Parametros!$A$2:$A$9,0))</f>
        <v>171971.56</v>
      </c>
      <c r="AA232" s="16" t="n">
        <f aca="false">Z232*INDEX(Parametros!$F$2:$F$9,MATCH($E232,Parametros!$A$2:$A$9,0))</f>
        <v>7738.7202</v>
      </c>
      <c r="AB232" s="17" t="n">
        <f aca="false">Z232+AA232</f>
        <v>179710.2802</v>
      </c>
      <c r="AC232" s="18" t="n">
        <v>178970.71</v>
      </c>
      <c r="AD232" s="17" t="n">
        <f aca="false">AC232-AB232</f>
        <v>-739.570200000017</v>
      </c>
      <c r="AE232" s="17" t="n">
        <f aca="false">AA232+AD232</f>
        <v>6999.14999999998</v>
      </c>
      <c r="AF232" s="19" t="n">
        <f aca="false">IF(Z232&gt;0,AE232/Z232,0)</f>
        <v>0.0406994621668838</v>
      </c>
      <c r="AG232" s="16" t="n">
        <f aca="false">(U232-W232)*INDEX(Parametros!$H$2:$H$9,MATCH($E232,Parametros!$A$2:$A$9,0))+W232*INDEX(Parametros!$H$2:$H$9,MATCH($E232,Parametros!$A$2:$A$9,0))*Parametros!$N$3</f>
        <v>63067.5</v>
      </c>
      <c r="AH232" s="13" t="n">
        <v>13134</v>
      </c>
      <c r="AI232" s="16" t="n">
        <f aca="false">AH232*Parametros!$N$2</f>
        <v>1208.328</v>
      </c>
      <c r="AJ232" s="18" t="n">
        <v>10732</v>
      </c>
      <c r="AK232" s="18" t="n">
        <v>3189</v>
      </c>
      <c r="AL232" s="17" t="n">
        <f aca="false">AG232+AI232+AJ232+AK232</f>
        <v>78196.828</v>
      </c>
      <c r="AM232" s="20" t="n">
        <f aca="false">IF(L232&gt;0,AL232/L232,0)</f>
        <v>0.336483850701825</v>
      </c>
      <c r="AN232" s="16" t="n">
        <f aca="false">L232*INDEX(Parametros!$G$2:$G$9,MATCH($E232,Parametros!$A$2:$A$9,0))</f>
        <v>399717.68</v>
      </c>
      <c r="AO232" s="17" t="n">
        <f aca="false">AN232-AC232-AL232</f>
        <v>142550.142</v>
      </c>
      <c r="AP232" s="15" t="n">
        <f aca="false">IF(AN232&gt;0,AO232/AN232,0)</f>
        <v>0.356627062380628</v>
      </c>
      <c r="AQ232" s="16" t="n">
        <f aca="false">INDEX(Parametros!$I$2:$I$9,MATCH($E232,Parametros!$A$2:$A$9,0))</f>
        <v>15900000</v>
      </c>
      <c r="AR232" s="19" t="n">
        <f aca="false">IF(AQ232&gt;0,AO232/AQ232,0)</f>
        <v>0.00896541773584906</v>
      </c>
    </row>
    <row r="233" customFormat="false" ht="15" hidden="false" customHeight="false" outlineLevel="0" collapsed="false">
      <c r="A233" s="5" t="s">
        <v>368</v>
      </c>
      <c r="B233" s="9" t="n">
        <v>45747</v>
      </c>
      <c r="C233" s="2" t="str">
        <f aca="false">TEXT(B233,"yyyy")</f>
        <v>2025</v>
      </c>
      <c r="D233" s="2" t="n">
        <f aca="false">WEEKNUM(B233,2)</f>
        <v>14</v>
      </c>
      <c r="E233" s="5" t="s">
        <v>144</v>
      </c>
      <c r="F233" s="6" t="str">
        <f aca="false">INDEX(Parametros!$B$2:$B$9,MATCH($E233,Parametros!$A$2:$A$9,0))</f>
        <v>Salsas picantes</v>
      </c>
      <c r="G233" s="10" t="n">
        <v>88.2</v>
      </c>
      <c r="H233" s="10" t="n">
        <v>5.1</v>
      </c>
      <c r="I233" s="11" t="n">
        <f aca="false">SUMIFS(Eventos_Paro!$J$2:$J$2186,Eventos_Paro!$D$2:$D$2186,$E233,Eventos_Paro!$B$2:$B$2186,$B233)</f>
        <v>0</v>
      </c>
      <c r="J233" s="12" t="n">
        <f aca="false">G233-H233-I233</f>
        <v>83.1</v>
      </c>
      <c r="K233" s="13" t="n">
        <v>207680</v>
      </c>
      <c r="L233" s="13" t="n">
        <v>203836</v>
      </c>
      <c r="M233" s="13" t="n">
        <v>7808</v>
      </c>
      <c r="N233" s="14" t="n">
        <f aca="false">L233+M233</f>
        <v>211644</v>
      </c>
      <c r="O233" s="11" t="n">
        <f aca="false">INDEX(Parametros!$D$2:$D$9,MATCH($E233,Parametros!$A$2:$A$9,0))</f>
        <v>3100</v>
      </c>
      <c r="P233" s="15" t="n">
        <f aca="false">IF((G233-H233)&gt;0,J233/(G233-H233),0)</f>
        <v>1</v>
      </c>
      <c r="Q233" s="15" t="n">
        <f aca="false">IF(J233*O233&gt;0,N233/(O233*J233),0)</f>
        <v>0.821567485734249</v>
      </c>
      <c r="R233" s="15" t="n">
        <f aca="false">IF(N233&gt;0,L233/N233,0)</f>
        <v>0.963107860369299</v>
      </c>
      <c r="S233" s="15" t="n">
        <f aca="false">P233*Q233*R233</f>
        <v>0.791258103334498</v>
      </c>
      <c r="T233" s="15" t="n">
        <f aca="false">IF(K233&gt;0,L233/K233,0)</f>
        <v>0.981490755007704</v>
      </c>
      <c r="U233" s="10" t="n">
        <v>822.8</v>
      </c>
      <c r="V233" s="5" t="n">
        <v>9</v>
      </c>
      <c r="W233" s="10" t="n">
        <v>29</v>
      </c>
      <c r="X233" s="15" t="n">
        <f aca="false">IF(U233&gt;0,W233/U233,0)</f>
        <v>0.0352455031599417</v>
      </c>
      <c r="Y233" s="12" t="n">
        <f aca="false">IF(U233&gt;0,L233/U233,0)</f>
        <v>247.73456490034</v>
      </c>
      <c r="Z233" s="16" t="n">
        <f aca="false">L233*INDEX(Parametros!$E$2:$E$9,MATCH($E233,Parametros!$A$2:$A$9,0))</f>
        <v>134531.76</v>
      </c>
      <c r="AA233" s="16" t="n">
        <f aca="false">Z233*INDEX(Parametros!$F$2:$F$9,MATCH($E233,Parametros!$A$2:$A$9,0))</f>
        <v>3497.82576</v>
      </c>
      <c r="AB233" s="17" t="n">
        <f aca="false">Z233+AA233</f>
        <v>138029.58576</v>
      </c>
      <c r="AC233" s="18" t="n">
        <v>136380.64</v>
      </c>
      <c r="AD233" s="17" t="n">
        <f aca="false">AC233-AB233</f>
        <v>-1648.94576</v>
      </c>
      <c r="AE233" s="17" t="n">
        <f aca="false">AA233+AD233</f>
        <v>1848.88</v>
      </c>
      <c r="AF233" s="19" t="n">
        <f aca="false">IF(Z233&gt;0,AE233/Z233,0)</f>
        <v>0.0137430744977989</v>
      </c>
      <c r="AG233" s="16" t="n">
        <f aca="false">(U233-W233)*INDEX(Parametros!$H$2:$H$9,MATCH($E233,Parametros!$A$2:$A$9,0))+W233*INDEX(Parametros!$H$2:$H$9,MATCH($E233,Parametros!$A$2:$A$9,0))*Parametros!$N$3</f>
        <v>26374.95</v>
      </c>
      <c r="AH233" s="13" t="n">
        <v>11178</v>
      </c>
      <c r="AI233" s="16" t="n">
        <f aca="false">AH233*Parametros!$N$2</f>
        <v>1028.376</v>
      </c>
      <c r="AJ233" s="18" t="n">
        <v>7221</v>
      </c>
      <c r="AK233" s="18" t="n">
        <v>0</v>
      </c>
      <c r="AL233" s="17" t="n">
        <f aca="false">AG233+AI233+AJ233+AK233</f>
        <v>34624.326</v>
      </c>
      <c r="AM233" s="20" t="n">
        <f aca="false">IF(L233&gt;0,AL233/L233,0)</f>
        <v>0.169863645283463</v>
      </c>
      <c r="AN233" s="16" t="n">
        <f aca="false">L233*INDEX(Parametros!$G$2:$G$9,MATCH($E233,Parametros!$A$2:$A$9,0))</f>
        <v>254795</v>
      </c>
      <c r="AO233" s="17" t="n">
        <f aca="false">AN233-AC233-AL233</f>
        <v>83790.034</v>
      </c>
      <c r="AP233" s="15" t="n">
        <f aca="false">IF(AN233&gt;0,AO233/AN233,0)</f>
        <v>0.328852740438392</v>
      </c>
      <c r="AQ233" s="16" t="n">
        <f aca="false">INDEX(Parametros!$I$2:$I$9,MATCH($E233,Parametros!$A$2:$A$9,0))</f>
        <v>13300000</v>
      </c>
      <c r="AR233" s="19" t="n">
        <f aca="false">IF(AQ233&gt;0,AO233/AQ233,0)</f>
        <v>0.00630000255639098</v>
      </c>
    </row>
    <row r="234" customFormat="false" ht="15" hidden="false" customHeight="false" outlineLevel="0" collapsed="false">
      <c r="A234" s="5" t="s">
        <v>369</v>
      </c>
      <c r="B234" s="9" t="n">
        <v>45754</v>
      </c>
      <c r="C234" s="2" t="str">
        <f aca="false">TEXT(B234,"yyyy")</f>
        <v>2025</v>
      </c>
      <c r="D234" s="2" t="n">
        <f aca="false">WEEKNUM(B234,2)</f>
        <v>15</v>
      </c>
      <c r="E234" s="5" t="s">
        <v>130</v>
      </c>
      <c r="F234" s="6" t="str">
        <f aca="false">INDEX(Parametros!$B$2:$B$9,MATCH($E234,Parametros!$A$2:$A$9,0))</f>
        <v>Ketchup botella</v>
      </c>
      <c r="G234" s="10" t="n">
        <v>113.7</v>
      </c>
      <c r="H234" s="10" t="n">
        <v>6</v>
      </c>
      <c r="I234" s="11" t="n">
        <f aca="false">SUMIFS(Eventos_Paro!$J$2:$J$2186,Eventos_Paro!$D$2:$D$2186,$E234,Eventos_Paro!$B$2:$B$2186,$B234)</f>
        <v>2.36666666666667</v>
      </c>
      <c r="J234" s="12" t="n">
        <f aca="false">G234-H234-I234</f>
        <v>105.333333333333</v>
      </c>
      <c r="K234" s="13" t="n">
        <v>773839</v>
      </c>
      <c r="L234" s="13" t="n">
        <v>817091</v>
      </c>
      <c r="M234" s="13" t="n">
        <v>9644</v>
      </c>
      <c r="N234" s="14" t="n">
        <f aca="false">L234+M234</f>
        <v>826735</v>
      </c>
      <c r="O234" s="11" t="n">
        <f aca="false">INDEX(Parametros!$D$2:$D$9,MATCH($E234,Parametros!$A$2:$A$9,0))</f>
        <v>9000</v>
      </c>
      <c r="P234" s="15" t="n">
        <f aca="false">IF((G234-H234)&gt;0,J234/(G234-H234),0)</f>
        <v>0.978025379139585</v>
      </c>
      <c r="Q234" s="15" t="n">
        <f aca="false">IF(J234*O234&gt;0,N234/(O234*J234),0)</f>
        <v>0.872083333333333</v>
      </c>
      <c r="R234" s="15" t="n">
        <f aca="false">IF(N234&gt;0,L234/N234,0)</f>
        <v>0.988334835225314</v>
      </c>
      <c r="S234" s="15" t="n">
        <f aca="false">P234*Q234*R234</f>
        <v>0.842970184669349</v>
      </c>
      <c r="T234" s="15" t="n">
        <f aca="false">IF(K234&gt;0,L234/K234,0)</f>
        <v>1.05589276322336</v>
      </c>
      <c r="U234" s="10" t="n">
        <v>1672</v>
      </c>
      <c r="V234" s="5" t="n">
        <v>14</v>
      </c>
      <c r="W234" s="10" t="n">
        <v>80.2</v>
      </c>
      <c r="X234" s="15" t="n">
        <f aca="false">IF(U234&gt;0,W234/U234,0)</f>
        <v>0.0479665071770335</v>
      </c>
      <c r="Y234" s="12" t="n">
        <f aca="false">IF(U234&gt;0,L234/U234,0)</f>
        <v>488.690789473684</v>
      </c>
      <c r="Z234" s="16" t="n">
        <f aca="false">L234*INDEX(Parametros!$E$2:$E$9,MATCH($E234,Parametros!$A$2:$A$9,0))</f>
        <v>343178.22</v>
      </c>
      <c r="AA234" s="16" t="n">
        <f aca="false">Z234*INDEX(Parametros!$F$2:$F$9,MATCH($E234,Parametros!$A$2:$A$9,0))</f>
        <v>6863.5644</v>
      </c>
      <c r="AB234" s="17" t="n">
        <f aca="false">Z234+AA234</f>
        <v>350041.7844</v>
      </c>
      <c r="AC234" s="18" t="n">
        <v>354615.66</v>
      </c>
      <c r="AD234" s="17" t="n">
        <f aca="false">AC234-AB234</f>
        <v>4573.87560000003</v>
      </c>
      <c r="AE234" s="17" t="n">
        <f aca="false">AA234+AD234</f>
        <v>11437.44</v>
      </c>
      <c r="AF234" s="19" t="n">
        <f aca="false">IF(Z234&gt;0,AE234/Z234,0)</f>
        <v>0.0333279891713409</v>
      </c>
      <c r="AG234" s="16" t="n">
        <f aca="false">(U234-W234)*INDEX(Parametros!$H$2:$H$9,MATCH($E234,Parametros!$A$2:$A$9,0))+W234*INDEX(Parametros!$H$2:$H$9,MATCH($E234,Parametros!$A$2:$A$9,0))*Parametros!$N$3</f>
        <v>53931.15</v>
      </c>
      <c r="AH234" s="13" t="n">
        <v>42654</v>
      </c>
      <c r="AI234" s="16" t="n">
        <f aca="false">AH234*Parametros!$N$2</f>
        <v>3924.168</v>
      </c>
      <c r="AJ234" s="18" t="n">
        <v>14034</v>
      </c>
      <c r="AK234" s="18" t="n">
        <v>1972</v>
      </c>
      <c r="AL234" s="17" t="n">
        <f aca="false">AG234+AI234+AJ234+AK234</f>
        <v>73861.318</v>
      </c>
      <c r="AM234" s="20" t="n">
        <f aca="false">IF(L234&gt;0,AL234/L234,0)</f>
        <v>0.090395461460229</v>
      </c>
      <c r="AN234" s="16" t="n">
        <f aca="false">L234*INDEX(Parametros!$G$2:$G$9,MATCH($E234,Parametros!$A$2:$A$9,0))</f>
        <v>580134.61</v>
      </c>
      <c r="AO234" s="17" t="n">
        <f aca="false">AN234-AC234-AL234</f>
        <v>151657.632</v>
      </c>
      <c r="AP234" s="15" t="n">
        <f aca="false">IF(AN234&gt;0,AO234/AN234,0)</f>
        <v>0.261418004349025</v>
      </c>
      <c r="AQ234" s="16" t="n">
        <f aca="false">INDEX(Parametros!$I$2:$I$9,MATCH($E234,Parametros!$A$2:$A$9,0))</f>
        <v>29300000</v>
      </c>
      <c r="AR234" s="19" t="n">
        <f aca="false">IF(AQ234&gt;0,AO234/AQ234,0)</f>
        <v>0.00517602839590444</v>
      </c>
    </row>
    <row r="235" customFormat="false" ht="15" hidden="false" customHeight="false" outlineLevel="0" collapsed="false">
      <c r="A235" s="5" t="s">
        <v>370</v>
      </c>
      <c r="B235" s="9" t="n">
        <v>45754</v>
      </c>
      <c r="C235" s="2" t="str">
        <f aca="false">TEXT(B235,"yyyy")</f>
        <v>2025</v>
      </c>
      <c r="D235" s="2" t="n">
        <f aca="false">WEEKNUM(B235,2)</f>
        <v>15</v>
      </c>
      <c r="E235" s="5" t="s">
        <v>132</v>
      </c>
      <c r="F235" s="6" t="str">
        <f aca="false">INDEX(Parametros!$B$2:$B$9,MATCH($E235,Parametros!$A$2:$A$9,0))</f>
        <v>Mayonesa frasco</v>
      </c>
      <c r="G235" s="10" t="n">
        <v>112.3</v>
      </c>
      <c r="H235" s="10" t="n">
        <v>6</v>
      </c>
      <c r="I235" s="11" t="n">
        <f aca="false">SUMIFS(Eventos_Paro!$J$2:$J$2186,Eventos_Paro!$D$2:$D$2186,$E235,Eventos_Paro!$B$2:$B$2186,$B235)</f>
        <v>9.01666666666667</v>
      </c>
      <c r="J235" s="12" t="n">
        <f aca="false">G235-H235-I235</f>
        <v>97.2833333333333</v>
      </c>
      <c r="K235" s="13" t="n">
        <v>551619</v>
      </c>
      <c r="L235" s="13" t="n">
        <v>537076</v>
      </c>
      <c r="M235" s="13" t="n">
        <v>14979</v>
      </c>
      <c r="N235" s="14" t="n">
        <f aca="false">L235+M235</f>
        <v>552055</v>
      </c>
      <c r="O235" s="11" t="n">
        <f aca="false">INDEX(Parametros!$D$2:$D$9,MATCH($E235,Parametros!$A$2:$A$9,0))</f>
        <v>6500</v>
      </c>
      <c r="P235" s="15" t="n">
        <f aca="false">IF((G235-H235)&gt;0,J235/(G235-H235),0)</f>
        <v>0.915177171527125</v>
      </c>
      <c r="Q235" s="15" t="n">
        <f aca="false">IF(J235*O235&gt;0,N235/(O235*J235),0)</f>
        <v>0.873032775002965</v>
      </c>
      <c r="R235" s="15" t="n">
        <f aca="false">IF(N235&gt;0,L235/N235,0)</f>
        <v>0.972866833920533</v>
      </c>
      <c r="S235" s="15" t="n">
        <f aca="false">P235*Q235*R235</f>
        <v>0.777300817714741</v>
      </c>
      <c r="T235" s="15" t="n">
        <f aca="false">IF(K235&gt;0,L235/K235,0)</f>
        <v>0.97363578846994</v>
      </c>
      <c r="U235" s="10" t="n">
        <v>1424.9</v>
      </c>
      <c r="V235" s="5" t="n">
        <v>12</v>
      </c>
      <c r="W235" s="10" t="n">
        <v>77.3</v>
      </c>
      <c r="X235" s="15" t="n">
        <f aca="false">IF(U235&gt;0,W235/U235,0)</f>
        <v>0.0542494210120008</v>
      </c>
      <c r="Y235" s="12" t="n">
        <f aca="false">IF(U235&gt;0,L235/U235,0)</f>
        <v>376.921889255386</v>
      </c>
      <c r="Z235" s="16" t="n">
        <f aca="false">L235*INDEX(Parametros!$E$2:$E$9,MATCH($E235,Parametros!$A$2:$A$9,0))</f>
        <v>327616.36</v>
      </c>
      <c r="AA235" s="16" t="n">
        <f aca="false">Z235*INDEX(Parametros!$F$2:$F$9,MATCH($E235,Parametros!$A$2:$A$9,0))</f>
        <v>8190.409</v>
      </c>
      <c r="AB235" s="17" t="n">
        <f aca="false">Z235+AA235</f>
        <v>335806.769</v>
      </c>
      <c r="AC235" s="18" t="n">
        <v>329158.25</v>
      </c>
      <c r="AD235" s="17" t="n">
        <f aca="false">AC235-AB235</f>
        <v>-6648.51899999997</v>
      </c>
      <c r="AE235" s="17" t="n">
        <f aca="false">AA235+AD235</f>
        <v>1541.89000000003</v>
      </c>
      <c r="AF235" s="19" t="n">
        <f aca="false">IF(Z235&gt;0,AE235/Z235,0)</f>
        <v>0.00470638889950437</v>
      </c>
      <c r="AG235" s="16" t="n">
        <f aca="false">(U235-W235)*INDEX(Parametros!$H$2:$H$9,MATCH($E235,Parametros!$A$2:$A$9,0))+W235*INDEX(Parametros!$H$2:$H$9,MATCH($E235,Parametros!$A$2:$A$9,0))*Parametros!$N$3</f>
        <v>46101.825</v>
      </c>
      <c r="AH235" s="13" t="n">
        <v>28258</v>
      </c>
      <c r="AI235" s="16" t="n">
        <f aca="false">AH235*Parametros!$N$2</f>
        <v>2599.736</v>
      </c>
      <c r="AJ235" s="18" t="n">
        <v>11355</v>
      </c>
      <c r="AK235" s="18" t="n">
        <v>9401</v>
      </c>
      <c r="AL235" s="17" t="n">
        <f aca="false">AG235+AI235+AJ235+AK235</f>
        <v>69457.561</v>
      </c>
      <c r="AM235" s="20" t="n">
        <f aca="false">IF(L235&gt;0,AL235/L235,0)</f>
        <v>0.129325385978893</v>
      </c>
      <c r="AN235" s="16" t="n">
        <f aca="false">L235*INDEX(Parametros!$G$2:$G$9,MATCH($E235,Parametros!$A$2:$A$9,0))</f>
        <v>515592.96</v>
      </c>
      <c r="AO235" s="17" t="n">
        <f aca="false">AN235-AC235-AL235</f>
        <v>116977.149</v>
      </c>
      <c r="AP235" s="15" t="n">
        <f aca="false">IF(AN235&gt;0,AO235/AN235,0)</f>
        <v>0.22687887165876</v>
      </c>
      <c r="AQ235" s="16" t="n">
        <f aca="false">INDEX(Parametros!$I$2:$I$9,MATCH($E235,Parametros!$A$2:$A$9,0))</f>
        <v>29700000</v>
      </c>
      <c r="AR235" s="19" t="n">
        <f aca="false">IF(AQ235&gt;0,AO235/AQ235,0)</f>
        <v>0.00393862454545454</v>
      </c>
    </row>
    <row r="236" customFormat="false" ht="15" hidden="false" customHeight="false" outlineLevel="0" collapsed="false">
      <c r="A236" s="5" t="s">
        <v>371</v>
      </c>
      <c r="B236" s="9" t="n">
        <v>45754</v>
      </c>
      <c r="C236" s="2" t="str">
        <f aca="false">TEXT(B236,"yyyy")</f>
        <v>2025</v>
      </c>
      <c r="D236" s="2" t="n">
        <f aca="false">WEEKNUM(B236,2)</f>
        <v>15</v>
      </c>
      <c r="E236" s="5" t="s">
        <v>134</v>
      </c>
      <c r="F236" s="6" t="str">
        <f aca="false">INDEX(Parametros!$B$2:$B$9,MATCH($E236,Parametros!$A$2:$A$9,0))</f>
        <v>Aderezos vertibles</v>
      </c>
      <c r="G236" s="10" t="n">
        <v>123.8</v>
      </c>
      <c r="H236" s="10" t="n">
        <v>6.4</v>
      </c>
      <c r="I236" s="11" t="n">
        <f aca="false">SUMIFS(Eventos_Paro!$J$2:$J$2186,Eventos_Paro!$D$2:$D$2186,$E236,Eventos_Paro!$B$2:$B$2186,$B236)</f>
        <v>1.38333333333333</v>
      </c>
      <c r="J236" s="12" t="n">
        <f aca="false">G236-H236-I236</f>
        <v>116.016666666667</v>
      </c>
      <c r="K236" s="13" t="n">
        <v>487376</v>
      </c>
      <c r="L236" s="13" t="n">
        <v>472748</v>
      </c>
      <c r="M236" s="13" t="n">
        <v>15296</v>
      </c>
      <c r="N236" s="14" t="n">
        <f aca="false">L236+M236</f>
        <v>488044</v>
      </c>
      <c r="O236" s="11" t="n">
        <f aca="false">INDEX(Parametros!$D$2:$D$9,MATCH($E236,Parametros!$A$2:$A$9,0))</f>
        <v>5200</v>
      </c>
      <c r="P236" s="15" t="n">
        <f aca="false">IF((G236-H236)&gt;0,J236/(G236-H236),0)</f>
        <v>0.988216922203294</v>
      </c>
      <c r="Q236" s="15" t="n">
        <f aca="false">IF(J236*O236&gt;0,N236/(O236*J236),0)</f>
        <v>0.808975279855901</v>
      </c>
      <c r="R236" s="15" t="n">
        <f aca="false">IF(N236&gt;0,L236/N236,0)</f>
        <v>0.968658563572137</v>
      </c>
      <c r="S236" s="15" t="n">
        <f aca="false">P236*Q236*R236</f>
        <v>0.774387367317521</v>
      </c>
      <c r="T236" s="15" t="n">
        <f aca="false">IF(K236&gt;0,L236/K236,0)</f>
        <v>0.969986211877483</v>
      </c>
      <c r="U236" s="10" t="n">
        <v>1614.7</v>
      </c>
      <c r="V236" s="5" t="n">
        <v>12</v>
      </c>
      <c r="W236" s="10" t="n">
        <v>129.1</v>
      </c>
      <c r="X236" s="15" t="n">
        <f aca="false">IF(U236&gt;0,W236/U236,0)</f>
        <v>0.0799529324332693</v>
      </c>
      <c r="Y236" s="12" t="n">
        <f aca="false">IF(U236&gt;0,L236/U236,0)</f>
        <v>292.777605747198</v>
      </c>
      <c r="Z236" s="16" t="n">
        <f aca="false">L236*INDEX(Parametros!$E$2:$E$9,MATCH($E236,Parametros!$A$2:$A$9,0))</f>
        <v>260011.4</v>
      </c>
      <c r="AA236" s="16" t="n">
        <f aca="false">Z236*INDEX(Parametros!$F$2:$F$9,MATCH($E236,Parametros!$A$2:$A$9,0))</f>
        <v>7800.342</v>
      </c>
      <c r="AB236" s="17" t="n">
        <f aca="false">Z236+AA236</f>
        <v>267811.742</v>
      </c>
      <c r="AC236" s="18" t="n">
        <v>267540.53</v>
      </c>
      <c r="AD236" s="17" t="n">
        <f aca="false">AC236-AB236</f>
        <v>-271.212</v>
      </c>
      <c r="AE236" s="17" t="n">
        <f aca="false">AA236+AD236</f>
        <v>7529.13</v>
      </c>
      <c r="AF236" s="19" t="n">
        <f aca="false">IF(Z236&gt;0,AE236/Z236,0)</f>
        <v>0.0289569226580065</v>
      </c>
      <c r="AG236" s="16" t="n">
        <f aca="false">(U236-W236)*INDEX(Parametros!$H$2:$H$9,MATCH($E236,Parametros!$A$2:$A$9,0))+W236*INDEX(Parametros!$H$2:$H$9,MATCH($E236,Parametros!$A$2:$A$9,0))*Parametros!$N$3</f>
        <v>52896.375</v>
      </c>
      <c r="AH236" s="13" t="n">
        <v>24784</v>
      </c>
      <c r="AI236" s="16" t="n">
        <f aca="false">AH236*Parametros!$N$2</f>
        <v>2280.128</v>
      </c>
      <c r="AJ236" s="18" t="n">
        <v>9926</v>
      </c>
      <c r="AK236" s="18" t="n">
        <v>1265</v>
      </c>
      <c r="AL236" s="17" t="n">
        <f aca="false">AG236+AI236+AJ236+AK236</f>
        <v>66367.503</v>
      </c>
      <c r="AM236" s="20" t="n">
        <f aca="false">IF(L236&gt;0,AL236/L236,0)</f>
        <v>0.140386639393504</v>
      </c>
      <c r="AN236" s="16" t="n">
        <f aca="false">L236*INDEX(Parametros!$G$2:$G$9,MATCH($E236,Parametros!$A$2:$A$9,0))</f>
        <v>482202.96</v>
      </c>
      <c r="AO236" s="17" t="n">
        <f aca="false">AN236-AC236-AL236</f>
        <v>148294.927</v>
      </c>
      <c r="AP236" s="15" t="n">
        <f aca="false">IF(AN236&gt;0,AO236/AN236,0)</f>
        <v>0.307536326612346</v>
      </c>
      <c r="AQ236" s="16" t="n">
        <f aca="false">INDEX(Parametros!$I$2:$I$9,MATCH($E236,Parametros!$A$2:$A$9,0))</f>
        <v>19300000</v>
      </c>
      <c r="AR236" s="19" t="n">
        <f aca="false">IF(AQ236&gt;0,AO236/AQ236,0)</f>
        <v>0.00768367497409326</v>
      </c>
    </row>
    <row r="237" customFormat="false" ht="15" hidden="false" customHeight="false" outlineLevel="0" collapsed="false">
      <c r="A237" s="5" t="s">
        <v>372</v>
      </c>
      <c r="B237" s="9" t="n">
        <v>45754</v>
      </c>
      <c r="C237" s="2" t="str">
        <f aca="false">TEXT(B237,"yyyy")</f>
        <v>2025</v>
      </c>
      <c r="D237" s="2" t="n">
        <f aca="false">WEEKNUM(B237,2)</f>
        <v>15</v>
      </c>
      <c r="E237" s="5" t="s">
        <v>136</v>
      </c>
      <c r="F237" s="6" t="str">
        <f aca="false">INDEX(Parametros!$B$2:$B$9,MATCH($E237,Parametros!$A$2:$A$9,0))</f>
        <v>Salsa BBQ</v>
      </c>
      <c r="G237" s="10" t="n">
        <v>121.7</v>
      </c>
      <c r="H237" s="10" t="n">
        <v>6.5</v>
      </c>
      <c r="I237" s="11" t="n">
        <f aca="false">SUMIFS(Eventos_Paro!$J$2:$J$2186,Eventos_Paro!$D$2:$D$2186,$E237,Eventos_Paro!$B$2:$B$2186,$B237)</f>
        <v>0</v>
      </c>
      <c r="J237" s="12" t="n">
        <f aca="false">G237-H237-I237</f>
        <v>115.2</v>
      </c>
      <c r="K237" s="13" t="n">
        <v>438258</v>
      </c>
      <c r="L237" s="13" t="n">
        <v>429924</v>
      </c>
      <c r="M237" s="13" t="n">
        <v>15694</v>
      </c>
      <c r="N237" s="14" t="n">
        <f aca="false">L237+M237</f>
        <v>445618</v>
      </c>
      <c r="O237" s="11" t="n">
        <f aca="false">INDEX(Parametros!$D$2:$D$9,MATCH($E237,Parametros!$A$2:$A$9,0))</f>
        <v>4800</v>
      </c>
      <c r="P237" s="15" t="n">
        <f aca="false">IF((G237-H237)&gt;0,J237/(G237-H237),0)</f>
        <v>1</v>
      </c>
      <c r="Q237" s="15" t="n">
        <f aca="false">IF(J237*O237&gt;0,N237/(O237*J237),0)</f>
        <v>0.805877459490741</v>
      </c>
      <c r="R237" s="15" t="n">
        <f aca="false">IF(N237&gt;0,L237/N237,0)</f>
        <v>0.964781494463868</v>
      </c>
      <c r="S237" s="15" t="n">
        <f aca="false">P237*Q237*R237</f>
        <v>0.777495659722222</v>
      </c>
      <c r="T237" s="15" t="n">
        <f aca="false">IF(K237&gt;0,L237/K237,0)</f>
        <v>0.980983804060622</v>
      </c>
      <c r="U237" s="10" t="n">
        <v>1451.7</v>
      </c>
      <c r="V237" s="5" t="n">
        <v>11</v>
      </c>
      <c r="W237" s="10" t="n">
        <v>113</v>
      </c>
      <c r="X237" s="15" t="n">
        <f aca="false">IF(U237&gt;0,W237/U237,0)</f>
        <v>0.077839774058001</v>
      </c>
      <c r="Y237" s="12" t="n">
        <f aca="false">IF(U237&gt;0,L237/U237,0)</f>
        <v>296.152097540814</v>
      </c>
      <c r="Z237" s="16" t="n">
        <f aca="false">L237*INDEX(Parametros!$E$2:$E$9,MATCH($E237,Parametros!$A$2:$A$9,0))</f>
        <v>249355.92</v>
      </c>
      <c r="AA237" s="16" t="n">
        <f aca="false">Z237*INDEX(Parametros!$F$2:$F$9,MATCH($E237,Parametros!$A$2:$A$9,0))</f>
        <v>6981.96576</v>
      </c>
      <c r="AB237" s="17" t="n">
        <f aca="false">Z237+AA237</f>
        <v>256337.88576</v>
      </c>
      <c r="AC237" s="18" t="n">
        <v>253715.37</v>
      </c>
      <c r="AD237" s="17" t="n">
        <f aca="false">AC237-AB237</f>
        <v>-2622.51575999998</v>
      </c>
      <c r="AE237" s="17" t="n">
        <f aca="false">AA237+AD237</f>
        <v>4359.45000000002</v>
      </c>
      <c r="AF237" s="19" t="n">
        <f aca="false">IF(Z237&gt;0,AE237/Z237,0)</f>
        <v>0.0174828413939401</v>
      </c>
      <c r="AG237" s="16" t="n">
        <f aca="false">(U237-W237)*INDEX(Parametros!$H$2:$H$9,MATCH($E237,Parametros!$A$2:$A$9,0))+W237*INDEX(Parametros!$H$2:$H$9,MATCH($E237,Parametros!$A$2:$A$9,0))*Parametros!$N$3</f>
        <v>47508.3</v>
      </c>
      <c r="AH237" s="13" t="n">
        <v>21609</v>
      </c>
      <c r="AI237" s="16" t="n">
        <f aca="false">AH237*Parametros!$N$2</f>
        <v>1988.028</v>
      </c>
      <c r="AJ237" s="18" t="n">
        <v>9665</v>
      </c>
      <c r="AK237" s="18" t="n">
        <v>0</v>
      </c>
      <c r="AL237" s="17" t="n">
        <f aca="false">AG237+AI237+AJ237+AK237</f>
        <v>59161.328</v>
      </c>
      <c r="AM237" s="20" t="n">
        <f aca="false">IF(L237&gt;0,AL237/L237,0)</f>
        <v>0.137608805277212</v>
      </c>
      <c r="AN237" s="16" t="n">
        <f aca="false">L237*INDEX(Parametros!$G$2:$G$9,MATCH($E237,Parametros!$A$2:$A$9,0))</f>
        <v>421325.52</v>
      </c>
      <c r="AO237" s="17" t="n">
        <f aca="false">AN237-AC237-AL237</f>
        <v>108448.822</v>
      </c>
      <c r="AP237" s="15" t="n">
        <f aca="false">IF(AN237&gt;0,AO237/AN237,0)</f>
        <v>0.257399129300309</v>
      </c>
      <c r="AQ237" s="16" t="n">
        <f aca="false">INDEX(Parametros!$I$2:$I$9,MATCH($E237,Parametros!$A$2:$A$9,0))</f>
        <v>17000000</v>
      </c>
      <c r="AR237" s="19" t="n">
        <f aca="false">IF(AQ237&gt;0,AO237/AQ237,0)</f>
        <v>0.00637934247058824</v>
      </c>
    </row>
    <row r="238" customFormat="false" ht="15" hidden="false" customHeight="false" outlineLevel="0" collapsed="false">
      <c r="A238" s="5" t="s">
        <v>373</v>
      </c>
      <c r="B238" s="9" t="n">
        <v>45754</v>
      </c>
      <c r="C238" s="2" t="str">
        <f aca="false">TEXT(B238,"yyyy")</f>
        <v>2025</v>
      </c>
      <c r="D238" s="2" t="n">
        <f aca="false">WEEKNUM(B238,2)</f>
        <v>15</v>
      </c>
      <c r="E238" s="5" t="s">
        <v>138</v>
      </c>
      <c r="F238" s="6" t="str">
        <f aca="false">INDEX(Parametros!$B$2:$B$9,MATCH($E238,Parametros!$A$2:$A$9,0))</f>
        <v>Queso crema</v>
      </c>
      <c r="G238" s="10" t="n">
        <v>121.2</v>
      </c>
      <c r="H238" s="10" t="n">
        <v>7.2</v>
      </c>
      <c r="I238" s="11" t="n">
        <f aca="false">SUMIFS(Eventos_Paro!$J$2:$J$2186,Eventos_Paro!$D$2:$D$2186,$E238,Eventos_Paro!$B$2:$B$2186,$B238)</f>
        <v>2.58333333333333</v>
      </c>
      <c r="J238" s="12" t="n">
        <f aca="false">G238-H238-I238</f>
        <v>111.416666666667</v>
      </c>
      <c r="K238" s="13" t="n">
        <v>345844</v>
      </c>
      <c r="L238" s="13" t="n">
        <v>340709</v>
      </c>
      <c r="M238" s="13" t="n">
        <v>15922</v>
      </c>
      <c r="N238" s="14" t="n">
        <f aca="false">L238+M238</f>
        <v>356631</v>
      </c>
      <c r="O238" s="11" t="n">
        <f aca="false">INDEX(Parametros!$D$2:$D$9,MATCH($E238,Parametros!$A$2:$A$9,0))</f>
        <v>3800</v>
      </c>
      <c r="P238" s="15" t="n">
        <f aca="false">IF((G238-H238)&gt;0,J238/(G238-H238),0)</f>
        <v>0.97733918128655</v>
      </c>
      <c r="Q238" s="15" t="n">
        <f aca="false">IF(J238*O238&gt;0,N238/(O238*J238),0)</f>
        <v>0.842335944573476</v>
      </c>
      <c r="R238" s="15" t="n">
        <f aca="false">IF(N238&gt;0,L238/N238,0)</f>
        <v>0.955354413946068</v>
      </c>
      <c r="S238" s="15" t="n">
        <f aca="false">P238*Q238*R238</f>
        <v>0.786493536472761</v>
      </c>
      <c r="T238" s="15" t="n">
        <f aca="false">IF(K238&gt;0,L238/K238,0)</f>
        <v>0.985152265183146</v>
      </c>
      <c r="U238" s="10" t="n">
        <v>1873.9</v>
      </c>
      <c r="V238" s="5" t="n">
        <v>15</v>
      </c>
      <c r="W238" s="10" t="n">
        <v>55.9</v>
      </c>
      <c r="X238" s="15" t="n">
        <f aca="false">IF(U238&gt;0,W238/U238,0)</f>
        <v>0.0298308340893324</v>
      </c>
      <c r="Y238" s="12" t="n">
        <f aca="false">IF(U238&gt;0,L238/U238,0)</f>
        <v>181.818133304872</v>
      </c>
      <c r="Z238" s="16" t="n">
        <f aca="false">L238*INDEX(Parametros!$E$2:$E$9,MATCH($E238,Parametros!$A$2:$A$9,0))</f>
        <v>381594.08</v>
      </c>
      <c r="AA238" s="16" t="n">
        <f aca="false">Z238*INDEX(Parametros!$F$2:$F$9,MATCH($E238,Parametros!$A$2:$A$9,0))</f>
        <v>13355.7928</v>
      </c>
      <c r="AB238" s="17" t="n">
        <f aca="false">Z238+AA238</f>
        <v>394949.8728</v>
      </c>
      <c r="AC238" s="18" t="n">
        <v>397993.03</v>
      </c>
      <c r="AD238" s="17" t="n">
        <f aca="false">AC238-AB238</f>
        <v>3043.15720000002</v>
      </c>
      <c r="AE238" s="17" t="n">
        <f aca="false">AA238+AD238</f>
        <v>16398.95</v>
      </c>
      <c r="AF238" s="19" t="n">
        <f aca="false">IF(Z238&gt;0,AE238/Z238,0)</f>
        <v>0.0429748543268806</v>
      </c>
      <c r="AG238" s="16" t="n">
        <f aca="false">(U238-W238)*INDEX(Parametros!$H$2:$H$9,MATCH($E238,Parametros!$A$2:$A$9,0))+W238*INDEX(Parametros!$H$2:$H$9,MATCH($E238,Parametros!$A$2:$A$9,0))*Parametros!$N$3</f>
        <v>62761.05</v>
      </c>
      <c r="AH238" s="13" t="n">
        <v>18899</v>
      </c>
      <c r="AI238" s="16" t="n">
        <f aca="false">AH238*Parametros!$N$2</f>
        <v>1738.708</v>
      </c>
      <c r="AJ238" s="18" t="n">
        <v>16224</v>
      </c>
      <c r="AK238" s="18" t="n">
        <v>2211</v>
      </c>
      <c r="AL238" s="17" t="n">
        <f aca="false">AG238+AI238+AJ238+AK238</f>
        <v>82934.758</v>
      </c>
      <c r="AM238" s="20" t="n">
        <f aca="false">IF(L238&gt;0,AL238/L238,0)</f>
        <v>0.243418160365591</v>
      </c>
      <c r="AN238" s="16" t="n">
        <f aca="false">L238*INDEX(Parametros!$G$2:$G$9,MATCH($E238,Parametros!$A$2:$A$9,0))</f>
        <v>609869.11</v>
      </c>
      <c r="AO238" s="17" t="n">
        <f aca="false">AN238-AC238-AL238</f>
        <v>128941.322</v>
      </c>
      <c r="AP238" s="15" t="n">
        <f aca="false">IF(AN238&gt;0,AO238/AN238,0)</f>
        <v>0.211424582563298</v>
      </c>
      <c r="AQ238" s="16" t="n">
        <f aca="false">INDEX(Parametros!$I$2:$I$9,MATCH($E238,Parametros!$A$2:$A$9,0))</f>
        <v>33200000</v>
      </c>
      <c r="AR238" s="19" t="n">
        <f aca="false">IF(AQ238&gt;0,AO238/AQ238,0)</f>
        <v>0.00388377475903614</v>
      </c>
    </row>
    <row r="239" customFormat="false" ht="15" hidden="false" customHeight="false" outlineLevel="0" collapsed="false">
      <c r="A239" s="5" t="s">
        <v>374</v>
      </c>
      <c r="B239" s="9" t="n">
        <v>45754</v>
      </c>
      <c r="C239" s="2" t="str">
        <f aca="false">TEXT(B239,"yyyy")</f>
        <v>2025</v>
      </c>
      <c r="D239" s="2" t="n">
        <f aca="false">WEEKNUM(B239,2)</f>
        <v>15</v>
      </c>
      <c r="E239" s="5" t="s">
        <v>140</v>
      </c>
      <c r="F239" s="6" t="str">
        <f aca="false">INDEX(Parametros!$B$2:$B$9,MATCH($E239,Parametros!$A$2:$A$9,0))</f>
        <v>Crema de cacahuate</v>
      </c>
      <c r="G239" s="10" t="n">
        <v>111.5</v>
      </c>
      <c r="H239" s="10" t="n">
        <v>6.1</v>
      </c>
      <c r="I239" s="11" t="n">
        <f aca="false">SUMIFS(Eventos_Paro!$J$2:$J$2186,Eventos_Paro!$D$2:$D$2186,$E239,Eventos_Paro!$B$2:$B$2186,$B239)</f>
        <v>0</v>
      </c>
      <c r="J239" s="12" t="n">
        <f aca="false">G239-H239-I239</f>
        <v>105.4</v>
      </c>
      <c r="K239" s="13" t="n">
        <v>353413</v>
      </c>
      <c r="L239" s="13" t="n">
        <v>378286</v>
      </c>
      <c r="M239" s="13" t="n">
        <v>7515</v>
      </c>
      <c r="N239" s="14" t="n">
        <f aca="false">L239+M239</f>
        <v>385801</v>
      </c>
      <c r="O239" s="11" t="n">
        <f aca="false">INDEX(Parametros!$D$2:$D$9,MATCH($E239,Parametros!$A$2:$A$9,0))</f>
        <v>4200</v>
      </c>
      <c r="P239" s="15" t="n">
        <f aca="false">IF((G239-H239)&gt;0,J239/(G239-H239),0)</f>
        <v>1</v>
      </c>
      <c r="Q239" s="15" t="n">
        <f aca="false">IF(J239*O239&gt;0,N239/(O239*J239),0)</f>
        <v>0.871512153248396</v>
      </c>
      <c r="R239" s="15" t="n">
        <f aca="false">IF(N239&gt;0,L239/N239,0)</f>
        <v>0.980521045824143</v>
      </c>
      <c r="S239" s="15" t="n">
        <f aca="false">P239*Q239*R239</f>
        <v>0.854536007951568</v>
      </c>
      <c r="T239" s="15" t="n">
        <f aca="false">IF(K239&gt;0,L239/K239,0)</f>
        <v>1.07037941445278</v>
      </c>
      <c r="U239" s="10" t="n">
        <v>1553.3</v>
      </c>
      <c r="V239" s="5" t="n">
        <v>13</v>
      </c>
      <c r="W239" s="10" t="n">
        <v>103.8</v>
      </c>
      <c r="X239" s="15" t="n">
        <f aca="false">IF(U239&gt;0,W239/U239,0)</f>
        <v>0.0668254683576901</v>
      </c>
      <c r="Y239" s="12" t="n">
        <f aca="false">IF(U239&gt;0,L239/U239,0)</f>
        <v>243.536985772227</v>
      </c>
      <c r="Z239" s="16" t="n">
        <f aca="false">L239*INDEX(Parametros!$E$2:$E$9,MATCH($E239,Parametros!$A$2:$A$9,0))</f>
        <v>366937.42</v>
      </c>
      <c r="AA239" s="16" t="n">
        <f aca="false">Z239*INDEX(Parametros!$F$2:$F$9,MATCH($E239,Parametros!$A$2:$A$9,0))</f>
        <v>8072.62324</v>
      </c>
      <c r="AB239" s="17" t="n">
        <f aca="false">Z239+AA239</f>
        <v>375010.04324</v>
      </c>
      <c r="AC239" s="18" t="n">
        <v>376574.17</v>
      </c>
      <c r="AD239" s="17" t="n">
        <f aca="false">AC239-AB239</f>
        <v>1564.12676000001</v>
      </c>
      <c r="AE239" s="17" t="n">
        <f aca="false">AA239+AD239</f>
        <v>9636.75000000001</v>
      </c>
      <c r="AF239" s="19" t="n">
        <f aca="false">IF(Z239&gt;0,AE239/Z239,0)</f>
        <v>0.0262626526343375</v>
      </c>
      <c r="AG239" s="16" t="n">
        <f aca="false">(U239-W239)*INDEX(Parametros!$H$2:$H$9,MATCH($E239,Parametros!$A$2:$A$9,0))+W239*INDEX(Parametros!$H$2:$H$9,MATCH($E239,Parametros!$A$2:$A$9,0))*Parametros!$N$3</f>
        <v>50563.8</v>
      </c>
      <c r="AH239" s="13" t="n">
        <v>18424</v>
      </c>
      <c r="AI239" s="16" t="n">
        <f aca="false">AH239*Parametros!$N$2</f>
        <v>1695.008</v>
      </c>
      <c r="AJ239" s="18" t="n">
        <v>9976</v>
      </c>
      <c r="AK239" s="18" t="n">
        <v>0</v>
      </c>
      <c r="AL239" s="17" t="n">
        <f aca="false">AG239+AI239+AJ239+AK239</f>
        <v>62234.808</v>
      </c>
      <c r="AM239" s="20" t="n">
        <f aca="false">IF(L239&gt;0,AL239/L239,0)</f>
        <v>0.16451787272064</v>
      </c>
      <c r="AN239" s="16" t="n">
        <f aca="false">L239*INDEX(Parametros!$G$2:$G$9,MATCH($E239,Parametros!$A$2:$A$9,0))</f>
        <v>612823.32</v>
      </c>
      <c r="AO239" s="17" t="n">
        <f aca="false">AN239-AC239-AL239</f>
        <v>174014.342</v>
      </c>
      <c r="AP239" s="15" t="n">
        <f aca="false">IF(AN239&gt;0,AO239/AN239,0)</f>
        <v>0.283955156928428</v>
      </c>
      <c r="AQ239" s="16" t="n">
        <f aca="false">INDEX(Parametros!$I$2:$I$9,MATCH($E239,Parametros!$A$2:$A$9,0))</f>
        <v>28000000</v>
      </c>
      <c r="AR239" s="19" t="n">
        <f aca="false">IF(AQ239&gt;0,AO239/AQ239,0)</f>
        <v>0.00621479792857143</v>
      </c>
    </row>
    <row r="240" customFormat="false" ht="15" hidden="false" customHeight="false" outlineLevel="0" collapsed="false">
      <c r="A240" s="5" t="s">
        <v>375</v>
      </c>
      <c r="B240" s="9" t="n">
        <v>45754</v>
      </c>
      <c r="C240" s="2" t="str">
        <f aca="false">TEXT(B240,"yyyy")</f>
        <v>2025</v>
      </c>
      <c r="D240" s="2" t="n">
        <f aca="false">WEEKNUM(B240,2)</f>
        <v>15</v>
      </c>
      <c r="E240" s="5" t="s">
        <v>142</v>
      </c>
      <c r="F240" s="6" t="str">
        <f aca="false">INDEX(Parametros!$B$2:$B$9,MATCH($E240,Parametros!$A$2:$A$9,0))</f>
        <v>Porciones single serve</v>
      </c>
      <c r="G240" s="10" t="n">
        <v>129.4</v>
      </c>
      <c r="H240" s="10" t="n">
        <v>5.3</v>
      </c>
      <c r="I240" s="11" t="n">
        <f aca="false">SUMIFS(Eventos_Paro!$J$2:$J$2186,Eventos_Paro!$D$2:$D$2186,$E240,Eventos_Paro!$B$2:$B$2186,$B240)</f>
        <v>3.26666666666667</v>
      </c>
      <c r="J240" s="12" t="n">
        <f aca="false">G240-H240-I240</f>
        <v>120.833333333333</v>
      </c>
      <c r="K240" s="13" t="n">
        <v>257595</v>
      </c>
      <c r="L240" s="13" t="n">
        <v>225278</v>
      </c>
      <c r="M240" s="13" t="n">
        <v>11747</v>
      </c>
      <c r="N240" s="14" t="n">
        <f aca="false">L240+M240</f>
        <v>237025</v>
      </c>
      <c r="O240" s="11" t="n">
        <f aca="false">INDEX(Parametros!$D$2:$D$9,MATCH($E240,Parametros!$A$2:$A$9,0))</f>
        <v>2600</v>
      </c>
      <c r="P240" s="15" t="n">
        <f aca="false">IF((G240-H240)&gt;0,J240/(G240-H240),0)</f>
        <v>0.973677142089713</v>
      </c>
      <c r="Q240" s="15" t="n">
        <f aca="false">IF(J240*O240&gt;0,N240/(O240*J240),0)</f>
        <v>0.754456233421751</v>
      </c>
      <c r="R240" s="15" t="n">
        <f aca="false">IF(N240&gt;0,L240/N240,0)</f>
        <v>0.950439827022466</v>
      </c>
      <c r="S240" s="15" t="n">
        <f aca="false">P240*Q240*R240</f>
        <v>0.698190045248869</v>
      </c>
      <c r="T240" s="15" t="n">
        <f aca="false">IF(K240&gt;0,L240/K240,0)</f>
        <v>0.874543372348066</v>
      </c>
      <c r="U240" s="10" t="n">
        <v>2459.4</v>
      </c>
      <c r="V240" s="5" t="n">
        <v>18</v>
      </c>
      <c r="W240" s="10" t="n">
        <v>130.2</v>
      </c>
      <c r="X240" s="15" t="n">
        <f aca="false">IF(U240&gt;0,W240/U240,0)</f>
        <v>0.0529397414003415</v>
      </c>
      <c r="Y240" s="12" t="n">
        <f aca="false">IF(U240&gt;0,L240/U240,0)</f>
        <v>91.5987639261608</v>
      </c>
      <c r="Z240" s="16" t="n">
        <f aca="false">L240*INDEX(Parametros!$E$2:$E$9,MATCH($E240,Parametros!$A$2:$A$9,0))</f>
        <v>166705.72</v>
      </c>
      <c r="AA240" s="16" t="n">
        <f aca="false">Z240*INDEX(Parametros!$F$2:$F$9,MATCH($E240,Parametros!$A$2:$A$9,0))</f>
        <v>7501.7574</v>
      </c>
      <c r="AB240" s="17" t="n">
        <f aca="false">Z240+AA240</f>
        <v>174207.4774</v>
      </c>
      <c r="AC240" s="18" t="n">
        <v>175587.23</v>
      </c>
      <c r="AD240" s="17" t="n">
        <f aca="false">AC240-AB240</f>
        <v>1379.75260000001</v>
      </c>
      <c r="AE240" s="17" t="n">
        <f aca="false">AA240+AD240</f>
        <v>8881.51000000001</v>
      </c>
      <c r="AF240" s="19" t="n">
        <f aca="false">IF(Z240&gt;0,AE240/Z240,0)</f>
        <v>0.0532765762326572</v>
      </c>
      <c r="AG240" s="16" t="n">
        <f aca="false">(U240-W240)*INDEX(Parametros!$H$2:$H$9,MATCH($E240,Parametros!$A$2:$A$9,0))+W240*INDEX(Parametros!$H$2:$H$9,MATCH($E240,Parametros!$A$2:$A$9,0))*Parametros!$N$3</f>
        <v>75735</v>
      </c>
      <c r="AH240" s="13" t="n">
        <v>12214</v>
      </c>
      <c r="AI240" s="16" t="n">
        <f aca="false">AH240*Parametros!$N$2</f>
        <v>1123.688</v>
      </c>
      <c r="AJ240" s="18" t="n">
        <v>11165</v>
      </c>
      <c r="AK240" s="18" t="n">
        <v>2006</v>
      </c>
      <c r="AL240" s="17" t="n">
        <f aca="false">AG240+AI240+AJ240+AK240</f>
        <v>90029.688</v>
      </c>
      <c r="AM240" s="20" t="n">
        <f aca="false">IF(L240&gt;0,AL240/L240,0)</f>
        <v>0.399638171503653</v>
      </c>
      <c r="AN240" s="16" t="n">
        <f aca="false">L240*INDEX(Parametros!$G$2:$G$9,MATCH($E240,Parametros!$A$2:$A$9,0))</f>
        <v>387478.16</v>
      </c>
      <c r="AO240" s="17" t="n">
        <f aca="false">AN240-AC240-AL240</f>
        <v>121861.242</v>
      </c>
      <c r="AP240" s="15" t="n">
        <f aca="false">IF(AN240&gt;0,AO240/AN240,0)</f>
        <v>0.314498350048942</v>
      </c>
      <c r="AQ240" s="16" t="n">
        <f aca="false">INDEX(Parametros!$I$2:$I$9,MATCH($E240,Parametros!$A$2:$A$9,0))</f>
        <v>15900000</v>
      </c>
      <c r="AR240" s="19" t="n">
        <f aca="false">IF(AQ240&gt;0,AO240/AQ240,0)</f>
        <v>0.00766422905660377</v>
      </c>
    </row>
    <row r="241" customFormat="false" ht="15" hidden="false" customHeight="false" outlineLevel="0" collapsed="false">
      <c r="A241" s="5" t="s">
        <v>376</v>
      </c>
      <c r="B241" s="9" t="n">
        <v>45754</v>
      </c>
      <c r="C241" s="2" t="str">
        <f aca="false">TEXT(B241,"yyyy")</f>
        <v>2025</v>
      </c>
      <c r="D241" s="2" t="n">
        <f aca="false">WEEKNUM(B241,2)</f>
        <v>15</v>
      </c>
      <c r="E241" s="5" t="s">
        <v>144</v>
      </c>
      <c r="F241" s="6" t="str">
        <f aca="false">INDEX(Parametros!$B$2:$B$9,MATCH($E241,Parametros!$A$2:$A$9,0))</f>
        <v>Salsas picantes</v>
      </c>
      <c r="G241" s="10" t="n">
        <v>91.6</v>
      </c>
      <c r="H241" s="10" t="n">
        <v>8.2</v>
      </c>
      <c r="I241" s="11" t="n">
        <f aca="false">SUMIFS(Eventos_Paro!$J$2:$J$2186,Eventos_Paro!$D$2:$D$2186,$E241,Eventos_Paro!$B$2:$B$2186,$B241)</f>
        <v>1.5</v>
      </c>
      <c r="J241" s="12" t="n">
        <f aca="false">G241-H241-I241</f>
        <v>81.9</v>
      </c>
      <c r="K241" s="13" t="n">
        <v>206939</v>
      </c>
      <c r="L241" s="13" t="n">
        <v>207845</v>
      </c>
      <c r="M241" s="13" t="n">
        <v>5662</v>
      </c>
      <c r="N241" s="14" t="n">
        <f aca="false">L241+M241</f>
        <v>213507</v>
      </c>
      <c r="O241" s="11" t="n">
        <f aca="false">INDEX(Parametros!$D$2:$D$9,MATCH($E241,Parametros!$A$2:$A$9,0))</f>
        <v>3100</v>
      </c>
      <c r="P241" s="15" t="n">
        <f aca="false">IF((G241-H241)&gt;0,J241/(G241-H241),0)</f>
        <v>0.982014388489209</v>
      </c>
      <c r="Q241" s="15" t="n">
        <f aca="false">IF(J241*O241&gt;0,N241/(O241*J241),0)</f>
        <v>0.840942928039702</v>
      </c>
      <c r="R241" s="15" t="n">
        <f aca="false">IF(N241&gt;0,L241/N241,0)</f>
        <v>0.973480963153433</v>
      </c>
      <c r="S241" s="15" t="n">
        <f aca="false">P241*Q241*R241</f>
        <v>0.803918155797942</v>
      </c>
      <c r="T241" s="15" t="n">
        <f aca="false">IF(K241&gt;0,L241/K241,0)</f>
        <v>1.00437810175946</v>
      </c>
      <c r="U241" s="10" t="n">
        <v>857.1</v>
      </c>
      <c r="V241" s="5" t="n">
        <v>9</v>
      </c>
      <c r="W241" s="10" t="n">
        <v>32.7</v>
      </c>
      <c r="X241" s="15" t="n">
        <f aca="false">IF(U241&gt;0,W241/U241,0)</f>
        <v>0.0381519075953798</v>
      </c>
      <c r="Y241" s="12" t="n">
        <f aca="false">IF(U241&gt;0,L241/U241,0)</f>
        <v>242.497958231245</v>
      </c>
      <c r="Z241" s="16" t="n">
        <f aca="false">L241*INDEX(Parametros!$E$2:$E$9,MATCH($E241,Parametros!$A$2:$A$9,0))</f>
        <v>137177.7</v>
      </c>
      <c r="AA241" s="16" t="n">
        <f aca="false">Z241*INDEX(Parametros!$F$2:$F$9,MATCH($E241,Parametros!$A$2:$A$9,0))</f>
        <v>3566.6202</v>
      </c>
      <c r="AB241" s="17" t="n">
        <f aca="false">Z241+AA241</f>
        <v>140744.3202</v>
      </c>
      <c r="AC241" s="18" t="n">
        <v>139986.86</v>
      </c>
      <c r="AD241" s="17" t="n">
        <f aca="false">AC241-AB241</f>
        <v>-757.460200000031</v>
      </c>
      <c r="AE241" s="17" t="n">
        <f aca="false">AA241+AD241</f>
        <v>2809.15999999997</v>
      </c>
      <c r="AF241" s="19" t="n">
        <f aca="false">IF(Z241&gt;0,AE241/Z241,0)</f>
        <v>0.0204782555765257</v>
      </c>
      <c r="AG241" s="16" t="n">
        <f aca="false">(U241-W241)*INDEX(Parametros!$H$2:$H$9,MATCH($E241,Parametros!$A$2:$A$9,0))+W241*INDEX(Parametros!$H$2:$H$9,MATCH($E241,Parametros!$A$2:$A$9,0))*Parametros!$N$3</f>
        <v>27513.675</v>
      </c>
      <c r="AH241" s="13" t="n">
        <v>10689</v>
      </c>
      <c r="AI241" s="16" t="n">
        <f aca="false">AH241*Parametros!$N$2</f>
        <v>983.388</v>
      </c>
      <c r="AJ241" s="18" t="n">
        <v>4942</v>
      </c>
      <c r="AK241" s="18" t="n">
        <v>1584</v>
      </c>
      <c r="AL241" s="17" t="n">
        <f aca="false">AG241+AI241+AJ241+AK241</f>
        <v>35023.063</v>
      </c>
      <c r="AM241" s="20" t="n">
        <f aca="false">IF(L241&gt;0,AL241/L241,0)</f>
        <v>0.168505679713248</v>
      </c>
      <c r="AN241" s="16" t="n">
        <f aca="false">L241*INDEX(Parametros!$G$2:$G$9,MATCH($E241,Parametros!$A$2:$A$9,0))</f>
        <v>259806.25</v>
      </c>
      <c r="AO241" s="17" t="n">
        <f aca="false">AN241-AC241-AL241</f>
        <v>84796.327</v>
      </c>
      <c r="AP241" s="15" t="n">
        <f aca="false">IF(AN241&gt;0,AO241/AN241,0)</f>
        <v>0.326382937284996</v>
      </c>
      <c r="AQ241" s="16" t="n">
        <f aca="false">INDEX(Parametros!$I$2:$I$9,MATCH($E241,Parametros!$A$2:$A$9,0))</f>
        <v>13300000</v>
      </c>
      <c r="AR241" s="19" t="n">
        <f aca="false">IF(AQ241&gt;0,AO241/AQ241,0)</f>
        <v>0.00637566368421053</v>
      </c>
    </row>
    <row r="242" customFormat="false" ht="15" hidden="false" customHeight="false" outlineLevel="0" collapsed="false">
      <c r="A242" s="5" t="s">
        <v>377</v>
      </c>
      <c r="B242" s="9" t="n">
        <v>45761</v>
      </c>
      <c r="C242" s="2" t="str">
        <f aca="false">TEXT(B242,"yyyy")</f>
        <v>2025</v>
      </c>
      <c r="D242" s="2" t="n">
        <f aca="false">WEEKNUM(B242,2)</f>
        <v>16</v>
      </c>
      <c r="E242" s="5" t="s">
        <v>130</v>
      </c>
      <c r="F242" s="6" t="str">
        <f aca="false">INDEX(Parametros!$B$2:$B$9,MATCH($E242,Parametros!$A$2:$A$9,0))</f>
        <v>Ketchup botella</v>
      </c>
      <c r="G242" s="10" t="n">
        <v>123.7</v>
      </c>
      <c r="H242" s="10" t="n">
        <v>5.5</v>
      </c>
      <c r="I242" s="11" t="n">
        <f aca="false">SUMIFS(Eventos_Paro!$J$2:$J$2186,Eventos_Paro!$D$2:$D$2186,$E242,Eventos_Paro!$B$2:$B$2186,$B242)</f>
        <v>2.35</v>
      </c>
      <c r="J242" s="12" t="n">
        <f aca="false">G242-H242-I242</f>
        <v>115.85</v>
      </c>
      <c r="K242" s="13" t="n">
        <v>853382</v>
      </c>
      <c r="L242" s="13" t="n">
        <v>903532</v>
      </c>
      <c r="M242" s="13" t="n">
        <v>8599</v>
      </c>
      <c r="N242" s="14" t="n">
        <f aca="false">L242+M242</f>
        <v>912131</v>
      </c>
      <c r="O242" s="11" t="n">
        <f aca="false">INDEX(Parametros!$D$2:$D$9,MATCH($E242,Parametros!$A$2:$A$9,0))</f>
        <v>9000</v>
      </c>
      <c r="P242" s="15" t="n">
        <f aca="false">IF((G242-H242)&gt;0,J242/(G242-H242),0)</f>
        <v>0.980118443316413</v>
      </c>
      <c r="Q242" s="15" t="n">
        <f aca="false">IF(J242*O242&gt;0,N242/(O242*J242),0)</f>
        <v>0.874819929986093</v>
      </c>
      <c r="R242" s="15" t="n">
        <f aca="false">IF(N242&gt;0,L242/N242,0)</f>
        <v>0.990572626081122</v>
      </c>
      <c r="S242" s="15" t="n">
        <f aca="false">P242*Q242*R242</f>
        <v>0.849343861628126</v>
      </c>
      <c r="T242" s="15" t="n">
        <f aca="false">IF(K242&gt;0,L242/K242,0)</f>
        <v>1.05876617974131</v>
      </c>
      <c r="U242" s="10" t="n">
        <v>1817</v>
      </c>
      <c r="V242" s="5" t="n">
        <v>14</v>
      </c>
      <c r="W242" s="10" t="n">
        <v>85.2</v>
      </c>
      <c r="X242" s="15" t="n">
        <f aca="false">IF(U242&gt;0,W242/U242,0)</f>
        <v>0.0468904788112273</v>
      </c>
      <c r="Y242" s="12" t="n">
        <f aca="false">IF(U242&gt;0,L242/U242,0)</f>
        <v>497.26582278481</v>
      </c>
      <c r="Z242" s="16" t="n">
        <f aca="false">L242*INDEX(Parametros!$E$2:$E$9,MATCH($E242,Parametros!$A$2:$A$9,0))</f>
        <v>379483.44</v>
      </c>
      <c r="AA242" s="16" t="n">
        <f aca="false">Z242*INDEX(Parametros!$F$2:$F$9,MATCH($E242,Parametros!$A$2:$A$9,0))</f>
        <v>7589.6688</v>
      </c>
      <c r="AB242" s="17" t="n">
        <f aca="false">Z242+AA242</f>
        <v>387073.1088</v>
      </c>
      <c r="AC242" s="18" t="n">
        <v>379978.57</v>
      </c>
      <c r="AD242" s="17" t="n">
        <f aca="false">AC242-AB242</f>
        <v>-7094.53879999998</v>
      </c>
      <c r="AE242" s="17" t="n">
        <f aca="false">AA242+AD242</f>
        <v>495.13000000002</v>
      </c>
      <c r="AF242" s="19" t="n">
        <f aca="false">IF(Z242&gt;0,AE242/Z242,0)</f>
        <v>0.0013047473165101</v>
      </c>
      <c r="AG242" s="16" t="n">
        <f aca="false">(U242-W242)*INDEX(Parametros!$H$2:$H$9,MATCH($E242,Parametros!$A$2:$A$9,0))+W242*INDEX(Parametros!$H$2:$H$9,MATCH($E242,Parametros!$A$2:$A$9,0))*Parametros!$N$3</f>
        <v>58577.4</v>
      </c>
      <c r="AH242" s="13" t="n">
        <v>45828</v>
      </c>
      <c r="AI242" s="16" t="n">
        <f aca="false">AH242*Parametros!$N$2</f>
        <v>4216.176</v>
      </c>
      <c r="AJ242" s="18" t="n">
        <v>16760</v>
      </c>
      <c r="AK242" s="18" t="n">
        <v>1606</v>
      </c>
      <c r="AL242" s="17" t="n">
        <f aca="false">AG242+AI242+AJ242+AK242</f>
        <v>81159.576</v>
      </c>
      <c r="AM242" s="20" t="n">
        <f aca="false">IF(L242&gt;0,AL242/L242,0)</f>
        <v>0.0898247942518915</v>
      </c>
      <c r="AN242" s="16" t="n">
        <f aca="false">L242*INDEX(Parametros!$G$2:$G$9,MATCH($E242,Parametros!$A$2:$A$9,0))</f>
        <v>641507.72</v>
      </c>
      <c r="AO242" s="17" t="n">
        <f aca="false">AN242-AC242-AL242</f>
        <v>180369.574</v>
      </c>
      <c r="AP242" s="15" t="n">
        <f aca="false">IF(AN242&gt;0,AO242/AN242,0)</f>
        <v>0.281165087148133</v>
      </c>
      <c r="AQ242" s="16" t="n">
        <f aca="false">INDEX(Parametros!$I$2:$I$9,MATCH($E242,Parametros!$A$2:$A$9,0))</f>
        <v>29300000</v>
      </c>
      <c r="AR242" s="19" t="n">
        <f aca="false">IF(AQ242&gt;0,AO242/AQ242,0)</f>
        <v>0.00615595815699659</v>
      </c>
    </row>
    <row r="243" customFormat="false" ht="15" hidden="false" customHeight="false" outlineLevel="0" collapsed="false">
      <c r="A243" s="5" t="s">
        <v>378</v>
      </c>
      <c r="B243" s="9" t="n">
        <v>45761</v>
      </c>
      <c r="C243" s="2" t="str">
        <f aca="false">TEXT(B243,"yyyy")</f>
        <v>2025</v>
      </c>
      <c r="D243" s="2" t="n">
        <f aca="false">WEEKNUM(B243,2)</f>
        <v>16</v>
      </c>
      <c r="E243" s="5" t="s">
        <v>132</v>
      </c>
      <c r="F243" s="6" t="str">
        <f aca="false">INDEX(Parametros!$B$2:$B$9,MATCH($E243,Parametros!$A$2:$A$9,0))</f>
        <v>Mayonesa frasco</v>
      </c>
      <c r="G243" s="10" t="n">
        <v>125.5</v>
      </c>
      <c r="H243" s="10" t="n">
        <v>5.1</v>
      </c>
      <c r="I243" s="11" t="n">
        <f aca="false">SUMIFS(Eventos_Paro!$J$2:$J$2186,Eventos_Paro!$D$2:$D$2186,$E243,Eventos_Paro!$B$2:$B$2186,$B243)</f>
        <v>0</v>
      </c>
      <c r="J243" s="12" t="n">
        <f aca="false">G243-H243-I243</f>
        <v>120.4</v>
      </c>
      <c r="K243" s="13" t="n">
        <v>627803</v>
      </c>
      <c r="L243" s="13" t="n">
        <v>656237</v>
      </c>
      <c r="M243" s="13" t="n">
        <v>9734</v>
      </c>
      <c r="N243" s="14" t="n">
        <f aca="false">L243+M243</f>
        <v>665971</v>
      </c>
      <c r="O243" s="11" t="n">
        <f aca="false">INDEX(Parametros!$D$2:$D$9,MATCH($E243,Parametros!$A$2:$A$9,0))</f>
        <v>6500</v>
      </c>
      <c r="P243" s="15" t="n">
        <f aca="false">IF((G243-H243)&gt;0,J243/(G243-H243),0)</f>
        <v>1</v>
      </c>
      <c r="Q243" s="15" t="n">
        <f aca="false">IF(J243*O243&gt;0,N243/(O243*J243),0)</f>
        <v>0.85097239969333</v>
      </c>
      <c r="R243" s="15" t="n">
        <f aca="false">IF(N243&gt;0,L243/N243,0)</f>
        <v>0.985383747940976</v>
      </c>
      <c r="S243" s="15" t="n">
        <f aca="false">P243*Q243*R243</f>
        <v>0.83853437260414</v>
      </c>
      <c r="T243" s="15" t="n">
        <f aca="false">IF(K243&gt;0,L243/K243,0)</f>
        <v>1.04529127767787</v>
      </c>
      <c r="U243" s="10" t="n">
        <v>1647.2</v>
      </c>
      <c r="V243" s="5" t="n">
        <v>12</v>
      </c>
      <c r="W243" s="10" t="n">
        <v>141.2</v>
      </c>
      <c r="X243" s="15" t="n">
        <f aca="false">IF(U243&gt;0,W243/U243,0)</f>
        <v>0.0857212238950947</v>
      </c>
      <c r="Y243" s="12" t="n">
        <f aca="false">IF(U243&gt;0,L243/U243,0)</f>
        <v>398.395458960661</v>
      </c>
      <c r="Z243" s="16" t="n">
        <f aca="false">L243*INDEX(Parametros!$E$2:$E$9,MATCH($E243,Parametros!$A$2:$A$9,0))</f>
        <v>400304.57</v>
      </c>
      <c r="AA243" s="16" t="n">
        <f aca="false">Z243*INDEX(Parametros!$F$2:$F$9,MATCH($E243,Parametros!$A$2:$A$9,0))</f>
        <v>10007.61425</v>
      </c>
      <c r="AB243" s="17" t="n">
        <f aca="false">Z243+AA243</f>
        <v>410312.18425</v>
      </c>
      <c r="AC243" s="18" t="n">
        <v>406629.44</v>
      </c>
      <c r="AD243" s="17" t="n">
        <f aca="false">AC243-AB243</f>
        <v>-3682.74424999999</v>
      </c>
      <c r="AE243" s="17" t="n">
        <f aca="false">AA243+AD243</f>
        <v>6324.87000000001</v>
      </c>
      <c r="AF243" s="19" t="n">
        <f aca="false">IF(Z243&gt;0,AE243/Z243,0)</f>
        <v>0.0158001443750692</v>
      </c>
      <c r="AG243" s="16" t="n">
        <f aca="false">(U243-W243)*INDEX(Parametros!$H$2:$H$9,MATCH($E243,Parametros!$A$2:$A$9,0))+W243*INDEX(Parametros!$H$2:$H$9,MATCH($E243,Parametros!$A$2:$A$9,0))*Parametros!$N$3</f>
        <v>54110.7</v>
      </c>
      <c r="AH243" s="13" t="n">
        <v>31592</v>
      </c>
      <c r="AI243" s="16" t="n">
        <f aca="false">AH243*Parametros!$N$2</f>
        <v>2906.464</v>
      </c>
      <c r="AJ243" s="18" t="n">
        <v>15377</v>
      </c>
      <c r="AK243" s="18" t="n">
        <v>0</v>
      </c>
      <c r="AL243" s="17" t="n">
        <f aca="false">AG243+AI243+AJ243+AK243</f>
        <v>72394.164</v>
      </c>
      <c r="AM243" s="20" t="n">
        <f aca="false">IF(L243&gt;0,AL243/L243,0)</f>
        <v>0.110317101900685</v>
      </c>
      <c r="AN243" s="16" t="n">
        <f aca="false">L243*INDEX(Parametros!$G$2:$G$9,MATCH($E243,Parametros!$A$2:$A$9,0))</f>
        <v>629987.52</v>
      </c>
      <c r="AO243" s="17" t="n">
        <f aca="false">AN243-AC243-AL243</f>
        <v>150963.916</v>
      </c>
      <c r="AP243" s="15" t="n">
        <f aca="false">IF(AN243&gt;0,AO243/AN243,0)</f>
        <v>0.239630010448461</v>
      </c>
      <c r="AQ243" s="16" t="n">
        <f aca="false">INDEX(Parametros!$I$2:$I$9,MATCH($E243,Parametros!$A$2:$A$9,0))</f>
        <v>29700000</v>
      </c>
      <c r="AR243" s="19" t="n">
        <f aca="false">IF(AQ243&gt;0,AO243/AQ243,0)</f>
        <v>0.00508296013468014</v>
      </c>
    </row>
    <row r="244" customFormat="false" ht="15" hidden="false" customHeight="false" outlineLevel="0" collapsed="false">
      <c r="A244" s="5" t="s">
        <v>379</v>
      </c>
      <c r="B244" s="9" t="n">
        <v>45761</v>
      </c>
      <c r="C244" s="2" t="str">
        <f aca="false">TEXT(B244,"yyyy")</f>
        <v>2025</v>
      </c>
      <c r="D244" s="2" t="n">
        <f aca="false">WEEKNUM(B244,2)</f>
        <v>16</v>
      </c>
      <c r="E244" s="5" t="s">
        <v>134</v>
      </c>
      <c r="F244" s="6" t="str">
        <f aca="false">INDEX(Parametros!$B$2:$B$9,MATCH($E244,Parametros!$A$2:$A$9,0))</f>
        <v>Aderezos vertibles</v>
      </c>
      <c r="G244" s="10" t="n">
        <v>98.1</v>
      </c>
      <c r="H244" s="10" t="n">
        <v>8.3</v>
      </c>
      <c r="I244" s="11" t="n">
        <f aca="false">SUMIFS(Eventos_Paro!$J$2:$J$2186,Eventos_Paro!$D$2:$D$2186,$E244,Eventos_Paro!$B$2:$B$2186,$B244)</f>
        <v>3.6</v>
      </c>
      <c r="J244" s="12" t="n">
        <f aca="false">G244-H244-I244</f>
        <v>86.2</v>
      </c>
      <c r="K244" s="13" t="n">
        <v>374596</v>
      </c>
      <c r="L244" s="13" t="n">
        <v>350723</v>
      </c>
      <c r="M244" s="13" t="n">
        <v>15678</v>
      </c>
      <c r="N244" s="14" t="n">
        <f aca="false">L244+M244</f>
        <v>366401</v>
      </c>
      <c r="O244" s="11" t="n">
        <f aca="false">INDEX(Parametros!$D$2:$D$9,MATCH($E244,Parametros!$A$2:$A$9,0))</f>
        <v>5200</v>
      </c>
      <c r="P244" s="15" t="n">
        <f aca="false">IF((G244-H244)&gt;0,J244/(G244-H244),0)</f>
        <v>0.959910913140312</v>
      </c>
      <c r="Q244" s="15" t="n">
        <f aca="false">IF(J244*O244&gt;0,N244/(O244*J244),0)</f>
        <v>0.817421470640728</v>
      </c>
      <c r="R244" s="15" t="n">
        <f aca="false">IF(N244&gt;0,L244/N244,0)</f>
        <v>0.957210815472665</v>
      </c>
      <c r="S244" s="15" t="n">
        <f aca="false">P244*Q244*R244</f>
        <v>0.751077180058249</v>
      </c>
      <c r="T244" s="15" t="n">
        <f aca="false">IF(K244&gt;0,L244/K244,0)</f>
        <v>0.936270008222191</v>
      </c>
      <c r="U244" s="10" t="n">
        <v>1285.1</v>
      </c>
      <c r="V244" s="5" t="n">
        <v>12</v>
      </c>
      <c r="W244" s="10" t="n">
        <v>107.9</v>
      </c>
      <c r="X244" s="15" t="n">
        <f aca="false">IF(U244&gt;0,W244/U244,0)</f>
        <v>0.0839623375612793</v>
      </c>
      <c r="Y244" s="12" t="n">
        <f aca="false">IF(U244&gt;0,L244/U244,0)</f>
        <v>272.914948253054</v>
      </c>
      <c r="Z244" s="16" t="n">
        <f aca="false">L244*INDEX(Parametros!$E$2:$E$9,MATCH($E244,Parametros!$A$2:$A$9,0))</f>
        <v>192897.65</v>
      </c>
      <c r="AA244" s="16" t="n">
        <f aca="false">Z244*INDEX(Parametros!$F$2:$F$9,MATCH($E244,Parametros!$A$2:$A$9,0))</f>
        <v>5786.9295</v>
      </c>
      <c r="AB244" s="17" t="n">
        <f aca="false">Z244+AA244</f>
        <v>198684.5795</v>
      </c>
      <c r="AC244" s="18" t="n">
        <v>196775.08</v>
      </c>
      <c r="AD244" s="17" t="n">
        <f aca="false">AC244-AB244</f>
        <v>-1909.49950000003</v>
      </c>
      <c r="AE244" s="17" t="n">
        <f aca="false">AA244+AD244</f>
        <v>3877.42999999997</v>
      </c>
      <c r="AF244" s="19" t="n">
        <f aca="false">IF(Z244&gt;0,AE244/Z244,0)</f>
        <v>0.0201009706442767</v>
      </c>
      <c r="AG244" s="16" t="n">
        <f aca="false">(U244-W244)*INDEX(Parametros!$H$2:$H$9,MATCH($E244,Parametros!$A$2:$A$9,0))+W244*INDEX(Parametros!$H$2:$H$9,MATCH($E244,Parametros!$A$2:$A$9,0))*Parametros!$N$3</f>
        <v>42180.075</v>
      </c>
      <c r="AH244" s="13" t="n">
        <v>19508</v>
      </c>
      <c r="AI244" s="16" t="n">
        <f aca="false">AH244*Parametros!$N$2</f>
        <v>1794.736</v>
      </c>
      <c r="AJ244" s="18" t="n">
        <v>9483</v>
      </c>
      <c r="AK244" s="18" t="n">
        <v>3276</v>
      </c>
      <c r="AL244" s="17" t="n">
        <f aca="false">AG244+AI244+AJ244+AK244</f>
        <v>56733.811</v>
      </c>
      <c r="AM244" s="20" t="n">
        <f aca="false">IF(L244&gt;0,AL244/L244,0)</f>
        <v>0.161762447857711</v>
      </c>
      <c r="AN244" s="16" t="n">
        <f aca="false">L244*INDEX(Parametros!$G$2:$G$9,MATCH($E244,Parametros!$A$2:$A$9,0))</f>
        <v>357737.46</v>
      </c>
      <c r="AO244" s="17" t="n">
        <f aca="false">AN244-AC244-AL244</f>
        <v>104228.569</v>
      </c>
      <c r="AP244" s="15" t="n">
        <f aca="false">IF(AN244&gt;0,AO244/AN244,0)</f>
        <v>0.291354919890134</v>
      </c>
      <c r="AQ244" s="16" t="n">
        <f aca="false">INDEX(Parametros!$I$2:$I$9,MATCH($E244,Parametros!$A$2:$A$9,0))</f>
        <v>19300000</v>
      </c>
      <c r="AR244" s="19" t="n">
        <f aca="false">IF(AQ244&gt;0,AO244/AQ244,0)</f>
        <v>0.00540044398963731</v>
      </c>
    </row>
    <row r="245" customFormat="false" ht="15" hidden="false" customHeight="false" outlineLevel="0" collapsed="false">
      <c r="A245" s="5" t="s">
        <v>380</v>
      </c>
      <c r="B245" s="9" t="n">
        <v>45761</v>
      </c>
      <c r="C245" s="2" t="str">
        <f aca="false">TEXT(B245,"yyyy")</f>
        <v>2025</v>
      </c>
      <c r="D245" s="2" t="n">
        <f aca="false">WEEKNUM(B245,2)</f>
        <v>16</v>
      </c>
      <c r="E245" s="5" t="s">
        <v>136</v>
      </c>
      <c r="F245" s="6" t="str">
        <f aca="false">INDEX(Parametros!$B$2:$B$9,MATCH($E245,Parametros!$A$2:$A$9,0))</f>
        <v>Salsa BBQ</v>
      </c>
      <c r="G245" s="10" t="n">
        <v>71.4</v>
      </c>
      <c r="H245" s="10" t="n">
        <v>8.5</v>
      </c>
      <c r="I245" s="11" t="n">
        <f aca="false">SUMIFS(Eventos_Paro!$J$2:$J$2186,Eventos_Paro!$D$2:$D$2186,$E245,Eventos_Paro!$B$2:$B$2186,$B245)</f>
        <v>2.91666666666667</v>
      </c>
      <c r="J245" s="12" t="n">
        <f aca="false">G245-H245-I245</f>
        <v>59.9833333333333</v>
      </c>
      <c r="K245" s="13" t="n">
        <v>244527</v>
      </c>
      <c r="L245" s="13" t="n">
        <v>224738</v>
      </c>
      <c r="M245" s="13" t="n">
        <v>7577</v>
      </c>
      <c r="N245" s="14" t="n">
        <f aca="false">L245+M245</f>
        <v>232315</v>
      </c>
      <c r="O245" s="11" t="n">
        <f aca="false">INDEX(Parametros!$D$2:$D$9,MATCH($E245,Parametros!$A$2:$A$9,0))</f>
        <v>4800</v>
      </c>
      <c r="P245" s="15" t="n">
        <f aca="false">IF((G245-H245)&gt;0,J245/(G245-H245),0)</f>
        <v>0.953630100688924</v>
      </c>
      <c r="Q245" s="15" t="n">
        <f aca="false">IF(J245*O245&gt;0,N245/(O245*J245),0)</f>
        <v>0.806873437065852</v>
      </c>
      <c r="R245" s="15" t="n">
        <f aca="false">IF(N245&gt;0,L245/N245,0)</f>
        <v>0.967384800809246</v>
      </c>
      <c r="S245" s="15" t="n">
        <f aca="false">P245*Q245*R245</f>
        <v>0.744362745098039</v>
      </c>
      <c r="T245" s="15" t="n">
        <f aca="false">IF(K245&gt;0,L245/K245,0)</f>
        <v>0.919072331480777</v>
      </c>
      <c r="U245" s="10" t="n">
        <v>956.3</v>
      </c>
      <c r="V245" s="5" t="n">
        <v>12</v>
      </c>
      <c r="W245" s="10" t="n">
        <v>99.5</v>
      </c>
      <c r="X245" s="15" t="n">
        <f aca="false">IF(U245&gt;0,W245/U245,0)</f>
        <v>0.104046847223675</v>
      </c>
      <c r="Y245" s="12" t="n">
        <f aca="false">IF(U245&gt;0,L245/U245,0)</f>
        <v>235.007842727178</v>
      </c>
      <c r="Z245" s="16" t="n">
        <f aca="false">L245*INDEX(Parametros!$E$2:$E$9,MATCH($E245,Parametros!$A$2:$A$9,0))</f>
        <v>130348.04</v>
      </c>
      <c r="AA245" s="16" t="n">
        <f aca="false">Z245*INDEX(Parametros!$F$2:$F$9,MATCH($E245,Parametros!$A$2:$A$9,0))</f>
        <v>3649.74512</v>
      </c>
      <c r="AB245" s="17" t="n">
        <f aca="false">Z245+AA245</f>
        <v>133997.78512</v>
      </c>
      <c r="AC245" s="18" t="n">
        <v>132171.45</v>
      </c>
      <c r="AD245" s="17" t="n">
        <f aca="false">AC245-AB245</f>
        <v>-1826.33511999997</v>
      </c>
      <c r="AE245" s="17" t="n">
        <f aca="false">AA245+AD245</f>
        <v>1823.41000000003</v>
      </c>
      <c r="AF245" s="19" t="n">
        <f aca="false">IF(Z245&gt;0,AE245/Z245,0)</f>
        <v>0.0139887795781204</v>
      </c>
      <c r="AG245" s="16" t="n">
        <f aca="false">(U245-W245)*INDEX(Parametros!$H$2:$H$9,MATCH($E245,Parametros!$A$2:$A$9,0))+W245*INDEX(Parametros!$H$2:$H$9,MATCH($E245,Parametros!$A$2:$A$9,0))*Parametros!$N$3</f>
        <v>31690.575</v>
      </c>
      <c r="AH245" s="13" t="n">
        <v>11632</v>
      </c>
      <c r="AI245" s="16" t="n">
        <f aca="false">AH245*Parametros!$N$2</f>
        <v>1070.144</v>
      </c>
      <c r="AJ245" s="18" t="n">
        <v>8512</v>
      </c>
      <c r="AK245" s="18" t="n">
        <v>1628</v>
      </c>
      <c r="AL245" s="17" t="n">
        <f aca="false">AG245+AI245+AJ245+AK245</f>
        <v>42900.719</v>
      </c>
      <c r="AM245" s="20" t="n">
        <f aca="false">IF(L245&gt;0,AL245/L245,0)</f>
        <v>0.190892145520562</v>
      </c>
      <c r="AN245" s="16" t="n">
        <f aca="false">L245*INDEX(Parametros!$G$2:$G$9,MATCH($E245,Parametros!$A$2:$A$9,0))</f>
        <v>220243.24</v>
      </c>
      <c r="AO245" s="17" t="n">
        <f aca="false">AN245-AC245-AL245</f>
        <v>45171.071</v>
      </c>
      <c r="AP245" s="15" t="n">
        <f aca="false">IF(AN245&gt;0,AO245/AN245,0)</f>
        <v>0.205096288085845</v>
      </c>
      <c r="AQ245" s="16" t="n">
        <f aca="false">INDEX(Parametros!$I$2:$I$9,MATCH($E245,Parametros!$A$2:$A$9,0))</f>
        <v>17000000</v>
      </c>
      <c r="AR245" s="19" t="n">
        <f aca="false">IF(AQ245&gt;0,AO245/AQ245,0)</f>
        <v>0.00265712182352941</v>
      </c>
    </row>
    <row r="246" customFormat="false" ht="15" hidden="false" customHeight="false" outlineLevel="0" collapsed="false">
      <c r="A246" s="5" t="s">
        <v>381</v>
      </c>
      <c r="B246" s="9" t="n">
        <v>45761</v>
      </c>
      <c r="C246" s="2" t="str">
        <f aca="false">TEXT(B246,"yyyy")</f>
        <v>2025</v>
      </c>
      <c r="D246" s="2" t="n">
        <f aca="false">WEEKNUM(B246,2)</f>
        <v>16</v>
      </c>
      <c r="E246" s="5" t="s">
        <v>138</v>
      </c>
      <c r="F246" s="6" t="str">
        <f aca="false">INDEX(Parametros!$B$2:$B$9,MATCH($E246,Parametros!$A$2:$A$9,0))</f>
        <v>Queso crema</v>
      </c>
      <c r="G246" s="10" t="n">
        <v>121.7</v>
      </c>
      <c r="H246" s="10" t="n">
        <v>8.2</v>
      </c>
      <c r="I246" s="11" t="n">
        <f aca="false">SUMIFS(Eventos_Paro!$J$2:$J$2186,Eventos_Paro!$D$2:$D$2186,$E246,Eventos_Paro!$B$2:$B$2186,$B246)</f>
        <v>5.41666666666667</v>
      </c>
      <c r="J246" s="12" t="n">
        <f aca="false">G246-H246-I246</f>
        <v>108.083333333333</v>
      </c>
      <c r="K246" s="13" t="n">
        <v>345990</v>
      </c>
      <c r="L246" s="13" t="n">
        <v>350492</v>
      </c>
      <c r="M246" s="13" t="n">
        <v>14877</v>
      </c>
      <c r="N246" s="14" t="n">
        <f aca="false">L246+M246</f>
        <v>365369</v>
      </c>
      <c r="O246" s="11" t="n">
        <f aca="false">INDEX(Parametros!$D$2:$D$9,MATCH($E246,Parametros!$A$2:$A$9,0))</f>
        <v>3800</v>
      </c>
      <c r="P246" s="15" t="n">
        <f aca="false">IF((G246-H246)&gt;0,J246/(G246-H246),0)</f>
        <v>0.952276064610866</v>
      </c>
      <c r="Q246" s="15" t="n">
        <f aca="false">IF(J246*O246&gt;0,N246/(O246*J246),0)</f>
        <v>0.889588929919247</v>
      </c>
      <c r="R246" s="15" t="n">
        <f aca="false">IF(N246&gt;0,L246/N246,0)</f>
        <v>0.959282259852369</v>
      </c>
      <c r="S246" s="15" t="n">
        <f aca="false">P246*Q246*R246</f>
        <v>0.812640853234408</v>
      </c>
      <c r="T246" s="15" t="n">
        <f aca="false">IF(K246&gt;0,L246/K246,0)</f>
        <v>1.01301193676118</v>
      </c>
      <c r="U246" s="10" t="n">
        <v>2015.7</v>
      </c>
      <c r="V246" s="5" t="n">
        <v>15</v>
      </c>
      <c r="W246" s="10" t="n">
        <v>190.2</v>
      </c>
      <c r="X246" s="15" t="n">
        <f aca="false">IF(U246&gt;0,W246/U246,0)</f>
        <v>0.0943592796547105</v>
      </c>
      <c r="Y246" s="12" t="n">
        <f aca="false">IF(U246&gt;0,L246/U246,0)</f>
        <v>173.881033884011</v>
      </c>
      <c r="Z246" s="16" t="n">
        <f aca="false">L246*INDEX(Parametros!$E$2:$E$9,MATCH($E246,Parametros!$A$2:$A$9,0))</f>
        <v>392551.04</v>
      </c>
      <c r="AA246" s="16" t="n">
        <f aca="false">Z246*INDEX(Parametros!$F$2:$F$9,MATCH($E246,Parametros!$A$2:$A$9,0))</f>
        <v>13739.2864</v>
      </c>
      <c r="AB246" s="17" t="n">
        <f aca="false">Z246+AA246</f>
        <v>406290.3264</v>
      </c>
      <c r="AC246" s="18" t="n">
        <v>409476.25</v>
      </c>
      <c r="AD246" s="17" t="n">
        <f aca="false">AC246-AB246</f>
        <v>3185.92359999998</v>
      </c>
      <c r="AE246" s="17" t="n">
        <f aca="false">AA246+AD246</f>
        <v>16925.21</v>
      </c>
      <c r="AF246" s="19" t="n">
        <f aca="false">IF(Z246&gt;0,AE246/Z246,0)</f>
        <v>0.0431159474192196</v>
      </c>
      <c r="AG246" s="16" t="n">
        <f aca="false">(U246-W246)*INDEX(Parametros!$H$2:$H$9,MATCH($E246,Parametros!$A$2:$A$9,0))+W246*INDEX(Parametros!$H$2:$H$9,MATCH($E246,Parametros!$A$2:$A$9,0))*Parametros!$N$3</f>
        <v>69656.4</v>
      </c>
      <c r="AH246" s="13" t="n">
        <v>18534</v>
      </c>
      <c r="AI246" s="16" t="n">
        <f aca="false">AH246*Parametros!$N$2</f>
        <v>1705.128</v>
      </c>
      <c r="AJ246" s="18" t="n">
        <v>17216</v>
      </c>
      <c r="AK246" s="18" t="n">
        <v>6686</v>
      </c>
      <c r="AL246" s="17" t="n">
        <f aca="false">AG246+AI246+AJ246+AK246</f>
        <v>95263.528</v>
      </c>
      <c r="AM246" s="20" t="n">
        <f aca="false">IF(L246&gt;0,AL246/L246,0)</f>
        <v>0.271799436221084</v>
      </c>
      <c r="AN246" s="16" t="n">
        <f aca="false">L246*INDEX(Parametros!$G$2:$G$9,MATCH($E246,Parametros!$A$2:$A$9,0))</f>
        <v>627380.68</v>
      </c>
      <c r="AO246" s="17" t="n">
        <f aca="false">AN246-AC246-AL246</f>
        <v>122640.902</v>
      </c>
      <c r="AP246" s="15" t="n">
        <f aca="false">IF(AN246&gt;0,AO246/AN246,0)</f>
        <v>0.195480839480106</v>
      </c>
      <c r="AQ246" s="16" t="n">
        <f aca="false">INDEX(Parametros!$I$2:$I$9,MATCH($E246,Parametros!$A$2:$A$9,0))</f>
        <v>33200000</v>
      </c>
      <c r="AR246" s="19" t="n">
        <f aca="false">IF(AQ246&gt;0,AO246/AQ246,0)</f>
        <v>0.00369400307228916</v>
      </c>
    </row>
    <row r="247" customFormat="false" ht="15" hidden="false" customHeight="false" outlineLevel="0" collapsed="false">
      <c r="A247" s="5" t="s">
        <v>382</v>
      </c>
      <c r="B247" s="9" t="n">
        <v>45761</v>
      </c>
      <c r="C247" s="2" t="str">
        <f aca="false">TEXT(B247,"yyyy")</f>
        <v>2025</v>
      </c>
      <c r="D247" s="2" t="n">
        <f aca="false">WEEKNUM(B247,2)</f>
        <v>16</v>
      </c>
      <c r="E247" s="5" t="s">
        <v>140</v>
      </c>
      <c r="F247" s="6" t="str">
        <f aca="false">INDEX(Parametros!$B$2:$B$9,MATCH($E247,Parametros!$A$2:$A$9,0))</f>
        <v>Crema de cacahuate</v>
      </c>
      <c r="G247" s="10" t="n">
        <v>111.4</v>
      </c>
      <c r="H247" s="10" t="n">
        <v>6.3</v>
      </c>
      <c r="I247" s="11" t="n">
        <f aca="false">SUMIFS(Eventos_Paro!$J$2:$J$2186,Eventos_Paro!$D$2:$D$2186,$E247,Eventos_Paro!$B$2:$B$2186,$B247)</f>
        <v>5.78333333333333</v>
      </c>
      <c r="J247" s="12" t="n">
        <f aca="false">G247-H247-I247</f>
        <v>99.3166666666667</v>
      </c>
      <c r="K247" s="13" t="n">
        <v>354108</v>
      </c>
      <c r="L247" s="13" t="n">
        <v>364534</v>
      </c>
      <c r="M247" s="13" t="n">
        <v>10483</v>
      </c>
      <c r="N247" s="14" t="n">
        <f aca="false">L247+M247</f>
        <v>375017</v>
      </c>
      <c r="O247" s="11" t="n">
        <f aca="false">INDEX(Parametros!$D$2:$D$9,MATCH($E247,Parametros!$A$2:$A$9,0))</f>
        <v>4200</v>
      </c>
      <c r="P247" s="15" t="n">
        <f aca="false">IF((G247-H247)&gt;0,J247/(G247-H247),0)</f>
        <v>0.944973041547732</v>
      </c>
      <c r="Q247" s="15" t="n">
        <f aca="false">IF(J247*O247&gt;0,N247/(O247*J247),0)</f>
        <v>0.899041066334236</v>
      </c>
      <c r="R247" s="15" t="n">
        <f aca="false">IF(N247&gt;0,L247/N247,0)</f>
        <v>0.972046600554108</v>
      </c>
      <c r="S247" s="15" t="n">
        <f aca="false">P247*Q247*R247</f>
        <v>0.825821213356894</v>
      </c>
      <c r="T247" s="15" t="n">
        <f aca="false">IF(K247&gt;0,L247/K247,0)</f>
        <v>1.02944299479255</v>
      </c>
      <c r="U247" s="10" t="n">
        <v>1429.3</v>
      </c>
      <c r="V247" s="5" t="n">
        <v>12</v>
      </c>
      <c r="W247" s="10" t="n">
        <v>92.5</v>
      </c>
      <c r="X247" s="15" t="n">
        <f aca="false">IF(U247&gt;0,W247/U247,0)</f>
        <v>0.0647169943328902</v>
      </c>
      <c r="Y247" s="12" t="n">
        <f aca="false">IF(U247&gt;0,L247/U247,0)</f>
        <v>255.043727698874</v>
      </c>
      <c r="Z247" s="16" t="n">
        <f aca="false">L247*INDEX(Parametros!$E$2:$E$9,MATCH($E247,Parametros!$A$2:$A$9,0))</f>
        <v>353597.98</v>
      </c>
      <c r="AA247" s="16" t="n">
        <f aca="false">Z247*INDEX(Parametros!$F$2:$F$9,MATCH($E247,Parametros!$A$2:$A$9,0))</f>
        <v>7779.15556</v>
      </c>
      <c r="AB247" s="17" t="n">
        <f aca="false">Z247+AA247</f>
        <v>361377.13556</v>
      </c>
      <c r="AC247" s="18" t="n">
        <v>356932.47</v>
      </c>
      <c r="AD247" s="17" t="n">
        <f aca="false">AC247-AB247</f>
        <v>-4444.66555999999</v>
      </c>
      <c r="AE247" s="17" t="n">
        <f aca="false">AA247+AD247</f>
        <v>3334.49000000001</v>
      </c>
      <c r="AF247" s="19" t="n">
        <f aca="false">IF(Z247&gt;0,AE247/Z247,0)</f>
        <v>0.00943017264974196</v>
      </c>
      <c r="AG247" s="16" t="n">
        <f aca="false">(U247-W247)*INDEX(Parametros!$H$2:$H$9,MATCH($E247,Parametros!$A$2:$A$9,0))+W247*INDEX(Parametros!$H$2:$H$9,MATCH($E247,Parametros!$A$2:$A$9,0))*Parametros!$N$3</f>
        <v>46479.825</v>
      </c>
      <c r="AH247" s="13" t="n">
        <v>19065</v>
      </c>
      <c r="AI247" s="16" t="n">
        <f aca="false">AH247*Parametros!$N$2</f>
        <v>1753.98</v>
      </c>
      <c r="AJ247" s="18" t="n">
        <v>11263</v>
      </c>
      <c r="AK247" s="18" t="n">
        <v>6142</v>
      </c>
      <c r="AL247" s="17" t="n">
        <f aca="false">AG247+AI247+AJ247+AK247</f>
        <v>65638.805</v>
      </c>
      <c r="AM247" s="20" t="n">
        <f aca="false">IF(L247&gt;0,AL247/L247,0)</f>
        <v>0.180062230134912</v>
      </c>
      <c r="AN247" s="16" t="n">
        <f aca="false">L247*INDEX(Parametros!$G$2:$G$9,MATCH($E247,Parametros!$A$2:$A$9,0))</f>
        <v>590545.08</v>
      </c>
      <c r="AO247" s="17" t="n">
        <f aca="false">AN247-AC247-AL247</f>
        <v>167973.805</v>
      </c>
      <c r="AP247" s="15" t="n">
        <f aca="false">IF(AN247&gt;0,AO247/AN247,0)</f>
        <v>0.284438581725209</v>
      </c>
      <c r="AQ247" s="16" t="n">
        <f aca="false">INDEX(Parametros!$I$2:$I$9,MATCH($E247,Parametros!$A$2:$A$9,0))</f>
        <v>28000000</v>
      </c>
      <c r="AR247" s="19" t="n">
        <f aca="false">IF(AQ247&gt;0,AO247/AQ247,0)</f>
        <v>0.00599906446428572</v>
      </c>
    </row>
    <row r="248" customFormat="false" ht="15" hidden="false" customHeight="false" outlineLevel="0" collapsed="false">
      <c r="A248" s="5" t="s">
        <v>383</v>
      </c>
      <c r="B248" s="9" t="n">
        <v>45761</v>
      </c>
      <c r="C248" s="2" t="str">
        <f aca="false">TEXT(B248,"yyyy")</f>
        <v>2025</v>
      </c>
      <c r="D248" s="2" t="n">
        <f aca="false">WEEKNUM(B248,2)</f>
        <v>16</v>
      </c>
      <c r="E248" s="5" t="s">
        <v>142</v>
      </c>
      <c r="F248" s="6" t="str">
        <f aca="false">INDEX(Parametros!$B$2:$B$9,MATCH($E248,Parametros!$A$2:$A$9,0))</f>
        <v>Porciones single serve</v>
      </c>
      <c r="G248" s="10" t="n">
        <v>124</v>
      </c>
      <c r="H248" s="10" t="n">
        <v>5.5</v>
      </c>
      <c r="I248" s="11" t="n">
        <f aca="false">SUMIFS(Eventos_Paro!$J$2:$J$2186,Eventos_Paro!$D$2:$D$2186,$E248,Eventos_Paro!$B$2:$B$2186,$B248)</f>
        <v>3.05</v>
      </c>
      <c r="J248" s="12" t="n">
        <f aca="false">G248-H248-I248</f>
        <v>115.45</v>
      </c>
      <c r="K248" s="13" t="n">
        <v>247158</v>
      </c>
      <c r="L248" s="13" t="n">
        <v>236066</v>
      </c>
      <c r="M248" s="13" t="n">
        <v>13281</v>
      </c>
      <c r="N248" s="14" t="n">
        <f aca="false">L248+M248</f>
        <v>249347</v>
      </c>
      <c r="O248" s="11" t="n">
        <f aca="false">INDEX(Parametros!$D$2:$D$9,MATCH($E248,Parametros!$A$2:$A$9,0))</f>
        <v>2600</v>
      </c>
      <c r="P248" s="15" t="n">
        <f aca="false">IF((G248-H248)&gt;0,J248/(G248-H248),0)</f>
        <v>0.974261603375528</v>
      </c>
      <c r="Q248" s="15" t="n">
        <f aca="false">IF(J248*O248&gt;0,N248/(O248*J248),0)</f>
        <v>0.830685944631376</v>
      </c>
      <c r="R248" s="15" t="n">
        <f aca="false">IF(N248&gt;0,L248/N248,0)</f>
        <v>0.946736876721998</v>
      </c>
      <c r="S248" s="15" t="n">
        <f aca="false">P248*Q248*R248</f>
        <v>0.766199285946122</v>
      </c>
      <c r="T248" s="15" t="n">
        <f aca="false">IF(K248&gt;0,L248/K248,0)</f>
        <v>0.955121824905526</v>
      </c>
      <c r="U248" s="10" t="n">
        <v>2273.1</v>
      </c>
      <c r="V248" s="5" t="n">
        <v>17</v>
      </c>
      <c r="W248" s="10" t="n">
        <v>165.1</v>
      </c>
      <c r="X248" s="15" t="n">
        <f aca="false">IF(U248&gt;0,W248/U248,0)</f>
        <v>0.0726320883375127</v>
      </c>
      <c r="Y248" s="12" t="n">
        <f aca="false">IF(U248&gt;0,L248/U248,0)</f>
        <v>103.852008270644</v>
      </c>
      <c r="Z248" s="16" t="n">
        <f aca="false">L248*INDEX(Parametros!$E$2:$E$9,MATCH($E248,Parametros!$A$2:$A$9,0))</f>
        <v>174688.84</v>
      </c>
      <c r="AA248" s="16" t="n">
        <f aca="false">Z248*INDEX(Parametros!$F$2:$F$9,MATCH($E248,Parametros!$A$2:$A$9,0))</f>
        <v>7860.9978</v>
      </c>
      <c r="AB248" s="17" t="n">
        <f aca="false">Z248+AA248</f>
        <v>182549.8378</v>
      </c>
      <c r="AC248" s="18" t="n">
        <v>185564.5</v>
      </c>
      <c r="AD248" s="17" t="n">
        <f aca="false">AC248-AB248</f>
        <v>3014.66219999999</v>
      </c>
      <c r="AE248" s="17" t="n">
        <f aca="false">AA248+AD248</f>
        <v>10875.66</v>
      </c>
      <c r="AF248" s="19" t="n">
        <f aca="false">IF(Z248&gt;0,AE248/Z248,0)</f>
        <v>0.0622573256540028</v>
      </c>
      <c r="AG248" s="16" t="n">
        <f aca="false">(U248-W248)*INDEX(Parametros!$H$2:$H$9,MATCH($E248,Parametros!$A$2:$A$9,0))+W248*INDEX(Parametros!$H$2:$H$9,MATCH($E248,Parametros!$A$2:$A$9,0))*Parametros!$N$3</f>
        <v>70669.5</v>
      </c>
      <c r="AH248" s="13" t="n">
        <v>12593</v>
      </c>
      <c r="AI248" s="16" t="n">
        <f aca="false">AH248*Parametros!$N$2</f>
        <v>1158.556</v>
      </c>
      <c r="AJ248" s="18" t="n">
        <v>9321</v>
      </c>
      <c r="AK248" s="18" t="n">
        <v>2102</v>
      </c>
      <c r="AL248" s="17" t="n">
        <f aca="false">AG248+AI248+AJ248+AK248</f>
        <v>83251.056</v>
      </c>
      <c r="AM248" s="20" t="n">
        <f aca="false">IF(L248&gt;0,AL248/L248,0)</f>
        <v>0.352660086585955</v>
      </c>
      <c r="AN248" s="16" t="n">
        <f aca="false">L248*INDEX(Parametros!$G$2:$G$9,MATCH($E248,Parametros!$A$2:$A$9,0))</f>
        <v>406033.52</v>
      </c>
      <c r="AO248" s="17" t="n">
        <f aca="false">AN248-AC248-AL248</f>
        <v>137217.964</v>
      </c>
      <c r="AP248" s="15" t="n">
        <f aca="false">IF(AN248&gt;0,AO248/AN248,0)</f>
        <v>0.337947379319816</v>
      </c>
      <c r="AQ248" s="16" t="n">
        <f aca="false">INDEX(Parametros!$I$2:$I$9,MATCH($E248,Parametros!$A$2:$A$9,0))</f>
        <v>15900000</v>
      </c>
      <c r="AR248" s="19" t="n">
        <f aca="false">IF(AQ248&gt;0,AO248/AQ248,0)</f>
        <v>0.00863006062893082</v>
      </c>
    </row>
    <row r="249" customFormat="false" ht="15" hidden="false" customHeight="false" outlineLevel="0" collapsed="false">
      <c r="A249" s="5" t="s">
        <v>384</v>
      </c>
      <c r="B249" s="9" t="n">
        <v>45761</v>
      </c>
      <c r="C249" s="2" t="str">
        <f aca="false">TEXT(B249,"yyyy")</f>
        <v>2025</v>
      </c>
      <c r="D249" s="2" t="n">
        <f aca="false">WEEKNUM(B249,2)</f>
        <v>16</v>
      </c>
      <c r="E249" s="5" t="s">
        <v>144</v>
      </c>
      <c r="F249" s="6" t="str">
        <f aca="false">INDEX(Parametros!$B$2:$B$9,MATCH($E249,Parametros!$A$2:$A$9,0))</f>
        <v>Salsas picantes</v>
      </c>
      <c r="G249" s="10" t="n">
        <v>71.8</v>
      </c>
      <c r="H249" s="10" t="n">
        <v>5.9</v>
      </c>
      <c r="I249" s="11" t="n">
        <f aca="false">SUMIFS(Eventos_Paro!$J$2:$J$2186,Eventos_Paro!$D$2:$D$2186,$E249,Eventos_Paro!$B$2:$B$2186,$B249)</f>
        <v>4.13333333333333</v>
      </c>
      <c r="J249" s="12" t="n">
        <f aca="false">G249-H249-I249</f>
        <v>61.7666666666667</v>
      </c>
      <c r="K249" s="13" t="n">
        <v>162337</v>
      </c>
      <c r="L249" s="13" t="n">
        <v>159206</v>
      </c>
      <c r="M249" s="13" t="n">
        <v>5306</v>
      </c>
      <c r="N249" s="14" t="n">
        <f aca="false">L249+M249</f>
        <v>164512</v>
      </c>
      <c r="O249" s="11" t="n">
        <f aca="false">INDEX(Parametros!$D$2:$D$9,MATCH($E249,Parametros!$A$2:$A$9,0))</f>
        <v>3100</v>
      </c>
      <c r="P249" s="15" t="n">
        <f aca="false">IF((G249-H249)&gt;0,J249/(G249-H249),0)</f>
        <v>0.937278705108751</v>
      </c>
      <c r="Q249" s="15" t="n">
        <f aca="false">IF(J249*O249&gt;0,N249/(O249*J249),0)</f>
        <v>0.859175182354682</v>
      </c>
      <c r="R249" s="15" t="n">
        <f aca="false">IF(N249&gt;0,L249/N249,0)</f>
        <v>0.967747033651041</v>
      </c>
      <c r="S249" s="15" t="n">
        <f aca="false">P249*Q249*R249</f>
        <v>0.779313720691174</v>
      </c>
      <c r="T249" s="15" t="n">
        <f aca="false">IF(K249&gt;0,L249/K249,0)</f>
        <v>0.980712961308882</v>
      </c>
      <c r="U249" s="10" t="n">
        <v>637.2</v>
      </c>
      <c r="V249" s="5" t="n">
        <v>8</v>
      </c>
      <c r="W249" s="10" t="n">
        <v>62.8</v>
      </c>
      <c r="X249" s="15" t="n">
        <f aca="false">IF(U249&gt;0,W249/U249,0)</f>
        <v>0.098556183301946</v>
      </c>
      <c r="Y249" s="12" t="n">
        <f aca="false">IF(U249&gt;0,L249/U249,0)</f>
        <v>249.852479598242</v>
      </c>
      <c r="Z249" s="16" t="n">
        <f aca="false">L249*INDEX(Parametros!$E$2:$E$9,MATCH($E249,Parametros!$A$2:$A$9,0))</f>
        <v>105075.96</v>
      </c>
      <c r="AA249" s="16" t="n">
        <f aca="false">Z249*INDEX(Parametros!$F$2:$F$9,MATCH($E249,Parametros!$A$2:$A$9,0))</f>
        <v>2731.97496</v>
      </c>
      <c r="AB249" s="17" t="n">
        <f aca="false">Z249+AA249</f>
        <v>107807.93496</v>
      </c>
      <c r="AC249" s="18" t="n">
        <v>108638.37</v>
      </c>
      <c r="AD249" s="17" t="n">
        <f aca="false">AC249-AB249</f>
        <v>830.435039999982</v>
      </c>
      <c r="AE249" s="17" t="n">
        <f aca="false">AA249+AD249</f>
        <v>3562.40999999998</v>
      </c>
      <c r="AF249" s="19" t="n">
        <f aca="false">IF(Z249&gt;0,AE249/Z249,0)</f>
        <v>0.0339031877510325</v>
      </c>
      <c r="AG249" s="16" t="n">
        <f aca="false">(U249-W249)*INDEX(Parametros!$H$2:$H$9,MATCH($E249,Parametros!$A$2:$A$9,0))+W249*INDEX(Parametros!$H$2:$H$9,MATCH($E249,Parametros!$A$2:$A$9,0))*Parametros!$N$3</f>
        <v>21060.9</v>
      </c>
      <c r="AH249" s="13" t="n">
        <v>8350</v>
      </c>
      <c r="AI249" s="16" t="n">
        <f aca="false">AH249*Parametros!$N$2</f>
        <v>768.2</v>
      </c>
      <c r="AJ249" s="18" t="n">
        <v>6604</v>
      </c>
      <c r="AK249" s="18" t="n">
        <v>3216</v>
      </c>
      <c r="AL249" s="17" t="n">
        <f aca="false">AG249+AI249+AJ249+AK249</f>
        <v>31649.1</v>
      </c>
      <c r="AM249" s="20" t="n">
        <f aca="false">IF(L249&gt;0,AL249/L249,0)</f>
        <v>0.1987933871839</v>
      </c>
      <c r="AN249" s="16" t="n">
        <f aca="false">L249*INDEX(Parametros!$G$2:$G$9,MATCH($E249,Parametros!$A$2:$A$9,0))</f>
        <v>199007.5</v>
      </c>
      <c r="AO249" s="17" t="n">
        <f aca="false">AN249-AC249-AL249</f>
        <v>58720.03</v>
      </c>
      <c r="AP249" s="15" t="n">
        <f aca="false">IF(AN249&gt;0,AO249/AN249,0)</f>
        <v>0.295064407120335</v>
      </c>
      <c r="AQ249" s="16" t="n">
        <f aca="false">INDEX(Parametros!$I$2:$I$9,MATCH($E249,Parametros!$A$2:$A$9,0))</f>
        <v>13300000</v>
      </c>
      <c r="AR249" s="19" t="n">
        <f aca="false">IF(AQ249&gt;0,AO249/AQ249,0)</f>
        <v>0.00441503984962406</v>
      </c>
    </row>
    <row r="250" customFormat="false" ht="15" hidden="false" customHeight="false" outlineLevel="0" collapsed="false">
      <c r="A250" s="5" t="s">
        <v>385</v>
      </c>
      <c r="B250" s="9" t="n">
        <v>45768</v>
      </c>
      <c r="C250" s="2" t="str">
        <f aca="false">TEXT(B250,"yyyy")</f>
        <v>2025</v>
      </c>
      <c r="D250" s="2" t="n">
        <f aca="false">WEEKNUM(B250,2)</f>
        <v>17</v>
      </c>
      <c r="E250" s="5" t="s">
        <v>130</v>
      </c>
      <c r="F250" s="6" t="str">
        <f aca="false">INDEX(Parametros!$B$2:$B$9,MATCH($E250,Parametros!$A$2:$A$9,0))</f>
        <v>Ketchup botella</v>
      </c>
      <c r="G250" s="10" t="n">
        <v>119.5</v>
      </c>
      <c r="H250" s="10" t="n">
        <v>5.6</v>
      </c>
      <c r="I250" s="11" t="n">
        <f aca="false">SUMIFS(Eventos_Paro!$J$2:$J$2186,Eventos_Paro!$D$2:$D$2186,$E250,Eventos_Paro!$B$2:$B$2186,$B250)</f>
        <v>9.2</v>
      </c>
      <c r="J250" s="12" t="n">
        <f aca="false">G250-H250-I250</f>
        <v>104.7</v>
      </c>
      <c r="K250" s="13" t="n">
        <v>826254</v>
      </c>
      <c r="L250" s="13" t="n">
        <v>794927</v>
      </c>
      <c r="M250" s="13" t="n">
        <v>15819</v>
      </c>
      <c r="N250" s="14" t="n">
        <f aca="false">L250+M250</f>
        <v>810746</v>
      </c>
      <c r="O250" s="11" t="n">
        <f aca="false">INDEX(Parametros!$D$2:$D$9,MATCH($E250,Parametros!$A$2:$A$9,0))</f>
        <v>9000</v>
      </c>
      <c r="P250" s="15" t="n">
        <f aca="false">IF((G250-H250)&gt;0,J250/(G250-H250),0)</f>
        <v>0.919227392449517</v>
      </c>
      <c r="Q250" s="15" t="n">
        <f aca="false">IF(J250*O250&gt;0,N250/(O250*J250),0)</f>
        <v>0.860390533800276</v>
      </c>
      <c r="R250" s="15" t="n">
        <f aca="false">IF(N250&gt;0,L250/N250,0)</f>
        <v>0.980488340368007</v>
      </c>
      <c r="S250" s="15" t="n">
        <f aca="false">P250*Q250*R250</f>
        <v>0.775462881670081</v>
      </c>
      <c r="T250" s="15" t="n">
        <f aca="false">IF(K250&gt;0,L250/K250,0)</f>
        <v>0.962085508814481</v>
      </c>
      <c r="U250" s="10" t="n">
        <v>1618.6</v>
      </c>
      <c r="V250" s="5" t="n">
        <v>12</v>
      </c>
      <c r="W250" s="10" t="n">
        <v>184.6</v>
      </c>
      <c r="X250" s="15" t="n">
        <f aca="false">IF(U250&gt;0,W250/U250,0)</f>
        <v>0.114049178302237</v>
      </c>
      <c r="Y250" s="12" t="n">
        <f aca="false">IF(U250&gt;0,L250/U250,0)</f>
        <v>491.120103793402</v>
      </c>
      <c r="Z250" s="16" t="n">
        <f aca="false">L250*INDEX(Parametros!$E$2:$E$9,MATCH($E250,Parametros!$A$2:$A$9,0))</f>
        <v>333869.34</v>
      </c>
      <c r="AA250" s="16" t="n">
        <f aca="false">Z250*INDEX(Parametros!$F$2:$F$9,MATCH($E250,Parametros!$A$2:$A$9,0))</f>
        <v>6677.3868</v>
      </c>
      <c r="AB250" s="17" t="n">
        <f aca="false">Z250+AA250</f>
        <v>340546.7268</v>
      </c>
      <c r="AC250" s="18" t="n">
        <v>337458.34</v>
      </c>
      <c r="AD250" s="17" t="n">
        <f aca="false">AC250-AB250</f>
        <v>-3088.38679999992</v>
      </c>
      <c r="AE250" s="17" t="n">
        <f aca="false">AA250+AD250</f>
        <v>3589.00000000008</v>
      </c>
      <c r="AF250" s="19" t="n">
        <f aca="false">IF(Z250&gt;0,AE250/Z250,0)</f>
        <v>0.0107497142445008</v>
      </c>
      <c r="AG250" s="16" t="n">
        <f aca="false">(U250-W250)*INDEX(Parametros!$H$2:$H$9,MATCH($E250,Parametros!$A$2:$A$9,0))+W250*INDEX(Parametros!$H$2:$H$9,MATCH($E250,Parametros!$A$2:$A$9,0))*Parametros!$N$3</f>
        <v>53893.35</v>
      </c>
      <c r="AH250" s="13" t="n">
        <v>40637</v>
      </c>
      <c r="AI250" s="16" t="n">
        <f aca="false">AH250*Parametros!$N$2</f>
        <v>3738.604</v>
      </c>
      <c r="AJ250" s="18" t="n">
        <v>19271</v>
      </c>
      <c r="AK250" s="18" t="n">
        <v>7287</v>
      </c>
      <c r="AL250" s="17" t="n">
        <f aca="false">AG250+AI250+AJ250+AK250</f>
        <v>84189.954</v>
      </c>
      <c r="AM250" s="20" t="n">
        <f aca="false">IF(L250&gt;0,AL250/L250,0)</f>
        <v>0.105909038188412</v>
      </c>
      <c r="AN250" s="16" t="n">
        <f aca="false">L250*INDEX(Parametros!$G$2:$G$9,MATCH($E250,Parametros!$A$2:$A$9,0))</f>
        <v>564398.17</v>
      </c>
      <c r="AO250" s="17" t="n">
        <f aca="false">AN250-AC250-AL250</f>
        <v>142749.876</v>
      </c>
      <c r="AP250" s="15" t="n">
        <f aca="false">IF(AN250&gt;0,AO250/AN250,0)</f>
        <v>0.25292405891394</v>
      </c>
      <c r="AQ250" s="16" t="n">
        <f aca="false">INDEX(Parametros!$I$2:$I$9,MATCH($E250,Parametros!$A$2:$A$9,0))</f>
        <v>29300000</v>
      </c>
      <c r="AR250" s="19" t="n">
        <f aca="false">IF(AQ250&gt;0,AO250/AQ250,0)</f>
        <v>0.00487200941979522</v>
      </c>
    </row>
    <row r="251" customFormat="false" ht="15" hidden="false" customHeight="false" outlineLevel="0" collapsed="false">
      <c r="A251" s="5" t="s">
        <v>386</v>
      </c>
      <c r="B251" s="9" t="n">
        <v>45768</v>
      </c>
      <c r="C251" s="2" t="str">
        <f aca="false">TEXT(B251,"yyyy")</f>
        <v>2025</v>
      </c>
      <c r="D251" s="2" t="n">
        <f aca="false">WEEKNUM(B251,2)</f>
        <v>17</v>
      </c>
      <c r="E251" s="5" t="s">
        <v>132</v>
      </c>
      <c r="F251" s="6" t="str">
        <f aca="false">INDEX(Parametros!$B$2:$B$9,MATCH($E251,Parametros!$A$2:$A$9,0))</f>
        <v>Mayonesa frasco</v>
      </c>
      <c r="G251" s="10" t="n">
        <v>130.6</v>
      </c>
      <c r="H251" s="10" t="n">
        <v>8.4</v>
      </c>
      <c r="I251" s="11" t="n">
        <f aca="false">SUMIFS(Eventos_Paro!$J$2:$J$2186,Eventos_Paro!$D$2:$D$2186,$E251,Eventos_Paro!$B$2:$B$2186,$B251)</f>
        <v>0.333333333333333</v>
      </c>
      <c r="J251" s="12" t="n">
        <f aca="false">G251-H251-I251</f>
        <v>121.866666666667</v>
      </c>
      <c r="K251" s="13" t="n">
        <v>640224</v>
      </c>
      <c r="L251" s="13" t="n">
        <v>650937</v>
      </c>
      <c r="M251" s="13" t="n">
        <v>11031</v>
      </c>
      <c r="N251" s="14" t="n">
        <f aca="false">L251+M251</f>
        <v>661968</v>
      </c>
      <c r="O251" s="11" t="n">
        <f aca="false">INDEX(Parametros!$D$2:$D$9,MATCH($E251,Parametros!$A$2:$A$9,0))</f>
        <v>6500</v>
      </c>
      <c r="P251" s="15" t="n">
        <f aca="false">IF((G251-H251)&gt;0,J251/(G251-H251),0)</f>
        <v>0.997272231314785</v>
      </c>
      <c r="Q251" s="15" t="n">
        <f aca="false">IF(J251*O251&gt;0,N251/(O251*J251),0)</f>
        <v>0.83567749537115</v>
      </c>
      <c r="R251" s="15" t="n">
        <f aca="false">IF(N251&gt;0,L251/N251,0)</f>
        <v>0.983336052498006</v>
      </c>
      <c r="S251" s="15" t="n">
        <f aca="false">P251*Q251*R251</f>
        <v>0.819510260606824</v>
      </c>
      <c r="T251" s="15" t="n">
        <f aca="false">IF(K251&gt;0,L251/K251,0)</f>
        <v>1.01673320587794</v>
      </c>
      <c r="U251" s="10" t="n">
        <v>1806.9</v>
      </c>
      <c r="V251" s="5" t="n">
        <v>13</v>
      </c>
      <c r="W251" s="10" t="n">
        <v>109.1</v>
      </c>
      <c r="X251" s="15" t="n">
        <f aca="false">IF(U251&gt;0,W251/U251,0)</f>
        <v>0.0603796557640157</v>
      </c>
      <c r="Y251" s="12" t="n">
        <f aca="false">IF(U251&gt;0,L251/U251,0)</f>
        <v>360.250705628424</v>
      </c>
      <c r="Z251" s="16" t="n">
        <f aca="false">L251*INDEX(Parametros!$E$2:$E$9,MATCH($E251,Parametros!$A$2:$A$9,0))</f>
        <v>397071.57</v>
      </c>
      <c r="AA251" s="16" t="n">
        <f aca="false">Z251*INDEX(Parametros!$F$2:$F$9,MATCH($E251,Parametros!$A$2:$A$9,0))</f>
        <v>9926.78925</v>
      </c>
      <c r="AB251" s="17" t="n">
        <f aca="false">Z251+AA251</f>
        <v>406998.35925</v>
      </c>
      <c r="AC251" s="18" t="n">
        <v>405994.18</v>
      </c>
      <c r="AD251" s="17" t="n">
        <f aca="false">AC251-AB251</f>
        <v>-1004.17924999999</v>
      </c>
      <c r="AE251" s="17" t="n">
        <f aca="false">AA251+AD251</f>
        <v>8922.61000000002</v>
      </c>
      <c r="AF251" s="19" t="n">
        <f aca="false">IF(Z251&gt;0,AE251/Z251,0)</f>
        <v>0.0224710371482905</v>
      </c>
      <c r="AG251" s="16" t="n">
        <f aca="false">(U251-W251)*INDEX(Parametros!$H$2:$H$9,MATCH($E251,Parametros!$A$2:$A$9,0))+W251*INDEX(Parametros!$H$2:$H$9,MATCH($E251,Parametros!$A$2:$A$9,0))*Parametros!$N$3</f>
        <v>58635.675</v>
      </c>
      <c r="AH251" s="13" t="n">
        <v>32337</v>
      </c>
      <c r="AI251" s="16" t="n">
        <f aca="false">AH251*Parametros!$N$2</f>
        <v>2975.004</v>
      </c>
      <c r="AJ251" s="18" t="n">
        <v>15090</v>
      </c>
      <c r="AK251" s="18" t="n">
        <v>373</v>
      </c>
      <c r="AL251" s="17" t="n">
        <f aca="false">AG251+AI251+AJ251+AK251</f>
        <v>77073.679</v>
      </c>
      <c r="AM251" s="20" t="n">
        <f aca="false">IF(L251&gt;0,AL251/L251,0)</f>
        <v>0.118404206551479</v>
      </c>
      <c r="AN251" s="16" t="n">
        <f aca="false">L251*INDEX(Parametros!$G$2:$G$9,MATCH($E251,Parametros!$A$2:$A$9,0))</f>
        <v>624899.52</v>
      </c>
      <c r="AO251" s="17" t="n">
        <f aca="false">AN251-AC251-AL251</f>
        <v>141831.661</v>
      </c>
      <c r="AP251" s="15" t="n">
        <f aca="false">IF(AN251&gt;0,AO251/AN251,0)</f>
        <v>0.226967146654233</v>
      </c>
      <c r="AQ251" s="16" t="n">
        <f aca="false">INDEX(Parametros!$I$2:$I$9,MATCH($E251,Parametros!$A$2:$A$9,0))</f>
        <v>29700000</v>
      </c>
      <c r="AR251" s="19" t="n">
        <f aca="false">IF(AQ251&gt;0,AO251/AQ251,0)</f>
        <v>0.0047754768013468</v>
      </c>
    </row>
    <row r="252" customFormat="false" ht="15" hidden="false" customHeight="false" outlineLevel="0" collapsed="false">
      <c r="A252" s="5" t="s">
        <v>387</v>
      </c>
      <c r="B252" s="9" t="n">
        <v>45768</v>
      </c>
      <c r="C252" s="2" t="str">
        <f aca="false">TEXT(B252,"yyyy")</f>
        <v>2025</v>
      </c>
      <c r="D252" s="2" t="n">
        <f aca="false">WEEKNUM(B252,2)</f>
        <v>17</v>
      </c>
      <c r="E252" s="5" t="s">
        <v>134</v>
      </c>
      <c r="F252" s="6" t="str">
        <f aca="false">INDEX(Parametros!$B$2:$B$9,MATCH($E252,Parametros!$A$2:$A$9,0))</f>
        <v>Aderezos vertibles</v>
      </c>
      <c r="G252" s="10" t="n">
        <v>113.1</v>
      </c>
      <c r="H252" s="10" t="n">
        <v>7.9</v>
      </c>
      <c r="I252" s="11" t="n">
        <f aca="false">SUMIFS(Eventos_Paro!$J$2:$J$2186,Eventos_Paro!$D$2:$D$2186,$E252,Eventos_Paro!$B$2:$B$2186,$B252)</f>
        <v>3.11666666666667</v>
      </c>
      <c r="J252" s="12" t="n">
        <f aca="false">G252-H252-I252</f>
        <v>102.083333333333</v>
      </c>
      <c r="K252" s="13" t="n">
        <v>440927</v>
      </c>
      <c r="L252" s="13" t="n">
        <v>426671</v>
      </c>
      <c r="M252" s="13" t="n">
        <v>13230</v>
      </c>
      <c r="N252" s="14" t="n">
        <f aca="false">L252+M252</f>
        <v>439901</v>
      </c>
      <c r="O252" s="11" t="n">
        <f aca="false">INDEX(Parametros!$D$2:$D$9,MATCH($E252,Parametros!$A$2:$A$9,0))</f>
        <v>5200</v>
      </c>
      <c r="P252" s="15" t="n">
        <f aca="false">IF((G252-H252)&gt;0,J252/(G252-H252),0)</f>
        <v>0.970373891001268</v>
      </c>
      <c r="Q252" s="15" t="n">
        <f aca="false">IF(J252*O252&gt;0,N252/(O252*J252),0)</f>
        <v>0.828698901098901</v>
      </c>
      <c r="R252" s="15" t="n">
        <f aca="false">IF(N252&gt;0,L252/N252,0)</f>
        <v>0.969925051318365</v>
      </c>
      <c r="S252" s="15" t="n">
        <f aca="false">P252*Q252*R252</f>
        <v>0.779963073998245</v>
      </c>
      <c r="T252" s="15" t="n">
        <f aca="false">IF(K252&gt;0,L252/K252,0)</f>
        <v>0.967668117398118</v>
      </c>
      <c r="U252" s="10" t="n">
        <v>1576.5</v>
      </c>
      <c r="V252" s="5" t="n">
        <v>13</v>
      </c>
      <c r="W252" s="10" t="n">
        <v>106.2</v>
      </c>
      <c r="X252" s="15" t="n">
        <f aca="false">IF(U252&gt;0,W252/U252,0)</f>
        <v>0.0673644148430067</v>
      </c>
      <c r="Y252" s="12" t="n">
        <f aca="false">IF(U252&gt;0,L252/U252,0)</f>
        <v>270.644465588329</v>
      </c>
      <c r="Z252" s="16" t="n">
        <f aca="false">L252*INDEX(Parametros!$E$2:$E$9,MATCH($E252,Parametros!$A$2:$A$9,0))</f>
        <v>234669.05</v>
      </c>
      <c r="AA252" s="16" t="n">
        <f aca="false">Z252*INDEX(Parametros!$F$2:$F$9,MATCH($E252,Parametros!$A$2:$A$9,0))</f>
        <v>7040.0715</v>
      </c>
      <c r="AB252" s="17" t="n">
        <f aca="false">Z252+AA252</f>
        <v>241709.1215</v>
      </c>
      <c r="AC252" s="18" t="n">
        <v>243166.83</v>
      </c>
      <c r="AD252" s="17" t="n">
        <f aca="false">AC252-AB252</f>
        <v>1457.70849999998</v>
      </c>
      <c r="AE252" s="17" t="n">
        <f aca="false">AA252+AD252</f>
        <v>8497.77999999998</v>
      </c>
      <c r="AF252" s="19" t="n">
        <f aca="false">IF(Z252&gt;0,AE252/Z252,0)</f>
        <v>0.0362117629061011</v>
      </c>
      <c r="AG252" s="16" t="n">
        <f aca="false">(U252-W252)*INDEX(Parametros!$H$2:$H$9,MATCH($E252,Parametros!$A$2:$A$9,0))+W252*INDEX(Parametros!$H$2:$H$9,MATCH($E252,Parametros!$A$2:$A$9,0))*Parametros!$N$3</f>
        <v>51332.4</v>
      </c>
      <c r="AH252" s="13" t="n">
        <v>22342</v>
      </c>
      <c r="AI252" s="16" t="n">
        <f aca="false">AH252*Parametros!$N$2</f>
        <v>2055.464</v>
      </c>
      <c r="AJ252" s="18" t="n">
        <v>9692</v>
      </c>
      <c r="AK252" s="18" t="n">
        <v>2525</v>
      </c>
      <c r="AL252" s="17" t="n">
        <f aca="false">AG252+AI252+AJ252+AK252</f>
        <v>65604.864</v>
      </c>
      <c r="AM252" s="20" t="n">
        <f aca="false">IF(L252&gt;0,AL252/L252,0)</f>
        <v>0.153759838376641</v>
      </c>
      <c r="AN252" s="16" t="n">
        <f aca="false">L252*INDEX(Parametros!$G$2:$G$9,MATCH($E252,Parametros!$A$2:$A$9,0))</f>
        <v>435204.42</v>
      </c>
      <c r="AO252" s="17" t="n">
        <f aca="false">AN252-AC252-AL252</f>
        <v>126432.726</v>
      </c>
      <c r="AP252" s="15" t="n">
        <f aca="false">IF(AN252&gt;0,AO252/AN252,0)</f>
        <v>0.290513423553924</v>
      </c>
      <c r="AQ252" s="16" t="n">
        <f aca="false">INDEX(Parametros!$I$2:$I$9,MATCH($E252,Parametros!$A$2:$A$9,0))</f>
        <v>19300000</v>
      </c>
      <c r="AR252" s="19" t="n">
        <f aca="false">IF(AQ252&gt;0,AO252/AQ252,0)</f>
        <v>0.00655091844559586</v>
      </c>
    </row>
    <row r="253" customFormat="false" ht="15" hidden="false" customHeight="false" outlineLevel="0" collapsed="false">
      <c r="A253" s="5" t="s">
        <v>388</v>
      </c>
      <c r="B253" s="9" t="n">
        <v>45768</v>
      </c>
      <c r="C253" s="2" t="str">
        <f aca="false">TEXT(B253,"yyyy")</f>
        <v>2025</v>
      </c>
      <c r="D253" s="2" t="n">
        <f aca="false">WEEKNUM(B253,2)</f>
        <v>17</v>
      </c>
      <c r="E253" s="5" t="s">
        <v>136</v>
      </c>
      <c r="F253" s="6" t="str">
        <f aca="false">INDEX(Parametros!$B$2:$B$9,MATCH($E253,Parametros!$A$2:$A$9,0))</f>
        <v>Salsa BBQ</v>
      </c>
      <c r="G253" s="10" t="n">
        <v>109.2</v>
      </c>
      <c r="H253" s="10" t="n">
        <v>7.6</v>
      </c>
      <c r="I253" s="11" t="n">
        <f aca="false">SUMIFS(Eventos_Paro!$J$2:$J$2186,Eventos_Paro!$D$2:$D$2186,$E253,Eventos_Paro!$B$2:$B$2186,$B253)</f>
        <v>3.4</v>
      </c>
      <c r="J253" s="12" t="n">
        <f aca="false">G253-H253-I253</f>
        <v>98.2</v>
      </c>
      <c r="K253" s="13" t="n">
        <v>403362</v>
      </c>
      <c r="L253" s="13" t="n">
        <v>374419</v>
      </c>
      <c r="M253" s="13" t="n">
        <v>7787</v>
      </c>
      <c r="N253" s="14" t="n">
        <f aca="false">L253+M253</f>
        <v>382206</v>
      </c>
      <c r="O253" s="11" t="n">
        <f aca="false">INDEX(Parametros!$D$2:$D$9,MATCH($E253,Parametros!$A$2:$A$9,0))</f>
        <v>4800</v>
      </c>
      <c r="P253" s="15" t="n">
        <f aca="false">IF((G253-H253)&gt;0,J253/(G253-H253),0)</f>
        <v>0.966535433070866</v>
      </c>
      <c r="Q253" s="15" t="n">
        <f aca="false">IF(J253*O253&gt;0,N253/(O253*J253),0)</f>
        <v>0.810857942973523</v>
      </c>
      <c r="R253" s="15" t="n">
        <f aca="false">IF(N253&gt;0,L253/N253,0)</f>
        <v>0.979626170180479</v>
      </c>
      <c r="S253" s="15" t="n">
        <f aca="false">P253*Q253*R253</f>
        <v>0.767755495406824</v>
      </c>
      <c r="T253" s="15" t="n">
        <f aca="false">IF(K253&gt;0,L253/K253,0)</f>
        <v>0.928245595767574</v>
      </c>
      <c r="U253" s="10" t="n">
        <v>1380</v>
      </c>
      <c r="V253" s="5" t="n">
        <v>12</v>
      </c>
      <c r="W253" s="10" t="n">
        <v>69.6</v>
      </c>
      <c r="X253" s="15" t="n">
        <f aca="false">IF(U253&gt;0,W253/U253,0)</f>
        <v>0.0504347826086957</v>
      </c>
      <c r="Y253" s="12" t="n">
        <f aca="false">IF(U253&gt;0,L253/U253,0)</f>
        <v>271.318115942029</v>
      </c>
      <c r="Z253" s="16" t="n">
        <f aca="false">L253*INDEX(Parametros!$E$2:$E$9,MATCH($E253,Parametros!$A$2:$A$9,0))</f>
        <v>217163.02</v>
      </c>
      <c r="AA253" s="16" t="n">
        <f aca="false">Z253*INDEX(Parametros!$F$2:$F$9,MATCH($E253,Parametros!$A$2:$A$9,0))</f>
        <v>6080.56456</v>
      </c>
      <c r="AB253" s="17" t="n">
        <f aca="false">Z253+AA253</f>
        <v>223243.58456</v>
      </c>
      <c r="AC253" s="18" t="n">
        <v>220902.06</v>
      </c>
      <c r="AD253" s="17" t="n">
        <f aca="false">AC253-AB253</f>
        <v>-2341.52455999999</v>
      </c>
      <c r="AE253" s="17" t="n">
        <f aca="false">AA253+AD253</f>
        <v>3739.04000000001</v>
      </c>
      <c r="AF253" s="19" t="n">
        <f aca="false">IF(Z253&gt;0,AE253/Z253,0)</f>
        <v>0.0172176644071353</v>
      </c>
      <c r="AG253" s="16" t="n">
        <f aca="false">(U253-W253)*INDEX(Parametros!$H$2:$H$9,MATCH($E253,Parametros!$A$2:$A$9,0))+W253*INDEX(Parametros!$H$2:$H$9,MATCH($E253,Parametros!$A$2:$A$9,0))*Parametros!$N$3</f>
        <v>44566.2</v>
      </c>
      <c r="AH253" s="13" t="n">
        <v>19093</v>
      </c>
      <c r="AI253" s="16" t="n">
        <f aca="false">AH253*Parametros!$N$2</f>
        <v>1756.556</v>
      </c>
      <c r="AJ253" s="18" t="n">
        <v>10043</v>
      </c>
      <c r="AK253" s="18" t="n">
        <v>2499</v>
      </c>
      <c r="AL253" s="17" t="n">
        <f aca="false">AG253+AI253+AJ253+AK253</f>
        <v>58864.756</v>
      </c>
      <c r="AM253" s="20" t="n">
        <f aca="false">IF(L253&gt;0,AL253/L253,0)</f>
        <v>0.157216263063573</v>
      </c>
      <c r="AN253" s="16" t="n">
        <f aca="false">L253*INDEX(Parametros!$G$2:$G$9,MATCH($E253,Parametros!$A$2:$A$9,0))</f>
        <v>366930.62</v>
      </c>
      <c r="AO253" s="17" t="n">
        <f aca="false">AN253-AC253-AL253</f>
        <v>87163.804</v>
      </c>
      <c r="AP253" s="15" t="n">
        <f aca="false">IF(AN253&gt;0,AO253/AN253,0)</f>
        <v>0.237548460796213</v>
      </c>
      <c r="AQ253" s="16" t="n">
        <f aca="false">INDEX(Parametros!$I$2:$I$9,MATCH($E253,Parametros!$A$2:$A$9,0))</f>
        <v>17000000</v>
      </c>
      <c r="AR253" s="19" t="n">
        <f aca="false">IF(AQ253&gt;0,AO253/AQ253,0)</f>
        <v>0.00512728258823529</v>
      </c>
    </row>
    <row r="254" customFormat="false" ht="15" hidden="false" customHeight="false" outlineLevel="0" collapsed="false">
      <c r="A254" s="5" t="s">
        <v>389</v>
      </c>
      <c r="B254" s="9" t="n">
        <v>45768</v>
      </c>
      <c r="C254" s="2" t="str">
        <f aca="false">TEXT(B254,"yyyy")</f>
        <v>2025</v>
      </c>
      <c r="D254" s="2" t="n">
        <f aca="false">WEEKNUM(B254,2)</f>
        <v>17</v>
      </c>
      <c r="E254" s="5" t="s">
        <v>138</v>
      </c>
      <c r="F254" s="6" t="str">
        <f aca="false">INDEX(Parametros!$B$2:$B$9,MATCH($E254,Parametros!$A$2:$A$9,0))</f>
        <v>Queso crema</v>
      </c>
      <c r="G254" s="10" t="n">
        <v>113.4</v>
      </c>
      <c r="H254" s="10" t="n">
        <v>7</v>
      </c>
      <c r="I254" s="11" t="n">
        <f aca="false">SUMIFS(Eventos_Paro!$J$2:$J$2186,Eventos_Paro!$D$2:$D$2186,$E254,Eventos_Paro!$B$2:$B$2186,$B254)</f>
        <v>7.48333333333333</v>
      </c>
      <c r="J254" s="12" t="n">
        <f aca="false">G254-H254-I254</f>
        <v>98.9166666666667</v>
      </c>
      <c r="K254" s="13" t="n">
        <v>325891</v>
      </c>
      <c r="L254" s="13" t="n">
        <v>301063</v>
      </c>
      <c r="M254" s="13" t="n">
        <v>9788</v>
      </c>
      <c r="N254" s="14" t="n">
        <f aca="false">L254+M254</f>
        <v>310851</v>
      </c>
      <c r="O254" s="11" t="n">
        <f aca="false">INDEX(Parametros!$D$2:$D$9,MATCH($E254,Parametros!$A$2:$A$9,0))</f>
        <v>3800</v>
      </c>
      <c r="P254" s="15" t="n">
        <f aca="false">IF((G254-H254)&gt;0,J254/(G254-H254),0)</f>
        <v>0.929667919799499</v>
      </c>
      <c r="Q254" s="15" t="n">
        <f aca="false">IF(J254*O254&gt;0,N254/(O254*J254),0)</f>
        <v>0.82698798386024</v>
      </c>
      <c r="R254" s="15" t="n">
        <f aca="false">IF(N254&gt;0,L254/N254,0)</f>
        <v>0.968512245416614</v>
      </c>
      <c r="S254" s="15" t="n">
        <f aca="false">P254*Q254*R254</f>
        <v>0.744615650969529</v>
      </c>
      <c r="T254" s="15" t="n">
        <f aca="false">IF(K254&gt;0,L254/K254,0)</f>
        <v>0.92381501790476</v>
      </c>
      <c r="U254" s="10" t="n">
        <v>1724.4</v>
      </c>
      <c r="V254" s="5" t="n">
        <v>14</v>
      </c>
      <c r="W254" s="10" t="n">
        <v>136.8</v>
      </c>
      <c r="X254" s="15" t="n">
        <f aca="false">IF(U254&gt;0,W254/U254,0)</f>
        <v>0.0793319415448852</v>
      </c>
      <c r="Y254" s="12" t="n">
        <f aca="false">IF(U254&gt;0,L254/U254,0)</f>
        <v>174.590002319647</v>
      </c>
      <c r="Z254" s="16" t="n">
        <f aca="false">L254*INDEX(Parametros!$E$2:$E$9,MATCH($E254,Parametros!$A$2:$A$9,0))</f>
        <v>337190.56</v>
      </c>
      <c r="AA254" s="16" t="n">
        <f aca="false">Z254*INDEX(Parametros!$F$2:$F$9,MATCH($E254,Parametros!$A$2:$A$9,0))</f>
        <v>11801.6696</v>
      </c>
      <c r="AB254" s="17" t="n">
        <f aca="false">Z254+AA254</f>
        <v>348992.2296</v>
      </c>
      <c r="AC254" s="18" t="n">
        <v>350736.51</v>
      </c>
      <c r="AD254" s="17" t="n">
        <f aca="false">AC254-AB254</f>
        <v>1744.28039999993</v>
      </c>
      <c r="AE254" s="17" t="n">
        <f aca="false">AA254+AD254</f>
        <v>13545.9499999999</v>
      </c>
      <c r="AF254" s="19" t="n">
        <f aca="false">IF(Z254&gt;0,AE254/Z254,0)</f>
        <v>0.0401729811178579</v>
      </c>
      <c r="AG254" s="16" t="n">
        <f aca="false">(U254-W254)*INDEX(Parametros!$H$2:$H$9,MATCH($E254,Parametros!$A$2:$A$9,0))+W254*INDEX(Parametros!$H$2:$H$9,MATCH($E254,Parametros!$A$2:$A$9,0))*Parametros!$N$3</f>
        <v>59162.4</v>
      </c>
      <c r="AH254" s="13" t="n">
        <v>15635</v>
      </c>
      <c r="AI254" s="16" t="n">
        <f aca="false">AH254*Parametros!$N$2</f>
        <v>1438.42</v>
      </c>
      <c r="AJ254" s="18" t="n">
        <v>19535</v>
      </c>
      <c r="AK254" s="18" t="n">
        <v>7078</v>
      </c>
      <c r="AL254" s="17" t="n">
        <f aca="false">AG254+AI254+AJ254+AK254</f>
        <v>87213.82</v>
      </c>
      <c r="AM254" s="20" t="n">
        <f aca="false">IF(L254&gt;0,AL254/L254,0)</f>
        <v>0.289686278287269</v>
      </c>
      <c r="AN254" s="16" t="n">
        <f aca="false">L254*INDEX(Parametros!$G$2:$G$9,MATCH($E254,Parametros!$A$2:$A$9,0))</f>
        <v>538902.77</v>
      </c>
      <c r="AO254" s="17" t="n">
        <f aca="false">AN254-AC254-AL254</f>
        <v>100952.44</v>
      </c>
      <c r="AP254" s="15" t="n">
        <f aca="false">IF(AN254&gt;0,AO254/AN254,0)</f>
        <v>0.187329599363536</v>
      </c>
      <c r="AQ254" s="16" t="n">
        <f aca="false">INDEX(Parametros!$I$2:$I$9,MATCH($E254,Parametros!$A$2:$A$9,0))</f>
        <v>33200000</v>
      </c>
      <c r="AR254" s="19" t="n">
        <f aca="false">IF(AQ254&gt;0,AO254/AQ254,0)</f>
        <v>0.00304073614457831</v>
      </c>
    </row>
    <row r="255" customFormat="false" ht="15" hidden="false" customHeight="false" outlineLevel="0" collapsed="false">
      <c r="A255" s="5" t="s">
        <v>390</v>
      </c>
      <c r="B255" s="9" t="n">
        <v>45768</v>
      </c>
      <c r="C255" s="2" t="str">
        <f aca="false">TEXT(B255,"yyyy")</f>
        <v>2025</v>
      </c>
      <c r="D255" s="2" t="n">
        <f aca="false">WEEKNUM(B255,2)</f>
        <v>17</v>
      </c>
      <c r="E255" s="5" t="s">
        <v>140</v>
      </c>
      <c r="F255" s="6" t="str">
        <f aca="false">INDEX(Parametros!$B$2:$B$9,MATCH($E255,Parametros!$A$2:$A$9,0))</f>
        <v>Crema de cacahuate</v>
      </c>
      <c r="G255" s="10" t="n">
        <v>116</v>
      </c>
      <c r="H255" s="10" t="n">
        <v>8.8</v>
      </c>
      <c r="I255" s="11" t="n">
        <f aca="false">SUMIFS(Eventos_Paro!$J$2:$J$2186,Eventos_Paro!$D$2:$D$2186,$E255,Eventos_Paro!$B$2:$B$2186,$B255)</f>
        <v>0.583333333333333</v>
      </c>
      <c r="J255" s="12" t="n">
        <f aca="false">G255-H255-I255</f>
        <v>106.616666666667</v>
      </c>
      <c r="K255" s="13" t="n">
        <v>362904</v>
      </c>
      <c r="L255" s="13" t="n">
        <v>373684</v>
      </c>
      <c r="M255" s="13" t="n">
        <v>10434</v>
      </c>
      <c r="N255" s="14" t="n">
        <f aca="false">L255+M255</f>
        <v>384118</v>
      </c>
      <c r="O255" s="11" t="n">
        <f aca="false">INDEX(Parametros!$D$2:$D$9,MATCH($E255,Parametros!$A$2:$A$9,0))</f>
        <v>4200</v>
      </c>
      <c r="P255" s="15" t="n">
        <f aca="false">IF((G255-H255)&gt;0,J255/(G255-H255),0)</f>
        <v>0.994558457711443</v>
      </c>
      <c r="Q255" s="15" t="n">
        <f aca="false">IF(J255*O255&gt;0,N255/(O255*J255),0)</f>
        <v>0.857808347662967</v>
      </c>
      <c r="R255" s="15" t="n">
        <f aca="false">IF(N255&gt;0,L255/N255,0)</f>
        <v>0.972836472125753</v>
      </c>
      <c r="S255" s="15" t="n">
        <f aca="false">P255*Q255*R255</f>
        <v>0.829966240227434</v>
      </c>
      <c r="T255" s="15" t="n">
        <f aca="false">IF(K255&gt;0,L255/K255,0)</f>
        <v>1.02970482551859</v>
      </c>
      <c r="U255" s="10" t="n">
        <v>1534.2</v>
      </c>
      <c r="V255" s="5" t="n">
        <v>12</v>
      </c>
      <c r="W255" s="10" t="n">
        <v>142.2</v>
      </c>
      <c r="X255" s="15" t="n">
        <f aca="false">IF(U255&gt;0,W255/U255,0)</f>
        <v>0.0926867422761048</v>
      </c>
      <c r="Y255" s="12" t="n">
        <f aca="false">IF(U255&gt;0,L255/U255,0)</f>
        <v>243.569286924782</v>
      </c>
      <c r="Z255" s="16" t="n">
        <f aca="false">L255*INDEX(Parametros!$E$2:$E$9,MATCH($E255,Parametros!$A$2:$A$9,0))</f>
        <v>362473.48</v>
      </c>
      <c r="AA255" s="16" t="n">
        <f aca="false">Z255*INDEX(Parametros!$F$2:$F$9,MATCH($E255,Parametros!$A$2:$A$9,0))</f>
        <v>7974.41656</v>
      </c>
      <c r="AB255" s="17" t="n">
        <f aca="false">Z255+AA255</f>
        <v>370447.89656</v>
      </c>
      <c r="AC255" s="18" t="n">
        <v>372913.09</v>
      </c>
      <c r="AD255" s="17" t="n">
        <f aca="false">AC255-AB255</f>
        <v>2465.19344000006</v>
      </c>
      <c r="AE255" s="17" t="n">
        <f aca="false">AA255+AD255</f>
        <v>10439.6100000001</v>
      </c>
      <c r="AF255" s="19" t="n">
        <f aca="false">IF(Z255&gt;0,AE255/Z255,0)</f>
        <v>0.0288010311816469</v>
      </c>
      <c r="AG255" s="16" t="n">
        <f aca="false">(U255-W255)*INDEX(Parametros!$H$2:$H$9,MATCH($E255,Parametros!$A$2:$A$9,0))+W255*INDEX(Parametros!$H$2:$H$9,MATCH($E255,Parametros!$A$2:$A$9,0))*Parametros!$N$3</f>
        <v>50566.95</v>
      </c>
      <c r="AH255" s="13" t="n">
        <v>19015</v>
      </c>
      <c r="AI255" s="16" t="n">
        <f aca="false">AH255*Parametros!$N$2</f>
        <v>1749.38</v>
      </c>
      <c r="AJ255" s="18" t="n">
        <v>11577</v>
      </c>
      <c r="AK255" s="18" t="n">
        <v>342</v>
      </c>
      <c r="AL255" s="17" t="n">
        <f aca="false">AG255+AI255+AJ255+AK255</f>
        <v>64235.33</v>
      </c>
      <c r="AM255" s="20" t="n">
        <f aca="false">IF(L255&gt;0,AL255/L255,0)</f>
        <v>0.17189745881547</v>
      </c>
      <c r="AN255" s="16" t="n">
        <f aca="false">L255*INDEX(Parametros!$G$2:$G$9,MATCH($E255,Parametros!$A$2:$A$9,0))</f>
        <v>605368.08</v>
      </c>
      <c r="AO255" s="17" t="n">
        <f aca="false">AN255-AC255-AL255</f>
        <v>168219.66</v>
      </c>
      <c r="AP255" s="15" t="n">
        <f aca="false">IF(AN255&gt;0,AO255/AN255,0)</f>
        <v>0.277879963542181</v>
      </c>
      <c r="AQ255" s="16" t="n">
        <f aca="false">INDEX(Parametros!$I$2:$I$9,MATCH($E255,Parametros!$A$2:$A$9,0))</f>
        <v>28000000</v>
      </c>
      <c r="AR255" s="19" t="n">
        <f aca="false">IF(AQ255&gt;0,AO255/AQ255,0)</f>
        <v>0.006007845</v>
      </c>
    </row>
    <row r="256" customFormat="false" ht="15" hidden="false" customHeight="false" outlineLevel="0" collapsed="false">
      <c r="A256" s="5" t="s">
        <v>391</v>
      </c>
      <c r="B256" s="9" t="n">
        <v>45768</v>
      </c>
      <c r="C256" s="2" t="str">
        <f aca="false">TEXT(B256,"yyyy")</f>
        <v>2025</v>
      </c>
      <c r="D256" s="2" t="n">
        <f aca="false">WEEKNUM(B256,2)</f>
        <v>17</v>
      </c>
      <c r="E256" s="5" t="s">
        <v>142</v>
      </c>
      <c r="F256" s="6" t="str">
        <f aca="false">INDEX(Parametros!$B$2:$B$9,MATCH($E256,Parametros!$A$2:$A$9,0))</f>
        <v>Porciones single serve</v>
      </c>
      <c r="G256" s="10" t="n">
        <v>112.4</v>
      </c>
      <c r="H256" s="10" t="n">
        <v>5.9</v>
      </c>
      <c r="I256" s="11" t="n">
        <f aca="false">SUMIFS(Eventos_Paro!$J$2:$J$2186,Eventos_Paro!$D$2:$D$2186,$E256,Eventos_Paro!$B$2:$B$2186,$B256)</f>
        <v>6.71666666666667</v>
      </c>
      <c r="J256" s="12" t="n">
        <f aca="false">G256-H256-I256</f>
        <v>99.7833333333333</v>
      </c>
      <c r="K256" s="13" t="n">
        <v>223188</v>
      </c>
      <c r="L256" s="13" t="n">
        <v>211341</v>
      </c>
      <c r="M256" s="13" t="n">
        <v>10956</v>
      </c>
      <c r="N256" s="14" t="n">
        <f aca="false">L256+M256</f>
        <v>222297</v>
      </c>
      <c r="O256" s="11" t="n">
        <f aca="false">INDEX(Parametros!$D$2:$D$9,MATCH($E256,Parametros!$A$2:$A$9,0))</f>
        <v>2600</v>
      </c>
      <c r="P256" s="15" t="n">
        <f aca="false">IF((G256-H256)&gt;0,J256/(G256-H256),0)</f>
        <v>0.936932707355243</v>
      </c>
      <c r="Q256" s="15" t="n">
        <f aca="false">IF(J256*O256&gt;0,N256/(O256*J256),0)</f>
        <v>0.856844958949519</v>
      </c>
      <c r="R256" s="15" t="n">
        <f aca="false">IF(N256&gt;0,L256/N256,0)</f>
        <v>0.950714584542302</v>
      </c>
      <c r="S256" s="15" t="n">
        <f aca="false">P256*Q256*R256</f>
        <v>0.763239436619718</v>
      </c>
      <c r="T256" s="15" t="n">
        <f aca="false">IF(K256&gt;0,L256/K256,0)</f>
        <v>0.946919189203721</v>
      </c>
      <c r="U256" s="10" t="n">
        <v>1840.6</v>
      </c>
      <c r="V256" s="5" t="n">
        <v>15</v>
      </c>
      <c r="W256" s="10" t="n">
        <v>154.6</v>
      </c>
      <c r="X256" s="15" t="n">
        <f aca="false">IF(U256&gt;0,W256/U256,0)</f>
        <v>0.0839943496685863</v>
      </c>
      <c r="Y256" s="12" t="n">
        <f aca="false">IF(U256&gt;0,L256/U256,0)</f>
        <v>114.82179724003</v>
      </c>
      <c r="Z256" s="16" t="n">
        <f aca="false">L256*INDEX(Parametros!$E$2:$E$9,MATCH($E256,Parametros!$A$2:$A$9,0))</f>
        <v>156392.34</v>
      </c>
      <c r="AA256" s="16" t="n">
        <f aca="false">Z256*INDEX(Parametros!$F$2:$F$9,MATCH($E256,Parametros!$A$2:$A$9,0))</f>
        <v>7037.6553</v>
      </c>
      <c r="AB256" s="17" t="n">
        <f aca="false">Z256+AA256</f>
        <v>163429.9953</v>
      </c>
      <c r="AC256" s="18" t="n">
        <v>163568.88</v>
      </c>
      <c r="AD256" s="17" t="n">
        <f aca="false">AC256-AB256</f>
        <v>138.884699999995</v>
      </c>
      <c r="AE256" s="17" t="n">
        <f aca="false">AA256+AD256</f>
        <v>7176.53999999999</v>
      </c>
      <c r="AF256" s="19" t="n">
        <f aca="false">IF(Z256&gt;0,AE256/Z256,0)</f>
        <v>0.0458880530849529</v>
      </c>
      <c r="AG256" s="16" t="n">
        <f aca="false">(U256-W256)*INDEX(Parametros!$H$2:$H$9,MATCH($E256,Parametros!$A$2:$A$9,0))+W256*INDEX(Parametros!$H$2:$H$9,MATCH($E256,Parametros!$A$2:$A$9,0))*Parametros!$N$3</f>
        <v>57537</v>
      </c>
      <c r="AH256" s="13" t="n">
        <v>10761</v>
      </c>
      <c r="AI256" s="16" t="n">
        <f aca="false">AH256*Parametros!$N$2</f>
        <v>990.012</v>
      </c>
      <c r="AJ256" s="18" t="n">
        <v>11994</v>
      </c>
      <c r="AK256" s="18" t="n">
        <v>5989</v>
      </c>
      <c r="AL256" s="17" t="n">
        <f aca="false">AG256+AI256+AJ256+AK256</f>
        <v>76510.012</v>
      </c>
      <c r="AM256" s="20" t="n">
        <f aca="false">IF(L256&gt;0,AL256/L256,0)</f>
        <v>0.362021623821218</v>
      </c>
      <c r="AN256" s="16" t="n">
        <f aca="false">L256*INDEX(Parametros!$G$2:$G$9,MATCH($E256,Parametros!$A$2:$A$9,0))</f>
        <v>363506.52</v>
      </c>
      <c r="AO256" s="17" t="n">
        <f aca="false">AN256-AC256-AL256</f>
        <v>123427.628</v>
      </c>
      <c r="AP256" s="15" t="n">
        <f aca="false">IF(AN256&gt;0,AO256/AN256,0)</f>
        <v>0.339547219125533</v>
      </c>
      <c r="AQ256" s="16" t="n">
        <f aca="false">INDEX(Parametros!$I$2:$I$9,MATCH($E256,Parametros!$A$2:$A$9,0))</f>
        <v>15900000</v>
      </c>
      <c r="AR256" s="19" t="n">
        <f aca="false">IF(AQ256&gt;0,AO256/AQ256,0)</f>
        <v>0.00776274389937107</v>
      </c>
    </row>
    <row r="257" customFormat="false" ht="15" hidden="false" customHeight="false" outlineLevel="0" collapsed="false">
      <c r="A257" s="5" t="s">
        <v>392</v>
      </c>
      <c r="B257" s="9" t="n">
        <v>45768</v>
      </c>
      <c r="C257" s="2" t="str">
        <f aca="false">TEXT(B257,"yyyy")</f>
        <v>2025</v>
      </c>
      <c r="D257" s="2" t="n">
        <f aca="false">WEEKNUM(B257,2)</f>
        <v>17</v>
      </c>
      <c r="E257" s="5" t="s">
        <v>144</v>
      </c>
      <c r="F257" s="6" t="str">
        <f aca="false">INDEX(Parametros!$B$2:$B$9,MATCH($E257,Parametros!$A$2:$A$9,0))</f>
        <v>Salsas picantes</v>
      </c>
      <c r="G257" s="10" t="n">
        <v>113.4</v>
      </c>
      <c r="H257" s="10" t="n">
        <v>5.5</v>
      </c>
      <c r="I257" s="11" t="n">
        <f aca="false">SUMIFS(Eventos_Paro!$J$2:$J$2186,Eventos_Paro!$D$2:$D$2186,$E257,Eventos_Paro!$B$2:$B$2186,$B257)</f>
        <v>3.28333333333333</v>
      </c>
      <c r="J257" s="12" t="n">
        <f aca="false">G257-H257-I257</f>
        <v>104.616666666667</v>
      </c>
      <c r="K257" s="13" t="n">
        <v>263894</v>
      </c>
      <c r="L257" s="13" t="n">
        <v>267665</v>
      </c>
      <c r="M257" s="13" t="n">
        <v>9013</v>
      </c>
      <c r="N257" s="14" t="n">
        <f aca="false">L257+M257</f>
        <v>276678</v>
      </c>
      <c r="O257" s="11" t="n">
        <f aca="false">INDEX(Parametros!$D$2:$D$9,MATCH($E257,Parametros!$A$2:$A$9,0))</f>
        <v>3100</v>
      </c>
      <c r="P257" s="15" t="n">
        <f aca="false">IF((G257-H257)&gt;0,J257/(G257-H257),0)</f>
        <v>0.969570590052518</v>
      </c>
      <c r="Q257" s="15" t="n">
        <f aca="false">IF(J257*O257&gt;0,N257/(O257*J257),0)</f>
        <v>0.853123795525909</v>
      </c>
      <c r="R257" s="15" t="n">
        <f aca="false">IF(N257&gt;0,L257/N257,0)</f>
        <v>0.967424225995562</v>
      </c>
      <c r="S257" s="15" t="n">
        <f aca="false">P257*Q257*R257</f>
        <v>0.800218242697839</v>
      </c>
      <c r="T257" s="15" t="n">
        <f aca="false">IF(K257&gt;0,L257/K257,0)</f>
        <v>1.01428982849174</v>
      </c>
      <c r="U257" s="10" t="n">
        <v>1001.6</v>
      </c>
      <c r="V257" s="5" t="n">
        <v>8</v>
      </c>
      <c r="W257" s="10" t="n">
        <v>94.4</v>
      </c>
      <c r="X257" s="15" t="n">
        <f aca="false">IF(U257&gt;0,W257/U257,0)</f>
        <v>0.0942492012779553</v>
      </c>
      <c r="Y257" s="12" t="n">
        <f aca="false">IF(U257&gt;0,L257/U257,0)</f>
        <v>267.237420127796</v>
      </c>
      <c r="Z257" s="16" t="n">
        <f aca="false">L257*INDEX(Parametros!$E$2:$E$9,MATCH($E257,Parametros!$A$2:$A$9,0))</f>
        <v>176658.9</v>
      </c>
      <c r="AA257" s="16" t="n">
        <f aca="false">Z257*INDEX(Parametros!$F$2:$F$9,MATCH($E257,Parametros!$A$2:$A$9,0))</f>
        <v>4593.1314</v>
      </c>
      <c r="AB257" s="17" t="n">
        <f aca="false">Z257+AA257</f>
        <v>181252.0314</v>
      </c>
      <c r="AC257" s="18" t="n">
        <v>182755.59</v>
      </c>
      <c r="AD257" s="17" t="n">
        <f aca="false">AC257-AB257</f>
        <v>1503.55859999999</v>
      </c>
      <c r="AE257" s="17" t="n">
        <f aca="false">AA257+AD257</f>
        <v>6096.68999999999</v>
      </c>
      <c r="AF257" s="19" t="n">
        <f aca="false">IF(Z257&gt;0,AE257/Z257,0)</f>
        <v>0.0345110832230926</v>
      </c>
      <c r="AG257" s="16" t="n">
        <f aca="false">(U257-W257)*INDEX(Parametros!$H$2:$H$9,MATCH($E257,Parametros!$A$2:$A$9,0))+W257*INDEX(Parametros!$H$2:$H$9,MATCH($E257,Parametros!$A$2:$A$9,0))*Parametros!$N$3</f>
        <v>33037.2</v>
      </c>
      <c r="AH257" s="13" t="n">
        <v>13823</v>
      </c>
      <c r="AI257" s="16" t="n">
        <f aca="false">AH257*Parametros!$N$2</f>
        <v>1271.716</v>
      </c>
      <c r="AJ257" s="18" t="n">
        <v>6318</v>
      </c>
      <c r="AK257" s="18" t="n">
        <v>1926</v>
      </c>
      <c r="AL257" s="17" t="n">
        <f aca="false">AG257+AI257+AJ257+AK257</f>
        <v>42552.916</v>
      </c>
      <c r="AM257" s="20" t="n">
        <f aca="false">IF(L257&gt;0,AL257/L257,0)</f>
        <v>0.158978260138606</v>
      </c>
      <c r="AN257" s="16" t="n">
        <f aca="false">L257*INDEX(Parametros!$G$2:$G$9,MATCH($E257,Parametros!$A$2:$A$9,0))</f>
        <v>334581.25</v>
      </c>
      <c r="AO257" s="17" t="n">
        <f aca="false">AN257-AC257-AL257</f>
        <v>109272.744</v>
      </c>
      <c r="AP257" s="15" t="n">
        <f aca="false">IF(AN257&gt;0,AO257/AN257,0)</f>
        <v>0.326595539947322</v>
      </c>
      <c r="AQ257" s="16" t="n">
        <f aca="false">INDEX(Parametros!$I$2:$I$9,MATCH($E257,Parametros!$A$2:$A$9,0))</f>
        <v>13300000</v>
      </c>
      <c r="AR257" s="19" t="n">
        <f aca="false">IF(AQ257&gt;0,AO257/AQ257,0)</f>
        <v>0.00821599578947369</v>
      </c>
    </row>
    <row r="258" customFormat="false" ht="15" hidden="false" customHeight="false" outlineLevel="0" collapsed="false">
      <c r="A258" s="5" t="s">
        <v>393</v>
      </c>
      <c r="B258" s="9" t="n">
        <v>45775</v>
      </c>
      <c r="C258" s="2" t="str">
        <f aca="false">TEXT(B258,"yyyy")</f>
        <v>2025</v>
      </c>
      <c r="D258" s="2" t="n">
        <f aca="false">WEEKNUM(B258,2)</f>
        <v>18</v>
      </c>
      <c r="E258" s="5" t="s">
        <v>130</v>
      </c>
      <c r="F258" s="6" t="str">
        <f aca="false">INDEX(Parametros!$B$2:$B$9,MATCH($E258,Parametros!$A$2:$A$9,0))</f>
        <v>Ketchup botella</v>
      </c>
      <c r="G258" s="10" t="n">
        <v>122.5</v>
      </c>
      <c r="H258" s="10" t="n">
        <v>8.7</v>
      </c>
      <c r="I258" s="11" t="n">
        <f aca="false">SUMIFS(Eventos_Paro!$J$2:$J$2186,Eventos_Paro!$D$2:$D$2186,$E258,Eventos_Paro!$B$2:$B$2186,$B258)</f>
        <v>3.43333333333333</v>
      </c>
      <c r="J258" s="12" t="n">
        <f aca="false">G258-H258-I258</f>
        <v>110.366666666667</v>
      </c>
      <c r="K258" s="13" t="n">
        <v>829354</v>
      </c>
      <c r="L258" s="13" t="n">
        <v>879302</v>
      </c>
      <c r="M258" s="13" t="n">
        <v>23646</v>
      </c>
      <c r="N258" s="14" t="n">
        <f aca="false">L258+M258</f>
        <v>902948</v>
      </c>
      <c r="O258" s="11" t="n">
        <f aca="false">INDEX(Parametros!$D$2:$D$9,MATCH($E258,Parametros!$A$2:$A$9,0))</f>
        <v>9000</v>
      </c>
      <c r="P258" s="15" t="n">
        <f aca="false">IF((G258-H258)&gt;0,J258/(G258-H258),0)</f>
        <v>0.969830111306385</v>
      </c>
      <c r="Q258" s="15" t="n">
        <f aca="false">IF(J258*O258&gt;0,N258/(O258*J258),0)</f>
        <v>0.909038558340884</v>
      </c>
      <c r="R258" s="15" t="n">
        <f aca="false">IF(N258&gt;0,L258/N258,0)</f>
        <v>0.973812445456438</v>
      </c>
      <c r="S258" s="15" t="n">
        <f aca="false">P258*Q258*R258</f>
        <v>0.858525678578403</v>
      </c>
      <c r="T258" s="15" t="n">
        <f aca="false">IF(K258&gt;0,L258/K258,0)</f>
        <v>1.06022518731446</v>
      </c>
      <c r="U258" s="10" t="n">
        <v>1936.9</v>
      </c>
      <c r="V258" s="5" t="n">
        <v>15</v>
      </c>
      <c r="W258" s="10" t="n">
        <v>99.4</v>
      </c>
      <c r="X258" s="15" t="n">
        <f aca="false">IF(U258&gt;0,W258/U258,0)</f>
        <v>0.0513191181785327</v>
      </c>
      <c r="Y258" s="12" t="n">
        <f aca="false">IF(U258&gt;0,L258/U258,0)</f>
        <v>453.973875780887</v>
      </c>
      <c r="Z258" s="16" t="n">
        <f aca="false">L258*INDEX(Parametros!$E$2:$E$9,MATCH($E258,Parametros!$A$2:$A$9,0))</f>
        <v>369306.84</v>
      </c>
      <c r="AA258" s="16" t="n">
        <f aca="false">Z258*INDEX(Parametros!$F$2:$F$9,MATCH($E258,Parametros!$A$2:$A$9,0))</f>
        <v>7386.1368</v>
      </c>
      <c r="AB258" s="17" t="n">
        <f aca="false">Z258+AA258</f>
        <v>376692.9768</v>
      </c>
      <c r="AC258" s="18" t="n">
        <v>366340.32</v>
      </c>
      <c r="AD258" s="17" t="n">
        <f aca="false">AC258-AB258</f>
        <v>-10352.6567999999</v>
      </c>
      <c r="AE258" s="17" t="n">
        <f aca="false">AA258+AD258</f>
        <v>-2966.51999999994</v>
      </c>
      <c r="AF258" s="19" t="n">
        <f aca="false">IF(Z258&gt;0,AE258/Z258,0)</f>
        <v>-0.00803267006914884</v>
      </c>
      <c r="AG258" s="16" t="n">
        <f aca="false">(U258-W258)*INDEX(Parametros!$H$2:$H$9,MATCH($E258,Parametros!$A$2:$A$9,0))+W258*INDEX(Parametros!$H$2:$H$9,MATCH($E258,Parametros!$A$2:$A$9,0))*Parametros!$N$3</f>
        <v>62577.9</v>
      </c>
      <c r="AH258" s="13" t="n">
        <v>43745</v>
      </c>
      <c r="AI258" s="16" t="n">
        <f aca="false">AH258*Parametros!$N$2</f>
        <v>4024.54</v>
      </c>
      <c r="AJ258" s="18" t="n">
        <v>17861</v>
      </c>
      <c r="AK258" s="18" t="n">
        <v>3575</v>
      </c>
      <c r="AL258" s="17" t="n">
        <f aca="false">AG258+AI258+AJ258+AK258</f>
        <v>88038.44</v>
      </c>
      <c r="AM258" s="20" t="n">
        <f aca="false">IF(L258&gt;0,AL258/L258,0)</f>
        <v>0.100123097638809</v>
      </c>
      <c r="AN258" s="16" t="n">
        <f aca="false">L258*INDEX(Parametros!$G$2:$G$9,MATCH($E258,Parametros!$A$2:$A$9,0))</f>
        <v>624304.42</v>
      </c>
      <c r="AO258" s="17" t="n">
        <f aca="false">AN258-AC258-AL258</f>
        <v>169925.66</v>
      </c>
      <c r="AP258" s="15" t="n">
        <f aca="false">IF(AN258&gt;0,AO258/AN258,0)</f>
        <v>0.272183977169343</v>
      </c>
      <c r="AQ258" s="16" t="n">
        <f aca="false">INDEX(Parametros!$I$2:$I$9,MATCH($E258,Parametros!$A$2:$A$9,0))</f>
        <v>29300000</v>
      </c>
      <c r="AR258" s="19" t="n">
        <f aca="false">IF(AQ258&gt;0,AO258/AQ258,0)</f>
        <v>0.00579951058020478</v>
      </c>
    </row>
    <row r="259" customFormat="false" ht="15" hidden="false" customHeight="false" outlineLevel="0" collapsed="false">
      <c r="A259" s="5" t="s">
        <v>394</v>
      </c>
      <c r="B259" s="9" t="n">
        <v>45775</v>
      </c>
      <c r="C259" s="2" t="str">
        <f aca="false">TEXT(B259,"yyyy")</f>
        <v>2025</v>
      </c>
      <c r="D259" s="2" t="n">
        <f aca="false">WEEKNUM(B259,2)</f>
        <v>18</v>
      </c>
      <c r="E259" s="5" t="s">
        <v>132</v>
      </c>
      <c r="F259" s="6" t="str">
        <f aca="false">INDEX(Parametros!$B$2:$B$9,MATCH($E259,Parametros!$A$2:$A$9,0))</f>
        <v>Mayonesa frasco</v>
      </c>
      <c r="G259" s="10" t="n">
        <v>119.9</v>
      </c>
      <c r="H259" s="10" t="n">
        <v>5.3</v>
      </c>
      <c r="I259" s="11" t="n">
        <f aca="false">SUMIFS(Eventos_Paro!$J$2:$J$2186,Eventos_Paro!$D$2:$D$2186,$E259,Eventos_Paro!$B$2:$B$2186,$B259)</f>
        <v>1.51666666666667</v>
      </c>
      <c r="J259" s="12" t="n">
        <f aca="false">G259-H259-I259</f>
        <v>113.083333333333</v>
      </c>
      <c r="K259" s="13" t="n">
        <v>603188</v>
      </c>
      <c r="L259" s="13" t="n">
        <v>631137</v>
      </c>
      <c r="M259" s="13" t="n">
        <v>18015</v>
      </c>
      <c r="N259" s="14" t="n">
        <f aca="false">L259+M259</f>
        <v>649152</v>
      </c>
      <c r="O259" s="11" t="n">
        <f aca="false">INDEX(Parametros!$D$2:$D$9,MATCH($E259,Parametros!$A$2:$A$9,0))</f>
        <v>6500</v>
      </c>
      <c r="P259" s="15" t="n">
        <f aca="false">IF((G259-H259)&gt;0,J259/(G259-H259),0)</f>
        <v>0.986765561372891</v>
      </c>
      <c r="Q259" s="15" t="n">
        <f aca="false">IF(J259*O259&gt;0,N259/(O259*J259),0)</f>
        <v>0.883149934810952</v>
      </c>
      <c r="R259" s="15" t="n">
        <f aca="false">IF(N259&gt;0,L259/N259,0)</f>
        <v>0.972248410233659</v>
      </c>
      <c r="S259" s="15" t="n">
        <f aca="false">P259*Q259*R259</f>
        <v>0.847277486910995</v>
      </c>
      <c r="T259" s="15" t="n">
        <f aca="false">IF(K259&gt;0,L259/K259,0)</f>
        <v>1.04633547086481</v>
      </c>
      <c r="U259" s="10" t="n">
        <v>1516.1</v>
      </c>
      <c r="V259" s="5" t="n">
        <v>12</v>
      </c>
      <c r="W259" s="10" t="n">
        <v>77.3</v>
      </c>
      <c r="X259" s="15" t="n">
        <f aca="false">IF(U259&gt;0,W259/U259,0)</f>
        <v>0.0509860827122222</v>
      </c>
      <c r="Y259" s="12" t="n">
        <f aca="false">IF(U259&gt;0,L259/U259,0)</f>
        <v>416.289822571071</v>
      </c>
      <c r="Z259" s="16" t="n">
        <f aca="false">L259*INDEX(Parametros!$E$2:$E$9,MATCH($E259,Parametros!$A$2:$A$9,0))</f>
        <v>384993.57</v>
      </c>
      <c r="AA259" s="16" t="n">
        <f aca="false">Z259*INDEX(Parametros!$F$2:$F$9,MATCH($E259,Parametros!$A$2:$A$9,0))</f>
        <v>9624.83925</v>
      </c>
      <c r="AB259" s="17" t="n">
        <f aca="false">Z259+AA259</f>
        <v>394618.40925</v>
      </c>
      <c r="AC259" s="18" t="n">
        <v>393784.04</v>
      </c>
      <c r="AD259" s="17" t="n">
        <f aca="false">AC259-AB259</f>
        <v>-834.369250000047</v>
      </c>
      <c r="AE259" s="17" t="n">
        <f aca="false">AA259+AD259</f>
        <v>8790.46999999995</v>
      </c>
      <c r="AF259" s="19" t="n">
        <f aca="false">IF(Z259&gt;0,AE259/Z259,0)</f>
        <v>0.0228327709473173</v>
      </c>
      <c r="AG259" s="16" t="n">
        <f aca="false">(U259-W259)*INDEX(Parametros!$H$2:$H$9,MATCH($E259,Parametros!$A$2:$A$9,0))+W259*INDEX(Parametros!$H$2:$H$9,MATCH($E259,Parametros!$A$2:$A$9,0))*Parametros!$N$3</f>
        <v>48974.625</v>
      </c>
      <c r="AH259" s="13" t="n">
        <v>30929</v>
      </c>
      <c r="AI259" s="16" t="n">
        <f aca="false">AH259*Parametros!$N$2</f>
        <v>2845.468</v>
      </c>
      <c r="AJ259" s="18" t="n">
        <v>16354</v>
      </c>
      <c r="AK259" s="18" t="n">
        <v>1616</v>
      </c>
      <c r="AL259" s="17" t="n">
        <f aca="false">AG259+AI259+AJ259+AK259</f>
        <v>69790.093</v>
      </c>
      <c r="AM259" s="20" t="n">
        <f aca="false">IF(L259&gt;0,AL259/L259,0)</f>
        <v>0.110578357789196</v>
      </c>
      <c r="AN259" s="16" t="n">
        <f aca="false">L259*INDEX(Parametros!$G$2:$G$9,MATCH($E259,Parametros!$A$2:$A$9,0))</f>
        <v>605891.52</v>
      </c>
      <c r="AO259" s="17" t="n">
        <f aca="false">AN259-AC259-AL259</f>
        <v>142317.387</v>
      </c>
      <c r="AP259" s="15" t="n">
        <f aca="false">IF(AN259&gt;0,AO259/AN259,0)</f>
        <v>0.234889220763479</v>
      </c>
      <c r="AQ259" s="16" t="n">
        <f aca="false">INDEX(Parametros!$I$2:$I$9,MATCH($E259,Parametros!$A$2:$A$9,0))</f>
        <v>29700000</v>
      </c>
      <c r="AR259" s="19" t="n">
        <f aca="false">IF(AQ259&gt;0,AO259/AQ259,0)</f>
        <v>0.00479183121212121</v>
      </c>
    </row>
    <row r="260" customFormat="false" ht="15" hidden="false" customHeight="false" outlineLevel="0" collapsed="false">
      <c r="A260" s="5" t="s">
        <v>395</v>
      </c>
      <c r="B260" s="9" t="n">
        <v>45775</v>
      </c>
      <c r="C260" s="2" t="str">
        <f aca="false">TEXT(B260,"yyyy")</f>
        <v>2025</v>
      </c>
      <c r="D260" s="2" t="n">
        <f aca="false">WEEKNUM(B260,2)</f>
        <v>18</v>
      </c>
      <c r="E260" s="5" t="s">
        <v>134</v>
      </c>
      <c r="F260" s="6" t="str">
        <f aca="false">INDEX(Parametros!$B$2:$B$9,MATCH($E260,Parametros!$A$2:$A$9,0))</f>
        <v>Aderezos vertibles</v>
      </c>
      <c r="G260" s="10" t="n">
        <v>108.9</v>
      </c>
      <c r="H260" s="10" t="n">
        <v>6.9</v>
      </c>
      <c r="I260" s="11" t="n">
        <f aca="false">SUMIFS(Eventos_Paro!$J$2:$J$2186,Eventos_Paro!$D$2:$D$2186,$E260,Eventos_Paro!$B$2:$B$2186,$B260)</f>
        <v>2.75</v>
      </c>
      <c r="J260" s="12" t="n">
        <f aca="false">G260-H260-I260</f>
        <v>99.25</v>
      </c>
      <c r="K260" s="13" t="n">
        <v>429495</v>
      </c>
      <c r="L260" s="13" t="n">
        <v>421911</v>
      </c>
      <c r="M260" s="13" t="n">
        <v>17606</v>
      </c>
      <c r="N260" s="14" t="n">
        <f aca="false">L260+M260</f>
        <v>439517</v>
      </c>
      <c r="O260" s="11" t="n">
        <f aca="false">INDEX(Parametros!$D$2:$D$9,MATCH($E260,Parametros!$A$2:$A$9,0))</f>
        <v>5200</v>
      </c>
      <c r="P260" s="15" t="n">
        <f aca="false">IF((G260-H260)&gt;0,J260/(G260-H260),0)</f>
        <v>0.973039215686275</v>
      </c>
      <c r="Q260" s="15" t="n">
        <f aca="false">IF(J260*O260&gt;0,N260/(O260*J260),0)</f>
        <v>0.851612090680101</v>
      </c>
      <c r="R260" s="15" t="n">
        <f aca="false">IF(N260&gt;0,L260/N260,0)</f>
        <v>0.959942391306821</v>
      </c>
      <c r="S260" s="15" t="n">
        <f aca="false">P260*Q260*R260</f>
        <v>0.79545814479638</v>
      </c>
      <c r="T260" s="15" t="n">
        <f aca="false">IF(K260&gt;0,L260/K260,0)</f>
        <v>0.982342052876052</v>
      </c>
      <c r="U260" s="10" t="n">
        <v>1303.5</v>
      </c>
      <c r="V260" s="5" t="n">
        <v>11</v>
      </c>
      <c r="W260" s="10" t="n">
        <v>105.6</v>
      </c>
      <c r="X260" s="15" t="n">
        <f aca="false">IF(U260&gt;0,W260/U260,0)</f>
        <v>0.0810126582278481</v>
      </c>
      <c r="Y260" s="12" t="n">
        <f aca="false">IF(U260&gt;0,L260/U260,0)</f>
        <v>323.675489067894</v>
      </c>
      <c r="Z260" s="16" t="n">
        <f aca="false">L260*INDEX(Parametros!$E$2:$E$9,MATCH($E260,Parametros!$A$2:$A$9,0))</f>
        <v>232051.05</v>
      </c>
      <c r="AA260" s="16" t="n">
        <f aca="false">Z260*INDEX(Parametros!$F$2:$F$9,MATCH($E260,Parametros!$A$2:$A$9,0))</f>
        <v>6961.5315</v>
      </c>
      <c r="AB260" s="17" t="n">
        <f aca="false">Z260+AA260</f>
        <v>239012.5815</v>
      </c>
      <c r="AC260" s="18" t="n">
        <v>237115.48</v>
      </c>
      <c r="AD260" s="17" t="n">
        <f aca="false">AC260-AB260</f>
        <v>-1897.10150000002</v>
      </c>
      <c r="AE260" s="17" t="n">
        <f aca="false">AA260+AD260</f>
        <v>5064.42999999998</v>
      </c>
      <c r="AF260" s="19" t="n">
        <f aca="false">IF(Z260&gt;0,AE260/Z260,0)</f>
        <v>0.0218246372942505</v>
      </c>
      <c r="AG260" s="16" t="n">
        <f aca="false">(U260-W260)*INDEX(Parametros!$H$2:$H$9,MATCH($E260,Parametros!$A$2:$A$9,0))+W260*INDEX(Parametros!$H$2:$H$9,MATCH($E260,Parametros!$A$2:$A$9,0))*Parametros!$N$3</f>
        <v>42723.45</v>
      </c>
      <c r="AH260" s="13" t="n">
        <v>21454</v>
      </c>
      <c r="AI260" s="16" t="n">
        <f aca="false">AH260*Parametros!$N$2</f>
        <v>1973.768</v>
      </c>
      <c r="AJ260" s="18" t="n">
        <v>12773</v>
      </c>
      <c r="AK260" s="18" t="n">
        <v>3146</v>
      </c>
      <c r="AL260" s="17" t="n">
        <f aca="false">AG260+AI260+AJ260+AK260</f>
        <v>60616.218</v>
      </c>
      <c r="AM260" s="20" t="n">
        <f aca="false">IF(L260&gt;0,AL260/L260,0)</f>
        <v>0.143670627217589</v>
      </c>
      <c r="AN260" s="16" t="n">
        <f aca="false">L260*INDEX(Parametros!$G$2:$G$9,MATCH($E260,Parametros!$A$2:$A$9,0))</f>
        <v>430349.22</v>
      </c>
      <c r="AO260" s="17" t="n">
        <f aca="false">AN260-AC260-AL260</f>
        <v>132617.522</v>
      </c>
      <c r="AP260" s="15" t="n">
        <f aca="false">IF(AN260&gt;0,AO260/AN260,0)</f>
        <v>0.308162570853504</v>
      </c>
      <c r="AQ260" s="16" t="n">
        <f aca="false">INDEX(Parametros!$I$2:$I$9,MATCH($E260,Parametros!$A$2:$A$9,0))</f>
        <v>19300000</v>
      </c>
      <c r="AR260" s="19" t="n">
        <f aca="false">IF(AQ260&gt;0,AO260/AQ260,0)</f>
        <v>0.00687137419689119</v>
      </c>
    </row>
    <row r="261" customFormat="false" ht="15" hidden="false" customHeight="false" outlineLevel="0" collapsed="false">
      <c r="A261" s="5" t="s">
        <v>396</v>
      </c>
      <c r="B261" s="9" t="n">
        <v>45775</v>
      </c>
      <c r="C261" s="2" t="str">
        <f aca="false">TEXT(B261,"yyyy")</f>
        <v>2025</v>
      </c>
      <c r="D261" s="2" t="n">
        <f aca="false">WEEKNUM(B261,2)</f>
        <v>18</v>
      </c>
      <c r="E261" s="5" t="s">
        <v>136</v>
      </c>
      <c r="F261" s="6" t="str">
        <f aca="false">INDEX(Parametros!$B$2:$B$9,MATCH($E261,Parametros!$A$2:$A$9,0))</f>
        <v>Salsa BBQ</v>
      </c>
      <c r="G261" s="10" t="n">
        <v>103.1</v>
      </c>
      <c r="H261" s="10" t="n">
        <v>5.1</v>
      </c>
      <c r="I261" s="11" t="n">
        <f aca="false">SUMIFS(Eventos_Paro!$J$2:$J$2186,Eventos_Paro!$D$2:$D$2186,$E261,Eventos_Paro!$B$2:$B$2186,$B261)</f>
        <v>2.31666666666667</v>
      </c>
      <c r="J261" s="12" t="n">
        <f aca="false">G261-H261-I261</f>
        <v>95.6833333333333</v>
      </c>
      <c r="K261" s="13" t="n">
        <v>396975</v>
      </c>
      <c r="L261" s="13" t="n">
        <v>347653</v>
      </c>
      <c r="M261" s="13" t="n">
        <v>12393</v>
      </c>
      <c r="N261" s="14" t="n">
        <f aca="false">L261+M261</f>
        <v>360046</v>
      </c>
      <c r="O261" s="11" t="n">
        <f aca="false">INDEX(Parametros!$D$2:$D$9,MATCH($E261,Parametros!$A$2:$A$9,0))</f>
        <v>4800</v>
      </c>
      <c r="P261" s="15" t="n">
        <f aca="false">IF((G261-H261)&gt;0,J261/(G261-H261),0)</f>
        <v>0.976360544217687</v>
      </c>
      <c r="Q261" s="15" t="n">
        <f aca="false">IF(J261*O261&gt;0,N261/(O261*J261),0)</f>
        <v>0.783935725483365</v>
      </c>
      <c r="R261" s="15" t="n">
        <f aca="false">IF(N261&gt;0,L261/N261,0)</f>
        <v>0.965579398188009</v>
      </c>
      <c r="S261" s="15" t="n">
        <f aca="false">P261*Q261*R261</f>
        <v>0.73905824829932</v>
      </c>
      <c r="T261" s="15" t="n">
        <f aca="false">IF(K261&gt;0,L261/K261,0)</f>
        <v>0.875755400214119</v>
      </c>
      <c r="U261" s="10" t="n">
        <v>1283.5</v>
      </c>
      <c r="V261" s="5" t="n">
        <v>12</v>
      </c>
      <c r="W261" s="10" t="n">
        <v>46.3</v>
      </c>
      <c r="X261" s="15" t="n">
        <f aca="false">IF(U261&gt;0,W261/U261,0)</f>
        <v>0.0360732372419166</v>
      </c>
      <c r="Y261" s="12" t="n">
        <f aca="false">IF(U261&gt;0,L261/U261,0)</f>
        <v>270.863264511102</v>
      </c>
      <c r="Z261" s="16" t="n">
        <f aca="false">L261*INDEX(Parametros!$E$2:$E$9,MATCH($E261,Parametros!$A$2:$A$9,0))</f>
        <v>201638.74</v>
      </c>
      <c r="AA261" s="16" t="n">
        <f aca="false">Z261*INDEX(Parametros!$F$2:$F$9,MATCH($E261,Parametros!$A$2:$A$9,0))</f>
        <v>5645.88472</v>
      </c>
      <c r="AB261" s="17" t="n">
        <f aca="false">Z261+AA261</f>
        <v>207284.62472</v>
      </c>
      <c r="AC261" s="18" t="n">
        <v>205512.46</v>
      </c>
      <c r="AD261" s="17" t="n">
        <f aca="false">AC261-AB261</f>
        <v>-1772.16472</v>
      </c>
      <c r="AE261" s="17" t="n">
        <f aca="false">AA261+AD261</f>
        <v>3873.72</v>
      </c>
      <c r="AF261" s="19" t="n">
        <f aca="false">IF(Z261&gt;0,AE261/Z261,0)</f>
        <v>0.0192111892784095</v>
      </c>
      <c r="AG261" s="16" t="n">
        <f aca="false">(U261-W261)*INDEX(Parametros!$H$2:$H$9,MATCH($E261,Parametros!$A$2:$A$9,0))+W261*INDEX(Parametros!$H$2:$H$9,MATCH($E261,Parametros!$A$2:$A$9,0))*Parametros!$N$3</f>
        <v>41159.475</v>
      </c>
      <c r="AH261" s="13" t="n">
        <v>17663</v>
      </c>
      <c r="AI261" s="16" t="n">
        <f aca="false">AH261*Parametros!$N$2</f>
        <v>1624.996</v>
      </c>
      <c r="AJ261" s="18" t="n">
        <v>9077</v>
      </c>
      <c r="AK261" s="18" t="n">
        <v>2218</v>
      </c>
      <c r="AL261" s="17" t="n">
        <f aca="false">AG261+AI261+AJ261+AK261</f>
        <v>54079.471</v>
      </c>
      <c r="AM261" s="20" t="n">
        <f aca="false">IF(L261&gt;0,AL261/L261,0)</f>
        <v>0.155555887623579</v>
      </c>
      <c r="AN261" s="16" t="n">
        <f aca="false">L261*INDEX(Parametros!$G$2:$G$9,MATCH($E261,Parametros!$A$2:$A$9,0))</f>
        <v>340699.94</v>
      </c>
      <c r="AO261" s="17" t="n">
        <f aca="false">AN261-AC261-AL261</f>
        <v>81108.009</v>
      </c>
      <c r="AP261" s="15" t="n">
        <f aca="false">IF(AN261&gt;0,AO261/AN261,0)</f>
        <v>0.238062880198922</v>
      </c>
      <c r="AQ261" s="16" t="n">
        <f aca="false">INDEX(Parametros!$I$2:$I$9,MATCH($E261,Parametros!$A$2:$A$9,0))</f>
        <v>17000000</v>
      </c>
      <c r="AR261" s="19" t="n">
        <f aca="false">IF(AQ261&gt;0,AO261/AQ261,0)</f>
        <v>0.00477105935294118</v>
      </c>
    </row>
    <row r="262" customFormat="false" ht="15" hidden="false" customHeight="false" outlineLevel="0" collapsed="false">
      <c r="A262" s="5" t="s">
        <v>397</v>
      </c>
      <c r="B262" s="9" t="n">
        <v>45775</v>
      </c>
      <c r="C262" s="2" t="str">
        <f aca="false">TEXT(B262,"yyyy")</f>
        <v>2025</v>
      </c>
      <c r="D262" s="2" t="n">
        <f aca="false">WEEKNUM(B262,2)</f>
        <v>18</v>
      </c>
      <c r="E262" s="5" t="s">
        <v>138</v>
      </c>
      <c r="F262" s="6" t="str">
        <f aca="false">INDEX(Parametros!$B$2:$B$9,MATCH($E262,Parametros!$A$2:$A$9,0))</f>
        <v>Queso crema</v>
      </c>
      <c r="G262" s="10" t="n">
        <v>106.2</v>
      </c>
      <c r="H262" s="10" t="n">
        <v>8.5</v>
      </c>
      <c r="I262" s="11" t="n">
        <f aca="false">SUMIFS(Eventos_Paro!$J$2:$J$2186,Eventos_Paro!$D$2:$D$2186,$E262,Eventos_Paro!$B$2:$B$2186,$B262)</f>
        <v>1.73333333333333</v>
      </c>
      <c r="J262" s="12" t="n">
        <f aca="false">G262-H262-I262</f>
        <v>95.9666666666667</v>
      </c>
      <c r="K262" s="13" t="n">
        <v>300631</v>
      </c>
      <c r="L262" s="13" t="n">
        <v>247707</v>
      </c>
      <c r="M262" s="13" t="n">
        <v>11541</v>
      </c>
      <c r="N262" s="14" t="n">
        <f aca="false">L262+M262</f>
        <v>259248</v>
      </c>
      <c r="O262" s="11" t="n">
        <f aca="false">INDEX(Parametros!$D$2:$D$9,MATCH($E262,Parametros!$A$2:$A$9,0))</f>
        <v>3800</v>
      </c>
      <c r="P262" s="15" t="n">
        <f aca="false">IF((G262-H262)&gt;0,J262/(G262-H262),0)</f>
        <v>0.982258614807233</v>
      </c>
      <c r="Q262" s="15" t="n">
        <f aca="false">IF(J262*O262&gt;0,N262/(O262*J262),0)</f>
        <v>0.710904736659293</v>
      </c>
      <c r="R262" s="15" t="n">
        <f aca="false">IF(N262&gt;0,L262/N262,0)</f>
        <v>0.955482780966488</v>
      </c>
      <c r="S262" s="15" t="n">
        <f aca="false">P262*Q262*R262</f>
        <v>0.667206270538167</v>
      </c>
      <c r="T262" s="15" t="n">
        <f aca="false">IF(K262&gt;0,L262/K262,0)</f>
        <v>0.823956943894675</v>
      </c>
      <c r="U262" s="10" t="n">
        <v>1559.6</v>
      </c>
      <c r="V262" s="5" t="n">
        <v>14</v>
      </c>
      <c r="W262" s="10" t="n">
        <v>72.8</v>
      </c>
      <c r="X262" s="15" t="n">
        <f aca="false">IF(U262&gt;0,W262/U262,0)</f>
        <v>0.0466786355475763</v>
      </c>
      <c r="Y262" s="12" t="n">
        <f aca="false">IF(U262&gt;0,L262/U262,0)</f>
        <v>158.827263400872</v>
      </c>
      <c r="Z262" s="16" t="n">
        <f aca="false">L262*INDEX(Parametros!$E$2:$E$9,MATCH($E262,Parametros!$A$2:$A$9,0))</f>
        <v>277431.84</v>
      </c>
      <c r="AA262" s="16" t="n">
        <f aca="false">Z262*INDEX(Parametros!$F$2:$F$9,MATCH($E262,Parametros!$A$2:$A$9,0))</f>
        <v>9710.1144</v>
      </c>
      <c r="AB262" s="17" t="n">
        <f aca="false">Z262+AA262</f>
        <v>287141.9544</v>
      </c>
      <c r="AC262" s="18" t="n">
        <v>289621.22</v>
      </c>
      <c r="AD262" s="17" t="n">
        <f aca="false">AC262-AB262</f>
        <v>2479.26559999993</v>
      </c>
      <c r="AE262" s="17" t="n">
        <f aca="false">AA262+AD262</f>
        <v>12189.3799999999</v>
      </c>
      <c r="AF262" s="19" t="n">
        <f aca="false">IF(Z262&gt;0,AE262/Z262,0)</f>
        <v>0.0439364854444967</v>
      </c>
      <c r="AG262" s="16" t="n">
        <f aca="false">(U262-W262)*INDEX(Parametros!$H$2:$H$9,MATCH($E262,Parametros!$A$2:$A$9,0))+W262*INDEX(Parametros!$H$2:$H$9,MATCH($E262,Parametros!$A$2:$A$9,0))*Parametros!$N$3</f>
        <v>52668</v>
      </c>
      <c r="AH262" s="13" t="n">
        <v>13901</v>
      </c>
      <c r="AI262" s="16" t="n">
        <f aca="false">AH262*Parametros!$N$2</f>
        <v>1278.892</v>
      </c>
      <c r="AJ262" s="18" t="n">
        <v>18779</v>
      </c>
      <c r="AK262" s="18" t="n">
        <v>1410</v>
      </c>
      <c r="AL262" s="17" t="n">
        <f aca="false">AG262+AI262+AJ262+AK262</f>
        <v>74135.892</v>
      </c>
      <c r="AM262" s="20" t="n">
        <f aca="false">IF(L262&gt;0,AL262/L262,0)</f>
        <v>0.29928864343761</v>
      </c>
      <c r="AN262" s="16" t="n">
        <f aca="false">L262*INDEX(Parametros!$G$2:$G$9,MATCH($E262,Parametros!$A$2:$A$9,0))</f>
        <v>443395.53</v>
      </c>
      <c r="AO262" s="17" t="n">
        <f aca="false">AN262-AC262-AL262</f>
        <v>79638.4180000001</v>
      </c>
      <c r="AP262" s="15" t="n">
        <f aca="false">IF(AN262&gt;0,AO262/AN262,0)</f>
        <v>0.179610331209248</v>
      </c>
      <c r="AQ262" s="16" t="n">
        <f aca="false">INDEX(Parametros!$I$2:$I$9,MATCH($E262,Parametros!$A$2:$A$9,0))</f>
        <v>33200000</v>
      </c>
      <c r="AR262" s="19" t="n">
        <f aca="false">IF(AQ262&gt;0,AO262/AQ262,0)</f>
        <v>0.00239874753012048</v>
      </c>
    </row>
    <row r="263" customFormat="false" ht="15" hidden="false" customHeight="false" outlineLevel="0" collapsed="false">
      <c r="A263" s="5" t="s">
        <v>398</v>
      </c>
      <c r="B263" s="9" t="n">
        <v>45775</v>
      </c>
      <c r="C263" s="2" t="str">
        <f aca="false">TEXT(B263,"yyyy")</f>
        <v>2025</v>
      </c>
      <c r="D263" s="2" t="n">
        <f aca="false">WEEKNUM(B263,2)</f>
        <v>18</v>
      </c>
      <c r="E263" s="5" t="s">
        <v>140</v>
      </c>
      <c r="F263" s="6" t="str">
        <f aca="false">INDEX(Parametros!$B$2:$B$9,MATCH($E263,Parametros!$A$2:$A$9,0))</f>
        <v>Crema de cacahuate</v>
      </c>
      <c r="G263" s="10" t="n">
        <v>111.2</v>
      </c>
      <c r="H263" s="10" t="n">
        <v>5.6</v>
      </c>
      <c r="I263" s="11" t="n">
        <f aca="false">SUMIFS(Eventos_Paro!$J$2:$J$2186,Eventos_Paro!$D$2:$D$2186,$E263,Eventos_Paro!$B$2:$B$2186,$B263)</f>
        <v>0</v>
      </c>
      <c r="J263" s="12" t="n">
        <f aca="false">G263-H263-I263</f>
        <v>105.6</v>
      </c>
      <c r="K263" s="13" t="n">
        <v>359144</v>
      </c>
      <c r="L263" s="13" t="n">
        <v>385462</v>
      </c>
      <c r="M263" s="13" t="n">
        <v>4897</v>
      </c>
      <c r="N263" s="14" t="n">
        <f aca="false">L263+M263</f>
        <v>390359</v>
      </c>
      <c r="O263" s="11" t="n">
        <f aca="false">INDEX(Parametros!$D$2:$D$9,MATCH($E263,Parametros!$A$2:$A$9,0))</f>
        <v>4200</v>
      </c>
      <c r="P263" s="15" t="n">
        <f aca="false">IF((G263-H263)&gt;0,J263/(G263-H263),0)</f>
        <v>1</v>
      </c>
      <c r="Q263" s="15" t="n">
        <f aca="false">IF(J263*O263&gt;0,N263/(O263*J263),0)</f>
        <v>0.880138437950938</v>
      </c>
      <c r="R263" s="15" t="n">
        <f aca="false">IF(N263&gt;0,L263/N263,0)</f>
        <v>0.987455137450398</v>
      </c>
      <c r="S263" s="15" t="n">
        <f aca="false">P263*Q263*R263</f>
        <v>0.869097222222222</v>
      </c>
      <c r="T263" s="15" t="n">
        <f aca="false">IF(K263&gt;0,L263/K263,0)</f>
        <v>1.0732797986323</v>
      </c>
      <c r="U263" s="10" t="n">
        <v>1524.3</v>
      </c>
      <c r="V263" s="5" t="n">
        <v>13</v>
      </c>
      <c r="W263" s="10" t="n">
        <v>78.7</v>
      </c>
      <c r="X263" s="15" t="n">
        <f aca="false">IF(U263&gt;0,W263/U263,0)</f>
        <v>0.0516302565111855</v>
      </c>
      <c r="Y263" s="12" t="n">
        <f aca="false">IF(U263&gt;0,L263/U263,0)</f>
        <v>252.878042380109</v>
      </c>
      <c r="Z263" s="16" t="n">
        <f aca="false">L263*INDEX(Parametros!$E$2:$E$9,MATCH($E263,Parametros!$A$2:$A$9,0))</f>
        <v>373898.14</v>
      </c>
      <c r="AA263" s="16" t="n">
        <f aca="false">Z263*INDEX(Parametros!$F$2:$F$9,MATCH($E263,Parametros!$A$2:$A$9,0))</f>
        <v>8225.75908</v>
      </c>
      <c r="AB263" s="17" t="n">
        <f aca="false">Z263+AA263</f>
        <v>382123.89908</v>
      </c>
      <c r="AC263" s="18" t="n">
        <v>379410.09</v>
      </c>
      <c r="AD263" s="17" t="n">
        <f aca="false">AC263-AB263</f>
        <v>-2713.80907999998</v>
      </c>
      <c r="AE263" s="17" t="n">
        <f aca="false">AA263+AD263</f>
        <v>5511.95000000002</v>
      </c>
      <c r="AF263" s="19" t="n">
        <f aca="false">IF(Z263&gt;0,AE263/Z263,0)</f>
        <v>0.0147418492105899</v>
      </c>
      <c r="AG263" s="16" t="n">
        <f aca="false">(U263-W263)*INDEX(Parametros!$H$2:$H$9,MATCH($E263,Parametros!$A$2:$A$9,0))+W263*INDEX(Parametros!$H$2:$H$9,MATCH($E263,Parametros!$A$2:$A$9,0))*Parametros!$N$3</f>
        <v>49254.975</v>
      </c>
      <c r="AH263" s="13" t="n">
        <v>18834</v>
      </c>
      <c r="AI263" s="16" t="n">
        <f aca="false">AH263*Parametros!$N$2</f>
        <v>1732.728</v>
      </c>
      <c r="AJ263" s="18" t="n">
        <v>12968</v>
      </c>
      <c r="AK263" s="18" t="n">
        <v>0</v>
      </c>
      <c r="AL263" s="17" t="n">
        <f aca="false">AG263+AI263+AJ263+AK263</f>
        <v>63955.703</v>
      </c>
      <c r="AM263" s="20" t="n">
        <f aca="false">IF(L263&gt;0,AL263/L263,0)</f>
        <v>0.165919605564232</v>
      </c>
      <c r="AN263" s="16" t="n">
        <f aca="false">L263*INDEX(Parametros!$G$2:$G$9,MATCH($E263,Parametros!$A$2:$A$9,0))</f>
        <v>624448.44</v>
      </c>
      <c r="AO263" s="17" t="n">
        <f aca="false">AN263-AC263-AL263</f>
        <v>181082.647</v>
      </c>
      <c r="AP263" s="15" t="n">
        <f aca="false">IF(AN263&gt;0,AO263/AN263,0)</f>
        <v>0.28998814858117</v>
      </c>
      <c r="AQ263" s="16" t="n">
        <f aca="false">INDEX(Parametros!$I$2:$I$9,MATCH($E263,Parametros!$A$2:$A$9,0))</f>
        <v>28000000</v>
      </c>
      <c r="AR263" s="19" t="n">
        <f aca="false">IF(AQ263&gt;0,AO263/AQ263,0)</f>
        <v>0.00646723739285715</v>
      </c>
    </row>
    <row r="264" customFormat="false" ht="15" hidden="false" customHeight="false" outlineLevel="0" collapsed="false">
      <c r="A264" s="5" t="s">
        <v>399</v>
      </c>
      <c r="B264" s="9" t="n">
        <v>45775</v>
      </c>
      <c r="C264" s="2" t="str">
        <f aca="false">TEXT(B264,"yyyy")</f>
        <v>2025</v>
      </c>
      <c r="D264" s="2" t="n">
        <f aca="false">WEEKNUM(B264,2)</f>
        <v>18</v>
      </c>
      <c r="E264" s="5" t="s">
        <v>142</v>
      </c>
      <c r="F264" s="6" t="str">
        <f aca="false">INDEX(Parametros!$B$2:$B$9,MATCH($E264,Parametros!$A$2:$A$9,0))</f>
        <v>Porciones single serve</v>
      </c>
      <c r="G264" s="10" t="n">
        <v>104.5</v>
      </c>
      <c r="H264" s="10" t="n">
        <v>7.3</v>
      </c>
      <c r="I264" s="11" t="n">
        <f aca="false">SUMIFS(Eventos_Paro!$J$2:$J$2186,Eventos_Paro!$D$2:$D$2186,$E264,Eventos_Paro!$B$2:$B$2186,$B264)</f>
        <v>5.71666666666667</v>
      </c>
      <c r="J264" s="12" t="n">
        <f aca="false">G264-H264-I264</f>
        <v>91.4833333333333</v>
      </c>
      <c r="K264" s="13" t="n">
        <v>204642</v>
      </c>
      <c r="L264" s="13" t="n">
        <v>177752</v>
      </c>
      <c r="M264" s="13" t="n">
        <v>9591</v>
      </c>
      <c r="N264" s="14" t="n">
        <f aca="false">L264+M264</f>
        <v>187343</v>
      </c>
      <c r="O264" s="11" t="n">
        <f aca="false">INDEX(Parametros!$D$2:$D$9,MATCH($E264,Parametros!$A$2:$A$9,0))</f>
        <v>2600</v>
      </c>
      <c r="P264" s="15" t="n">
        <f aca="false">IF((G264-H264)&gt;0,J264/(G264-H264),0)</f>
        <v>0.941186556927298</v>
      </c>
      <c r="Q264" s="15" t="n">
        <f aca="false">IF(J264*O264&gt;0,N264/(O264*J264),0)</f>
        <v>0.787629805064675</v>
      </c>
      <c r="R264" s="15" t="n">
        <f aca="false">IF(N264&gt;0,L264/N264,0)</f>
        <v>0.948805132831224</v>
      </c>
      <c r="S264" s="15" t="n">
        <f aca="false">P264*Q264*R264</f>
        <v>0.703355492244381</v>
      </c>
      <c r="T264" s="15" t="n">
        <f aca="false">IF(K264&gt;0,L264/K264,0)</f>
        <v>0.868599798672804</v>
      </c>
      <c r="U264" s="10" t="n">
        <v>1663.1</v>
      </c>
      <c r="V264" s="5" t="n">
        <v>15</v>
      </c>
      <c r="W264" s="10" t="n">
        <v>95.6</v>
      </c>
      <c r="X264" s="15" t="n">
        <f aca="false">IF(U264&gt;0,W264/U264,0)</f>
        <v>0.0574830136492093</v>
      </c>
      <c r="Y264" s="12" t="n">
        <f aca="false">IF(U264&gt;0,L264/U264,0)</f>
        <v>106.879923035296</v>
      </c>
      <c r="Z264" s="16" t="n">
        <f aca="false">L264*INDEX(Parametros!$E$2:$E$9,MATCH($E264,Parametros!$A$2:$A$9,0))</f>
        <v>131536.48</v>
      </c>
      <c r="AA264" s="16" t="n">
        <f aca="false">Z264*INDEX(Parametros!$F$2:$F$9,MATCH($E264,Parametros!$A$2:$A$9,0))</f>
        <v>5919.1416</v>
      </c>
      <c r="AB264" s="17" t="n">
        <f aca="false">Z264+AA264</f>
        <v>137455.6216</v>
      </c>
      <c r="AC264" s="18" t="n">
        <v>136707.61</v>
      </c>
      <c r="AD264" s="17" t="n">
        <f aca="false">AC264-AB264</f>
        <v>-748.011600000027</v>
      </c>
      <c r="AE264" s="17" t="n">
        <f aca="false">AA264+AD264</f>
        <v>5171.12999999997</v>
      </c>
      <c r="AF264" s="19" t="n">
        <f aca="false">IF(Z264&gt;0,AE264/Z264,0)</f>
        <v>0.0393132764385969</v>
      </c>
      <c r="AG264" s="16" t="n">
        <f aca="false">(U264-W264)*INDEX(Parametros!$H$2:$H$9,MATCH($E264,Parametros!$A$2:$A$9,0))+W264*INDEX(Parametros!$H$2:$H$9,MATCH($E264,Parametros!$A$2:$A$9,0))*Parametros!$N$3</f>
        <v>51327</v>
      </c>
      <c r="AH264" s="13" t="n">
        <v>10364</v>
      </c>
      <c r="AI264" s="16" t="n">
        <f aca="false">AH264*Parametros!$N$2</f>
        <v>953.488</v>
      </c>
      <c r="AJ264" s="18" t="n">
        <v>10901</v>
      </c>
      <c r="AK264" s="18" t="n">
        <v>4885</v>
      </c>
      <c r="AL264" s="17" t="n">
        <f aca="false">AG264+AI264+AJ264+AK264</f>
        <v>68066.488</v>
      </c>
      <c r="AM264" s="20" t="n">
        <f aca="false">IF(L264&gt;0,AL264/L264,0)</f>
        <v>0.382929519780368</v>
      </c>
      <c r="AN264" s="16" t="n">
        <f aca="false">L264*INDEX(Parametros!$G$2:$G$9,MATCH($E264,Parametros!$A$2:$A$9,0))</f>
        <v>305733.44</v>
      </c>
      <c r="AO264" s="17" t="n">
        <f aca="false">AN264-AC264-AL264</f>
        <v>100959.342</v>
      </c>
      <c r="AP264" s="15" t="n">
        <f aca="false">IF(AN264&gt;0,AO264/AN264,0)</f>
        <v>0.330220148636669</v>
      </c>
      <c r="AQ264" s="16" t="n">
        <f aca="false">INDEX(Parametros!$I$2:$I$9,MATCH($E264,Parametros!$A$2:$A$9,0))</f>
        <v>15900000</v>
      </c>
      <c r="AR264" s="19" t="n">
        <f aca="false">IF(AQ264&gt;0,AO264/AQ264,0)</f>
        <v>0.0063496441509434</v>
      </c>
    </row>
    <row r="265" customFormat="false" ht="15" hidden="false" customHeight="false" outlineLevel="0" collapsed="false">
      <c r="A265" s="5" t="s">
        <v>400</v>
      </c>
      <c r="B265" s="9" t="n">
        <v>45775</v>
      </c>
      <c r="C265" s="2" t="str">
        <f aca="false">TEXT(B265,"yyyy")</f>
        <v>2025</v>
      </c>
      <c r="D265" s="2" t="n">
        <f aca="false">WEEKNUM(B265,2)</f>
        <v>18</v>
      </c>
      <c r="E265" s="5" t="s">
        <v>144</v>
      </c>
      <c r="F265" s="6" t="str">
        <f aca="false">INDEX(Parametros!$B$2:$B$9,MATCH($E265,Parametros!$A$2:$A$9,0))</f>
        <v>Salsas picantes</v>
      </c>
      <c r="G265" s="10" t="n">
        <v>107</v>
      </c>
      <c r="H265" s="10" t="n">
        <v>6.4</v>
      </c>
      <c r="I265" s="11" t="n">
        <f aca="false">SUMIFS(Eventos_Paro!$J$2:$J$2186,Eventos_Paro!$D$2:$D$2186,$E265,Eventos_Paro!$B$2:$B$2186,$B265)</f>
        <v>1.75</v>
      </c>
      <c r="J265" s="12" t="n">
        <f aca="false">G265-H265-I265</f>
        <v>98.85</v>
      </c>
      <c r="K265" s="13" t="n">
        <v>244314</v>
      </c>
      <c r="L265" s="13" t="n">
        <v>243004</v>
      </c>
      <c r="M265" s="13" t="n">
        <v>8515</v>
      </c>
      <c r="N265" s="14" t="n">
        <f aca="false">L265+M265</f>
        <v>251519</v>
      </c>
      <c r="O265" s="11" t="n">
        <f aca="false">INDEX(Parametros!$D$2:$D$9,MATCH($E265,Parametros!$A$2:$A$9,0))</f>
        <v>3100</v>
      </c>
      <c r="P265" s="15" t="n">
        <f aca="false">IF((G265-H265)&gt;0,J265/(G265-H265),0)</f>
        <v>0.982604373757455</v>
      </c>
      <c r="Q265" s="15" t="n">
        <f aca="false">IF(J265*O265&gt;0,N265/(O265*J265),0)</f>
        <v>0.820790706022484</v>
      </c>
      <c r="R265" s="15" t="n">
        <f aca="false">IF(N265&gt;0,L265/N265,0)</f>
        <v>0.966145698734489</v>
      </c>
      <c r="S265" s="15" t="n">
        <f aca="false">P265*Q265*R265</f>
        <v>0.779208619252229</v>
      </c>
      <c r="T265" s="15" t="n">
        <f aca="false">IF(K265&gt;0,L265/K265,0)</f>
        <v>0.994638047758213</v>
      </c>
      <c r="U265" s="10" t="n">
        <v>1013.2</v>
      </c>
      <c r="V265" s="5" t="n">
        <v>9</v>
      </c>
      <c r="W265" s="10" t="n">
        <v>50.2</v>
      </c>
      <c r="X265" s="15" t="n">
        <f aca="false">IF(U265&gt;0,W265/U265,0)</f>
        <v>0.0495459928938018</v>
      </c>
      <c r="Y265" s="12" t="n">
        <f aca="false">IF(U265&gt;0,L265/U265,0)</f>
        <v>239.838136596921</v>
      </c>
      <c r="Z265" s="16" t="n">
        <f aca="false">L265*INDEX(Parametros!$E$2:$E$9,MATCH($E265,Parametros!$A$2:$A$9,0))</f>
        <v>160382.64</v>
      </c>
      <c r="AA265" s="16" t="n">
        <f aca="false">Z265*INDEX(Parametros!$F$2:$F$9,MATCH($E265,Parametros!$A$2:$A$9,0))</f>
        <v>4169.94864</v>
      </c>
      <c r="AB265" s="17" t="n">
        <f aca="false">Z265+AA265</f>
        <v>164552.58864</v>
      </c>
      <c r="AC265" s="18" t="n">
        <v>166350.87</v>
      </c>
      <c r="AD265" s="17" t="n">
        <f aca="false">AC265-AB265</f>
        <v>1798.28135999999</v>
      </c>
      <c r="AE265" s="17" t="n">
        <f aca="false">AA265+AD265</f>
        <v>5968.22999999999</v>
      </c>
      <c r="AF265" s="19" t="n">
        <f aca="false">IF(Z265&gt;0,AE265/Z265,0)</f>
        <v>0.0372124439403167</v>
      </c>
      <c r="AG265" s="16" t="n">
        <f aca="false">(U265-W265)*INDEX(Parametros!$H$2:$H$9,MATCH($E265,Parametros!$A$2:$A$9,0))+W265*INDEX(Parametros!$H$2:$H$9,MATCH($E265,Parametros!$A$2:$A$9,0))*Parametros!$N$3</f>
        <v>32706.45</v>
      </c>
      <c r="AH265" s="13" t="n">
        <v>13456</v>
      </c>
      <c r="AI265" s="16" t="n">
        <f aca="false">AH265*Parametros!$N$2</f>
        <v>1237.952</v>
      </c>
      <c r="AJ265" s="18" t="n">
        <v>6063</v>
      </c>
      <c r="AK265" s="18" t="n">
        <v>1018</v>
      </c>
      <c r="AL265" s="17" t="n">
        <f aca="false">AG265+AI265+AJ265+AK265</f>
        <v>41025.402</v>
      </c>
      <c r="AM265" s="20" t="n">
        <f aca="false">IF(L265&gt;0,AL265/L265,0)</f>
        <v>0.168826035785419</v>
      </c>
      <c r="AN265" s="16" t="n">
        <f aca="false">L265*INDEX(Parametros!$G$2:$G$9,MATCH($E265,Parametros!$A$2:$A$9,0))</f>
        <v>303755</v>
      </c>
      <c r="AO265" s="17" t="n">
        <f aca="false">AN265-AC265-AL265</f>
        <v>96378.728</v>
      </c>
      <c r="AP265" s="15" t="n">
        <f aca="false">IF(AN265&gt;0,AO265/AN265,0)</f>
        <v>0.317291000971177</v>
      </c>
      <c r="AQ265" s="16" t="n">
        <f aca="false">INDEX(Parametros!$I$2:$I$9,MATCH($E265,Parametros!$A$2:$A$9,0))</f>
        <v>13300000</v>
      </c>
      <c r="AR265" s="19" t="n">
        <f aca="false">IF(AQ265&gt;0,AO265/AQ265,0)</f>
        <v>0.00724652090225564</v>
      </c>
    </row>
    <row r="266" customFormat="false" ht="15" hidden="false" customHeight="false" outlineLevel="0" collapsed="false">
      <c r="A266" s="5" t="s">
        <v>401</v>
      </c>
      <c r="B266" s="9" t="n">
        <v>45782</v>
      </c>
      <c r="C266" s="2" t="str">
        <f aca="false">TEXT(B266,"yyyy")</f>
        <v>2025</v>
      </c>
      <c r="D266" s="2" t="n">
        <f aca="false">WEEKNUM(B266,2)</f>
        <v>19</v>
      </c>
      <c r="E266" s="5" t="s">
        <v>130</v>
      </c>
      <c r="F266" s="6" t="str">
        <f aca="false">INDEX(Parametros!$B$2:$B$9,MATCH($E266,Parametros!$A$2:$A$9,0))</f>
        <v>Ketchup botella</v>
      </c>
      <c r="G266" s="10" t="n">
        <v>119.2</v>
      </c>
      <c r="H266" s="10" t="n">
        <v>5.7</v>
      </c>
      <c r="I266" s="11" t="n">
        <f aca="false">SUMIFS(Eventos_Paro!$J$2:$J$2186,Eventos_Paro!$D$2:$D$2186,$E266,Eventos_Paro!$B$2:$B$2186,$B266)</f>
        <v>4.66666666666667</v>
      </c>
      <c r="J266" s="12" t="n">
        <f aca="false">G266-H266-I266</f>
        <v>108.833333333333</v>
      </c>
      <c r="K266" s="13" t="n">
        <v>830837</v>
      </c>
      <c r="L266" s="13" t="n">
        <v>828253</v>
      </c>
      <c r="M266" s="13" t="n">
        <v>24502</v>
      </c>
      <c r="N266" s="14" t="n">
        <f aca="false">L266+M266</f>
        <v>852755</v>
      </c>
      <c r="O266" s="11" t="n">
        <f aca="false">INDEX(Parametros!$D$2:$D$9,MATCH($E266,Parametros!$A$2:$A$9,0))</f>
        <v>9000</v>
      </c>
      <c r="P266" s="15" t="n">
        <f aca="false">IF((G266-H266)&gt;0,J266/(G266-H266),0)</f>
        <v>0.958883994126285</v>
      </c>
      <c r="Q266" s="15" t="n">
        <f aca="false">IF(J266*O266&gt;0,N266/(O266*J266),0)</f>
        <v>0.870602348136805</v>
      </c>
      <c r="R266" s="15" t="n">
        <f aca="false">IF(N266&gt;0,L266/N266,0)</f>
        <v>0.971267245574638</v>
      </c>
      <c r="S266" s="15" t="n">
        <f aca="false">P266*Q266*R266</f>
        <v>0.810820362212433</v>
      </c>
      <c r="T266" s="15" t="n">
        <f aca="false">IF(K266&gt;0,L266/K266,0)</f>
        <v>0.996889883334517</v>
      </c>
      <c r="U266" s="10" t="n">
        <v>1792.8</v>
      </c>
      <c r="V266" s="5" t="n">
        <v>14</v>
      </c>
      <c r="W266" s="10" t="n">
        <v>124</v>
      </c>
      <c r="X266" s="15" t="n">
        <f aca="false">IF(U266&gt;0,W266/U266,0)</f>
        <v>0.0691655510932619</v>
      </c>
      <c r="Y266" s="12" t="n">
        <f aca="false">IF(U266&gt;0,L266/U266,0)</f>
        <v>461.988509593931</v>
      </c>
      <c r="Z266" s="16" t="n">
        <f aca="false">L266*INDEX(Parametros!$E$2:$E$9,MATCH($E266,Parametros!$A$2:$A$9,0))</f>
        <v>347866.26</v>
      </c>
      <c r="AA266" s="16" t="n">
        <f aca="false">Z266*INDEX(Parametros!$F$2:$F$9,MATCH($E266,Parametros!$A$2:$A$9,0))</f>
        <v>6957.3252</v>
      </c>
      <c r="AB266" s="17" t="n">
        <f aca="false">Z266+AA266</f>
        <v>354823.5852</v>
      </c>
      <c r="AC266" s="18" t="n">
        <v>353949.39</v>
      </c>
      <c r="AD266" s="17" t="n">
        <f aca="false">AC266-AB266</f>
        <v>-874.195200000017</v>
      </c>
      <c r="AE266" s="17" t="n">
        <f aca="false">AA266+AD266</f>
        <v>6083.12999999998</v>
      </c>
      <c r="AF266" s="19" t="n">
        <f aca="false">IF(Z266&gt;0,AE266/Z266,0)</f>
        <v>0.0174869790476374</v>
      </c>
      <c r="AG266" s="16" t="n">
        <f aca="false">(U266-W266)*INDEX(Parametros!$H$2:$H$9,MATCH($E266,Parametros!$A$2:$A$9,0))+W266*INDEX(Parametros!$H$2:$H$9,MATCH($E266,Parametros!$A$2:$A$9,0))*Parametros!$N$3</f>
        <v>58426.2</v>
      </c>
      <c r="AH266" s="13" t="n">
        <v>43413</v>
      </c>
      <c r="AI266" s="16" t="n">
        <f aca="false">AH266*Parametros!$N$2</f>
        <v>3993.996</v>
      </c>
      <c r="AJ266" s="18" t="n">
        <v>17842</v>
      </c>
      <c r="AK266" s="18" t="n">
        <v>4467</v>
      </c>
      <c r="AL266" s="17" t="n">
        <f aca="false">AG266+AI266+AJ266+AK266</f>
        <v>84729.196</v>
      </c>
      <c r="AM266" s="20" t="n">
        <f aca="false">IF(L266&gt;0,AL266/L266,0)</f>
        <v>0.102298688927176</v>
      </c>
      <c r="AN266" s="16" t="n">
        <f aca="false">L266*INDEX(Parametros!$G$2:$G$9,MATCH($E266,Parametros!$A$2:$A$9,0))</f>
        <v>588059.63</v>
      </c>
      <c r="AO266" s="17" t="n">
        <f aca="false">AN266-AC266-AL266</f>
        <v>149381.044</v>
      </c>
      <c r="AP266" s="15" t="n">
        <f aca="false">IF(AN266&gt;0,AO266/AN266,0)</f>
        <v>0.254023633623685</v>
      </c>
      <c r="AQ266" s="16" t="n">
        <f aca="false">INDEX(Parametros!$I$2:$I$9,MATCH($E266,Parametros!$A$2:$A$9,0))</f>
        <v>29300000</v>
      </c>
      <c r="AR266" s="19" t="n">
        <f aca="false">IF(AQ266&gt;0,AO266/AQ266,0)</f>
        <v>0.00509832914675768</v>
      </c>
    </row>
    <row r="267" customFormat="false" ht="15" hidden="false" customHeight="false" outlineLevel="0" collapsed="false">
      <c r="A267" s="5" t="s">
        <v>402</v>
      </c>
      <c r="B267" s="9" t="n">
        <v>45782</v>
      </c>
      <c r="C267" s="2" t="str">
        <f aca="false">TEXT(B267,"yyyy")</f>
        <v>2025</v>
      </c>
      <c r="D267" s="2" t="n">
        <f aca="false">WEEKNUM(B267,2)</f>
        <v>19</v>
      </c>
      <c r="E267" s="5" t="s">
        <v>132</v>
      </c>
      <c r="F267" s="6" t="str">
        <f aca="false">INDEX(Parametros!$B$2:$B$9,MATCH($E267,Parametros!$A$2:$A$9,0))</f>
        <v>Mayonesa frasco</v>
      </c>
      <c r="G267" s="10" t="n">
        <v>117.5</v>
      </c>
      <c r="H267" s="10" t="n">
        <v>8.7</v>
      </c>
      <c r="I267" s="11" t="n">
        <f aca="false">SUMIFS(Eventos_Paro!$J$2:$J$2186,Eventos_Paro!$D$2:$D$2186,$E267,Eventos_Paro!$B$2:$B$2186,$B267)</f>
        <v>7.4</v>
      </c>
      <c r="J267" s="12" t="n">
        <f aca="false">G267-H267-I267</f>
        <v>101.4</v>
      </c>
      <c r="K267" s="13" t="n">
        <v>575201</v>
      </c>
      <c r="L267" s="13" t="n">
        <v>560829</v>
      </c>
      <c r="M267" s="13" t="n">
        <v>18945</v>
      </c>
      <c r="N267" s="14" t="n">
        <f aca="false">L267+M267</f>
        <v>579774</v>
      </c>
      <c r="O267" s="11" t="n">
        <f aca="false">INDEX(Parametros!$D$2:$D$9,MATCH($E267,Parametros!$A$2:$A$9,0))</f>
        <v>6500</v>
      </c>
      <c r="P267" s="15" t="n">
        <f aca="false">IF((G267-H267)&gt;0,J267/(G267-H267),0)</f>
        <v>0.931985294117647</v>
      </c>
      <c r="Q267" s="15" t="n">
        <f aca="false">IF(J267*O267&gt;0,N267/(O267*J267),0)</f>
        <v>0.879644970414201</v>
      </c>
      <c r="R267" s="15" t="n">
        <f aca="false">IF(N267&gt;0,L267/N267,0)</f>
        <v>0.967323474319304</v>
      </c>
      <c r="S267" s="15" t="n">
        <f aca="false">P267*Q267*R267</f>
        <v>0.793027432126697</v>
      </c>
      <c r="T267" s="15" t="n">
        <f aca="false">IF(K267&gt;0,L267/K267,0)</f>
        <v>0.975013951644729</v>
      </c>
      <c r="U267" s="10" t="n">
        <v>1541.5</v>
      </c>
      <c r="V267" s="5" t="n">
        <v>13</v>
      </c>
      <c r="W267" s="10" t="n">
        <v>14</v>
      </c>
      <c r="X267" s="15" t="n">
        <f aca="false">IF(U267&gt;0,W267/U267,0)</f>
        <v>0.0090820629257217</v>
      </c>
      <c r="Y267" s="12" t="n">
        <f aca="false">IF(U267&gt;0,L267/U267,0)</f>
        <v>363.820304897827</v>
      </c>
      <c r="Z267" s="16" t="n">
        <f aca="false">L267*INDEX(Parametros!$E$2:$E$9,MATCH($E267,Parametros!$A$2:$A$9,0))</f>
        <v>342105.69</v>
      </c>
      <c r="AA267" s="16" t="n">
        <f aca="false">Z267*INDEX(Parametros!$F$2:$F$9,MATCH($E267,Parametros!$A$2:$A$9,0))</f>
        <v>8552.64225</v>
      </c>
      <c r="AB267" s="17" t="n">
        <f aca="false">Z267+AA267</f>
        <v>350658.33225</v>
      </c>
      <c r="AC267" s="18" t="n">
        <v>356205.93</v>
      </c>
      <c r="AD267" s="17" t="n">
        <f aca="false">AC267-AB267</f>
        <v>5547.59775000002</v>
      </c>
      <c r="AE267" s="17" t="n">
        <f aca="false">AA267+AD267</f>
        <v>14100.24</v>
      </c>
      <c r="AF267" s="19" t="n">
        <f aca="false">IF(Z267&gt;0,AE267/Z267,0)</f>
        <v>0.0412160347289167</v>
      </c>
      <c r="AG267" s="16" t="n">
        <f aca="false">(U267-W267)*INDEX(Parametros!$H$2:$H$9,MATCH($E267,Parametros!$A$2:$A$9,0))+W267*INDEX(Parametros!$H$2:$H$9,MATCH($E267,Parametros!$A$2:$A$9,0))*Parametros!$N$3</f>
        <v>48777.75</v>
      </c>
      <c r="AH267" s="13" t="n">
        <v>28389</v>
      </c>
      <c r="AI267" s="16" t="n">
        <f aca="false">AH267*Parametros!$N$2</f>
        <v>2611.788</v>
      </c>
      <c r="AJ267" s="18" t="n">
        <v>13983</v>
      </c>
      <c r="AK267" s="18" t="n">
        <v>5210</v>
      </c>
      <c r="AL267" s="17" t="n">
        <f aca="false">AG267+AI267+AJ267+AK267</f>
        <v>70582.538</v>
      </c>
      <c r="AM267" s="20" t="n">
        <f aca="false">IF(L267&gt;0,AL267/L267,0)</f>
        <v>0.12585393765301</v>
      </c>
      <c r="AN267" s="16" t="n">
        <f aca="false">L267*INDEX(Parametros!$G$2:$G$9,MATCH($E267,Parametros!$A$2:$A$9,0))</f>
        <v>538395.84</v>
      </c>
      <c r="AO267" s="17" t="n">
        <f aca="false">AN267-AC267-AL267</f>
        <v>111607.372</v>
      </c>
      <c r="AP267" s="15" t="n">
        <f aca="false">IF(AN267&gt;0,AO267/AN267,0)</f>
        <v>0.207296126210782</v>
      </c>
      <c r="AQ267" s="16" t="n">
        <f aca="false">INDEX(Parametros!$I$2:$I$9,MATCH($E267,Parametros!$A$2:$A$9,0))</f>
        <v>29700000</v>
      </c>
      <c r="AR267" s="19" t="n">
        <f aca="false">IF(AQ267&gt;0,AO267/AQ267,0)</f>
        <v>0.00375782397306397</v>
      </c>
    </row>
    <row r="268" customFormat="false" ht="15" hidden="false" customHeight="false" outlineLevel="0" collapsed="false">
      <c r="A268" s="5" t="s">
        <v>403</v>
      </c>
      <c r="B268" s="9" t="n">
        <v>45782</v>
      </c>
      <c r="C268" s="2" t="str">
        <f aca="false">TEXT(B268,"yyyy")</f>
        <v>2025</v>
      </c>
      <c r="D268" s="2" t="n">
        <f aca="false">WEEKNUM(B268,2)</f>
        <v>19</v>
      </c>
      <c r="E268" s="5" t="s">
        <v>134</v>
      </c>
      <c r="F268" s="6" t="str">
        <f aca="false">INDEX(Parametros!$B$2:$B$9,MATCH($E268,Parametros!$A$2:$A$9,0))</f>
        <v>Aderezos vertibles</v>
      </c>
      <c r="G268" s="10" t="n">
        <v>119.4</v>
      </c>
      <c r="H268" s="10" t="n">
        <v>8.8</v>
      </c>
      <c r="I268" s="11" t="n">
        <f aca="false">SUMIFS(Eventos_Paro!$J$2:$J$2186,Eventos_Paro!$D$2:$D$2186,$E268,Eventos_Paro!$B$2:$B$2186,$B268)</f>
        <v>2.23333333333333</v>
      </c>
      <c r="J268" s="12" t="n">
        <f aca="false">G268-H268-I268</f>
        <v>108.366666666667</v>
      </c>
      <c r="K268" s="13" t="n">
        <v>467774</v>
      </c>
      <c r="L268" s="13" t="n">
        <v>425863</v>
      </c>
      <c r="M268" s="13" t="n">
        <v>15185</v>
      </c>
      <c r="N268" s="14" t="n">
        <f aca="false">L268+M268</f>
        <v>441048</v>
      </c>
      <c r="O268" s="11" t="n">
        <f aca="false">INDEX(Parametros!$D$2:$D$9,MATCH($E268,Parametros!$A$2:$A$9,0))</f>
        <v>5200</v>
      </c>
      <c r="P268" s="15" t="n">
        <f aca="false">IF((G268-H268)&gt;0,J268/(G268-H268),0)</f>
        <v>0.979807112718505</v>
      </c>
      <c r="Q268" s="15" t="n">
        <f aca="false">IF(J268*O268&gt;0,N268/(O268*J268),0)</f>
        <v>0.782684617750751</v>
      </c>
      <c r="R268" s="15" t="n">
        <f aca="false">IF(N268&gt;0,L268/N268,0)</f>
        <v>0.965570640837279</v>
      </c>
      <c r="S268" s="15" t="n">
        <f aca="false">P268*Q268*R268</f>
        <v>0.740476770065378</v>
      </c>
      <c r="T268" s="15" t="n">
        <f aca="false">IF(K268&gt;0,L268/K268,0)</f>
        <v>0.910403314421067</v>
      </c>
      <c r="U268" s="10" t="n">
        <v>1601.5</v>
      </c>
      <c r="V268" s="5" t="n">
        <v>13</v>
      </c>
      <c r="W268" s="10" t="n">
        <v>49.3</v>
      </c>
      <c r="X268" s="15" t="n">
        <f aca="false">IF(U268&gt;0,W268/U268,0)</f>
        <v>0.0307836403371839</v>
      </c>
      <c r="Y268" s="12" t="n">
        <f aca="false">IF(U268&gt;0,L268/U268,0)</f>
        <v>265.915079612863</v>
      </c>
      <c r="Z268" s="16" t="n">
        <f aca="false">L268*INDEX(Parametros!$E$2:$E$9,MATCH($E268,Parametros!$A$2:$A$9,0))</f>
        <v>234224.65</v>
      </c>
      <c r="AA268" s="16" t="n">
        <f aca="false">Z268*INDEX(Parametros!$F$2:$F$9,MATCH($E268,Parametros!$A$2:$A$9,0))</f>
        <v>7026.7395</v>
      </c>
      <c r="AB268" s="17" t="n">
        <f aca="false">Z268+AA268</f>
        <v>241251.3895</v>
      </c>
      <c r="AC268" s="18" t="n">
        <v>242908.23</v>
      </c>
      <c r="AD268" s="17" t="n">
        <f aca="false">AC268-AB268</f>
        <v>1656.84049999999</v>
      </c>
      <c r="AE268" s="17" t="n">
        <f aca="false">AA268+AD268</f>
        <v>8683.57999999999</v>
      </c>
      <c r="AF268" s="19" t="n">
        <f aca="false">IF(Z268&gt;0,AE268/Z268,0)</f>
        <v>0.0370737238800442</v>
      </c>
      <c r="AG268" s="16" t="n">
        <f aca="false">(U268-W268)*INDEX(Parametros!$H$2:$H$9,MATCH($E268,Parametros!$A$2:$A$9,0))+W268*INDEX(Parametros!$H$2:$H$9,MATCH($E268,Parametros!$A$2:$A$9,0))*Parametros!$N$3</f>
        <v>51223.725</v>
      </c>
      <c r="AH268" s="13" t="n">
        <v>23237</v>
      </c>
      <c r="AI268" s="16" t="n">
        <f aca="false">AH268*Parametros!$N$2</f>
        <v>2137.804</v>
      </c>
      <c r="AJ268" s="18" t="n">
        <v>10405</v>
      </c>
      <c r="AK268" s="18" t="n">
        <v>1650</v>
      </c>
      <c r="AL268" s="17" t="n">
        <f aca="false">AG268+AI268+AJ268+AK268</f>
        <v>65416.529</v>
      </c>
      <c r="AM268" s="20" t="n">
        <f aca="false">IF(L268&gt;0,AL268/L268,0)</f>
        <v>0.153609327412807</v>
      </c>
      <c r="AN268" s="16" t="n">
        <f aca="false">L268*INDEX(Parametros!$G$2:$G$9,MATCH($E268,Parametros!$A$2:$A$9,0))</f>
        <v>434380.26</v>
      </c>
      <c r="AO268" s="17" t="n">
        <f aca="false">AN268-AC268-AL268</f>
        <v>126055.501</v>
      </c>
      <c r="AP268" s="15" t="n">
        <f aca="false">IF(AN268&gt;0,AO268/AN268,0)</f>
        <v>0.290196200444284</v>
      </c>
      <c r="AQ268" s="16" t="n">
        <f aca="false">INDEX(Parametros!$I$2:$I$9,MATCH($E268,Parametros!$A$2:$A$9,0))</f>
        <v>19300000</v>
      </c>
      <c r="AR268" s="19" t="n">
        <f aca="false">IF(AQ268&gt;0,AO268/AQ268,0)</f>
        <v>0.00653137310880829</v>
      </c>
    </row>
    <row r="269" customFormat="false" ht="15" hidden="false" customHeight="false" outlineLevel="0" collapsed="false">
      <c r="A269" s="5" t="s">
        <v>404</v>
      </c>
      <c r="B269" s="9" t="n">
        <v>45782</v>
      </c>
      <c r="C269" s="2" t="str">
        <f aca="false">TEXT(B269,"yyyy")</f>
        <v>2025</v>
      </c>
      <c r="D269" s="2" t="n">
        <f aca="false">WEEKNUM(B269,2)</f>
        <v>19</v>
      </c>
      <c r="E269" s="5" t="s">
        <v>136</v>
      </c>
      <c r="F269" s="6" t="str">
        <f aca="false">INDEX(Parametros!$B$2:$B$9,MATCH($E269,Parametros!$A$2:$A$9,0))</f>
        <v>Salsa BBQ</v>
      </c>
      <c r="G269" s="10" t="n">
        <v>87.6</v>
      </c>
      <c r="H269" s="10" t="n">
        <v>7.1</v>
      </c>
      <c r="I269" s="11" t="n">
        <f aca="false">SUMIFS(Eventos_Paro!$J$2:$J$2186,Eventos_Paro!$D$2:$D$2186,$E269,Eventos_Paro!$B$2:$B$2186,$B269)</f>
        <v>0.55</v>
      </c>
      <c r="J269" s="12" t="n">
        <f aca="false">G269-H269-I269</f>
        <v>79.95</v>
      </c>
      <c r="K269" s="13" t="n">
        <v>332333</v>
      </c>
      <c r="L269" s="13" t="n">
        <v>310779</v>
      </c>
      <c r="M269" s="13" t="n">
        <v>9783</v>
      </c>
      <c r="N269" s="14" t="n">
        <f aca="false">L269+M269</f>
        <v>320562</v>
      </c>
      <c r="O269" s="11" t="n">
        <f aca="false">INDEX(Parametros!$D$2:$D$9,MATCH($E269,Parametros!$A$2:$A$9,0))</f>
        <v>4800</v>
      </c>
      <c r="P269" s="15" t="n">
        <f aca="false">IF((G269-H269)&gt;0,J269/(G269-H269),0)</f>
        <v>0.993167701863354</v>
      </c>
      <c r="Q269" s="15" t="n">
        <f aca="false">IF(J269*O269&gt;0,N269/(O269*J269),0)</f>
        <v>0.83531894934334</v>
      </c>
      <c r="R269" s="15" t="n">
        <f aca="false">IF(N269&gt;0,L269/N269,0)</f>
        <v>0.969481722724465</v>
      </c>
      <c r="S269" s="15" t="n">
        <f aca="false">P269*Q269*R269</f>
        <v>0.80429347826087</v>
      </c>
      <c r="T269" s="15" t="n">
        <f aca="false">IF(K269&gt;0,L269/K269,0)</f>
        <v>0.935143365239083</v>
      </c>
      <c r="U269" s="10" t="n">
        <v>932.7</v>
      </c>
      <c r="V269" s="5" t="n">
        <v>10</v>
      </c>
      <c r="W269" s="10" t="n">
        <v>56.7</v>
      </c>
      <c r="X269" s="15" t="n">
        <f aca="false">IF(U269&gt;0,W269/U269,0)</f>
        <v>0.0607912512061756</v>
      </c>
      <c r="Y269" s="12" t="n">
        <f aca="false">IF(U269&gt;0,L269/U269,0)</f>
        <v>333.203602444516</v>
      </c>
      <c r="Z269" s="16" t="n">
        <f aca="false">L269*INDEX(Parametros!$E$2:$E$9,MATCH($E269,Parametros!$A$2:$A$9,0))</f>
        <v>180251.82</v>
      </c>
      <c r="AA269" s="16" t="n">
        <f aca="false">Z269*INDEX(Parametros!$F$2:$F$9,MATCH($E269,Parametros!$A$2:$A$9,0))</f>
        <v>5047.05096</v>
      </c>
      <c r="AB269" s="17" t="n">
        <f aca="false">Z269+AA269</f>
        <v>185298.87096</v>
      </c>
      <c r="AC269" s="18" t="n">
        <v>183683.03</v>
      </c>
      <c r="AD269" s="17" t="n">
        <f aca="false">AC269-AB269</f>
        <v>-1615.84095999997</v>
      </c>
      <c r="AE269" s="17" t="n">
        <f aca="false">AA269+AD269</f>
        <v>3431.21000000003</v>
      </c>
      <c r="AF269" s="19" t="n">
        <f aca="false">IF(Z269&gt;0,AE269/Z269,0)</f>
        <v>0.019035646907754</v>
      </c>
      <c r="AG269" s="16" t="n">
        <f aca="false">(U269-W269)*INDEX(Parametros!$H$2:$H$9,MATCH($E269,Parametros!$A$2:$A$9,0))+W269*INDEX(Parametros!$H$2:$H$9,MATCH($E269,Parametros!$A$2:$A$9,0))*Parametros!$N$3</f>
        <v>30273.075</v>
      </c>
      <c r="AH269" s="13" t="n">
        <v>14883</v>
      </c>
      <c r="AI269" s="16" t="n">
        <f aca="false">AH269*Parametros!$N$2</f>
        <v>1369.236</v>
      </c>
      <c r="AJ269" s="18" t="n">
        <v>9159</v>
      </c>
      <c r="AK269" s="18" t="n">
        <v>523</v>
      </c>
      <c r="AL269" s="17" t="n">
        <f aca="false">AG269+AI269+AJ269+AK269</f>
        <v>41324.311</v>
      </c>
      <c r="AM269" s="20" t="n">
        <f aca="false">IF(L269&gt;0,AL269/L269,0)</f>
        <v>0.132970088069014</v>
      </c>
      <c r="AN269" s="16" t="n">
        <f aca="false">L269*INDEX(Parametros!$G$2:$G$9,MATCH($E269,Parametros!$A$2:$A$9,0))</f>
        <v>304563.42</v>
      </c>
      <c r="AO269" s="17" t="n">
        <f aca="false">AN269-AC269-AL269</f>
        <v>79556.079</v>
      </c>
      <c r="AP269" s="15" t="n">
        <f aca="false">IF(AN269&gt;0,AO269/AN269,0)</f>
        <v>0.261213506861724</v>
      </c>
      <c r="AQ269" s="16" t="n">
        <f aca="false">INDEX(Parametros!$I$2:$I$9,MATCH($E269,Parametros!$A$2:$A$9,0))</f>
        <v>17000000</v>
      </c>
      <c r="AR269" s="19" t="n">
        <f aca="false">IF(AQ269&gt;0,AO269/AQ269,0)</f>
        <v>0.00467976935294118</v>
      </c>
    </row>
    <row r="270" customFormat="false" ht="15" hidden="false" customHeight="false" outlineLevel="0" collapsed="false">
      <c r="A270" s="5" t="s">
        <v>405</v>
      </c>
      <c r="B270" s="9" t="n">
        <v>45782</v>
      </c>
      <c r="C270" s="2" t="str">
        <f aca="false">TEXT(B270,"yyyy")</f>
        <v>2025</v>
      </c>
      <c r="D270" s="2" t="n">
        <f aca="false">WEEKNUM(B270,2)</f>
        <v>19</v>
      </c>
      <c r="E270" s="5" t="s">
        <v>138</v>
      </c>
      <c r="F270" s="6" t="str">
        <f aca="false">INDEX(Parametros!$B$2:$B$9,MATCH($E270,Parametros!$A$2:$A$9,0))</f>
        <v>Queso crema</v>
      </c>
      <c r="G270" s="10" t="n">
        <v>100.9</v>
      </c>
      <c r="H270" s="10" t="n">
        <v>5.9</v>
      </c>
      <c r="I270" s="11" t="n">
        <f aca="false">SUMIFS(Eventos_Paro!$J$2:$J$2186,Eventos_Paro!$D$2:$D$2186,$E270,Eventos_Paro!$B$2:$B$2186,$B270)</f>
        <v>7.26666666666667</v>
      </c>
      <c r="J270" s="12" t="n">
        <f aca="false">G270-H270-I270</f>
        <v>87.7333333333333</v>
      </c>
      <c r="K270" s="13" t="n">
        <v>293619</v>
      </c>
      <c r="L270" s="13" t="n">
        <v>256492</v>
      </c>
      <c r="M270" s="13" t="n">
        <v>14877</v>
      </c>
      <c r="N270" s="14" t="n">
        <f aca="false">L270+M270</f>
        <v>271369</v>
      </c>
      <c r="O270" s="11" t="n">
        <f aca="false">INDEX(Parametros!$D$2:$D$9,MATCH($E270,Parametros!$A$2:$A$9,0))</f>
        <v>3800</v>
      </c>
      <c r="P270" s="15" t="n">
        <f aca="false">IF((G270-H270)&gt;0,J270/(G270-H270),0)</f>
        <v>0.923508771929825</v>
      </c>
      <c r="Q270" s="15" t="n">
        <f aca="false">IF(J270*O270&gt;0,N270/(O270*J270),0)</f>
        <v>0.813976763717805</v>
      </c>
      <c r="R270" s="15" t="n">
        <f aca="false">IF(N270&gt;0,L270/N270,0)</f>
        <v>0.945177968006663</v>
      </c>
      <c r="S270" s="15" t="n">
        <f aca="false">P270*Q270*R270</f>
        <v>0.710504155124654</v>
      </c>
      <c r="T270" s="15" t="n">
        <f aca="false">IF(K270&gt;0,L270/K270,0)</f>
        <v>0.873553823151772</v>
      </c>
      <c r="U270" s="10" t="n">
        <v>1559.4</v>
      </c>
      <c r="V270" s="5" t="n">
        <v>15</v>
      </c>
      <c r="W270" s="10" t="n">
        <v>45.9</v>
      </c>
      <c r="X270" s="15" t="n">
        <f aca="false">IF(U270&gt;0,W270/U270,0)</f>
        <v>0.0294343978453251</v>
      </c>
      <c r="Y270" s="12" t="n">
        <f aca="false">IF(U270&gt;0,L270/U270,0)</f>
        <v>164.481210722073</v>
      </c>
      <c r="Z270" s="16" t="n">
        <f aca="false">L270*INDEX(Parametros!$E$2:$E$9,MATCH($E270,Parametros!$A$2:$A$9,0))</f>
        <v>287271.04</v>
      </c>
      <c r="AA270" s="16" t="n">
        <f aca="false">Z270*INDEX(Parametros!$F$2:$F$9,MATCH($E270,Parametros!$A$2:$A$9,0))</f>
        <v>10054.4864</v>
      </c>
      <c r="AB270" s="17" t="n">
        <f aca="false">Z270+AA270</f>
        <v>297325.5264</v>
      </c>
      <c r="AC270" s="18" t="n">
        <v>297687.5</v>
      </c>
      <c r="AD270" s="17" t="n">
        <f aca="false">AC270-AB270</f>
        <v>361.973599999968</v>
      </c>
      <c r="AE270" s="17" t="n">
        <f aca="false">AA270+AD270</f>
        <v>10416.46</v>
      </c>
      <c r="AF270" s="19" t="n">
        <f aca="false">IF(Z270&gt;0,AE270/Z270,0)</f>
        <v>0.0362600420842977</v>
      </c>
      <c r="AG270" s="16" t="n">
        <f aca="false">(U270-W270)*INDEX(Parametros!$H$2:$H$9,MATCH($E270,Parametros!$A$2:$A$9,0))+W270*INDEX(Parametros!$H$2:$H$9,MATCH($E270,Parametros!$A$2:$A$9,0))*Parametros!$N$3</f>
        <v>52217.55</v>
      </c>
      <c r="AH270" s="13" t="n">
        <v>14619</v>
      </c>
      <c r="AI270" s="16" t="n">
        <f aca="false">AH270*Parametros!$N$2</f>
        <v>1344.948</v>
      </c>
      <c r="AJ270" s="18" t="n">
        <v>17604</v>
      </c>
      <c r="AK270" s="18" t="n">
        <v>5322</v>
      </c>
      <c r="AL270" s="17" t="n">
        <f aca="false">AG270+AI270+AJ270+AK270</f>
        <v>76488.498</v>
      </c>
      <c r="AM270" s="20" t="n">
        <f aca="false">IF(L270&gt;0,AL270/L270,0)</f>
        <v>0.298210072828782</v>
      </c>
      <c r="AN270" s="16" t="n">
        <f aca="false">L270*INDEX(Parametros!$G$2:$G$9,MATCH($E270,Parametros!$A$2:$A$9,0))</f>
        <v>459120.68</v>
      </c>
      <c r="AO270" s="17" t="n">
        <f aca="false">AN270-AC270-AL270</f>
        <v>84944.682</v>
      </c>
      <c r="AP270" s="15" t="n">
        <f aca="false">IF(AN270&gt;0,AO270/AN270,0)</f>
        <v>0.18501602236693</v>
      </c>
      <c r="AQ270" s="16" t="n">
        <f aca="false">INDEX(Parametros!$I$2:$I$9,MATCH($E270,Parametros!$A$2:$A$9,0))</f>
        <v>33200000</v>
      </c>
      <c r="AR270" s="19" t="n">
        <f aca="false">IF(AQ270&gt;0,AO270/AQ270,0)</f>
        <v>0.00255857475903615</v>
      </c>
    </row>
    <row r="271" customFormat="false" ht="15" hidden="false" customHeight="false" outlineLevel="0" collapsed="false">
      <c r="A271" s="5" t="s">
        <v>406</v>
      </c>
      <c r="B271" s="9" t="n">
        <v>45782</v>
      </c>
      <c r="C271" s="2" t="str">
        <f aca="false">TEXT(B271,"yyyy")</f>
        <v>2025</v>
      </c>
      <c r="D271" s="2" t="n">
        <f aca="false">WEEKNUM(B271,2)</f>
        <v>19</v>
      </c>
      <c r="E271" s="5" t="s">
        <v>140</v>
      </c>
      <c r="F271" s="6" t="str">
        <f aca="false">INDEX(Parametros!$B$2:$B$9,MATCH($E271,Parametros!$A$2:$A$9,0))</f>
        <v>Crema de cacahuate</v>
      </c>
      <c r="G271" s="10" t="n">
        <v>109</v>
      </c>
      <c r="H271" s="10" t="n">
        <v>7.1</v>
      </c>
      <c r="I271" s="11" t="n">
        <f aca="false">SUMIFS(Eventos_Paro!$J$2:$J$2186,Eventos_Paro!$D$2:$D$2186,$E271,Eventos_Paro!$B$2:$B$2186,$B271)</f>
        <v>0.45</v>
      </c>
      <c r="J271" s="12" t="n">
        <f aca="false">G271-H271-I271</f>
        <v>101.45</v>
      </c>
      <c r="K271" s="13" t="n">
        <v>348098</v>
      </c>
      <c r="L271" s="13" t="n">
        <v>354836</v>
      </c>
      <c r="M271" s="13" t="n">
        <v>2174</v>
      </c>
      <c r="N271" s="14" t="n">
        <f aca="false">L271+M271</f>
        <v>357010</v>
      </c>
      <c r="O271" s="11" t="n">
        <f aca="false">INDEX(Parametros!$D$2:$D$9,MATCH($E271,Parametros!$A$2:$A$9,0))</f>
        <v>4200</v>
      </c>
      <c r="P271" s="15" t="n">
        <f aca="false">IF((G271-H271)&gt;0,J271/(G271-H271),0)</f>
        <v>0.99558390578999</v>
      </c>
      <c r="Q271" s="15" t="n">
        <f aca="false">IF(J271*O271&gt;0,N271/(O271*J271),0)</f>
        <v>0.837874627426131</v>
      </c>
      <c r="R271" s="15" t="n">
        <f aca="false">IF(N271&gt;0,L271/N271,0)</f>
        <v>0.993910534718915</v>
      </c>
      <c r="S271" s="15" t="n">
        <f aca="false">P271*Q271*R271</f>
        <v>0.829094817514837</v>
      </c>
      <c r="T271" s="15" t="n">
        <f aca="false">IF(K271&gt;0,L271/K271,0)</f>
        <v>1.01935661796391</v>
      </c>
      <c r="U271" s="10" t="n">
        <v>1540.2</v>
      </c>
      <c r="V271" s="5" t="n">
        <v>13</v>
      </c>
      <c r="W271" s="10" t="n">
        <v>123.2</v>
      </c>
      <c r="X271" s="15" t="n">
        <f aca="false">IF(U271&gt;0,W271/U271,0)</f>
        <v>0.0799896117387352</v>
      </c>
      <c r="Y271" s="12" t="n">
        <f aca="false">IF(U271&gt;0,L271/U271,0)</f>
        <v>230.383067134138</v>
      </c>
      <c r="Z271" s="16" t="n">
        <f aca="false">L271*INDEX(Parametros!$E$2:$E$9,MATCH($E271,Parametros!$A$2:$A$9,0))</f>
        <v>344190.92</v>
      </c>
      <c r="AA271" s="16" t="n">
        <f aca="false">Z271*INDEX(Parametros!$F$2:$F$9,MATCH($E271,Parametros!$A$2:$A$9,0))</f>
        <v>7572.20024</v>
      </c>
      <c r="AB271" s="17" t="n">
        <f aca="false">Z271+AA271</f>
        <v>351763.12024</v>
      </c>
      <c r="AC271" s="18" t="n">
        <v>345450.46</v>
      </c>
      <c r="AD271" s="17" t="n">
        <f aca="false">AC271-AB271</f>
        <v>-6312.66023999994</v>
      </c>
      <c r="AE271" s="17" t="n">
        <f aca="false">AA271+AD271</f>
        <v>1259.54000000006</v>
      </c>
      <c r="AF271" s="19" t="n">
        <f aca="false">IF(Z271&gt;0,AE271/Z271,0)</f>
        <v>0.00365942250887984</v>
      </c>
      <c r="AG271" s="16" t="n">
        <f aca="false">(U271-W271)*INDEX(Parametros!$H$2:$H$9,MATCH($E271,Parametros!$A$2:$A$9,0))+W271*INDEX(Parametros!$H$2:$H$9,MATCH($E271,Parametros!$A$2:$A$9,0))*Parametros!$N$3</f>
        <v>50456.7</v>
      </c>
      <c r="AH271" s="13" t="n">
        <v>18670</v>
      </c>
      <c r="AI271" s="16" t="n">
        <f aca="false">AH271*Parametros!$N$2</f>
        <v>1717.64</v>
      </c>
      <c r="AJ271" s="18" t="n">
        <v>13281</v>
      </c>
      <c r="AK271" s="18" t="n">
        <v>418</v>
      </c>
      <c r="AL271" s="17" t="n">
        <f aca="false">AG271+AI271+AJ271+AK271</f>
        <v>65873.34</v>
      </c>
      <c r="AM271" s="20" t="n">
        <f aca="false">IF(L271&gt;0,AL271/L271,0)</f>
        <v>0.185644466739564</v>
      </c>
      <c r="AN271" s="16" t="n">
        <f aca="false">L271*INDEX(Parametros!$G$2:$G$9,MATCH($E271,Parametros!$A$2:$A$9,0))</f>
        <v>574834.32</v>
      </c>
      <c r="AO271" s="17" t="n">
        <f aca="false">AN271-AC271-AL271</f>
        <v>163510.52</v>
      </c>
      <c r="AP271" s="15" t="n">
        <f aca="false">IF(AN271&gt;0,AO271/AN271,0)</f>
        <v>0.284448082362236</v>
      </c>
      <c r="AQ271" s="16" t="n">
        <f aca="false">INDEX(Parametros!$I$2:$I$9,MATCH($E271,Parametros!$A$2:$A$9,0))</f>
        <v>28000000</v>
      </c>
      <c r="AR271" s="19" t="n">
        <f aca="false">IF(AQ271&gt;0,AO271/AQ271,0)</f>
        <v>0.00583966142857143</v>
      </c>
    </row>
    <row r="272" customFormat="false" ht="15" hidden="false" customHeight="false" outlineLevel="0" collapsed="false">
      <c r="A272" s="5" t="s">
        <v>407</v>
      </c>
      <c r="B272" s="9" t="n">
        <v>45782</v>
      </c>
      <c r="C272" s="2" t="str">
        <f aca="false">TEXT(B272,"yyyy")</f>
        <v>2025</v>
      </c>
      <c r="D272" s="2" t="n">
        <f aca="false">WEEKNUM(B272,2)</f>
        <v>19</v>
      </c>
      <c r="E272" s="5" t="s">
        <v>142</v>
      </c>
      <c r="F272" s="6" t="str">
        <f aca="false">INDEX(Parametros!$B$2:$B$9,MATCH($E272,Parametros!$A$2:$A$9,0))</f>
        <v>Porciones single serve</v>
      </c>
      <c r="G272" s="10" t="n">
        <v>89.9</v>
      </c>
      <c r="H272" s="10" t="n">
        <v>8.2</v>
      </c>
      <c r="I272" s="11" t="n">
        <f aca="false">SUMIFS(Eventos_Paro!$J$2:$J$2186,Eventos_Paro!$D$2:$D$2186,$E272,Eventos_Paro!$B$2:$B$2186,$B272)</f>
        <v>1.76666666666667</v>
      </c>
      <c r="J272" s="12" t="n">
        <f aca="false">G272-H272-I272</f>
        <v>79.9333333333333</v>
      </c>
      <c r="K272" s="13" t="n">
        <v>172772</v>
      </c>
      <c r="L272" s="13" t="n">
        <v>149447</v>
      </c>
      <c r="M272" s="13" t="n">
        <v>8601</v>
      </c>
      <c r="N272" s="14" t="n">
        <f aca="false">L272+M272</f>
        <v>158048</v>
      </c>
      <c r="O272" s="11" t="n">
        <f aca="false">INDEX(Parametros!$D$2:$D$9,MATCH($E272,Parametros!$A$2:$A$9,0))</f>
        <v>2600</v>
      </c>
      <c r="P272" s="15" t="n">
        <f aca="false">IF((G272-H272)&gt;0,J272/(G272-H272),0)</f>
        <v>0.978376172990616</v>
      </c>
      <c r="Q272" s="15" t="n">
        <f aca="false">IF(J272*O272&gt;0,N272/(O272*J272),0)</f>
        <v>0.760479887085392</v>
      </c>
      <c r="R272" s="15" t="n">
        <f aca="false">IF(N272&gt;0,L272/N272,0)</f>
        <v>0.945579823850982</v>
      </c>
      <c r="S272" s="15" t="n">
        <f aca="false">P272*Q272*R272</f>
        <v>0.703544863948781</v>
      </c>
      <c r="T272" s="15" t="n">
        <f aca="false">IF(K272&gt;0,L272/K272,0)</f>
        <v>0.864995485379575</v>
      </c>
      <c r="U272" s="10" t="n">
        <v>1508.5</v>
      </c>
      <c r="V272" s="5" t="n">
        <v>16</v>
      </c>
      <c r="W272" s="10" t="n">
        <v>70.1</v>
      </c>
      <c r="X272" s="15" t="n">
        <f aca="false">IF(U272&gt;0,W272/U272,0)</f>
        <v>0.0464700033145509</v>
      </c>
      <c r="Y272" s="12" t="n">
        <f aca="false">IF(U272&gt;0,L272/U272,0)</f>
        <v>99.0699370235333</v>
      </c>
      <c r="Z272" s="16" t="n">
        <f aca="false">L272*INDEX(Parametros!$E$2:$E$9,MATCH($E272,Parametros!$A$2:$A$9,0))</f>
        <v>110590.78</v>
      </c>
      <c r="AA272" s="16" t="n">
        <f aca="false">Z272*INDEX(Parametros!$F$2:$F$9,MATCH($E272,Parametros!$A$2:$A$9,0))</f>
        <v>4976.5851</v>
      </c>
      <c r="AB272" s="17" t="n">
        <f aca="false">Z272+AA272</f>
        <v>115567.3651</v>
      </c>
      <c r="AC272" s="18" t="n">
        <v>114935.31</v>
      </c>
      <c r="AD272" s="17" t="n">
        <f aca="false">AC272-AB272</f>
        <v>-632.055099999998</v>
      </c>
      <c r="AE272" s="17" t="n">
        <f aca="false">AA272+AD272</f>
        <v>4344.53</v>
      </c>
      <c r="AF272" s="19" t="n">
        <f aca="false">IF(Z272&gt;0,AE272/Z272,0)</f>
        <v>0.0392847396500866</v>
      </c>
      <c r="AG272" s="16" t="n">
        <f aca="false">(U272-W272)*INDEX(Parametros!$H$2:$H$9,MATCH($E272,Parametros!$A$2:$A$9,0))+W272*INDEX(Parametros!$H$2:$H$9,MATCH($E272,Parametros!$A$2:$A$9,0))*Parametros!$N$3</f>
        <v>46306.5</v>
      </c>
      <c r="AH272" s="13" t="n">
        <v>8475</v>
      </c>
      <c r="AI272" s="16" t="n">
        <f aca="false">AH272*Parametros!$N$2</f>
        <v>779.7</v>
      </c>
      <c r="AJ272" s="18" t="n">
        <v>11713</v>
      </c>
      <c r="AK272" s="18" t="n">
        <v>1178</v>
      </c>
      <c r="AL272" s="17" t="n">
        <f aca="false">AG272+AI272+AJ272+AK272</f>
        <v>59977.2</v>
      </c>
      <c r="AM272" s="20" t="n">
        <f aca="false">IF(L272&gt;0,AL272/L272,0)</f>
        <v>0.401327560941337</v>
      </c>
      <c r="AN272" s="16" t="n">
        <f aca="false">L272*INDEX(Parametros!$G$2:$G$9,MATCH($E272,Parametros!$A$2:$A$9,0))</f>
        <v>257048.84</v>
      </c>
      <c r="AO272" s="17" t="n">
        <f aca="false">AN272-AC272-AL272</f>
        <v>82136.33</v>
      </c>
      <c r="AP272" s="15" t="n">
        <f aca="false">IF(AN272&gt;0,AO272/AN272,0)</f>
        <v>0.319535890533488</v>
      </c>
      <c r="AQ272" s="16" t="n">
        <f aca="false">INDEX(Parametros!$I$2:$I$9,MATCH($E272,Parametros!$A$2:$A$9,0))</f>
        <v>15900000</v>
      </c>
      <c r="AR272" s="19" t="n">
        <f aca="false">IF(AQ272&gt;0,AO272/AQ272,0)</f>
        <v>0.00516580691823899</v>
      </c>
    </row>
    <row r="273" customFormat="false" ht="15" hidden="false" customHeight="false" outlineLevel="0" collapsed="false">
      <c r="A273" s="5" t="s">
        <v>408</v>
      </c>
      <c r="B273" s="9" t="n">
        <v>45782</v>
      </c>
      <c r="C273" s="2" t="str">
        <f aca="false">TEXT(B273,"yyyy")</f>
        <v>2025</v>
      </c>
      <c r="D273" s="2" t="n">
        <f aca="false">WEEKNUM(B273,2)</f>
        <v>19</v>
      </c>
      <c r="E273" s="5" t="s">
        <v>144</v>
      </c>
      <c r="F273" s="6" t="str">
        <f aca="false">INDEX(Parametros!$B$2:$B$9,MATCH($E273,Parametros!$A$2:$A$9,0))</f>
        <v>Salsas picantes</v>
      </c>
      <c r="G273" s="10" t="n">
        <v>107.7</v>
      </c>
      <c r="H273" s="10" t="n">
        <v>9</v>
      </c>
      <c r="I273" s="11" t="n">
        <f aca="false">SUMIFS(Eventos_Paro!$J$2:$J$2186,Eventos_Paro!$D$2:$D$2186,$E273,Eventos_Paro!$B$2:$B$2186,$B273)</f>
        <v>2.58333333333333</v>
      </c>
      <c r="J273" s="12" t="n">
        <f aca="false">G273-H273-I273</f>
        <v>96.1166666666667</v>
      </c>
      <c r="K273" s="13" t="n">
        <v>238080</v>
      </c>
      <c r="L273" s="13" t="n">
        <v>249252</v>
      </c>
      <c r="M273" s="13" t="n">
        <v>6035</v>
      </c>
      <c r="N273" s="14" t="n">
        <f aca="false">L273+M273</f>
        <v>255287</v>
      </c>
      <c r="O273" s="11" t="n">
        <f aca="false">INDEX(Parametros!$D$2:$D$9,MATCH($E273,Parametros!$A$2:$A$9,0))</f>
        <v>3100</v>
      </c>
      <c r="P273" s="15" t="n">
        <f aca="false">IF((G273-H273)&gt;0,J273/(G273-H273),0)</f>
        <v>0.973826409996623</v>
      </c>
      <c r="Q273" s="15" t="n">
        <f aca="false">IF(J273*O273&gt;0,N273/(O273*J273),0)</f>
        <v>0.856777997169658</v>
      </c>
      <c r="R273" s="15" t="n">
        <f aca="false">IF(N273&gt;0,L273/N273,0)</f>
        <v>0.97635993998911</v>
      </c>
      <c r="S273" s="15" t="n">
        <f aca="false">P273*Q273*R273</f>
        <v>0.814628885184822</v>
      </c>
      <c r="T273" s="15" t="n">
        <f aca="false">IF(K273&gt;0,L273/K273,0)</f>
        <v>1.04692540322581</v>
      </c>
      <c r="U273" s="10" t="n">
        <v>1027.5</v>
      </c>
      <c r="V273" s="5" t="n">
        <v>9</v>
      </c>
      <c r="W273" s="10" t="n">
        <v>58.2</v>
      </c>
      <c r="X273" s="15" t="n">
        <f aca="false">IF(U273&gt;0,W273/U273,0)</f>
        <v>0.0566423357664234</v>
      </c>
      <c r="Y273" s="12" t="n">
        <f aca="false">IF(U273&gt;0,L273/U273,0)</f>
        <v>242.58102189781</v>
      </c>
      <c r="Z273" s="16" t="n">
        <f aca="false">L273*INDEX(Parametros!$E$2:$E$9,MATCH($E273,Parametros!$A$2:$A$9,0))</f>
        <v>164506.32</v>
      </c>
      <c r="AA273" s="16" t="n">
        <f aca="false">Z273*INDEX(Parametros!$F$2:$F$9,MATCH($E273,Parametros!$A$2:$A$9,0))</f>
        <v>4277.16432</v>
      </c>
      <c r="AB273" s="17" t="n">
        <f aca="false">Z273+AA273</f>
        <v>168783.48432</v>
      </c>
      <c r="AC273" s="18" t="n">
        <v>167857.56</v>
      </c>
      <c r="AD273" s="17" t="n">
        <f aca="false">AC273-AB273</f>
        <v>-925.92432000002</v>
      </c>
      <c r="AE273" s="17" t="n">
        <f aca="false">AA273+AD273</f>
        <v>3351.23999999998</v>
      </c>
      <c r="AF273" s="19" t="n">
        <f aca="false">IF(Z273&gt;0,AE273/Z273,0)</f>
        <v>0.02037149697349</v>
      </c>
      <c r="AG273" s="16" t="n">
        <f aca="false">(U273-W273)*INDEX(Parametros!$H$2:$H$9,MATCH($E273,Parametros!$A$2:$A$9,0))+W273*INDEX(Parametros!$H$2:$H$9,MATCH($E273,Parametros!$A$2:$A$9,0))*Parametros!$N$3</f>
        <v>33282.9</v>
      </c>
      <c r="AH273" s="13" t="n">
        <v>12916</v>
      </c>
      <c r="AI273" s="16" t="n">
        <f aca="false">AH273*Parametros!$N$2</f>
        <v>1188.272</v>
      </c>
      <c r="AJ273" s="18" t="n">
        <v>6799</v>
      </c>
      <c r="AK273" s="18" t="n">
        <v>2316</v>
      </c>
      <c r="AL273" s="17" t="n">
        <f aca="false">AG273+AI273+AJ273+AK273</f>
        <v>43586.172</v>
      </c>
      <c r="AM273" s="20" t="n">
        <f aca="false">IF(L273&gt;0,AL273/L273,0)</f>
        <v>0.174867892735063</v>
      </c>
      <c r="AN273" s="16" t="n">
        <f aca="false">L273*INDEX(Parametros!$G$2:$G$9,MATCH($E273,Parametros!$A$2:$A$9,0))</f>
        <v>311565</v>
      </c>
      <c r="AO273" s="17" t="n">
        <f aca="false">AN273-AC273-AL273</f>
        <v>100121.268</v>
      </c>
      <c r="AP273" s="15" t="n">
        <f aca="false">IF(AN273&gt;0,AO273/AN273,0)</f>
        <v>0.321349535409947</v>
      </c>
      <c r="AQ273" s="16" t="n">
        <f aca="false">INDEX(Parametros!$I$2:$I$9,MATCH($E273,Parametros!$A$2:$A$9,0))</f>
        <v>13300000</v>
      </c>
      <c r="AR273" s="19" t="n">
        <f aca="false">IF(AQ273&gt;0,AO273/AQ273,0)</f>
        <v>0.00752791488721805</v>
      </c>
    </row>
    <row r="274" customFormat="false" ht="15" hidden="false" customHeight="false" outlineLevel="0" collapsed="false">
      <c r="A274" s="5" t="s">
        <v>409</v>
      </c>
      <c r="B274" s="9" t="n">
        <v>45789</v>
      </c>
      <c r="C274" s="2" t="str">
        <f aca="false">TEXT(B274,"yyyy")</f>
        <v>2025</v>
      </c>
      <c r="D274" s="2" t="n">
        <f aca="false">WEEKNUM(B274,2)</f>
        <v>20</v>
      </c>
      <c r="E274" s="5" t="s">
        <v>130</v>
      </c>
      <c r="F274" s="6" t="str">
        <f aca="false">INDEX(Parametros!$B$2:$B$9,MATCH($E274,Parametros!$A$2:$A$9,0))</f>
        <v>Ketchup botella</v>
      </c>
      <c r="G274" s="10" t="n">
        <v>121.3</v>
      </c>
      <c r="H274" s="10" t="n">
        <v>6.2</v>
      </c>
      <c r="I274" s="11" t="n">
        <f aca="false">SUMIFS(Eventos_Paro!$J$2:$J$2186,Eventos_Paro!$D$2:$D$2186,$E274,Eventos_Paro!$B$2:$B$2186,$B274)</f>
        <v>3.38333333333333</v>
      </c>
      <c r="J274" s="12" t="n">
        <f aca="false">G274-H274-I274</f>
        <v>111.716666666667</v>
      </c>
      <c r="K274" s="13" t="n">
        <v>846071</v>
      </c>
      <c r="L274" s="13" t="n">
        <v>870467</v>
      </c>
      <c r="M274" s="13" t="n">
        <v>19099</v>
      </c>
      <c r="N274" s="14" t="n">
        <f aca="false">L274+M274</f>
        <v>889566</v>
      </c>
      <c r="O274" s="11" t="n">
        <f aca="false">INDEX(Parametros!$D$2:$D$9,MATCH($E274,Parametros!$A$2:$A$9,0))</f>
        <v>9000</v>
      </c>
      <c r="P274" s="15" t="n">
        <f aca="false">IF((G274-H274)&gt;0,J274/(G274-H274),0)</f>
        <v>0.970605270779033</v>
      </c>
      <c r="Q274" s="15" t="n">
        <f aca="false">IF(J274*O274&gt;0,N274/(O274*J274),0)</f>
        <v>0.88474414441295</v>
      </c>
      <c r="R274" s="15" t="n">
        <f aca="false">IF(N274&gt;0,L274/N274,0)</f>
        <v>0.978529979787897</v>
      </c>
      <c r="S274" s="15" t="n">
        <f aca="false">P274*Q274*R274</f>
        <v>0.840300222029153</v>
      </c>
      <c r="T274" s="15" t="n">
        <f aca="false">IF(K274&gt;0,L274/K274,0)</f>
        <v>1.02883445951935</v>
      </c>
      <c r="U274" s="10" t="n">
        <v>1656.4</v>
      </c>
      <c r="V274" s="5" t="n">
        <v>13</v>
      </c>
      <c r="W274" s="10" t="n">
        <v>79.5</v>
      </c>
      <c r="X274" s="15" t="n">
        <f aca="false">IF(U274&gt;0,W274/U274,0)</f>
        <v>0.047995653223859</v>
      </c>
      <c r="Y274" s="12" t="n">
        <f aca="false">IF(U274&gt;0,L274/U274,0)</f>
        <v>525.517387104564</v>
      </c>
      <c r="Z274" s="16" t="n">
        <f aca="false">L274*INDEX(Parametros!$E$2:$E$9,MATCH($E274,Parametros!$A$2:$A$9,0))</f>
        <v>365596.14</v>
      </c>
      <c r="AA274" s="16" t="n">
        <f aca="false">Z274*INDEX(Parametros!$F$2:$F$9,MATCH($E274,Parametros!$A$2:$A$9,0))</f>
        <v>7311.9228</v>
      </c>
      <c r="AB274" s="17" t="n">
        <f aca="false">Z274+AA274</f>
        <v>372908.0628</v>
      </c>
      <c r="AC274" s="18" t="n">
        <v>372101.8</v>
      </c>
      <c r="AD274" s="17" t="n">
        <f aca="false">AC274-AB274</f>
        <v>-806.262800000026</v>
      </c>
      <c r="AE274" s="17" t="n">
        <f aca="false">AA274+AD274</f>
        <v>6505.65999999997</v>
      </c>
      <c r="AF274" s="19" t="n">
        <f aca="false">IF(Z274&gt;0,AE274/Z274,0)</f>
        <v>0.0177946627117014</v>
      </c>
      <c r="AG274" s="16" t="n">
        <f aca="false">(U274-W274)*INDEX(Parametros!$H$2:$H$9,MATCH($E274,Parametros!$A$2:$A$9,0))+W274*INDEX(Parametros!$H$2:$H$9,MATCH($E274,Parametros!$A$2:$A$9,0))*Parametros!$N$3</f>
        <v>53428.725</v>
      </c>
      <c r="AH274" s="13" t="n">
        <v>44293</v>
      </c>
      <c r="AI274" s="16" t="n">
        <f aca="false">AH274*Parametros!$N$2</f>
        <v>4074.956</v>
      </c>
      <c r="AJ274" s="18" t="n">
        <v>14433</v>
      </c>
      <c r="AK274" s="18" t="n">
        <v>3519</v>
      </c>
      <c r="AL274" s="17" t="n">
        <f aca="false">AG274+AI274+AJ274+AK274</f>
        <v>75455.681</v>
      </c>
      <c r="AM274" s="20" t="n">
        <f aca="false">IF(L274&gt;0,AL274/L274,0)</f>
        <v>0.0866841373653453</v>
      </c>
      <c r="AN274" s="16" t="n">
        <f aca="false">L274*INDEX(Parametros!$G$2:$G$9,MATCH($E274,Parametros!$A$2:$A$9,0))</f>
        <v>618031.57</v>
      </c>
      <c r="AO274" s="17" t="n">
        <f aca="false">AN274-AC274-AL274</f>
        <v>170474.089</v>
      </c>
      <c r="AP274" s="15" t="n">
        <f aca="false">IF(AN274&gt;0,AO274/AN274,0)</f>
        <v>0.27583394971231</v>
      </c>
      <c r="AQ274" s="16" t="n">
        <f aca="false">INDEX(Parametros!$I$2:$I$9,MATCH($E274,Parametros!$A$2:$A$9,0))</f>
        <v>29300000</v>
      </c>
      <c r="AR274" s="19" t="n">
        <f aca="false">IF(AQ274&gt;0,AO274/AQ274,0)</f>
        <v>0.00581822829351536</v>
      </c>
    </row>
    <row r="275" customFormat="false" ht="15" hidden="false" customHeight="false" outlineLevel="0" collapsed="false">
      <c r="A275" s="5" t="s">
        <v>410</v>
      </c>
      <c r="B275" s="9" t="n">
        <v>45789</v>
      </c>
      <c r="C275" s="2" t="str">
        <f aca="false">TEXT(B275,"yyyy")</f>
        <v>2025</v>
      </c>
      <c r="D275" s="2" t="n">
        <f aca="false">WEEKNUM(B275,2)</f>
        <v>20</v>
      </c>
      <c r="E275" s="5" t="s">
        <v>132</v>
      </c>
      <c r="F275" s="6" t="str">
        <f aca="false">INDEX(Parametros!$B$2:$B$9,MATCH($E275,Parametros!$A$2:$A$9,0))</f>
        <v>Mayonesa frasco</v>
      </c>
      <c r="G275" s="10" t="n">
        <v>124.1</v>
      </c>
      <c r="H275" s="10" t="n">
        <v>5.9</v>
      </c>
      <c r="I275" s="11" t="n">
        <f aca="false">SUMIFS(Eventos_Paro!$J$2:$J$2186,Eventos_Paro!$D$2:$D$2186,$E275,Eventos_Paro!$B$2:$B$2186,$B275)</f>
        <v>3.01666666666667</v>
      </c>
      <c r="J275" s="12" t="n">
        <f aca="false">G275-H275-I275</f>
        <v>115.183333333333</v>
      </c>
      <c r="K275" s="13" t="n">
        <v>627508</v>
      </c>
      <c r="L275" s="13" t="n">
        <v>645740</v>
      </c>
      <c r="M275" s="13" t="n">
        <v>14554</v>
      </c>
      <c r="N275" s="14" t="n">
        <f aca="false">L275+M275</f>
        <v>660294</v>
      </c>
      <c r="O275" s="11" t="n">
        <f aca="false">INDEX(Parametros!$D$2:$D$9,MATCH($E275,Parametros!$A$2:$A$9,0))</f>
        <v>6500</v>
      </c>
      <c r="P275" s="15" t="n">
        <f aca="false">IF((G275-H275)&gt;0,J275/(G275-H275),0)</f>
        <v>0.974478285391991</v>
      </c>
      <c r="Q275" s="15" t="n">
        <f aca="false">IF(J275*O275&gt;0,N275/(O275*J275),0)</f>
        <v>0.881930478723996</v>
      </c>
      <c r="R275" s="15" t="n">
        <f aca="false">IF(N275&gt;0,L275/N275,0)</f>
        <v>0.977958303422415</v>
      </c>
      <c r="S275" s="15" t="n">
        <f aca="false">P275*Q275*R275</f>
        <v>0.840478979565274</v>
      </c>
      <c r="T275" s="15" t="n">
        <f aca="false">IF(K275&gt;0,L275/K275,0)</f>
        <v>1.02905460966235</v>
      </c>
      <c r="U275" s="10" t="n">
        <v>1758</v>
      </c>
      <c r="V275" s="5" t="n">
        <v>13</v>
      </c>
      <c r="W275" s="10" t="n">
        <v>144.7</v>
      </c>
      <c r="X275" s="15" t="n">
        <f aca="false">IF(U275&gt;0,W275/U275,0)</f>
        <v>0.0823094425483504</v>
      </c>
      <c r="Y275" s="12" t="n">
        <f aca="false">IF(U275&gt;0,L275/U275,0)</f>
        <v>367.315130830489</v>
      </c>
      <c r="Z275" s="16" t="n">
        <f aca="false">L275*INDEX(Parametros!$E$2:$E$9,MATCH($E275,Parametros!$A$2:$A$9,0))</f>
        <v>393901.4</v>
      </c>
      <c r="AA275" s="16" t="n">
        <f aca="false">Z275*INDEX(Parametros!$F$2:$F$9,MATCH($E275,Parametros!$A$2:$A$9,0))</f>
        <v>9847.535</v>
      </c>
      <c r="AB275" s="17" t="n">
        <f aca="false">Z275+AA275</f>
        <v>403748.935</v>
      </c>
      <c r="AC275" s="18" t="n">
        <v>406565.1</v>
      </c>
      <c r="AD275" s="17" t="n">
        <f aca="false">AC275-AB275</f>
        <v>2816.16500000004</v>
      </c>
      <c r="AE275" s="17" t="n">
        <f aca="false">AA275+AD275</f>
        <v>12663.7</v>
      </c>
      <c r="AF275" s="19" t="n">
        <f aca="false">IF(Z275&gt;0,AE275/Z275,0)</f>
        <v>0.032149416072144</v>
      </c>
      <c r="AG275" s="16" t="n">
        <f aca="false">(U275-W275)*INDEX(Parametros!$H$2:$H$9,MATCH($E275,Parametros!$A$2:$A$9,0))+W275*INDEX(Parametros!$H$2:$H$9,MATCH($E275,Parametros!$A$2:$A$9,0))*Parametros!$N$3</f>
        <v>57656.025</v>
      </c>
      <c r="AH275" s="13" t="n">
        <v>32044</v>
      </c>
      <c r="AI275" s="16" t="n">
        <f aca="false">AH275*Parametros!$N$2</f>
        <v>2948.048</v>
      </c>
      <c r="AJ275" s="18" t="n">
        <v>14099</v>
      </c>
      <c r="AK275" s="18" t="n">
        <v>3360</v>
      </c>
      <c r="AL275" s="17" t="n">
        <f aca="false">AG275+AI275+AJ275+AK275</f>
        <v>78063.073</v>
      </c>
      <c r="AM275" s="20" t="n">
        <f aca="false">IF(L275&gt;0,AL275/L275,0)</f>
        <v>0.120889325425094</v>
      </c>
      <c r="AN275" s="16" t="n">
        <f aca="false">L275*INDEX(Parametros!$G$2:$G$9,MATCH($E275,Parametros!$A$2:$A$9,0))</f>
        <v>619910.4</v>
      </c>
      <c r="AO275" s="17" t="n">
        <f aca="false">AN275-AC275-AL275</f>
        <v>135282.227</v>
      </c>
      <c r="AP275" s="15" t="n">
        <f aca="false">IF(AN275&gt;0,AO275/AN275,0)</f>
        <v>0.218228677886353</v>
      </c>
      <c r="AQ275" s="16" t="n">
        <f aca="false">INDEX(Parametros!$I$2:$I$9,MATCH($E275,Parametros!$A$2:$A$9,0))</f>
        <v>29700000</v>
      </c>
      <c r="AR275" s="19" t="n">
        <f aca="false">IF(AQ275&gt;0,AO275/AQ275,0)</f>
        <v>0.00455495713804714</v>
      </c>
    </row>
    <row r="276" customFormat="false" ht="15" hidden="false" customHeight="false" outlineLevel="0" collapsed="false">
      <c r="A276" s="5" t="s">
        <v>411</v>
      </c>
      <c r="B276" s="9" t="n">
        <v>45789</v>
      </c>
      <c r="C276" s="2" t="str">
        <f aca="false">TEXT(B276,"yyyy")</f>
        <v>2025</v>
      </c>
      <c r="D276" s="2" t="n">
        <f aca="false">WEEKNUM(B276,2)</f>
        <v>20</v>
      </c>
      <c r="E276" s="5" t="s">
        <v>134</v>
      </c>
      <c r="F276" s="6" t="str">
        <f aca="false">INDEX(Parametros!$B$2:$B$9,MATCH($E276,Parametros!$A$2:$A$9,0))</f>
        <v>Aderezos vertibles</v>
      </c>
      <c r="G276" s="10" t="n">
        <v>105.8</v>
      </c>
      <c r="H276" s="10" t="n">
        <v>8.4</v>
      </c>
      <c r="I276" s="11" t="n">
        <f aca="false">SUMIFS(Eventos_Paro!$J$2:$J$2186,Eventos_Paro!$D$2:$D$2186,$E276,Eventos_Paro!$B$2:$B$2186,$B276)</f>
        <v>1.21666666666667</v>
      </c>
      <c r="J276" s="12" t="n">
        <f aca="false">G276-H276-I276</f>
        <v>96.1833333333333</v>
      </c>
      <c r="K276" s="13" t="n">
        <v>413667</v>
      </c>
      <c r="L276" s="13" t="n">
        <v>418502</v>
      </c>
      <c r="M276" s="13" t="n">
        <v>18040</v>
      </c>
      <c r="N276" s="14" t="n">
        <f aca="false">L276+M276</f>
        <v>436542</v>
      </c>
      <c r="O276" s="11" t="n">
        <f aca="false">INDEX(Parametros!$D$2:$D$9,MATCH($E276,Parametros!$A$2:$A$9,0))</f>
        <v>5200</v>
      </c>
      <c r="P276" s="15" t="n">
        <f aca="false">IF((G276-H276)&gt;0,J276/(G276-H276),0)</f>
        <v>0.98750855578371</v>
      </c>
      <c r="Q276" s="15" t="n">
        <f aca="false">IF(J276*O276&gt;0,N276/(O276*J276),0)</f>
        <v>0.872816336323528</v>
      </c>
      <c r="R276" s="15" t="n">
        <f aca="false">IF(N276&gt;0,L276/N276,0)</f>
        <v>0.958675224835182</v>
      </c>
      <c r="S276" s="15" t="n">
        <f aca="false">P276*Q276*R276</f>
        <v>0.82629521402622</v>
      </c>
      <c r="T276" s="15" t="n">
        <f aca="false">IF(K276&gt;0,L276/K276,0)</f>
        <v>1.01168814529561</v>
      </c>
      <c r="U276" s="10" t="n">
        <v>1573.5</v>
      </c>
      <c r="V276" s="5" t="n">
        <v>13</v>
      </c>
      <c r="W276" s="10" t="n">
        <v>198.1</v>
      </c>
      <c r="X276" s="15" t="n">
        <f aca="false">IF(U276&gt;0,W276/U276,0)</f>
        <v>0.125897680330473</v>
      </c>
      <c r="Y276" s="12" t="n">
        <f aca="false">IF(U276&gt;0,L276/U276,0)</f>
        <v>265.968859231014</v>
      </c>
      <c r="Z276" s="16" t="n">
        <f aca="false">L276*INDEX(Parametros!$E$2:$E$9,MATCH($E276,Parametros!$A$2:$A$9,0))</f>
        <v>230176.1</v>
      </c>
      <c r="AA276" s="16" t="n">
        <f aca="false">Z276*INDEX(Parametros!$F$2:$F$9,MATCH($E276,Parametros!$A$2:$A$9,0))</f>
        <v>6905.283</v>
      </c>
      <c r="AB276" s="17" t="n">
        <f aca="false">Z276+AA276</f>
        <v>237081.383</v>
      </c>
      <c r="AC276" s="18" t="n">
        <v>232500.38</v>
      </c>
      <c r="AD276" s="17" t="n">
        <f aca="false">AC276-AB276</f>
        <v>-4581.003</v>
      </c>
      <c r="AE276" s="17" t="n">
        <f aca="false">AA276+AD276</f>
        <v>2324.28</v>
      </c>
      <c r="AF276" s="19" t="n">
        <f aca="false">IF(Z276&gt;0,AE276/Z276,0)</f>
        <v>0.010097833788999</v>
      </c>
      <c r="AG276" s="16" t="n">
        <f aca="false">(U276-W276)*INDEX(Parametros!$H$2:$H$9,MATCH($E276,Parametros!$A$2:$A$9,0))+W276*INDEX(Parametros!$H$2:$H$9,MATCH($E276,Parametros!$A$2:$A$9,0))*Parametros!$N$3</f>
        <v>52685.325</v>
      </c>
      <c r="AH276" s="13" t="n">
        <v>22765</v>
      </c>
      <c r="AI276" s="16" t="n">
        <f aca="false">AH276*Parametros!$N$2</f>
        <v>2094.38</v>
      </c>
      <c r="AJ276" s="18" t="n">
        <v>10709</v>
      </c>
      <c r="AK276" s="18" t="n">
        <v>757</v>
      </c>
      <c r="AL276" s="17" t="n">
        <f aca="false">AG276+AI276+AJ276+AK276</f>
        <v>66245.705</v>
      </c>
      <c r="AM276" s="20" t="n">
        <f aca="false">IF(L276&gt;0,AL276/L276,0)</f>
        <v>0.158292445436342</v>
      </c>
      <c r="AN276" s="16" t="n">
        <f aca="false">L276*INDEX(Parametros!$G$2:$G$9,MATCH($E276,Parametros!$A$2:$A$9,0))</f>
        <v>426872.04</v>
      </c>
      <c r="AO276" s="17" t="n">
        <f aca="false">AN276-AC276-AL276</f>
        <v>128125.955</v>
      </c>
      <c r="AP276" s="15" t="n">
        <f aca="false">IF(AN276&gt;0,AO276/AN276,0)</f>
        <v>0.300150731352655</v>
      </c>
      <c r="AQ276" s="16" t="n">
        <f aca="false">INDEX(Parametros!$I$2:$I$9,MATCH($E276,Parametros!$A$2:$A$9,0))</f>
        <v>19300000</v>
      </c>
      <c r="AR276" s="19" t="n">
        <f aca="false">IF(AQ276&gt;0,AO276/AQ276,0)</f>
        <v>0.00663865051813471</v>
      </c>
    </row>
    <row r="277" customFormat="false" ht="15" hidden="false" customHeight="false" outlineLevel="0" collapsed="false">
      <c r="A277" s="5" t="s">
        <v>412</v>
      </c>
      <c r="B277" s="9" t="n">
        <v>45789</v>
      </c>
      <c r="C277" s="2" t="str">
        <f aca="false">TEXT(B277,"yyyy")</f>
        <v>2025</v>
      </c>
      <c r="D277" s="2" t="n">
        <f aca="false">WEEKNUM(B277,2)</f>
        <v>20</v>
      </c>
      <c r="E277" s="5" t="s">
        <v>136</v>
      </c>
      <c r="F277" s="6" t="str">
        <f aca="false">INDEX(Parametros!$B$2:$B$9,MATCH($E277,Parametros!$A$2:$A$9,0))</f>
        <v>Salsa BBQ</v>
      </c>
      <c r="G277" s="10" t="n">
        <v>109.1</v>
      </c>
      <c r="H277" s="10" t="n">
        <v>5.3</v>
      </c>
      <c r="I277" s="11" t="n">
        <f aca="false">SUMIFS(Eventos_Paro!$J$2:$J$2186,Eventos_Paro!$D$2:$D$2186,$E277,Eventos_Paro!$B$2:$B$2186,$B277)</f>
        <v>4.45</v>
      </c>
      <c r="J277" s="12" t="n">
        <f aca="false">G277-H277-I277</f>
        <v>99.35</v>
      </c>
      <c r="K277" s="13" t="n">
        <v>436145</v>
      </c>
      <c r="L277" s="13" t="n">
        <v>381458</v>
      </c>
      <c r="M277" s="13" t="n">
        <v>11242</v>
      </c>
      <c r="N277" s="14" t="n">
        <f aca="false">L277+M277</f>
        <v>392700</v>
      </c>
      <c r="O277" s="11" t="n">
        <f aca="false">INDEX(Parametros!$D$2:$D$9,MATCH($E277,Parametros!$A$2:$A$9,0))</f>
        <v>4800</v>
      </c>
      <c r="P277" s="15" t="n">
        <f aca="false">IF((G277-H277)&gt;0,J277/(G277-H277),0)</f>
        <v>0.957129094412331</v>
      </c>
      <c r="Q277" s="15" t="n">
        <f aca="false">IF(J277*O277&gt;0,N277/(O277*J277),0)</f>
        <v>0.823477604428787</v>
      </c>
      <c r="R277" s="15" t="n">
        <f aca="false">IF(N277&gt;0,L277/N277,0)</f>
        <v>0.971372549019608</v>
      </c>
      <c r="S277" s="15" t="n">
        <f aca="false">P277*Q277*R277</f>
        <v>0.765610950545922</v>
      </c>
      <c r="T277" s="15" t="n">
        <f aca="false">IF(K277&gt;0,L277/K277,0)</f>
        <v>0.874612800788729</v>
      </c>
      <c r="U277" s="10" t="n">
        <v>1224.1</v>
      </c>
      <c r="V277" s="5" t="n">
        <v>10</v>
      </c>
      <c r="W277" s="10" t="n">
        <v>133.1</v>
      </c>
      <c r="X277" s="15" t="n">
        <f aca="false">IF(U277&gt;0,W277/U277,0)</f>
        <v>0.108732946654685</v>
      </c>
      <c r="Y277" s="12" t="n">
        <f aca="false">IF(U277&gt;0,L277/U277,0)</f>
        <v>311.623233395964</v>
      </c>
      <c r="Z277" s="16" t="n">
        <f aca="false">L277*INDEX(Parametros!$E$2:$E$9,MATCH($E277,Parametros!$A$2:$A$9,0))</f>
        <v>221245.64</v>
      </c>
      <c r="AA277" s="16" t="n">
        <f aca="false">Z277*INDEX(Parametros!$F$2:$F$9,MATCH($E277,Parametros!$A$2:$A$9,0))</f>
        <v>6194.87792</v>
      </c>
      <c r="AB277" s="17" t="n">
        <f aca="false">Z277+AA277</f>
        <v>227440.51792</v>
      </c>
      <c r="AC277" s="18" t="n">
        <v>229904.29</v>
      </c>
      <c r="AD277" s="17" t="n">
        <f aca="false">AC277-AB277</f>
        <v>2463.77208000002</v>
      </c>
      <c r="AE277" s="17" t="n">
        <f aca="false">AA277+AD277</f>
        <v>8658.65000000002</v>
      </c>
      <c r="AF277" s="19" t="n">
        <f aca="false">IF(Z277&gt;0,AE277/Z277,0)</f>
        <v>0.039135912463631</v>
      </c>
      <c r="AG277" s="16" t="n">
        <f aca="false">(U277-W277)*INDEX(Parametros!$H$2:$H$9,MATCH($E277,Parametros!$A$2:$A$9,0))+W277*INDEX(Parametros!$H$2:$H$9,MATCH($E277,Parametros!$A$2:$A$9,0))*Parametros!$N$3</f>
        <v>40655.475</v>
      </c>
      <c r="AH277" s="13" t="n">
        <v>21672</v>
      </c>
      <c r="AI277" s="16" t="n">
        <f aca="false">AH277*Parametros!$N$2</f>
        <v>1993.824</v>
      </c>
      <c r="AJ277" s="18" t="n">
        <v>8812</v>
      </c>
      <c r="AK277" s="18" t="n">
        <v>2936</v>
      </c>
      <c r="AL277" s="17" t="n">
        <f aca="false">AG277+AI277+AJ277+AK277</f>
        <v>54397.299</v>
      </c>
      <c r="AM277" s="20" t="n">
        <f aca="false">IF(L277&gt;0,AL277/L277,0)</f>
        <v>0.142603639194879</v>
      </c>
      <c r="AN277" s="16" t="n">
        <f aca="false">L277*INDEX(Parametros!$G$2:$G$9,MATCH($E277,Parametros!$A$2:$A$9,0))</f>
        <v>373828.84</v>
      </c>
      <c r="AO277" s="17" t="n">
        <f aca="false">AN277-AC277-AL277</f>
        <v>89527.251</v>
      </c>
      <c r="AP277" s="15" t="n">
        <f aca="false">IF(AN277&gt;0,AO277/AN277,0)</f>
        <v>0.239487277118587</v>
      </c>
      <c r="AQ277" s="16" t="n">
        <f aca="false">INDEX(Parametros!$I$2:$I$9,MATCH($E277,Parametros!$A$2:$A$9,0))</f>
        <v>17000000</v>
      </c>
      <c r="AR277" s="19" t="n">
        <f aca="false">IF(AQ277&gt;0,AO277/AQ277,0)</f>
        <v>0.00526630888235294</v>
      </c>
    </row>
    <row r="278" customFormat="false" ht="15" hidden="false" customHeight="false" outlineLevel="0" collapsed="false">
      <c r="A278" s="5" t="s">
        <v>413</v>
      </c>
      <c r="B278" s="9" t="n">
        <v>45789</v>
      </c>
      <c r="C278" s="2" t="str">
        <f aca="false">TEXT(B278,"yyyy")</f>
        <v>2025</v>
      </c>
      <c r="D278" s="2" t="n">
        <f aca="false">WEEKNUM(B278,2)</f>
        <v>20</v>
      </c>
      <c r="E278" s="5" t="s">
        <v>138</v>
      </c>
      <c r="F278" s="6" t="str">
        <f aca="false">INDEX(Parametros!$B$2:$B$9,MATCH($E278,Parametros!$A$2:$A$9,0))</f>
        <v>Queso crema</v>
      </c>
      <c r="G278" s="10" t="n">
        <v>125.3</v>
      </c>
      <c r="H278" s="10" t="n">
        <v>5.4</v>
      </c>
      <c r="I278" s="11" t="n">
        <f aca="false">SUMIFS(Eventos_Paro!$J$2:$J$2186,Eventos_Paro!$D$2:$D$2186,$E278,Eventos_Paro!$B$2:$B$2186,$B278)</f>
        <v>2.56666666666667</v>
      </c>
      <c r="J278" s="12" t="n">
        <f aca="false">G278-H278-I278</f>
        <v>117.333333333333</v>
      </c>
      <c r="K278" s="13" t="n">
        <v>372127</v>
      </c>
      <c r="L278" s="13" t="n">
        <v>351328</v>
      </c>
      <c r="M278" s="13" t="n">
        <v>16740</v>
      </c>
      <c r="N278" s="14" t="n">
        <f aca="false">L278+M278</f>
        <v>368068</v>
      </c>
      <c r="O278" s="11" t="n">
        <f aca="false">INDEX(Parametros!$D$2:$D$9,MATCH($E278,Parametros!$A$2:$A$9,0))</f>
        <v>3800</v>
      </c>
      <c r="P278" s="15" t="n">
        <f aca="false">IF((G278-H278)&gt;0,J278/(G278-H278),0)</f>
        <v>0.978593272171254</v>
      </c>
      <c r="Q278" s="15" t="n">
        <f aca="false">IF(J278*O278&gt;0,N278/(O278*J278),0)</f>
        <v>0.825511363636364</v>
      </c>
      <c r="R278" s="15" t="n">
        <f aca="false">IF(N278&gt;0,L278/N278,0)</f>
        <v>0.954519273612485</v>
      </c>
      <c r="S278" s="15" t="n">
        <f aca="false">P278*Q278*R278</f>
        <v>0.771098722619727</v>
      </c>
      <c r="T278" s="15" t="n">
        <f aca="false">IF(K278&gt;0,L278/K278,0)</f>
        <v>0.94410779115732</v>
      </c>
      <c r="U278" s="10" t="n">
        <v>2222.7</v>
      </c>
      <c r="V278" s="5" t="n">
        <v>17</v>
      </c>
      <c r="W278" s="10" t="n">
        <v>92.6</v>
      </c>
      <c r="X278" s="15" t="n">
        <f aca="false">IF(U278&gt;0,W278/U278,0)</f>
        <v>0.0416610428757817</v>
      </c>
      <c r="Y278" s="12" t="n">
        <f aca="false">IF(U278&gt;0,L278/U278,0)</f>
        <v>158.063616322491</v>
      </c>
      <c r="Z278" s="16" t="n">
        <f aca="false">L278*INDEX(Parametros!$E$2:$E$9,MATCH($E278,Parametros!$A$2:$A$9,0))</f>
        <v>393487.36</v>
      </c>
      <c r="AA278" s="16" t="n">
        <f aca="false">Z278*INDEX(Parametros!$F$2:$F$9,MATCH($E278,Parametros!$A$2:$A$9,0))</f>
        <v>13772.0576</v>
      </c>
      <c r="AB278" s="17" t="n">
        <f aca="false">Z278+AA278</f>
        <v>407259.4176</v>
      </c>
      <c r="AC278" s="18" t="n">
        <v>417788.27</v>
      </c>
      <c r="AD278" s="17" t="n">
        <f aca="false">AC278-AB278</f>
        <v>10528.8524</v>
      </c>
      <c r="AE278" s="17" t="n">
        <f aca="false">AA278+AD278</f>
        <v>24300.91</v>
      </c>
      <c r="AF278" s="19" t="n">
        <f aca="false">IF(Z278&gt;0,AE278/Z278,0)</f>
        <v>0.0617577906441518</v>
      </c>
      <c r="AG278" s="16" t="n">
        <f aca="false">(U278-W278)*INDEX(Parametros!$H$2:$H$9,MATCH($E278,Parametros!$A$2:$A$9,0))+W278*INDEX(Parametros!$H$2:$H$9,MATCH($E278,Parametros!$A$2:$A$9,0))*Parametros!$N$3</f>
        <v>74877</v>
      </c>
      <c r="AH278" s="13" t="n">
        <v>19064</v>
      </c>
      <c r="AI278" s="16" t="n">
        <f aca="false">AH278*Parametros!$N$2</f>
        <v>1753.888</v>
      </c>
      <c r="AJ278" s="18" t="n">
        <v>19101</v>
      </c>
      <c r="AK278" s="18" t="n">
        <v>2051</v>
      </c>
      <c r="AL278" s="17" t="n">
        <f aca="false">AG278+AI278+AJ278+AK278</f>
        <v>97782.888</v>
      </c>
      <c r="AM278" s="20" t="n">
        <f aca="false">IF(L278&gt;0,AL278/L278,0)</f>
        <v>0.278323640586574</v>
      </c>
      <c r="AN278" s="16" t="n">
        <f aca="false">L278*INDEX(Parametros!$G$2:$G$9,MATCH($E278,Parametros!$A$2:$A$9,0))</f>
        <v>628877.12</v>
      </c>
      <c r="AO278" s="17" t="n">
        <f aca="false">AN278-AC278-AL278</f>
        <v>113305.962</v>
      </c>
      <c r="AP278" s="15" t="n">
        <f aca="false">IF(AN278&gt;0,AO278/AN278,0)</f>
        <v>0.180171862509484</v>
      </c>
      <c r="AQ278" s="16" t="n">
        <f aca="false">INDEX(Parametros!$I$2:$I$9,MATCH($E278,Parametros!$A$2:$A$9,0))</f>
        <v>33200000</v>
      </c>
      <c r="AR278" s="19" t="n">
        <f aca="false">IF(AQ278&gt;0,AO278/AQ278,0)</f>
        <v>0.00341283018072289</v>
      </c>
    </row>
    <row r="279" customFormat="false" ht="15" hidden="false" customHeight="false" outlineLevel="0" collapsed="false">
      <c r="A279" s="5" t="s">
        <v>414</v>
      </c>
      <c r="B279" s="9" t="n">
        <v>45789</v>
      </c>
      <c r="C279" s="2" t="str">
        <f aca="false">TEXT(B279,"yyyy")</f>
        <v>2025</v>
      </c>
      <c r="D279" s="2" t="n">
        <f aca="false">WEEKNUM(B279,2)</f>
        <v>20</v>
      </c>
      <c r="E279" s="5" t="s">
        <v>140</v>
      </c>
      <c r="F279" s="6" t="str">
        <f aca="false">INDEX(Parametros!$B$2:$B$9,MATCH($E279,Parametros!$A$2:$A$9,0))</f>
        <v>Crema de cacahuate</v>
      </c>
      <c r="G279" s="10" t="n">
        <v>109.1</v>
      </c>
      <c r="H279" s="10" t="n">
        <v>5.6</v>
      </c>
      <c r="I279" s="11" t="n">
        <f aca="false">SUMIFS(Eventos_Paro!$J$2:$J$2186,Eventos_Paro!$D$2:$D$2186,$E279,Eventos_Paro!$B$2:$B$2186,$B279)</f>
        <v>0.433333333333333</v>
      </c>
      <c r="J279" s="12" t="n">
        <f aca="false">G279-H279-I279</f>
        <v>103.066666666667</v>
      </c>
      <c r="K279" s="13" t="n">
        <v>355041</v>
      </c>
      <c r="L279" s="13" t="n">
        <v>359638</v>
      </c>
      <c r="M279" s="13" t="n">
        <v>10814</v>
      </c>
      <c r="N279" s="14" t="n">
        <f aca="false">L279+M279</f>
        <v>370452</v>
      </c>
      <c r="O279" s="11" t="n">
        <f aca="false">INDEX(Parametros!$D$2:$D$9,MATCH($E279,Parametros!$A$2:$A$9,0))</f>
        <v>4200</v>
      </c>
      <c r="P279" s="15" t="n">
        <f aca="false">IF((G279-H279)&gt;0,J279/(G279-H279),0)</f>
        <v>0.995813204508857</v>
      </c>
      <c r="Q279" s="15" t="n">
        <f aca="false">IF(J279*O279&gt;0,N279/(O279*J279),0)</f>
        <v>0.855784513029015</v>
      </c>
      <c r="R279" s="15" t="n">
        <f aca="false">IF(N279&gt;0,L279/N279,0)</f>
        <v>0.970808633777116</v>
      </c>
      <c r="S279" s="15" t="n">
        <f aca="false">P279*Q279*R279</f>
        <v>0.827324591672418</v>
      </c>
      <c r="T279" s="15" t="n">
        <f aca="false">IF(K279&gt;0,L279/K279,0)</f>
        <v>1.01294780039488</v>
      </c>
      <c r="U279" s="10" t="n">
        <v>1512.7</v>
      </c>
      <c r="V279" s="5" t="n">
        <v>13</v>
      </c>
      <c r="W279" s="10" t="n">
        <v>94.4</v>
      </c>
      <c r="X279" s="15" t="n">
        <f aca="false">IF(U279&gt;0,W279/U279,0)</f>
        <v>0.0624049712434719</v>
      </c>
      <c r="Y279" s="12" t="n">
        <f aca="false">IF(U279&gt;0,L279/U279,0)</f>
        <v>237.745752627752</v>
      </c>
      <c r="Z279" s="16" t="n">
        <f aca="false">L279*INDEX(Parametros!$E$2:$E$9,MATCH($E279,Parametros!$A$2:$A$9,0))</f>
        <v>348848.86</v>
      </c>
      <c r="AA279" s="16" t="n">
        <f aca="false">Z279*INDEX(Parametros!$F$2:$F$9,MATCH($E279,Parametros!$A$2:$A$9,0))</f>
        <v>7674.67492</v>
      </c>
      <c r="AB279" s="17" t="n">
        <f aca="false">Z279+AA279</f>
        <v>356523.53492</v>
      </c>
      <c r="AC279" s="18" t="n">
        <v>357758.61</v>
      </c>
      <c r="AD279" s="17" t="n">
        <f aca="false">AC279-AB279</f>
        <v>1235.07507999998</v>
      </c>
      <c r="AE279" s="17" t="n">
        <f aca="false">AA279+AD279</f>
        <v>8909.74999999998</v>
      </c>
      <c r="AF279" s="19" t="n">
        <f aca="false">IF(Z279&gt;0,AE279/Z279,0)</f>
        <v>0.0255404303170146</v>
      </c>
      <c r="AG279" s="16" t="n">
        <f aca="false">(U279-W279)*INDEX(Parametros!$H$2:$H$9,MATCH($E279,Parametros!$A$2:$A$9,0))+W279*INDEX(Parametros!$H$2:$H$9,MATCH($E279,Parametros!$A$2:$A$9,0))*Parametros!$N$3</f>
        <v>49136.85</v>
      </c>
      <c r="AH279" s="13" t="n">
        <v>18141</v>
      </c>
      <c r="AI279" s="16" t="n">
        <f aca="false">AH279*Parametros!$N$2</f>
        <v>1668.972</v>
      </c>
      <c r="AJ279" s="18" t="n">
        <v>13708</v>
      </c>
      <c r="AK279" s="18" t="n">
        <v>405</v>
      </c>
      <c r="AL279" s="17" t="n">
        <f aca="false">AG279+AI279+AJ279+AK279</f>
        <v>64918.822</v>
      </c>
      <c r="AM279" s="20" t="n">
        <f aca="false">IF(L279&gt;0,AL279/L279,0)</f>
        <v>0.180511575528726</v>
      </c>
      <c r="AN279" s="16" t="n">
        <f aca="false">L279*INDEX(Parametros!$G$2:$G$9,MATCH($E279,Parametros!$A$2:$A$9,0))</f>
        <v>582613.56</v>
      </c>
      <c r="AO279" s="17" t="n">
        <f aca="false">AN279-AC279-AL279</f>
        <v>159936.128</v>
      </c>
      <c r="AP279" s="15" t="n">
        <f aca="false">IF(AN279&gt;0,AO279/AN279,0)</f>
        <v>0.274514942631957</v>
      </c>
      <c r="AQ279" s="16" t="n">
        <f aca="false">INDEX(Parametros!$I$2:$I$9,MATCH($E279,Parametros!$A$2:$A$9,0))</f>
        <v>28000000</v>
      </c>
      <c r="AR279" s="19" t="n">
        <f aca="false">IF(AQ279&gt;0,AO279/AQ279,0)</f>
        <v>0.00571200457142857</v>
      </c>
    </row>
    <row r="280" customFormat="false" ht="15" hidden="false" customHeight="false" outlineLevel="0" collapsed="false">
      <c r="A280" s="5" t="s">
        <v>415</v>
      </c>
      <c r="B280" s="9" t="n">
        <v>45789</v>
      </c>
      <c r="C280" s="2" t="str">
        <f aca="false">TEXT(B280,"yyyy")</f>
        <v>2025</v>
      </c>
      <c r="D280" s="2" t="n">
        <f aca="false">WEEKNUM(B280,2)</f>
        <v>20</v>
      </c>
      <c r="E280" s="5" t="s">
        <v>142</v>
      </c>
      <c r="F280" s="6" t="str">
        <f aca="false">INDEX(Parametros!$B$2:$B$9,MATCH($E280,Parametros!$A$2:$A$9,0))</f>
        <v>Porciones single serve</v>
      </c>
      <c r="G280" s="10" t="n">
        <v>150</v>
      </c>
      <c r="H280" s="10" t="n">
        <v>8.9</v>
      </c>
      <c r="I280" s="11" t="n">
        <f aca="false">SUMIFS(Eventos_Paro!$J$2:$J$2186,Eventos_Paro!$D$2:$D$2186,$E280,Eventos_Paro!$B$2:$B$2186,$B280)</f>
        <v>8.98333333333333</v>
      </c>
      <c r="J280" s="12" t="n">
        <f aca="false">G280-H280-I280</f>
        <v>132.116666666667</v>
      </c>
      <c r="K280" s="13" t="n">
        <v>299633</v>
      </c>
      <c r="L280" s="13" t="n">
        <v>271361</v>
      </c>
      <c r="M280" s="13" t="n">
        <v>13206</v>
      </c>
      <c r="N280" s="14" t="n">
        <f aca="false">L280+M280</f>
        <v>284567</v>
      </c>
      <c r="O280" s="11" t="n">
        <f aca="false">INDEX(Parametros!$D$2:$D$9,MATCH($E280,Parametros!$A$2:$A$9,0))</f>
        <v>2600</v>
      </c>
      <c r="P280" s="15" t="n">
        <f aca="false">IF((G280-H280)&gt;0,J280/(G280-H280),0)</f>
        <v>0.936333569572407</v>
      </c>
      <c r="Q280" s="15" t="n">
        <f aca="false">IF(J280*O280&gt;0,N280/(O280*J280),0)</f>
        <v>0.828425730948754</v>
      </c>
      <c r="R280" s="15" t="n">
        <f aca="false">IF(N280&gt;0,L280/N280,0)</f>
        <v>0.95359265129126</v>
      </c>
      <c r="S280" s="15" t="n">
        <f aca="false">P280*Q280*R280</f>
        <v>0.739685438586927</v>
      </c>
      <c r="T280" s="15" t="n">
        <f aca="false">IF(K280&gt;0,L280/K280,0)</f>
        <v>0.905644571859575</v>
      </c>
      <c r="U280" s="10" t="n">
        <v>2572.4</v>
      </c>
      <c r="V280" s="5" t="n">
        <v>16</v>
      </c>
      <c r="W280" s="10" t="n">
        <v>172.4</v>
      </c>
      <c r="X280" s="15" t="n">
        <f aca="false">IF(U280&gt;0,W280/U280,0)</f>
        <v>0.0670191261079148</v>
      </c>
      <c r="Y280" s="12" t="n">
        <f aca="false">IF(U280&gt;0,L280/U280,0)</f>
        <v>105.489426216763</v>
      </c>
      <c r="Z280" s="16" t="n">
        <f aca="false">L280*INDEX(Parametros!$E$2:$E$9,MATCH($E280,Parametros!$A$2:$A$9,0))</f>
        <v>200807.14</v>
      </c>
      <c r="AA280" s="16" t="n">
        <f aca="false">Z280*INDEX(Parametros!$F$2:$F$9,MATCH($E280,Parametros!$A$2:$A$9,0))</f>
        <v>9036.3213</v>
      </c>
      <c r="AB280" s="17" t="n">
        <f aca="false">Z280+AA280</f>
        <v>209843.4613</v>
      </c>
      <c r="AC280" s="18" t="n">
        <v>212080.21</v>
      </c>
      <c r="AD280" s="17" t="n">
        <f aca="false">AC280-AB280</f>
        <v>2236.7487</v>
      </c>
      <c r="AE280" s="17" t="n">
        <f aca="false">AA280+AD280</f>
        <v>11273.07</v>
      </c>
      <c r="AF280" s="19" t="n">
        <f aca="false">IF(Z280&gt;0,AE280/Z280,0)</f>
        <v>0.0561387906824429</v>
      </c>
      <c r="AG280" s="16" t="n">
        <f aca="false">(U280-W280)*INDEX(Parametros!$H$2:$H$9,MATCH($E280,Parametros!$A$2:$A$9,0))+W280*INDEX(Parametros!$H$2:$H$9,MATCH($E280,Parametros!$A$2:$A$9,0))*Parametros!$N$3</f>
        <v>79758</v>
      </c>
      <c r="AH280" s="13" t="n">
        <v>14399</v>
      </c>
      <c r="AI280" s="16" t="n">
        <f aca="false">AH280*Parametros!$N$2</f>
        <v>1324.708</v>
      </c>
      <c r="AJ280" s="18" t="n">
        <v>12904</v>
      </c>
      <c r="AK280" s="18" t="n">
        <v>9288</v>
      </c>
      <c r="AL280" s="17" t="n">
        <f aca="false">AG280+AI280+AJ280+AK280</f>
        <v>103274.708</v>
      </c>
      <c r="AM280" s="20" t="n">
        <f aca="false">IF(L280&gt;0,AL280/L280,0)</f>
        <v>0.380580510832434</v>
      </c>
      <c r="AN280" s="16" t="n">
        <f aca="false">L280*INDEX(Parametros!$G$2:$G$9,MATCH($E280,Parametros!$A$2:$A$9,0))</f>
        <v>466740.92</v>
      </c>
      <c r="AO280" s="17" t="n">
        <f aca="false">AN280-AC280-AL280</f>
        <v>151386.002</v>
      </c>
      <c r="AP280" s="15" t="n">
        <f aca="false">IF(AN280&gt;0,AO280/AN280,0)</f>
        <v>0.324346967478232</v>
      </c>
      <c r="AQ280" s="16" t="n">
        <f aca="false">INDEX(Parametros!$I$2:$I$9,MATCH($E280,Parametros!$A$2:$A$9,0))</f>
        <v>15900000</v>
      </c>
      <c r="AR280" s="19" t="n">
        <f aca="false">IF(AQ280&gt;0,AO280/AQ280,0)</f>
        <v>0.00952113220125786</v>
      </c>
    </row>
    <row r="281" customFormat="false" ht="15" hidden="false" customHeight="false" outlineLevel="0" collapsed="false">
      <c r="A281" s="5" t="s">
        <v>416</v>
      </c>
      <c r="B281" s="9" t="n">
        <v>45789</v>
      </c>
      <c r="C281" s="2" t="str">
        <f aca="false">TEXT(B281,"yyyy")</f>
        <v>2025</v>
      </c>
      <c r="D281" s="2" t="n">
        <f aca="false">WEEKNUM(B281,2)</f>
        <v>20</v>
      </c>
      <c r="E281" s="5" t="s">
        <v>144</v>
      </c>
      <c r="F281" s="6" t="str">
        <f aca="false">INDEX(Parametros!$B$2:$B$9,MATCH($E281,Parametros!$A$2:$A$9,0))</f>
        <v>Salsas picantes</v>
      </c>
      <c r="G281" s="10" t="n">
        <v>78.6</v>
      </c>
      <c r="H281" s="10" t="n">
        <v>7</v>
      </c>
      <c r="I281" s="11" t="n">
        <f aca="false">SUMIFS(Eventos_Paro!$J$2:$J$2186,Eventos_Paro!$D$2:$D$2186,$E281,Eventos_Paro!$B$2:$B$2186,$B281)</f>
        <v>4.91666666666667</v>
      </c>
      <c r="J281" s="12" t="n">
        <f aca="false">G281-H281-I281</f>
        <v>66.6833333333333</v>
      </c>
      <c r="K281" s="13" t="n">
        <v>171606</v>
      </c>
      <c r="L281" s="13" t="n">
        <v>177673</v>
      </c>
      <c r="M281" s="13" t="n">
        <v>4289</v>
      </c>
      <c r="N281" s="14" t="n">
        <f aca="false">L281+M281</f>
        <v>181962</v>
      </c>
      <c r="O281" s="11" t="n">
        <f aca="false">INDEX(Parametros!$D$2:$D$9,MATCH($E281,Parametros!$A$2:$A$9,0))</f>
        <v>3100</v>
      </c>
      <c r="P281" s="15" t="n">
        <f aca="false">IF((G281-H281)&gt;0,J281/(G281-H281),0)</f>
        <v>0.93133147113594</v>
      </c>
      <c r="Q281" s="15" t="n">
        <f aca="false">IF(J281*O281&gt;0,N281/(O281*J281),0)</f>
        <v>0.880241230015077</v>
      </c>
      <c r="R281" s="15" t="n">
        <f aca="false">IF(N281&gt;0,L281/N281,0)</f>
        <v>0.976429144546664</v>
      </c>
      <c r="S281" s="15" t="n">
        <f aca="false">P281*Q281*R281</f>
        <v>0.800473058208686</v>
      </c>
      <c r="T281" s="15" t="n">
        <f aca="false">IF(K281&gt;0,L281/K281,0)</f>
        <v>1.03535424169318</v>
      </c>
      <c r="U281" s="10" t="n">
        <v>874.4</v>
      </c>
      <c r="V281" s="5" t="n">
        <v>10</v>
      </c>
      <c r="W281" s="10" t="n">
        <v>88.4</v>
      </c>
      <c r="X281" s="15" t="n">
        <f aca="false">IF(U281&gt;0,W281/U281,0)</f>
        <v>0.101097895699909</v>
      </c>
      <c r="Y281" s="12" t="n">
        <f aca="false">IF(U281&gt;0,L281/U281,0)</f>
        <v>203.194190301921</v>
      </c>
      <c r="Z281" s="16" t="n">
        <f aca="false">L281*INDEX(Parametros!$E$2:$E$9,MATCH($E281,Parametros!$A$2:$A$9,0))</f>
        <v>117264.18</v>
      </c>
      <c r="AA281" s="16" t="n">
        <f aca="false">Z281*INDEX(Parametros!$F$2:$F$9,MATCH($E281,Parametros!$A$2:$A$9,0))</f>
        <v>3048.86868</v>
      </c>
      <c r="AB281" s="17" t="n">
        <f aca="false">Z281+AA281</f>
        <v>120313.04868</v>
      </c>
      <c r="AC281" s="18" t="n">
        <v>115980.44</v>
      </c>
      <c r="AD281" s="17" t="n">
        <f aca="false">AC281-AB281</f>
        <v>-4332.60868000001</v>
      </c>
      <c r="AE281" s="17" t="n">
        <f aca="false">AA281+AD281</f>
        <v>-1283.74</v>
      </c>
      <c r="AF281" s="19" t="n">
        <f aca="false">IF(Z281&gt;0,AE281/Z281,0)</f>
        <v>-0.0109474180436004</v>
      </c>
      <c r="AG281" s="16" t="n">
        <f aca="false">(U281-W281)*INDEX(Parametros!$H$2:$H$9,MATCH($E281,Parametros!$A$2:$A$9,0))+W281*INDEX(Parametros!$H$2:$H$9,MATCH($E281,Parametros!$A$2:$A$9,0))*Parametros!$N$3</f>
        <v>28935.9</v>
      </c>
      <c r="AH281" s="13" t="n">
        <v>8625</v>
      </c>
      <c r="AI281" s="16" t="n">
        <f aca="false">AH281*Parametros!$N$2</f>
        <v>793.5</v>
      </c>
      <c r="AJ281" s="18" t="n">
        <v>5954</v>
      </c>
      <c r="AK281" s="18" t="n">
        <v>2832</v>
      </c>
      <c r="AL281" s="17" t="n">
        <f aca="false">AG281+AI281+AJ281+AK281</f>
        <v>38515.4</v>
      </c>
      <c r="AM281" s="20" t="n">
        <f aca="false">IF(L281&gt;0,AL281/L281,0)</f>
        <v>0.216776887878293</v>
      </c>
      <c r="AN281" s="16" t="n">
        <f aca="false">L281*INDEX(Parametros!$G$2:$G$9,MATCH($E281,Parametros!$A$2:$A$9,0))</f>
        <v>222091.25</v>
      </c>
      <c r="AO281" s="17" t="n">
        <f aca="false">AN281-AC281-AL281</f>
        <v>67595.41</v>
      </c>
      <c r="AP281" s="15" t="n">
        <f aca="false">IF(AN281&gt;0,AO281/AN281,0)</f>
        <v>0.304358726424386</v>
      </c>
      <c r="AQ281" s="16" t="n">
        <f aca="false">INDEX(Parametros!$I$2:$I$9,MATCH($E281,Parametros!$A$2:$A$9,0))</f>
        <v>13300000</v>
      </c>
      <c r="AR281" s="19" t="n">
        <f aca="false">IF(AQ281&gt;0,AO281/AQ281,0)</f>
        <v>0.00508236165413534</v>
      </c>
    </row>
    <row r="282" customFormat="false" ht="15" hidden="false" customHeight="false" outlineLevel="0" collapsed="false">
      <c r="A282" s="5" t="s">
        <v>417</v>
      </c>
      <c r="B282" s="9" t="n">
        <v>45796</v>
      </c>
      <c r="C282" s="2" t="str">
        <f aca="false">TEXT(B282,"yyyy")</f>
        <v>2025</v>
      </c>
      <c r="D282" s="2" t="n">
        <f aca="false">WEEKNUM(B282,2)</f>
        <v>21</v>
      </c>
      <c r="E282" s="5" t="s">
        <v>130</v>
      </c>
      <c r="F282" s="6" t="str">
        <f aca="false">INDEX(Parametros!$B$2:$B$9,MATCH($E282,Parametros!$A$2:$A$9,0))</f>
        <v>Ketchup botella</v>
      </c>
      <c r="G282" s="10" t="n">
        <v>116.7</v>
      </c>
      <c r="H282" s="10" t="n">
        <v>5.9</v>
      </c>
      <c r="I282" s="11" t="n">
        <f aca="false">SUMIFS(Eventos_Paro!$J$2:$J$2186,Eventos_Paro!$D$2:$D$2186,$E282,Eventos_Paro!$B$2:$B$2186,$B282)</f>
        <v>0.7</v>
      </c>
      <c r="J282" s="12" t="n">
        <f aca="false">G282-H282-I282</f>
        <v>110.1</v>
      </c>
      <c r="K282" s="13" t="n">
        <v>817610</v>
      </c>
      <c r="L282" s="13" t="n">
        <v>846529</v>
      </c>
      <c r="M282" s="13" t="n">
        <v>15968</v>
      </c>
      <c r="N282" s="14" t="n">
        <f aca="false">L282+M282</f>
        <v>862497</v>
      </c>
      <c r="O282" s="11" t="n">
        <f aca="false">INDEX(Parametros!$D$2:$D$9,MATCH($E282,Parametros!$A$2:$A$9,0))</f>
        <v>9000</v>
      </c>
      <c r="P282" s="15" t="n">
        <f aca="false">IF((G282-H282)&gt;0,J282/(G282-H282),0)</f>
        <v>0.993682310469314</v>
      </c>
      <c r="Q282" s="15" t="n">
        <f aca="false">IF(J282*O282&gt;0,N282/(O282*J282),0)</f>
        <v>0.870417801998183</v>
      </c>
      <c r="R282" s="15" t="n">
        <f aca="false">IF(N282&gt;0,L282/N282,0)</f>
        <v>0.981486312416159</v>
      </c>
      <c r="S282" s="15" t="n">
        <f aca="false">P282*Q282*R282</f>
        <v>0.848905936622543</v>
      </c>
      <c r="T282" s="15" t="n">
        <f aca="false">IF(K282&gt;0,L282/K282,0)</f>
        <v>1.03537016425924</v>
      </c>
      <c r="U282" s="10" t="n">
        <v>1722.3</v>
      </c>
      <c r="V282" s="5" t="n">
        <v>14</v>
      </c>
      <c r="W282" s="10" t="n">
        <v>88.5</v>
      </c>
      <c r="X282" s="15" t="n">
        <f aca="false">IF(U282&gt;0,W282/U282,0)</f>
        <v>0.0513847761713987</v>
      </c>
      <c r="Y282" s="12" t="n">
        <f aca="false">IF(U282&gt;0,L282/U282,0)</f>
        <v>491.510770481333</v>
      </c>
      <c r="Z282" s="16" t="n">
        <f aca="false">L282*INDEX(Parametros!$E$2:$E$9,MATCH($E282,Parametros!$A$2:$A$9,0))</f>
        <v>355542.18</v>
      </c>
      <c r="AA282" s="16" t="n">
        <f aca="false">Z282*INDEX(Parametros!$F$2:$F$9,MATCH($E282,Parametros!$A$2:$A$9,0))</f>
        <v>7110.8436</v>
      </c>
      <c r="AB282" s="17" t="n">
        <f aca="false">Z282+AA282</f>
        <v>362653.0236</v>
      </c>
      <c r="AC282" s="18" t="n">
        <v>359292.84</v>
      </c>
      <c r="AD282" s="17" t="n">
        <f aca="false">AC282-AB282</f>
        <v>-3360.18359999999</v>
      </c>
      <c r="AE282" s="17" t="n">
        <f aca="false">AA282+AD282</f>
        <v>3750.66000000001</v>
      </c>
      <c r="AF282" s="19" t="n">
        <f aca="false">IF(Z282&gt;0,AE282/Z282,0)</f>
        <v>0.0105491280950126</v>
      </c>
      <c r="AG282" s="16" t="n">
        <f aca="false">(U282-W282)*INDEX(Parametros!$H$2:$H$9,MATCH($E282,Parametros!$A$2:$A$9,0))+W282*INDEX(Parametros!$H$2:$H$9,MATCH($E282,Parametros!$A$2:$A$9,0))*Parametros!$N$3</f>
        <v>55646.325</v>
      </c>
      <c r="AH282" s="13" t="n">
        <v>42657</v>
      </c>
      <c r="AI282" s="16" t="n">
        <f aca="false">AH282*Parametros!$N$2</f>
        <v>3924.444</v>
      </c>
      <c r="AJ282" s="18" t="n">
        <v>15955</v>
      </c>
      <c r="AK282" s="18" t="n">
        <v>243</v>
      </c>
      <c r="AL282" s="17" t="n">
        <f aca="false">AG282+AI282+AJ282+AK282</f>
        <v>75768.769</v>
      </c>
      <c r="AM282" s="20" t="n">
        <f aca="false">IF(L282&gt;0,AL282/L282,0)</f>
        <v>0.0895052254559501</v>
      </c>
      <c r="AN282" s="16" t="n">
        <f aca="false">L282*INDEX(Parametros!$G$2:$G$9,MATCH($E282,Parametros!$A$2:$A$9,0))</f>
        <v>601035.59</v>
      </c>
      <c r="AO282" s="17" t="n">
        <f aca="false">AN282-AC282-AL282</f>
        <v>165973.981</v>
      </c>
      <c r="AP282" s="15" t="n">
        <f aca="false">IF(AN282&gt;0,AO282/AN282,0)</f>
        <v>0.276146677104429</v>
      </c>
      <c r="AQ282" s="16" t="n">
        <f aca="false">INDEX(Parametros!$I$2:$I$9,MATCH($E282,Parametros!$A$2:$A$9,0))</f>
        <v>29300000</v>
      </c>
      <c r="AR282" s="19" t="n">
        <f aca="false">IF(AQ282&gt;0,AO282/AQ282,0)</f>
        <v>0.00566464098976109</v>
      </c>
    </row>
    <row r="283" customFormat="false" ht="15" hidden="false" customHeight="false" outlineLevel="0" collapsed="false">
      <c r="A283" s="5" t="s">
        <v>418</v>
      </c>
      <c r="B283" s="9" t="n">
        <v>45796</v>
      </c>
      <c r="C283" s="2" t="str">
        <f aca="false">TEXT(B283,"yyyy")</f>
        <v>2025</v>
      </c>
      <c r="D283" s="2" t="n">
        <f aca="false">WEEKNUM(B283,2)</f>
        <v>21</v>
      </c>
      <c r="E283" s="5" t="s">
        <v>132</v>
      </c>
      <c r="F283" s="6" t="str">
        <f aca="false">INDEX(Parametros!$B$2:$B$9,MATCH($E283,Parametros!$A$2:$A$9,0))</f>
        <v>Mayonesa frasco</v>
      </c>
      <c r="G283" s="10" t="n">
        <v>125.5</v>
      </c>
      <c r="H283" s="10" t="n">
        <v>8.8</v>
      </c>
      <c r="I283" s="11" t="n">
        <f aca="false">SUMIFS(Eventos_Paro!$J$2:$J$2186,Eventos_Paro!$D$2:$D$2186,$E283,Eventos_Paro!$B$2:$B$2186,$B283)</f>
        <v>3.7</v>
      </c>
      <c r="J283" s="12" t="n">
        <f aca="false">G283-H283-I283</f>
        <v>113</v>
      </c>
      <c r="K283" s="13" t="n">
        <v>621939</v>
      </c>
      <c r="L283" s="13" t="n">
        <v>595698</v>
      </c>
      <c r="M283" s="13" t="n">
        <v>17919</v>
      </c>
      <c r="N283" s="14" t="n">
        <f aca="false">L283+M283</f>
        <v>613617</v>
      </c>
      <c r="O283" s="11" t="n">
        <f aca="false">INDEX(Parametros!$D$2:$D$9,MATCH($E283,Parametros!$A$2:$A$9,0))</f>
        <v>6500</v>
      </c>
      <c r="P283" s="15" t="n">
        <f aca="false">IF((G283-H283)&gt;0,J283/(G283-H283),0)</f>
        <v>0.968294772922022</v>
      </c>
      <c r="Q283" s="15" t="n">
        <f aca="false">IF(J283*O283&gt;0,N283/(O283*J283),0)</f>
        <v>0.835421375085092</v>
      </c>
      <c r="R283" s="15" t="n">
        <f aca="false">IF(N283&gt;0,L283/N283,0)</f>
        <v>0.970797745173292</v>
      </c>
      <c r="S283" s="15" t="n">
        <f aca="false">P283*Q283*R283</f>
        <v>0.785311449475974</v>
      </c>
      <c r="T283" s="15" t="n">
        <f aca="false">IF(K283&gt;0,L283/K283,0)</f>
        <v>0.957807759281859</v>
      </c>
      <c r="U283" s="10" t="n">
        <v>1783.3</v>
      </c>
      <c r="V283" s="5" t="n">
        <v>13</v>
      </c>
      <c r="W283" s="10" t="n">
        <v>151.8</v>
      </c>
      <c r="X283" s="15" t="n">
        <f aca="false">IF(U283&gt;0,W283/U283,0)</f>
        <v>0.0851230864128302</v>
      </c>
      <c r="Y283" s="12" t="n">
        <f aca="false">IF(U283&gt;0,L283/U283,0)</f>
        <v>334.042505467392</v>
      </c>
      <c r="Z283" s="16" t="n">
        <f aca="false">L283*INDEX(Parametros!$E$2:$E$9,MATCH($E283,Parametros!$A$2:$A$9,0))</f>
        <v>363375.78</v>
      </c>
      <c r="AA283" s="16" t="n">
        <f aca="false">Z283*INDEX(Parametros!$F$2:$F$9,MATCH($E283,Parametros!$A$2:$A$9,0))</f>
        <v>9084.3945</v>
      </c>
      <c r="AB283" s="17" t="n">
        <f aca="false">Z283+AA283</f>
        <v>372460.1745</v>
      </c>
      <c r="AC283" s="18" t="n">
        <v>369452.28</v>
      </c>
      <c r="AD283" s="17" t="n">
        <f aca="false">AC283-AB283</f>
        <v>-3007.89449999994</v>
      </c>
      <c r="AE283" s="17" t="n">
        <f aca="false">AA283+AD283</f>
        <v>6076.50000000006</v>
      </c>
      <c r="AF283" s="19" t="n">
        <f aca="false">IF(Z283&gt;0,AE283/Z283,0)</f>
        <v>0.0167223583255881</v>
      </c>
      <c r="AG283" s="16" t="n">
        <f aca="false">(U283-W283)*INDEX(Parametros!$H$2:$H$9,MATCH($E283,Parametros!$A$2:$A$9,0))+W283*INDEX(Parametros!$H$2:$H$9,MATCH($E283,Parametros!$A$2:$A$9,0))*Parametros!$N$3</f>
        <v>58564.8</v>
      </c>
      <c r="AH283" s="13" t="n">
        <v>30425</v>
      </c>
      <c r="AI283" s="16" t="n">
        <f aca="false">AH283*Parametros!$N$2</f>
        <v>2799.1</v>
      </c>
      <c r="AJ283" s="18" t="n">
        <v>15826</v>
      </c>
      <c r="AK283" s="18" t="n">
        <v>2928</v>
      </c>
      <c r="AL283" s="17" t="n">
        <f aca="false">AG283+AI283+AJ283+AK283</f>
        <v>80117.9</v>
      </c>
      <c r="AM283" s="20" t="n">
        <f aca="false">IF(L283&gt;0,AL283/L283,0)</f>
        <v>0.134494156434972</v>
      </c>
      <c r="AN283" s="16" t="n">
        <f aca="false">L283*INDEX(Parametros!$G$2:$G$9,MATCH($E283,Parametros!$A$2:$A$9,0))</f>
        <v>571870.08</v>
      </c>
      <c r="AO283" s="17" t="n">
        <f aca="false">AN283-AC283-AL283</f>
        <v>122299.9</v>
      </c>
      <c r="AP283" s="15" t="n">
        <f aca="false">IF(AN283&gt;0,AO283/AN283,0)</f>
        <v>0.21385958852752</v>
      </c>
      <c r="AQ283" s="16" t="n">
        <f aca="false">INDEX(Parametros!$I$2:$I$9,MATCH($E283,Parametros!$A$2:$A$9,0))</f>
        <v>29700000</v>
      </c>
      <c r="AR283" s="19" t="n">
        <f aca="false">IF(AQ283&gt;0,AO283/AQ283,0)</f>
        <v>0.00411784175084175</v>
      </c>
    </row>
    <row r="284" customFormat="false" ht="15" hidden="false" customHeight="false" outlineLevel="0" collapsed="false">
      <c r="A284" s="5" t="s">
        <v>419</v>
      </c>
      <c r="B284" s="9" t="n">
        <v>45796</v>
      </c>
      <c r="C284" s="2" t="str">
        <f aca="false">TEXT(B284,"yyyy")</f>
        <v>2025</v>
      </c>
      <c r="D284" s="2" t="n">
        <f aca="false">WEEKNUM(B284,2)</f>
        <v>21</v>
      </c>
      <c r="E284" s="5" t="s">
        <v>134</v>
      </c>
      <c r="F284" s="6" t="str">
        <f aca="false">INDEX(Parametros!$B$2:$B$9,MATCH($E284,Parametros!$A$2:$A$9,0))</f>
        <v>Aderezos vertibles</v>
      </c>
      <c r="G284" s="10" t="n">
        <v>118.3</v>
      </c>
      <c r="H284" s="10" t="n">
        <v>7.4</v>
      </c>
      <c r="I284" s="11" t="n">
        <f aca="false">SUMIFS(Eventos_Paro!$J$2:$J$2186,Eventos_Paro!$D$2:$D$2186,$E284,Eventos_Paro!$B$2:$B$2186,$B284)</f>
        <v>3.78333333333333</v>
      </c>
      <c r="J284" s="12" t="n">
        <f aca="false">G284-H284-I284</f>
        <v>107.116666666667</v>
      </c>
      <c r="K284" s="13" t="n">
        <v>472823</v>
      </c>
      <c r="L284" s="13" t="n">
        <v>429164</v>
      </c>
      <c r="M284" s="13" t="n">
        <v>15780</v>
      </c>
      <c r="N284" s="14" t="n">
        <f aca="false">L284+M284</f>
        <v>444944</v>
      </c>
      <c r="O284" s="11" t="n">
        <f aca="false">INDEX(Parametros!$D$2:$D$9,MATCH($E284,Parametros!$A$2:$A$9,0))</f>
        <v>5200</v>
      </c>
      <c r="P284" s="15" t="n">
        <f aca="false">IF((G284-H284)&gt;0,J284/(G284-H284),0)</f>
        <v>0.965885181845506</v>
      </c>
      <c r="Q284" s="15" t="n">
        <f aca="false">IF(J284*O284&gt;0,N284/(O284*J284),0)</f>
        <v>0.798812701224402</v>
      </c>
      <c r="R284" s="15" t="n">
        <f aca="false">IF(N284&gt;0,L284/N284,0)</f>
        <v>0.964534862814197</v>
      </c>
      <c r="S284" s="15" t="n">
        <f aca="false">P284*Q284*R284</f>
        <v>0.744197822015676</v>
      </c>
      <c r="T284" s="15" t="n">
        <f aca="false">IF(K284&gt;0,L284/K284,0)</f>
        <v>0.907663121294861</v>
      </c>
      <c r="U284" s="10" t="n">
        <v>1726.5</v>
      </c>
      <c r="V284" s="5" t="n">
        <v>13</v>
      </c>
      <c r="W284" s="10" t="n">
        <v>188.6</v>
      </c>
      <c r="X284" s="15" t="n">
        <f aca="false">IF(U284&gt;0,W284/U284,0)</f>
        <v>0.109238343469447</v>
      </c>
      <c r="Y284" s="12" t="n">
        <f aca="false">IF(U284&gt;0,L284/U284,0)</f>
        <v>248.574572835216</v>
      </c>
      <c r="Z284" s="16" t="n">
        <f aca="false">L284*INDEX(Parametros!$E$2:$E$9,MATCH($E284,Parametros!$A$2:$A$9,0))</f>
        <v>236040.2</v>
      </c>
      <c r="AA284" s="16" t="n">
        <f aca="false">Z284*INDEX(Parametros!$F$2:$F$9,MATCH($E284,Parametros!$A$2:$A$9,0))</f>
        <v>7081.206</v>
      </c>
      <c r="AB284" s="17" t="n">
        <f aca="false">Z284+AA284</f>
        <v>243121.406</v>
      </c>
      <c r="AC284" s="18" t="n">
        <v>241523.33</v>
      </c>
      <c r="AD284" s="17" t="n">
        <f aca="false">AC284-AB284</f>
        <v>-1598.07600000003</v>
      </c>
      <c r="AE284" s="17" t="n">
        <f aca="false">AA284+AD284</f>
        <v>5483.12999999997</v>
      </c>
      <c r="AF284" s="19" t="n">
        <f aca="false">IF(Z284&gt;0,AE284/Z284,0)</f>
        <v>0.0232296447808465</v>
      </c>
      <c r="AG284" s="16" t="n">
        <f aca="false">(U284-W284)*INDEX(Parametros!$H$2:$H$9,MATCH($E284,Parametros!$A$2:$A$9,0))+W284*INDEX(Parametros!$H$2:$H$9,MATCH($E284,Parametros!$A$2:$A$9,0))*Parametros!$N$3</f>
        <v>57355.2</v>
      </c>
      <c r="AH284" s="13" t="n">
        <v>22269</v>
      </c>
      <c r="AI284" s="16" t="n">
        <f aca="false">AH284*Parametros!$N$2</f>
        <v>2048.748</v>
      </c>
      <c r="AJ284" s="18" t="n">
        <v>11015</v>
      </c>
      <c r="AK284" s="18" t="n">
        <v>1872</v>
      </c>
      <c r="AL284" s="17" t="n">
        <f aca="false">AG284+AI284+AJ284+AK284</f>
        <v>72290.948</v>
      </c>
      <c r="AM284" s="20" t="n">
        <f aca="false">IF(L284&gt;0,AL284/L284,0)</f>
        <v>0.168445974033237</v>
      </c>
      <c r="AN284" s="16" t="n">
        <f aca="false">L284*INDEX(Parametros!$G$2:$G$9,MATCH($E284,Parametros!$A$2:$A$9,0))</f>
        <v>437747.28</v>
      </c>
      <c r="AO284" s="17" t="n">
        <f aca="false">AN284-AC284-AL284</f>
        <v>123933.002</v>
      </c>
      <c r="AP284" s="15" t="n">
        <f aca="false">IF(AN284&gt;0,AO284/AN284,0)</f>
        <v>0.283115413075782</v>
      </c>
      <c r="AQ284" s="16" t="n">
        <f aca="false">INDEX(Parametros!$I$2:$I$9,MATCH($E284,Parametros!$A$2:$A$9,0))</f>
        <v>19300000</v>
      </c>
      <c r="AR284" s="19" t="n">
        <f aca="false">IF(AQ284&gt;0,AO284/AQ284,0)</f>
        <v>0.00642139906735752</v>
      </c>
    </row>
    <row r="285" customFormat="false" ht="15" hidden="false" customHeight="false" outlineLevel="0" collapsed="false">
      <c r="A285" s="5" t="s">
        <v>420</v>
      </c>
      <c r="B285" s="9" t="n">
        <v>45796</v>
      </c>
      <c r="C285" s="2" t="str">
        <f aca="false">TEXT(B285,"yyyy")</f>
        <v>2025</v>
      </c>
      <c r="D285" s="2" t="n">
        <f aca="false">WEEKNUM(B285,2)</f>
        <v>21</v>
      </c>
      <c r="E285" s="5" t="s">
        <v>136</v>
      </c>
      <c r="F285" s="6" t="str">
        <f aca="false">INDEX(Parametros!$B$2:$B$9,MATCH($E285,Parametros!$A$2:$A$9,0))</f>
        <v>Salsa BBQ</v>
      </c>
      <c r="G285" s="10" t="n">
        <v>125</v>
      </c>
      <c r="H285" s="10" t="n">
        <v>8</v>
      </c>
      <c r="I285" s="11" t="n">
        <f aca="false">SUMIFS(Eventos_Paro!$J$2:$J$2186,Eventos_Paro!$D$2:$D$2186,$E285,Eventos_Paro!$B$2:$B$2186,$B285)</f>
        <v>0</v>
      </c>
      <c r="J285" s="12" t="n">
        <f aca="false">G285-H285-I285</f>
        <v>117</v>
      </c>
      <c r="K285" s="13" t="n">
        <v>499585</v>
      </c>
      <c r="L285" s="13" t="n">
        <v>450001</v>
      </c>
      <c r="M285" s="13" t="n">
        <v>13312</v>
      </c>
      <c r="N285" s="14" t="n">
        <f aca="false">L285+M285</f>
        <v>463313</v>
      </c>
      <c r="O285" s="11" t="n">
        <f aca="false">INDEX(Parametros!$D$2:$D$9,MATCH($E285,Parametros!$A$2:$A$9,0))</f>
        <v>4800</v>
      </c>
      <c r="P285" s="15" t="n">
        <f aca="false">IF((G285-H285)&gt;0,J285/(G285-H285),0)</f>
        <v>1</v>
      </c>
      <c r="Q285" s="15" t="n">
        <f aca="false">IF(J285*O285&gt;0,N285/(O285*J285),0)</f>
        <v>0.824987535612536</v>
      </c>
      <c r="R285" s="15" t="n">
        <f aca="false">IF(N285&gt;0,L285/N285,0)</f>
        <v>0.971267803838874</v>
      </c>
      <c r="S285" s="15" t="n">
        <f aca="false">P285*Q285*R285</f>
        <v>0.801283831908832</v>
      </c>
      <c r="T285" s="15" t="n">
        <f aca="false">IF(K285&gt;0,L285/K285,0)</f>
        <v>0.900749622186415</v>
      </c>
      <c r="U285" s="10" t="n">
        <v>1491.8</v>
      </c>
      <c r="V285" s="5" t="n">
        <v>11</v>
      </c>
      <c r="W285" s="10" t="n">
        <v>116.8</v>
      </c>
      <c r="X285" s="15" t="n">
        <f aca="false">IF(U285&gt;0,W285/U285,0)</f>
        <v>0.0782946775707199</v>
      </c>
      <c r="Y285" s="12" t="n">
        <f aca="false">IF(U285&gt;0,L285/U285,0)</f>
        <v>301.649684944363</v>
      </c>
      <c r="Z285" s="16" t="n">
        <f aca="false">L285*INDEX(Parametros!$E$2:$E$9,MATCH($E285,Parametros!$A$2:$A$9,0))</f>
        <v>261000.58</v>
      </c>
      <c r="AA285" s="16" t="n">
        <f aca="false">Z285*INDEX(Parametros!$F$2:$F$9,MATCH($E285,Parametros!$A$2:$A$9,0))</f>
        <v>7308.01624</v>
      </c>
      <c r="AB285" s="17" t="n">
        <f aca="false">Z285+AA285</f>
        <v>268308.59624</v>
      </c>
      <c r="AC285" s="18" t="n">
        <v>267764.29</v>
      </c>
      <c r="AD285" s="17" t="n">
        <f aca="false">AC285-AB285</f>
        <v>-544.306240000005</v>
      </c>
      <c r="AE285" s="17" t="n">
        <f aca="false">AA285+AD285</f>
        <v>6763.71</v>
      </c>
      <c r="AF285" s="19" t="n">
        <f aca="false">IF(Z285&gt;0,AE285/Z285,0)</f>
        <v>0.0259145401132825</v>
      </c>
      <c r="AG285" s="16" t="n">
        <f aca="false">(U285-W285)*INDEX(Parametros!$H$2:$H$9,MATCH($E285,Parametros!$A$2:$A$9,0))+W285*INDEX(Parametros!$H$2:$H$9,MATCH($E285,Parametros!$A$2:$A$9,0))*Parametros!$N$3</f>
        <v>48831.3</v>
      </c>
      <c r="AH285" s="13" t="n">
        <v>22308</v>
      </c>
      <c r="AI285" s="16" t="n">
        <f aca="false">AH285*Parametros!$N$2</f>
        <v>2052.336</v>
      </c>
      <c r="AJ285" s="18" t="n">
        <v>9935</v>
      </c>
      <c r="AK285" s="18" t="n">
        <v>0</v>
      </c>
      <c r="AL285" s="17" t="n">
        <f aca="false">AG285+AI285+AJ285+AK285</f>
        <v>60818.636</v>
      </c>
      <c r="AM285" s="20" t="n">
        <f aca="false">IF(L285&gt;0,AL285/L285,0)</f>
        <v>0.135152224106169</v>
      </c>
      <c r="AN285" s="16" t="n">
        <f aca="false">L285*INDEX(Parametros!$G$2:$G$9,MATCH($E285,Parametros!$A$2:$A$9,0))</f>
        <v>441000.98</v>
      </c>
      <c r="AO285" s="17" t="n">
        <f aca="false">AN285-AC285-AL285</f>
        <v>112418.054</v>
      </c>
      <c r="AP285" s="15" t="n">
        <f aca="false">IF(AN285&gt;0,AO285/AN285,0)</f>
        <v>0.254915655742987</v>
      </c>
      <c r="AQ285" s="16" t="n">
        <f aca="false">INDEX(Parametros!$I$2:$I$9,MATCH($E285,Parametros!$A$2:$A$9,0))</f>
        <v>17000000</v>
      </c>
      <c r="AR285" s="19" t="n">
        <f aca="false">IF(AQ285&gt;0,AO285/AQ285,0)</f>
        <v>0.00661282670588235</v>
      </c>
    </row>
    <row r="286" customFormat="false" ht="15" hidden="false" customHeight="false" outlineLevel="0" collapsed="false">
      <c r="A286" s="5" t="s">
        <v>421</v>
      </c>
      <c r="B286" s="9" t="n">
        <v>45796</v>
      </c>
      <c r="C286" s="2" t="str">
        <f aca="false">TEXT(B286,"yyyy")</f>
        <v>2025</v>
      </c>
      <c r="D286" s="2" t="n">
        <f aca="false">WEEKNUM(B286,2)</f>
        <v>21</v>
      </c>
      <c r="E286" s="5" t="s">
        <v>138</v>
      </c>
      <c r="F286" s="6" t="str">
        <f aca="false">INDEX(Parametros!$B$2:$B$9,MATCH($E286,Parametros!$A$2:$A$9,0))</f>
        <v>Queso crema</v>
      </c>
      <c r="G286" s="10" t="n">
        <v>121.8</v>
      </c>
      <c r="H286" s="10" t="n">
        <v>8</v>
      </c>
      <c r="I286" s="11" t="n">
        <f aca="false">SUMIFS(Eventos_Paro!$J$2:$J$2186,Eventos_Paro!$D$2:$D$2186,$E286,Eventos_Paro!$B$2:$B$2186,$B286)</f>
        <v>7.11666666666667</v>
      </c>
      <c r="J286" s="12" t="n">
        <f aca="false">G286-H286-I286</f>
        <v>106.683333333333</v>
      </c>
      <c r="K286" s="13" t="n">
        <v>354560</v>
      </c>
      <c r="L286" s="13" t="n">
        <v>312798</v>
      </c>
      <c r="M286" s="13" t="n">
        <v>15680</v>
      </c>
      <c r="N286" s="14" t="n">
        <f aca="false">L286+M286</f>
        <v>328478</v>
      </c>
      <c r="O286" s="11" t="n">
        <f aca="false">INDEX(Parametros!$D$2:$D$9,MATCH($E286,Parametros!$A$2:$A$9,0))</f>
        <v>3800</v>
      </c>
      <c r="P286" s="15" t="n">
        <f aca="false">IF((G286-H286)&gt;0,J286/(G286-H286),0)</f>
        <v>0.937463386057411</v>
      </c>
      <c r="Q286" s="15" t="n">
        <f aca="false">IF(J286*O286&gt;0,N286/(O286*J286),0)</f>
        <v>0.810263199006734</v>
      </c>
      <c r="R286" s="15" t="n">
        <f aca="false">IF(N286&gt;0,L286/N286,0)</f>
        <v>0.95226468743721</v>
      </c>
      <c r="S286" s="15" t="n">
        <f aca="false">P286*Q286*R286</f>
        <v>0.723332716677458</v>
      </c>
      <c r="T286" s="15" t="n">
        <f aca="false">IF(K286&gt;0,L286/K286,0)</f>
        <v>0.882214575812274</v>
      </c>
      <c r="U286" s="10" t="n">
        <v>2161.9</v>
      </c>
      <c r="V286" s="5" t="n">
        <v>16</v>
      </c>
      <c r="W286" s="10" t="n">
        <v>213.1</v>
      </c>
      <c r="X286" s="15" t="n">
        <f aca="false">IF(U286&gt;0,W286/U286,0)</f>
        <v>0.0985707016975808</v>
      </c>
      <c r="Y286" s="12" t="n">
        <f aca="false">IF(U286&gt;0,L286/U286,0)</f>
        <v>144.686618252463</v>
      </c>
      <c r="Z286" s="16" t="n">
        <f aca="false">L286*INDEX(Parametros!$E$2:$E$9,MATCH($E286,Parametros!$A$2:$A$9,0))</f>
        <v>350333.76</v>
      </c>
      <c r="AA286" s="16" t="n">
        <f aca="false">Z286*INDEX(Parametros!$F$2:$F$9,MATCH($E286,Parametros!$A$2:$A$9,0))</f>
        <v>12261.6816</v>
      </c>
      <c r="AB286" s="17" t="n">
        <f aca="false">Z286+AA286</f>
        <v>362595.4416</v>
      </c>
      <c r="AC286" s="18" t="n">
        <v>362435.22</v>
      </c>
      <c r="AD286" s="17" t="n">
        <f aca="false">AC286-AB286</f>
        <v>-160.221600000048</v>
      </c>
      <c r="AE286" s="17" t="n">
        <f aca="false">AA286+AD286</f>
        <v>12101.46</v>
      </c>
      <c r="AF286" s="19" t="n">
        <f aca="false">IF(Z286&gt;0,AE286/Z286,0)</f>
        <v>0.0345426601193101</v>
      </c>
      <c r="AG286" s="16" t="n">
        <f aca="false">(U286-W286)*INDEX(Parametros!$H$2:$H$9,MATCH($E286,Parametros!$A$2:$A$9,0))+W286*INDEX(Parametros!$H$2:$H$9,MATCH($E286,Parametros!$A$2:$A$9,0))*Parametros!$N$3</f>
        <v>74858.85</v>
      </c>
      <c r="AH286" s="13" t="n">
        <v>17673</v>
      </c>
      <c r="AI286" s="16" t="n">
        <f aca="false">AH286*Parametros!$N$2</f>
        <v>1625.916</v>
      </c>
      <c r="AJ286" s="18" t="n">
        <v>17833</v>
      </c>
      <c r="AK286" s="18" t="n">
        <v>5958</v>
      </c>
      <c r="AL286" s="17" t="n">
        <f aca="false">AG286+AI286+AJ286+AK286</f>
        <v>100275.766</v>
      </c>
      <c r="AM286" s="20" t="n">
        <f aca="false">IF(L286&gt;0,AL286/L286,0)</f>
        <v>0.320576749211952</v>
      </c>
      <c r="AN286" s="16" t="n">
        <f aca="false">L286*INDEX(Parametros!$G$2:$G$9,MATCH($E286,Parametros!$A$2:$A$9,0))</f>
        <v>559908.42</v>
      </c>
      <c r="AO286" s="17" t="n">
        <f aca="false">AN286-AC286-AL286</f>
        <v>97197.4340000001</v>
      </c>
      <c r="AP286" s="15" t="n">
        <f aca="false">IF(AN286&gt;0,AO286/AN286,0)</f>
        <v>0.173595235449397</v>
      </c>
      <c r="AQ286" s="16" t="n">
        <f aca="false">INDEX(Parametros!$I$2:$I$9,MATCH($E286,Parametros!$A$2:$A$9,0))</f>
        <v>33200000</v>
      </c>
      <c r="AR286" s="19" t="n">
        <f aca="false">IF(AQ286&gt;0,AO286/AQ286,0)</f>
        <v>0.00292763355421687</v>
      </c>
    </row>
    <row r="287" customFormat="false" ht="15" hidden="false" customHeight="false" outlineLevel="0" collapsed="false">
      <c r="A287" s="5" t="s">
        <v>422</v>
      </c>
      <c r="B287" s="9" t="n">
        <v>45796</v>
      </c>
      <c r="C287" s="2" t="str">
        <f aca="false">TEXT(B287,"yyyy")</f>
        <v>2025</v>
      </c>
      <c r="D287" s="2" t="n">
        <f aca="false">WEEKNUM(B287,2)</f>
        <v>21</v>
      </c>
      <c r="E287" s="5" t="s">
        <v>140</v>
      </c>
      <c r="F287" s="6" t="str">
        <f aca="false">INDEX(Parametros!$B$2:$B$9,MATCH($E287,Parametros!$A$2:$A$9,0))</f>
        <v>Crema de cacahuate</v>
      </c>
      <c r="G287" s="10" t="n">
        <v>106.3</v>
      </c>
      <c r="H287" s="10" t="n">
        <v>5.5</v>
      </c>
      <c r="I287" s="11" t="n">
        <f aca="false">SUMIFS(Eventos_Paro!$J$2:$J$2186,Eventos_Paro!$D$2:$D$2186,$E287,Eventos_Paro!$B$2:$B$2186,$B287)</f>
        <v>0.716666666666667</v>
      </c>
      <c r="J287" s="12" t="n">
        <f aca="false">G287-H287-I287</f>
        <v>100.083333333333</v>
      </c>
      <c r="K287" s="13" t="n">
        <v>347115</v>
      </c>
      <c r="L287" s="13" t="n">
        <v>357817</v>
      </c>
      <c r="M287" s="13" t="n">
        <v>8533</v>
      </c>
      <c r="N287" s="14" t="n">
        <f aca="false">L287+M287</f>
        <v>366350</v>
      </c>
      <c r="O287" s="11" t="n">
        <f aca="false">INDEX(Parametros!$D$2:$D$9,MATCH($E287,Parametros!$A$2:$A$9,0))</f>
        <v>4200</v>
      </c>
      <c r="P287" s="15" t="n">
        <f aca="false">IF((G287-H287)&gt;0,J287/(G287-H287),0)</f>
        <v>0.992890211640212</v>
      </c>
      <c r="Q287" s="15" t="n">
        <f aca="false">IF(J287*O287&gt;0,N287/(O287*J287),0)</f>
        <v>0.871535625074343</v>
      </c>
      <c r="R287" s="15" t="n">
        <f aca="false">IF(N287&gt;0,L287/N287,0)</f>
        <v>0.976708066057049</v>
      </c>
      <c r="S287" s="15" t="n">
        <f aca="false">P287*Q287*R287</f>
        <v>0.845183767951625</v>
      </c>
      <c r="T287" s="15" t="n">
        <f aca="false">IF(K287&gt;0,L287/K287,0)</f>
        <v>1.03083128069948</v>
      </c>
      <c r="U287" s="10" t="n">
        <v>1419.7</v>
      </c>
      <c r="V287" s="5" t="n">
        <v>12</v>
      </c>
      <c r="W287" s="10" t="n">
        <v>144.1</v>
      </c>
      <c r="X287" s="15" t="n">
        <f aca="false">IF(U287&gt;0,W287/U287,0)</f>
        <v>0.101500316968374</v>
      </c>
      <c r="Y287" s="12" t="n">
        <f aca="false">IF(U287&gt;0,L287/U287,0)</f>
        <v>252.037050081003</v>
      </c>
      <c r="Z287" s="16" t="n">
        <f aca="false">L287*INDEX(Parametros!$E$2:$E$9,MATCH($E287,Parametros!$A$2:$A$9,0))</f>
        <v>347082.49</v>
      </c>
      <c r="AA287" s="16" t="n">
        <f aca="false">Z287*INDEX(Parametros!$F$2:$F$9,MATCH($E287,Parametros!$A$2:$A$9,0))</f>
        <v>7635.81478</v>
      </c>
      <c r="AB287" s="17" t="n">
        <f aca="false">Z287+AA287</f>
        <v>354718.30478</v>
      </c>
      <c r="AC287" s="18" t="n">
        <v>350315.4</v>
      </c>
      <c r="AD287" s="17" t="n">
        <f aca="false">AC287-AB287</f>
        <v>-4402.90477999998</v>
      </c>
      <c r="AE287" s="17" t="n">
        <f aca="false">AA287+AD287</f>
        <v>3232.91000000002</v>
      </c>
      <c r="AF287" s="19" t="n">
        <f aca="false">IF(Z287&gt;0,AE287/Z287,0)</f>
        <v>0.00931452923482258</v>
      </c>
      <c r="AG287" s="16" t="n">
        <f aca="false">(U287-W287)*INDEX(Parametros!$H$2:$H$9,MATCH($E287,Parametros!$A$2:$A$9,0))+W287*INDEX(Parametros!$H$2:$H$9,MATCH($E287,Parametros!$A$2:$A$9,0))*Parametros!$N$3</f>
        <v>46990.125</v>
      </c>
      <c r="AH287" s="13" t="n">
        <v>18445</v>
      </c>
      <c r="AI287" s="16" t="n">
        <f aca="false">AH287*Parametros!$N$2</f>
        <v>1696.94</v>
      </c>
      <c r="AJ287" s="18" t="n">
        <v>12098</v>
      </c>
      <c r="AK287" s="18" t="n">
        <v>498</v>
      </c>
      <c r="AL287" s="17" t="n">
        <f aca="false">AG287+AI287+AJ287+AK287</f>
        <v>61283.065</v>
      </c>
      <c r="AM287" s="20" t="n">
        <f aca="false">IF(L287&gt;0,AL287/L287,0)</f>
        <v>0.171269294080494</v>
      </c>
      <c r="AN287" s="16" t="n">
        <f aca="false">L287*INDEX(Parametros!$G$2:$G$9,MATCH($E287,Parametros!$A$2:$A$9,0))</f>
        <v>579663.54</v>
      </c>
      <c r="AO287" s="17" t="n">
        <f aca="false">AN287-AC287-AL287</f>
        <v>168065.075</v>
      </c>
      <c r="AP287" s="15" t="n">
        <f aca="false">IF(AN287&gt;0,AO287/AN287,0)</f>
        <v>0.289935563309709</v>
      </c>
      <c r="AQ287" s="16" t="n">
        <f aca="false">INDEX(Parametros!$I$2:$I$9,MATCH($E287,Parametros!$A$2:$A$9,0))</f>
        <v>28000000</v>
      </c>
      <c r="AR287" s="19" t="n">
        <f aca="false">IF(AQ287&gt;0,AO287/AQ287,0)</f>
        <v>0.00600232410714286</v>
      </c>
    </row>
    <row r="288" customFormat="false" ht="15" hidden="false" customHeight="false" outlineLevel="0" collapsed="false">
      <c r="A288" s="5" t="s">
        <v>423</v>
      </c>
      <c r="B288" s="9" t="n">
        <v>45796</v>
      </c>
      <c r="C288" s="2" t="str">
        <f aca="false">TEXT(B288,"yyyy")</f>
        <v>2025</v>
      </c>
      <c r="D288" s="2" t="n">
        <f aca="false">WEEKNUM(B288,2)</f>
        <v>21</v>
      </c>
      <c r="E288" s="5" t="s">
        <v>142</v>
      </c>
      <c r="F288" s="6" t="str">
        <f aca="false">INDEX(Parametros!$B$2:$B$9,MATCH($E288,Parametros!$A$2:$A$9,0))</f>
        <v>Porciones single serve</v>
      </c>
      <c r="G288" s="10" t="n">
        <v>106.3</v>
      </c>
      <c r="H288" s="10" t="n">
        <v>8.4</v>
      </c>
      <c r="I288" s="11" t="n">
        <f aca="false">SUMIFS(Eventos_Paro!$J$2:$J$2186,Eventos_Paro!$D$2:$D$2186,$E288,Eventos_Paro!$B$2:$B$2186,$B288)</f>
        <v>2.36666666666667</v>
      </c>
      <c r="J288" s="12" t="n">
        <f aca="false">G288-H288-I288</f>
        <v>95.5333333333333</v>
      </c>
      <c r="K288" s="13" t="n">
        <v>208699</v>
      </c>
      <c r="L288" s="13" t="n">
        <v>194903</v>
      </c>
      <c r="M288" s="13" t="n">
        <v>12022</v>
      </c>
      <c r="N288" s="14" t="n">
        <f aca="false">L288+M288</f>
        <v>206925</v>
      </c>
      <c r="O288" s="11" t="n">
        <f aca="false">INDEX(Parametros!$D$2:$D$9,MATCH($E288,Parametros!$A$2:$A$9,0))</f>
        <v>2600</v>
      </c>
      <c r="P288" s="15" t="n">
        <f aca="false">IF((G288-H288)&gt;0,J288/(G288-H288),0)</f>
        <v>0.975825672454886</v>
      </c>
      <c r="Q288" s="15" t="n">
        <f aca="false">IF(J288*O288&gt;0,N288/(O288*J288),0)</f>
        <v>0.833076117880724</v>
      </c>
      <c r="R288" s="15" t="n">
        <f aca="false">IF(N288&gt;0,L288/N288,0)</f>
        <v>0.941901655189078</v>
      </c>
      <c r="S288" s="15" t="n">
        <f aca="false">P288*Q288*R288</f>
        <v>0.765706765144968</v>
      </c>
      <c r="T288" s="15" t="n">
        <f aca="false">IF(K288&gt;0,L288/K288,0)</f>
        <v>0.933895227097399</v>
      </c>
      <c r="U288" s="10" t="n">
        <v>1604.9</v>
      </c>
      <c r="V288" s="5" t="n">
        <v>15</v>
      </c>
      <c r="W288" s="10" t="n">
        <v>10.4</v>
      </c>
      <c r="X288" s="15" t="n">
        <f aca="false">IF(U288&gt;0,W288/U288,0)</f>
        <v>0.00648015452676179</v>
      </c>
      <c r="Y288" s="12" t="n">
        <f aca="false">IF(U288&gt;0,L288/U288,0)</f>
        <v>121.442457473986</v>
      </c>
      <c r="Z288" s="16" t="n">
        <f aca="false">L288*INDEX(Parametros!$E$2:$E$9,MATCH($E288,Parametros!$A$2:$A$9,0))</f>
        <v>144228.22</v>
      </c>
      <c r="AA288" s="16" t="n">
        <f aca="false">Z288*INDEX(Parametros!$F$2:$F$9,MATCH($E288,Parametros!$A$2:$A$9,0))</f>
        <v>6490.2699</v>
      </c>
      <c r="AB288" s="17" t="n">
        <f aca="false">Z288+AA288</f>
        <v>150718.4899</v>
      </c>
      <c r="AC288" s="18" t="n">
        <v>149300.72</v>
      </c>
      <c r="AD288" s="17" t="n">
        <f aca="false">AC288-AB288</f>
        <v>-1417.76990000001</v>
      </c>
      <c r="AE288" s="17" t="n">
        <f aca="false">AA288+AD288</f>
        <v>5072.49999999999</v>
      </c>
      <c r="AF288" s="19" t="n">
        <f aca="false">IF(Z288&gt;0,AE288/Z288,0)</f>
        <v>0.0351699549505637</v>
      </c>
      <c r="AG288" s="16" t="n">
        <f aca="false">(U288-W288)*INDEX(Parametros!$H$2:$H$9,MATCH($E288,Parametros!$A$2:$A$9,0))+W288*INDEX(Parametros!$H$2:$H$9,MATCH($E288,Parametros!$A$2:$A$9,0))*Parametros!$N$3</f>
        <v>48303</v>
      </c>
      <c r="AH288" s="13" t="n">
        <v>10650</v>
      </c>
      <c r="AI288" s="16" t="n">
        <f aca="false">AH288*Parametros!$N$2</f>
        <v>979.8</v>
      </c>
      <c r="AJ288" s="18" t="n">
        <v>10389</v>
      </c>
      <c r="AK288" s="18" t="n">
        <v>2106</v>
      </c>
      <c r="AL288" s="17" t="n">
        <f aca="false">AG288+AI288+AJ288+AK288</f>
        <v>61777.8</v>
      </c>
      <c r="AM288" s="20" t="n">
        <f aca="false">IF(L288&gt;0,AL288/L288,0)</f>
        <v>0.316966901484328</v>
      </c>
      <c r="AN288" s="16" t="n">
        <f aca="false">L288*INDEX(Parametros!$G$2:$G$9,MATCH($E288,Parametros!$A$2:$A$9,0))</f>
        <v>335233.16</v>
      </c>
      <c r="AO288" s="17" t="n">
        <f aca="false">AN288-AC288-AL288</f>
        <v>124154.64</v>
      </c>
      <c r="AP288" s="15" t="n">
        <f aca="false">IF(AN288&gt;0,AO288/AN288,0)</f>
        <v>0.370353099914102</v>
      </c>
      <c r="AQ288" s="16" t="n">
        <f aca="false">INDEX(Parametros!$I$2:$I$9,MATCH($E288,Parametros!$A$2:$A$9,0))</f>
        <v>15900000</v>
      </c>
      <c r="AR288" s="19" t="n">
        <f aca="false">IF(AQ288&gt;0,AO288/AQ288,0)</f>
        <v>0.0078084679245283</v>
      </c>
    </row>
    <row r="289" customFormat="false" ht="15" hidden="false" customHeight="false" outlineLevel="0" collapsed="false">
      <c r="A289" s="5" t="s">
        <v>424</v>
      </c>
      <c r="B289" s="9" t="n">
        <v>45796</v>
      </c>
      <c r="C289" s="2" t="str">
        <f aca="false">TEXT(B289,"yyyy")</f>
        <v>2025</v>
      </c>
      <c r="D289" s="2" t="n">
        <f aca="false">WEEKNUM(B289,2)</f>
        <v>21</v>
      </c>
      <c r="E289" s="5" t="s">
        <v>144</v>
      </c>
      <c r="F289" s="6" t="str">
        <f aca="false">INDEX(Parametros!$B$2:$B$9,MATCH($E289,Parametros!$A$2:$A$9,0))</f>
        <v>Salsas picantes</v>
      </c>
      <c r="G289" s="10" t="n">
        <v>96.4</v>
      </c>
      <c r="H289" s="10" t="n">
        <v>7.1</v>
      </c>
      <c r="I289" s="11" t="n">
        <f aca="false">SUMIFS(Eventos_Paro!$J$2:$J$2186,Eventos_Paro!$D$2:$D$2186,$E289,Eventos_Paro!$B$2:$B$2186,$B289)</f>
        <v>5.56666666666667</v>
      </c>
      <c r="J289" s="12" t="n">
        <f aca="false">G289-H289-I289</f>
        <v>83.7333333333334</v>
      </c>
      <c r="K289" s="13" t="n">
        <v>212758</v>
      </c>
      <c r="L289" s="13" t="n">
        <v>227589</v>
      </c>
      <c r="M289" s="13" t="n">
        <v>8689</v>
      </c>
      <c r="N289" s="14" t="n">
        <f aca="false">L289+M289</f>
        <v>236278</v>
      </c>
      <c r="O289" s="11" t="n">
        <f aca="false">INDEX(Parametros!$D$2:$D$9,MATCH($E289,Parametros!$A$2:$A$9,0))</f>
        <v>3100</v>
      </c>
      <c r="P289" s="15" t="n">
        <f aca="false">IF((G289-H289)&gt;0,J289/(G289-H289),0)</f>
        <v>0.937663307204181</v>
      </c>
      <c r="Q289" s="15" t="n">
        <f aca="false">IF(J289*O289&gt;0,N289/(O289*J289),0)</f>
        <v>0.910255290733511</v>
      </c>
      <c r="R289" s="15" t="n">
        <f aca="false">IF(N289&gt;0,L289/N289,0)</f>
        <v>0.963225522477759</v>
      </c>
      <c r="S289" s="15" t="n">
        <f aca="false">P289*Q289*R289</f>
        <v>0.822125492179316</v>
      </c>
      <c r="T289" s="15" t="n">
        <f aca="false">IF(K289&gt;0,L289/K289,0)</f>
        <v>1.06970830709069</v>
      </c>
      <c r="U289" s="10" t="n">
        <v>872.6</v>
      </c>
      <c r="V289" s="5" t="n">
        <v>8</v>
      </c>
      <c r="W289" s="10" t="n">
        <v>101.4</v>
      </c>
      <c r="X289" s="15" t="n">
        <f aca="false">IF(U289&gt;0,W289/U289,0)</f>
        <v>0.116204446481779</v>
      </c>
      <c r="Y289" s="12" t="n">
        <f aca="false">IF(U289&gt;0,L289/U289,0)</f>
        <v>260.817098326839</v>
      </c>
      <c r="Z289" s="16" t="n">
        <f aca="false">L289*INDEX(Parametros!$E$2:$E$9,MATCH($E289,Parametros!$A$2:$A$9,0))</f>
        <v>150208.74</v>
      </c>
      <c r="AA289" s="16" t="n">
        <f aca="false">Z289*INDEX(Parametros!$F$2:$F$9,MATCH($E289,Parametros!$A$2:$A$9,0))</f>
        <v>3905.42724</v>
      </c>
      <c r="AB289" s="17" t="n">
        <f aca="false">Z289+AA289</f>
        <v>154114.16724</v>
      </c>
      <c r="AC289" s="18" t="n">
        <v>156760.85</v>
      </c>
      <c r="AD289" s="17" t="n">
        <f aca="false">AC289-AB289</f>
        <v>2646.68276</v>
      </c>
      <c r="AE289" s="17" t="n">
        <f aca="false">AA289+AD289</f>
        <v>6552.11</v>
      </c>
      <c r="AF289" s="19" t="n">
        <f aca="false">IF(Z289&gt;0,AE289/Z289,0)</f>
        <v>0.0436200316972235</v>
      </c>
      <c r="AG289" s="16" t="n">
        <f aca="false">(U289-W289)*INDEX(Parametros!$H$2:$H$9,MATCH($E289,Parametros!$A$2:$A$9,0))+W289*INDEX(Parametros!$H$2:$H$9,MATCH($E289,Parametros!$A$2:$A$9,0))*Parametros!$N$3</f>
        <v>29083.95</v>
      </c>
      <c r="AH289" s="13" t="n">
        <v>12065</v>
      </c>
      <c r="AI289" s="16" t="n">
        <f aca="false">AH289*Parametros!$N$2</f>
        <v>1109.98</v>
      </c>
      <c r="AJ289" s="18" t="n">
        <v>6696</v>
      </c>
      <c r="AK289" s="18" t="n">
        <v>5245</v>
      </c>
      <c r="AL289" s="17" t="n">
        <f aca="false">AG289+AI289+AJ289+AK289</f>
        <v>42134.93</v>
      </c>
      <c r="AM289" s="20" t="n">
        <f aca="false">IF(L289&gt;0,AL289/L289,0)</f>
        <v>0.185136056663547</v>
      </c>
      <c r="AN289" s="16" t="n">
        <f aca="false">L289*INDEX(Parametros!$G$2:$G$9,MATCH($E289,Parametros!$A$2:$A$9,0))</f>
        <v>284486.25</v>
      </c>
      <c r="AO289" s="17" t="n">
        <f aca="false">AN289-AC289-AL289</f>
        <v>85590.47</v>
      </c>
      <c r="AP289" s="15" t="n">
        <f aca="false">IF(AN289&gt;0,AO289/AN289,0)</f>
        <v>0.300859777933028</v>
      </c>
      <c r="AQ289" s="16" t="n">
        <f aca="false">INDEX(Parametros!$I$2:$I$9,MATCH($E289,Parametros!$A$2:$A$9,0))</f>
        <v>13300000</v>
      </c>
      <c r="AR289" s="19" t="n">
        <f aca="false">IF(AQ289&gt;0,AO289/AQ289,0)</f>
        <v>0.00643537368421053</v>
      </c>
    </row>
    <row r="290" customFormat="false" ht="15" hidden="false" customHeight="false" outlineLevel="0" collapsed="false">
      <c r="A290" s="5" t="s">
        <v>425</v>
      </c>
      <c r="B290" s="9" t="n">
        <v>45803</v>
      </c>
      <c r="C290" s="2" t="str">
        <f aca="false">TEXT(B290,"yyyy")</f>
        <v>2025</v>
      </c>
      <c r="D290" s="2" t="n">
        <f aca="false">WEEKNUM(B290,2)</f>
        <v>22</v>
      </c>
      <c r="E290" s="5" t="s">
        <v>130</v>
      </c>
      <c r="F290" s="6" t="str">
        <f aca="false">INDEX(Parametros!$B$2:$B$9,MATCH($E290,Parametros!$A$2:$A$9,0))</f>
        <v>Ketchup botella</v>
      </c>
      <c r="G290" s="10" t="n">
        <v>122.4</v>
      </c>
      <c r="H290" s="10" t="n">
        <v>6.8</v>
      </c>
      <c r="I290" s="11" t="n">
        <f aca="false">SUMIFS(Eventos_Paro!$J$2:$J$2186,Eventos_Paro!$D$2:$D$2186,$E290,Eventos_Paro!$B$2:$B$2186,$B290)</f>
        <v>4.58333333333333</v>
      </c>
      <c r="J290" s="12" t="n">
        <f aca="false">G290-H290-I290</f>
        <v>111.016666666667</v>
      </c>
      <c r="K290" s="13" t="n">
        <v>856013</v>
      </c>
      <c r="L290" s="13" t="n">
        <v>838409</v>
      </c>
      <c r="M290" s="13" t="n">
        <v>24442</v>
      </c>
      <c r="N290" s="14" t="n">
        <f aca="false">L290+M290</f>
        <v>862851</v>
      </c>
      <c r="O290" s="11" t="n">
        <f aca="false">INDEX(Parametros!$D$2:$D$9,MATCH($E290,Parametros!$A$2:$A$9,0))</f>
        <v>9000</v>
      </c>
      <c r="P290" s="15" t="n">
        <f aca="false">IF((G290-H290)&gt;0,J290/(G290-H290),0)</f>
        <v>0.960351787773933</v>
      </c>
      <c r="Q290" s="15" t="n">
        <f aca="false">IF(J290*O290&gt;0,N290/(O290*J290),0)</f>
        <v>0.863585047290197</v>
      </c>
      <c r="R290" s="15" t="n">
        <f aca="false">IF(N290&gt;0,L290/N290,0)</f>
        <v>0.971672977142056</v>
      </c>
      <c r="S290" s="15" t="n">
        <f aca="false">P290*Q290*R290</f>
        <v>0.805852556708958</v>
      </c>
      <c r="T290" s="15" t="n">
        <f aca="false">IF(K290&gt;0,L290/K290,0)</f>
        <v>0.979434891759822</v>
      </c>
      <c r="U290" s="10" t="n">
        <v>1846.4</v>
      </c>
      <c r="V290" s="5" t="n">
        <v>14</v>
      </c>
      <c r="W290" s="10" t="n">
        <v>132.8</v>
      </c>
      <c r="X290" s="15" t="n">
        <f aca="false">IF(U290&gt;0,W290/U290,0)</f>
        <v>0.0719237435008666</v>
      </c>
      <c r="Y290" s="12" t="n">
        <f aca="false">IF(U290&gt;0,L290/U290,0)</f>
        <v>454.077664644714</v>
      </c>
      <c r="Z290" s="16" t="n">
        <f aca="false">L290*INDEX(Parametros!$E$2:$E$9,MATCH($E290,Parametros!$A$2:$A$9,0))</f>
        <v>352131.78</v>
      </c>
      <c r="AA290" s="16" t="n">
        <f aca="false">Z290*INDEX(Parametros!$F$2:$F$9,MATCH($E290,Parametros!$A$2:$A$9,0))</f>
        <v>7042.6356</v>
      </c>
      <c r="AB290" s="17" t="n">
        <f aca="false">Z290+AA290</f>
        <v>359174.4156</v>
      </c>
      <c r="AC290" s="18" t="n">
        <v>363828.21</v>
      </c>
      <c r="AD290" s="17" t="n">
        <f aca="false">AC290-AB290</f>
        <v>4653.79440000007</v>
      </c>
      <c r="AE290" s="17" t="n">
        <f aca="false">AA290+AD290</f>
        <v>11696.4300000001</v>
      </c>
      <c r="AF290" s="19" t="n">
        <f aca="false">IF(Z290&gt;0,AE290/Z290,0)</f>
        <v>0.0332160590560729</v>
      </c>
      <c r="AG290" s="16" t="n">
        <f aca="false">(U290-W290)*INDEX(Parametros!$H$2:$H$9,MATCH($E290,Parametros!$A$2:$A$9,0))+W290*INDEX(Parametros!$H$2:$H$9,MATCH($E290,Parametros!$A$2:$A$9,0))*Parametros!$N$3</f>
        <v>60253.2</v>
      </c>
      <c r="AH290" s="13" t="n">
        <v>42619</v>
      </c>
      <c r="AI290" s="16" t="n">
        <f aca="false">AH290*Parametros!$N$2</f>
        <v>3920.948</v>
      </c>
      <c r="AJ290" s="18" t="n">
        <v>15131</v>
      </c>
      <c r="AK290" s="18" t="n">
        <v>2582</v>
      </c>
      <c r="AL290" s="17" t="n">
        <f aca="false">AG290+AI290+AJ290+AK290</f>
        <v>81887.148</v>
      </c>
      <c r="AM290" s="20" t="n">
        <f aca="false">IF(L290&gt;0,AL290/L290,0)</f>
        <v>0.0976696910457784</v>
      </c>
      <c r="AN290" s="16" t="n">
        <f aca="false">L290*INDEX(Parametros!$G$2:$G$9,MATCH($E290,Parametros!$A$2:$A$9,0))</f>
        <v>595270.39</v>
      </c>
      <c r="AO290" s="17" t="n">
        <f aca="false">AN290-AC290-AL290</f>
        <v>149555.032</v>
      </c>
      <c r="AP290" s="15" t="n">
        <f aca="false">IF(AN290&gt;0,AO290/AN290,0)</f>
        <v>0.251238822747424</v>
      </c>
      <c r="AQ290" s="16" t="n">
        <f aca="false">INDEX(Parametros!$I$2:$I$9,MATCH($E290,Parametros!$A$2:$A$9,0))</f>
        <v>29300000</v>
      </c>
      <c r="AR290" s="19" t="n">
        <f aca="false">IF(AQ290&gt;0,AO290/AQ290,0)</f>
        <v>0.00510426730375427</v>
      </c>
    </row>
    <row r="291" customFormat="false" ht="15" hidden="false" customHeight="false" outlineLevel="0" collapsed="false">
      <c r="A291" s="5" t="s">
        <v>426</v>
      </c>
      <c r="B291" s="9" t="n">
        <v>45803</v>
      </c>
      <c r="C291" s="2" t="str">
        <f aca="false">TEXT(B291,"yyyy")</f>
        <v>2025</v>
      </c>
      <c r="D291" s="2" t="n">
        <f aca="false">WEEKNUM(B291,2)</f>
        <v>22</v>
      </c>
      <c r="E291" s="5" t="s">
        <v>132</v>
      </c>
      <c r="F291" s="6" t="str">
        <f aca="false">INDEX(Parametros!$B$2:$B$9,MATCH($E291,Parametros!$A$2:$A$9,0))</f>
        <v>Mayonesa frasco</v>
      </c>
      <c r="G291" s="10" t="n">
        <v>124</v>
      </c>
      <c r="H291" s="10" t="n">
        <v>5.8</v>
      </c>
      <c r="I291" s="11" t="n">
        <f aca="false">SUMIFS(Eventos_Paro!$J$2:$J$2186,Eventos_Paro!$D$2:$D$2186,$E291,Eventos_Paro!$B$2:$B$2186,$B291)</f>
        <v>0.733333333333333</v>
      </c>
      <c r="J291" s="12" t="n">
        <f aca="false">G291-H291-I291</f>
        <v>117.466666666667</v>
      </c>
      <c r="K291" s="13" t="n">
        <v>632137</v>
      </c>
      <c r="L291" s="13" t="n">
        <v>628323</v>
      </c>
      <c r="M291" s="13" t="n">
        <v>18303</v>
      </c>
      <c r="N291" s="14" t="n">
        <f aca="false">L291+M291</f>
        <v>646626</v>
      </c>
      <c r="O291" s="11" t="n">
        <f aca="false">INDEX(Parametros!$D$2:$D$9,MATCH($E291,Parametros!$A$2:$A$9,0))</f>
        <v>6500</v>
      </c>
      <c r="P291" s="15" t="n">
        <f aca="false">IF((G291-H291)&gt;0,J291/(G291-H291),0)</f>
        <v>0.993795826283136</v>
      </c>
      <c r="Q291" s="15" t="n">
        <f aca="false">IF(J291*O291&gt;0,N291/(O291*J291),0)</f>
        <v>0.846886405308653</v>
      </c>
      <c r="R291" s="15" t="n">
        <f aca="false">IF(N291&gt;0,L291/N291,0)</f>
        <v>0.971694611723005</v>
      </c>
      <c r="S291" s="15" t="n">
        <f aca="false">P291*Q291*R291</f>
        <v>0.817809449433815</v>
      </c>
      <c r="T291" s="15" t="n">
        <f aca="false">IF(K291&gt;0,L291/K291,0)</f>
        <v>0.99396649776868</v>
      </c>
      <c r="U291" s="10" t="n">
        <v>1782.6</v>
      </c>
      <c r="V291" s="5" t="n">
        <v>13</v>
      </c>
      <c r="W291" s="10" t="n">
        <v>170.6</v>
      </c>
      <c r="X291" s="15" t="n">
        <f aca="false">IF(U291&gt;0,W291/U291,0)</f>
        <v>0.0957029058678335</v>
      </c>
      <c r="Y291" s="12" t="n">
        <f aca="false">IF(U291&gt;0,L291/U291,0)</f>
        <v>352.475597441939</v>
      </c>
      <c r="Z291" s="16" t="n">
        <f aca="false">L291*INDEX(Parametros!$E$2:$E$9,MATCH($E291,Parametros!$A$2:$A$9,0))</f>
        <v>383277.03</v>
      </c>
      <c r="AA291" s="16" t="n">
        <f aca="false">Z291*INDEX(Parametros!$F$2:$F$9,MATCH($E291,Parametros!$A$2:$A$9,0))</f>
        <v>9581.92575</v>
      </c>
      <c r="AB291" s="17" t="n">
        <f aca="false">Z291+AA291</f>
        <v>392858.95575</v>
      </c>
      <c r="AC291" s="18" t="n">
        <v>393790.79</v>
      </c>
      <c r="AD291" s="17" t="n">
        <f aca="false">AC291-AB291</f>
        <v>931.834250000014</v>
      </c>
      <c r="AE291" s="17" t="n">
        <f aca="false">AA291+AD291</f>
        <v>10513.76</v>
      </c>
      <c r="AF291" s="19" t="n">
        <f aca="false">IF(Z291&gt;0,AE291/Z291,0)</f>
        <v>0.0274312290512166</v>
      </c>
      <c r="AG291" s="16" t="n">
        <f aca="false">(U291-W291)*INDEX(Parametros!$H$2:$H$9,MATCH($E291,Parametros!$A$2:$A$9,0))+W291*INDEX(Parametros!$H$2:$H$9,MATCH($E291,Parametros!$A$2:$A$9,0))*Parametros!$N$3</f>
        <v>58838.85</v>
      </c>
      <c r="AH291" s="13" t="n">
        <v>31832</v>
      </c>
      <c r="AI291" s="16" t="n">
        <f aca="false">AH291*Parametros!$N$2</f>
        <v>2928.544</v>
      </c>
      <c r="AJ291" s="18" t="n">
        <v>13908</v>
      </c>
      <c r="AK291" s="18" t="n">
        <v>915</v>
      </c>
      <c r="AL291" s="17" t="n">
        <f aca="false">AG291+AI291+AJ291+AK291</f>
        <v>76590.394</v>
      </c>
      <c r="AM291" s="20" t="n">
        <f aca="false">IF(L291&gt;0,AL291/L291,0)</f>
        <v>0.121896530924381</v>
      </c>
      <c r="AN291" s="16" t="n">
        <f aca="false">L291*INDEX(Parametros!$G$2:$G$9,MATCH($E291,Parametros!$A$2:$A$9,0))</f>
        <v>603190.08</v>
      </c>
      <c r="AO291" s="17" t="n">
        <f aca="false">AN291-AC291-AL291</f>
        <v>132808.896</v>
      </c>
      <c r="AP291" s="15" t="n">
        <f aca="false">IF(AN291&gt;0,AO291/AN291,0)</f>
        <v>0.220177520160809</v>
      </c>
      <c r="AQ291" s="16" t="n">
        <f aca="false">INDEX(Parametros!$I$2:$I$9,MATCH($E291,Parametros!$A$2:$A$9,0))</f>
        <v>29700000</v>
      </c>
      <c r="AR291" s="19" t="n">
        <f aca="false">IF(AQ291&gt;0,AO291/AQ291,0)</f>
        <v>0.00447168</v>
      </c>
    </row>
    <row r="292" customFormat="false" ht="15" hidden="false" customHeight="false" outlineLevel="0" collapsed="false">
      <c r="A292" s="5" t="s">
        <v>427</v>
      </c>
      <c r="B292" s="9" t="n">
        <v>45803</v>
      </c>
      <c r="C292" s="2" t="str">
        <f aca="false">TEXT(B292,"yyyy")</f>
        <v>2025</v>
      </c>
      <c r="D292" s="2" t="n">
        <f aca="false">WEEKNUM(B292,2)</f>
        <v>22</v>
      </c>
      <c r="E292" s="5" t="s">
        <v>134</v>
      </c>
      <c r="F292" s="6" t="str">
        <f aca="false">INDEX(Parametros!$B$2:$B$9,MATCH($E292,Parametros!$A$2:$A$9,0))</f>
        <v>Aderezos vertibles</v>
      </c>
      <c r="G292" s="10" t="n">
        <v>100</v>
      </c>
      <c r="H292" s="10" t="n">
        <v>8.6</v>
      </c>
      <c r="I292" s="11" t="n">
        <f aca="false">SUMIFS(Eventos_Paro!$J$2:$J$2186,Eventos_Paro!$D$2:$D$2186,$E292,Eventos_Paro!$B$2:$B$2186,$B292)</f>
        <v>2.08333333333333</v>
      </c>
      <c r="J292" s="12" t="n">
        <f aca="false">G292-H292-I292</f>
        <v>89.3166666666667</v>
      </c>
      <c r="K292" s="13" t="n">
        <v>391048</v>
      </c>
      <c r="L292" s="13" t="n">
        <v>352769</v>
      </c>
      <c r="M292" s="13" t="n">
        <v>16447</v>
      </c>
      <c r="N292" s="14" t="n">
        <f aca="false">L292+M292</f>
        <v>369216</v>
      </c>
      <c r="O292" s="11" t="n">
        <f aca="false">INDEX(Parametros!$D$2:$D$9,MATCH($E292,Parametros!$A$2:$A$9,0))</f>
        <v>5200</v>
      </c>
      <c r="P292" s="15" t="n">
        <f aca="false">IF((G292-H292)&gt;0,J292/(G292-H292),0)</f>
        <v>0.977206418672502</v>
      </c>
      <c r="Q292" s="15" t="n">
        <f aca="false">IF(J292*O292&gt;0,N292/(O292*J292),0)</f>
        <v>0.794958875794853</v>
      </c>
      <c r="R292" s="15" t="n">
        <f aca="false">IF(N292&gt;0,L292/N292,0)</f>
        <v>0.95545425983706</v>
      </c>
      <c r="S292" s="15" t="n">
        <f aca="false">P292*Q292*R292</f>
        <v>0.74223405150648</v>
      </c>
      <c r="T292" s="15" t="n">
        <f aca="false">IF(K292&gt;0,L292/K292,0)</f>
        <v>0.902111761216014</v>
      </c>
      <c r="U292" s="10" t="n">
        <v>1271.2</v>
      </c>
      <c r="V292" s="5" t="n">
        <v>12</v>
      </c>
      <c r="W292" s="10" t="n">
        <v>71.2</v>
      </c>
      <c r="X292" s="15" t="n">
        <f aca="false">IF(U292&gt;0,W292/U292,0)</f>
        <v>0.0560100692259283</v>
      </c>
      <c r="Y292" s="12" t="n">
        <f aca="false">IF(U292&gt;0,L292/U292,0)</f>
        <v>277.508653241032</v>
      </c>
      <c r="Z292" s="16" t="n">
        <f aca="false">L292*INDEX(Parametros!$E$2:$E$9,MATCH($E292,Parametros!$A$2:$A$9,0))</f>
        <v>194022.95</v>
      </c>
      <c r="AA292" s="16" t="n">
        <f aca="false">Z292*INDEX(Parametros!$F$2:$F$9,MATCH($E292,Parametros!$A$2:$A$9,0))</f>
        <v>5820.6885</v>
      </c>
      <c r="AB292" s="17" t="n">
        <f aca="false">Z292+AA292</f>
        <v>199843.6385</v>
      </c>
      <c r="AC292" s="18" t="n">
        <v>203366.3</v>
      </c>
      <c r="AD292" s="17" t="n">
        <f aca="false">AC292-AB292</f>
        <v>3522.66149999999</v>
      </c>
      <c r="AE292" s="17" t="n">
        <f aca="false">AA292+AD292</f>
        <v>9343.34999999999</v>
      </c>
      <c r="AF292" s="19" t="n">
        <f aca="false">IF(Z292&gt;0,AE292/Z292,0)</f>
        <v>0.0481559011446841</v>
      </c>
      <c r="AG292" s="16" t="n">
        <f aca="false">(U292-W292)*INDEX(Parametros!$H$2:$H$9,MATCH($E292,Parametros!$A$2:$A$9,0))+W292*INDEX(Parametros!$H$2:$H$9,MATCH($E292,Parametros!$A$2:$A$9,0))*Parametros!$N$3</f>
        <v>41164.2</v>
      </c>
      <c r="AH292" s="13" t="n">
        <v>17796</v>
      </c>
      <c r="AI292" s="16" t="n">
        <f aca="false">AH292*Parametros!$N$2</f>
        <v>1637.232</v>
      </c>
      <c r="AJ292" s="18" t="n">
        <v>11011</v>
      </c>
      <c r="AK292" s="18" t="n">
        <v>1588</v>
      </c>
      <c r="AL292" s="17" t="n">
        <f aca="false">AG292+AI292+AJ292+AK292</f>
        <v>55400.432</v>
      </c>
      <c r="AM292" s="20" t="n">
        <f aca="false">IF(L292&gt;0,AL292/L292,0)</f>
        <v>0.157044502209661</v>
      </c>
      <c r="AN292" s="16" t="n">
        <f aca="false">L292*INDEX(Parametros!$G$2:$G$9,MATCH($E292,Parametros!$A$2:$A$9,0))</f>
        <v>359824.38</v>
      </c>
      <c r="AO292" s="17" t="n">
        <f aca="false">AN292-AC292-AL292</f>
        <v>101057.648</v>
      </c>
      <c r="AP292" s="15" t="n">
        <f aca="false">IF(AN292&gt;0,AO292/AN292,0)</f>
        <v>0.280852698196826</v>
      </c>
      <c r="AQ292" s="16" t="n">
        <f aca="false">INDEX(Parametros!$I$2:$I$9,MATCH($E292,Parametros!$A$2:$A$9,0))</f>
        <v>19300000</v>
      </c>
      <c r="AR292" s="19" t="n">
        <f aca="false">IF(AQ292&gt;0,AO292/AQ292,0)</f>
        <v>0.00523614756476684</v>
      </c>
    </row>
    <row r="293" customFormat="false" ht="15" hidden="false" customHeight="false" outlineLevel="0" collapsed="false">
      <c r="A293" s="5" t="s">
        <v>428</v>
      </c>
      <c r="B293" s="9" t="n">
        <v>45803</v>
      </c>
      <c r="C293" s="2" t="str">
        <f aca="false">TEXT(B293,"yyyy")</f>
        <v>2025</v>
      </c>
      <c r="D293" s="2" t="n">
        <f aca="false">WEEKNUM(B293,2)</f>
        <v>22</v>
      </c>
      <c r="E293" s="5" t="s">
        <v>136</v>
      </c>
      <c r="F293" s="6" t="str">
        <f aca="false">INDEX(Parametros!$B$2:$B$9,MATCH($E293,Parametros!$A$2:$A$9,0))</f>
        <v>Salsa BBQ</v>
      </c>
      <c r="G293" s="10" t="n">
        <v>90.7</v>
      </c>
      <c r="H293" s="10" t="n">
        <v>7.6</v>
      </c>
      <c r="I293" s="11" t="n">
        <f aca="false">SUMIFS(Eventos_Paro!$J$2:$J$2186,Eventos_Paro!$D$2:$D$2186,$E293,Eventos_Paro!$B$2:$B$2186,$B293)</f>
        <v>0</v>
      </c>
      <c r="J293" s="12" t="n">
        <f aca="false">G293-H293-I293</f>
        <v>83.1</v>
      </c>
      <c r="K293" s="13" t="n">
        <v>359981</v>
      </c>
      <c r="L293" s="13" t="n">
        <v>324660</v>
      </c>
      <c r="M293" s="13" t="n">
        <v>11457</v>
      </c>
      <c r="N293" s="14" t="n">
        <f aca="false">L293+M293</f>
        <v>336117</v>
      </c>
      <c r="O293" s="11" t="n">
        <f aca="false">INDEX(Parametros!$D$2:$D$9,MATCH($E293,Parametros!$A$2:$A$9,0))</f>
        <v>4800</v>
      </c>
      <c r="P293" s="15" t="n">
        <f aca="false">IF((G293-H293)&gt;0,J293/(G293-H293),0)</f>
        <v>1</v>
      </c>
      <c r="Q293" s="15" t="n">
        <f aca="false">IF(J293*O293&gt;0,N293/(O293*J293),0)</f>
        <v>0.842651925391095</v>
      </c>
      <c r="R293" s="15" t="n">
        <f aca="false">IF(N293&gt;0,L293/N293,0)</f>
        <v>0.965913655066539</v>
      </c>
      <c r="S293" s="15" t="n">
        <f aca="false">P293*Q293*R293</f>
        <v>0.813929001203369</v>
      </c>
      <c r="T293" s="15" t="n">
        <f aca="false">IF(K293&gt;0,L293/K293,0)</f>
        <v>0.901880932604776</v>
      </c>
      <c r="U293" s="10" t="n">
        <v>1072.4</v>
      </c>
      <c r="V293" s="5" t="n">
        <v>11</v>
      </c>
      <c r="W293" s="10" t="n">
        <v>74.7</v>
      </c>
      <c r="X293" s="15" t="n">
        <f aca="false">IF(U293&gt;0,W293/U293,0)</f>
        <v>0.069656844461022</v>
      </c>
      <c r="Y293" s="12" t="n">
        <f aca="false">IF(U293&gt;0,L293/U293,0)</f>
        <v>302.741514360313</v>
      </c>
      <c r="Z293" s="16" t="n">
        <f aca="false">L293*INDEX(Parametros!$E$2:$E$9,MATCH($E293,Parametros!$A$2:$A$9,0))</f>
        <v>188302.8</v>
      </c>
      <c r="AA293" s="16" t="n">
        <f aca="false">Z293*INDEX(Parametros!$F$2:$F$9,MATCH($E293,Parametros!$A$2:$A$9,0))</f>
        <v>5272.4784</v>
      </c>
      <c r="AB293" s="17" t="n">
        <f aca="false">Z293+AA293</f>
        <v>193575.2784</v>
      </c>
      <c r="AC293" s="18" t="n">
        <v>195189.33</v>
      </c>
      <c r="AD293" s="17" t="n">
        <f aca="false">AC293-AB293</f>
        <v>1614.05160000001</v>
      </c>
      <c r="AE293" s="17" t="n">
        <f aca="false">AA293+AD293</f>
        <v>6886.53000000001</v>
      </c>
      <c r="AF293" s="19" t="n">
        <f aca="false">IF(Z293&gt;0,AE293/Z293,0)</f>
        <v>0.0365715751438641</v>
      </c>
      <c r="AG293" s="16" t="n">
        <f aca="false">(U293-W293)*INDEX(Parametros!$H$2:$H$9,MATCH($E293,Parametros!$A$2:$A$9,0))+W293*INDEX(Parametros!$H$2:$H$9,MATCH($E293,Parametros!$A$2:$A$9,0))*Parametros!$N$3</f>
        <v>34957.125</v>
      </c>
      <c r="AH293" s="13" t="n">
        <v>17234</v>
      </c>
      <c r="AI293" s="16" t="n">
        <f aca="false">AH293*Parametros!$N$2</f>
        <v>1585.528</v>
      </c>
      <c r="AJ293" s="18" t="n">
        <v>10088</v>
      </c>
      <c r="AK293" s="18" t="n">
        <v>0</v>
      </c>
      <c r="AL293" s="17" t="n">
        <f aca="false">AG293+AI293+AJ293+AK293</f>
        <v>46630.653</v>
      </c>
      <c r="AM293" s="20" t="n">
        <f aca="false">IF(L293&gt;0,AL293/L293,0)</f>
        <v>0.143629190537793</v>
      </c>
      <c r="AN293" s="16" t="n">
        <f aca="false">L293*INDEX(Parametros!$G$2:$G$9,MATCH($E293,Parametros!$A$2:$A$9,0))</f>
        <v>318166.8</v>
      </c>
      <c r="AO293" s="17" t="n">
        <f aca="false">AN293-AC293-AL293</f>
        <v>76346.817</v>
      </c>
      <c r="AP293" s="15" t="n">
        <f aca="false">IF(AN293&gt;0,AO293/AN293,0)</f>
        <v>0.239958465182414</v>
      </c>
      <c r="AQ293" s="16" t="n">
        <f aca="false">INDEX(Parametros!$I$2:$I$9,MATCH($E293,Parametros!$A$2:$A$9,0))</f>
        <v>17000000</v>
      </c>
      <c r="AR293" s="19" t="n">
        <f aca="false">IF(AQ293&gt;0,AO293/AQ293,0)</f>
        <v>0.00449098923529412</v>
      </c>
    </row>
    <row r="294" customFormat="false" ht="15" hidden="false" customHeight="false" outlineLevel="0" collapsed="false">
      <c r="A294" s="5" t="s">
        <v>429</v>
      </c>
      <c r="B294" s="9" t="n">
        <v>45803</v>
      </c>
      <c r="C294" s="2" t="str">
        <f aca="false">TEXT(B294,"yyyy")</f>
        <v>2025</v>
      </c>
      <c r="D294" s="2" t="n">
        <f aca="false">WEEKNUM(B294,2)</f>
        <v>22</v>
      </c>
      <c r="E294" s="5" t="s">
        <v>138</v>
      </c>
      <c r="F294" s="6" t="str">
        <f aca="false">INDEX(Parametros!$B$2:$B$9,MATCH($E294,Parametros!$A$2:$A$9,0))</f>
        <v>Queso crema</v>
      </c>
      <c r="G294" s="10" t="n">
        <v>127.7</v>
      </c>
      <c r="H294" s="10" t="n">
        <v>5.5</v>
      </c>
      <c r="I294" s="11" t="n">
        <f aca="false">SUMIFS(Eventos_Paro!$J$2:$J$2186,Eventos_Paro!$D$2:$D$2186,$E294,Eventos_Paro!$B$2:$B$2186,$B294)</f>
        <v>2.63333333333333</v>
      </c>
      <c r="J294" s="12" t="n">
        <f aca="false">G294-H294-I294</f>
        <v>119.566666666667</v>
      </c>
      <c r="K294" s="13" t="n">
        <v>382063</v>
      </c>
      <c r="L294" s="13" t="n">
        <v>329395</v>
      </c>
      <c r="M294" s="13" t="n">
        <v>14603</v>
      </c>
      <c r="N294" s="14" t="n">
        <f aca="false">L294+M294</f>
        <v>343998</v>
      </c>
      <c r="O294" s="11" t="n">
        <f aca="false">INDEX(Parametros!$D$2:$D$9,MATCH($E294,Parametros!$A$2:$A$9,0))</f>
        <v>3800</v>
      </c>
      <c r="P294" s="15" t="n">
        <f aca="false">IF((G294-H294)&gt;0,J294/(G294-H294),0)</f>
        <v>0.978450627386798</v>
      </c>
      <c r="Q294" s="15" t="n">
        <f aca="false">IF(J294*O294&gt;0,N294/(O294*J294),0)</f>
        <v>0.757115607530116</v>
      </c>
      <c r="R294" s="15" t="n">
        <f aca="false">IF(N294&gt;0,L294/N294,0)</f>
        <v>0.95754917179751</v>
      </c>
      <c r="S294" s="15" t="n">
        <f aca="false">P294*Q294*R294</f>
        <v>0.709352657420966</v>
      </c>
      <c r="T294" s="15" t="n">
        <f aca="false">IF(K294&gt;0,L294/K294,0)</f>
        <v>0.862148389140011</v>
      </c>
      <c r="U294" s="10" t="n">
        <v>1947.2</v>
      </c>
      <c r="V294" s="5" t="n">
        <v>15</v>
      </c>
      <c r="W294" s="10" t="n">
        <v>31.7</v>
      </c>
      <c r="X294" s="15" t="n">
        <f aca="false">IF(U294&gt;0,W294/U294,0)</f>
        <v>0.0162797863599014</v>
      </c>
      <c r="Y294" s="12" t="n">
        <f aca="false">IF(U294&gt;0,L294/U294,0)</f>
        <v>169.163414133114</v>
      </c>
      <c r="Z294" s="16" t="n">
        <f aca="false">L294*INDEX(Parametros!$E$2:$E$9,MATCH($E294,Parametros!$A$2:$A$9,0))</f>
        <v>368922.4</v>
      </c>
      <c r="AA294" s="16" t="n">
        <f aca="false">Z294*INDEX(Parametros!$F$2:$F$9,MATCH($E294,Parametros!$A$2:$A$9,0))</f>
        <v>12912.284</v>
      </c>
      <c r="AB294" s="17" t="n">
        <f aca="false">Z294+AA294</f>
        <v>381834.684</v>
      </c>
      <c r="AC294" s="18" t="n">
        <v>380235.73</v>
      </c>
      <c r="AD294" s="17" t="n">
        <f aca="false">AC294-AB294</f>
        <v>-1598.95400000003</v>
      </c>
      <c r="AE294" s="17" t="n">
        <f aca="false">AA294+AD294</f>
        <v>11313.33</v>
      </c>
      <c r="AF294" s="19" t="n">
        <f aca="false">IF(Z294&gt;0,AE294/Z294,0)</f>
        <v>0.0306658798706719</v>
      </c>
      <c r="AG294" s="16" t="n">
        <f aca="false">(U294-W294)*INDEX(Parametros!$H$2:$H$9,MATCH($E294,Parametros!$A$2:$A$9,0))+W294*INDEX(Parametros!$H$2:$H$9,MATCH($E294,Parametros!$A$2:$A$9,0))*Parametros!$N$3</f>
        <v>64780.65</v>
      </c>
      <c r="AH294" s="13" t="n">
        <v>17463</v>
      </c>
      <c r="AI294" s="16" t="n">
        <f aca="false">AH294*Parametros!$N$2</f>
        <v>1606.596</v>
      </c>
      <c r="AJ294" s="18" t="n">
        <v>20334</v>
      </c>
      <c r="AK294" s="18" t="n">
        <v>2969</v>
      </c>
      <c r="AL294" s="17" t="n">
        <f aca="false">AG294+AI294+AJ294+AK294</f>
        <v>89690.246</v>
      </c>
      <c r="AM294" s="20" t="n">
        <f aca="false">IF(L294&gt;0,AL294/L294,0)</f>
        <v>0.272287818576481</v>
      </c>
      <c r="AN294" s="16" t="n">
        <f aca="false">L294*INDEX(Parametros!$G$2:$G$9,MATCH($E294,Parametros!$A$2:$A$9,0))</f>
        <v>589617.05</v>
      </c>
      <c r="AO294" s="17" t="n">
        <f aca="false">AN294-AC294-AL294</f>
        <v>119691.074</v>
      </c>
      <c r="AP294" s="15" t="n">
        <f aca="false">IF(AN294&gt;0,AO294/AN294,0)</f>
        <v>0.202997986574506</v>
      </c>
      <c r="AQ294" s="16" t="n">
        <f aca="false">INDEX(Parametros!$I$2:$I$9,MATCH($E294,Parametros!$A$2:$A$9,0))</f>
        <v>33200000</v>
      </c>
      <c r="AR294" s="19" t="n">
        <f aca="false">IF(AQ294&gt;0,AO294/AQ294,0)</f>
        <v>0.0036051528313253</v>
      </c>
    </row>
    <row r="295" customFormat="false" ht="15" hidden="false" customHeight="false" outlineLevel="0" collapsed="false">
      <c r="A295" s="5" t="s">
        <v>430</v>
      </c>
      <c r="B295" s="9" t="n">
        <v>45803</v>
      </c>
      <c r="C295" s="2" t="str">
        <f aca="false">TEXT(B295,"yyyy")</f>
        <v>2025</v>
      </c>
      <c r="D295" s="2" t="n">
        <f aca="false">WEEKNUM(B295,2)</f>
        <v>22</v>
      </c>
      <c r="E295" s="5" t="s">
        <v>140</v>
      </c>
      <c r="F295" s="6" t="str">
        <f aca="false">INDEX(Parametros!$B$2:$B$9,MATCH($E295,Parametros!$A$2:$A$9,0))</f>
        <v>Crema de cacahuate</v>
      </c>
      <c r="G295" s="10" t="n">
        <v>119</v>
      </c>
      <c r="H295" s="10" t="n">
        <v>8.7</v>
      </c>
      <c r="I295" s="11" t="n">
        <f aca="false">SUMIFS(Eventos_Paro!$J$2:$J$2186,Eventos_Paro!$D$2:$D$2186,$E295,Eventos_Paro!$B$2:$B$2186,$B295)</f>
        <v>4.03333333333333</v>
      </c>
      <c r="J295" s="12" t="n">
        <f aca="false">G295-H295-I295</f>
        <v>106.266666666667</v>
      </c>
      <c r="K295" s="13" t="n">
        <v>381158</v>
      </c>
      <c r="L295" s="13" t="n">
        <v>377442</v>
      </c>
      <c r="M295" s="13" t="n">
        <v>8806</v>
      </c>
      <c r="N295" s="14" t="n">
        <f aca="false">L295+M295</f>
        <v>386248</v>
      </c>
      <c r="O295" s="11" t="n">
        <f aca="false">INDEX(Parametros!$D$2:$D$9,MATCH($E295,Parametros!$A$2:$A$9,0))</f>
        <v>4200</v>
      </c>
      <c r="P295" s="15" t="n">
        <f aca="false">IF((G295-H295)&gt;0,J295/(G295-H295),0)</f>
        <v>0.963433061347839</v>
      </c>
      <c r="Q295" s="15" t="n">
        <f aca="false">IF(J295*O295&gt;0,N295/(O295*J295),0)</f>
        <v>0.865405986735974</v>
      </c>
      <c r="R295" s="15" t="n">
        <f aca="false">IF(N295&gt;0,L295/N295,0)</f>
        <v>0.977201176446221</v>
      </c>
      <c r="S295" s="15" t="n">
        <f aca="false">P295*Q295*R295</f>
        <v>0.814751975132755</v>
      </c>
      <c r="T295" s="15" t="n">
        <f aca="false">IF(K295&gt;0,L295/K295,0)</f>
        <v>0.990250762151129</v>
      </c>
      <c r="U295" s="10" t="n">
        <v>1625.6</v>
      </c>
      <c r="V295" s="5" t="n">
        <v>13</v>
      </c>
      <c r="W295" s="10" t="n">
        <v>78.6</v>
      </c>
      <c r="X295" s="15" t="n">
        <f aca="false">IF(U295&gt;0,W295/U295,0)</f>
        <v>0.0483513779527559</v>
      </c>
      <c r="Y295" s="12" t="n">
        <f aca="false">IF(U295&gt;0,L295/U295,0)</f>
        <v>232.186269685039</v>
      </c>
      <c r="Z295" s="16" t="n">
        <f aca="false">L295*INDEX(Parametros!$E$2:$E$9,MATCH($E295,Parametros!$A$2:$A$9,0))</f>
        <v>366118.74</v>
      </c>
      <c r="AA295" s="16" t="n">
        <f aca="false">Z295*INDEX(Parametros!$F$2:$F$9,MATCH($E295,Parametros!$A$2:$A$9,0))</f>
        <v>8054.61228</v>
      </c>
      <c r="AB295" s="17" t="n">
        <f aca="false">Z295+AA295</f>
        <v>374173.35228</v>
      </c>
      <c r="AC295" s="18" t="n">
        <v>381163.81</v>
      </c>
      <c r="AD295" s="17" t="n">
        <f aca="false">AC295-AB295</f>
        <v>6990.45772000001</v>
      </c>
      <c r="AE295" s="17" t="n">
        <f aca="false">AA295+AD295</f>
        <v>15045.07</v>
      </c>
      <c r="AF295" s="19" t="n">
        <f aca="false">IF(Z295&gt;0,AE295/Z295,0)</f>
        <v>0.041093416851593</v>
      </c>
      <c r="AG295" s="16" t="n">
        <f aca="false">(U295-W295)*INDEX(Parametros!$H$2:$H$9,MATCH($E295,Parametros!$A$2:$A$9,0))+W295*INDEX(Parametros!$H$2:$H$9,MATCH($E295,Parametros!$A$2:$A$9,0))*Parametros!$N$3</f>
        <v>52444.35</v>
      </c>
      <c r="AH295" s="13" t="n">
        <v>19655</v>
      </c>
      <c r="AI295" s="16" t="n">
        <f aca="false">AH295*Parametros!$N$2</f>
        <v>1808.26</v>
      </c>
      <c r="AJ295" s="18" t="n">
        <v>11362</v>
      </c>
      <c r="AK295" s="18" t="n">
        <v>2630</v>
      </c>
      <c r="AL295" s="17" t="n">
        <f aca="false">AG295+AI295+AJ295+AK295</f>
        <v>68244.61</v>
      </c>
      <c r="AM295" s="20" t="n">
        <f aca="false">IF(L295&gt;0,AL295/L295,0)</f>
        <v>0.180808203644533</v>
      </c>
      <c r="AN295" s="16" t="n">
        <f aca="false">L295*INDEX(Parametros!$G$2:$G$9,MATCH($E295,Parametros!$A$2:$A$9,0))</f>
        <v>611456.04</v>
      </c>
      <c r="AO295" s="17" t="n">
        <f aca="false">AN295-AC295-AL295</f>
        <v>162047.62</v>
      </c>
      <c r="AP295" s="15" t="n">
        <f aca="false">IF(AN295&gt;0,AO295/AN295,0)</f>
        <v>0.265019248153964</v>
      </c>
      <c r="AQ295" s="16" t="n">
        <f aca="false">INDEX(Parametros!$I$2:$I$9,MATCH($E295,Parametros!$A$2:$A$9,0))</f>
        <v>28000000</v>
      </c>
      <c r="AR295" s="19" t="n">
        <f aca="false">IF(AQ295&gt;0,AO295/AQ295,0)</f>
        <v>0.005787415</v>
      </c>
    </row>
    <row r="296" customFormat="false" ht="15" hidden="false" customHeight="false" outlineLevel="0" collapsed="false">
      <c r="A296" s="5" t="s">
        <v>431</v>
      </c>
      <c r="B296" s="9" t="n">
        <v>45803</v>
      </c>
      <c r="C296" s="2" t="str">
        <f aca="false">TEXT(B296,"yyyy")</f>
        <v>2025</v>
      </c>
      <c r="D296" s="2" t="n">
        <f aca="false">WEEKNUM(B296,2)</f>
        <v>22</v>
      </c>
      <c r="E296" s="5" t="s">
        <v>142</v>
      </c>
      <c r="F296" s="6" t="str">
        <f aca="false">INDEX(Parametros!$B$2:$B$9,MATCH($E296,Parametros!$A$2:$A$9,0))</f>
        <v>Porciones single serve</v>
      </c>
      <c r="G296" s="10" t="n">
        <v>101.9</v>
      </c>
      <c r="H296" s="10" t="n">
        <v>9</v>
      </c>
      <c r="I296" s="11" t="n">
        <f aca="false">SUMIFS(Eventos_Paro!$J$2:$J$2186,Eventos_Paro!$D$2:$D$2186,$E296,Eventos_Paro!$B$2:$B$2186,$B296)</f>
        <v>3.75</v>
      </c>
      <c r="J296" s="12" t="n">
        <f aca="false">G296-H296-I296</f>
        <v>89.15</v>
      </c>
      <c r="K296" s="13" t="n">
        <v>198733</v>
      </c>
      <c r="L296" s="13" t="n">
        <v>145542</v>
      </c>
      <c r="M296" s="13" t="n">
        <v>9193</v>
      </c>
      <c r="N296" s="14" t="n">
        <f aca="false">L296+M296</f>
        <v>154735</v>
      </c>
      <c r="O296" s="11" t="n">
        <f aca="false">INDEX(Parametros!$D$2:$D$9,MATCH($E296,Parametros!$A$2:$A$9,0))</f>
        <v>2600</v>
      </c>
      <c r="P296" s="15" t="n">
        <f aca="false">IF((G296-H296)&gt;0,J296/(G296-H296),0)</f>
        <v>0.959634015069968</v>
      </c>
      <c r="Q296" s="15" t="n">
        <f aca="false">IF(J296*O296&gt;0,N296/(O296*J296),0)</f>
        <v>0.667565468743259</v>
      </c>
      <c r="R296" s="15" t="n">
        <f aca="false">IF(N296&gt;0,L296/N296,0)</f>
        <v>0.940588748505509</v>
      </c>
      <c r="S296" s="15" t="n">
        <f aca="false">P296*Q296*R296</f>
        <v>0.602558582429411</v>
      </c>
      <c r="T296" s="15" t="n">
        <f aca="false">IF(K296&gt;0,L296/K296,0)</f>
        <v>0.73234943366225</v>
      </c>
      <c r="U296" s="10" t="n">
        <v>1693.9</v>
      </c>
      <c r="V296" s="5" t="n">
        <v>15</v>
      </c>
      <c r="W296" s="10" t="n">
        <v>165.4</v>
      </c>
      <c r="X296" s="15" t="n">
        <f aca="false">IF(U296&gt;0,W296/U296,0)</f>
        <v>0.0976444890489403</v>
      </c>
      <c r="Y296" s="12" t="n">
        <f aca="false">IF(U296&gt;0,L296/U296,0)</f>
        <v>85.9212468268493</v>
      </c>
      <c r="Z296" s="16" t="n">
        <f aca="false">L296*INDEX(Parametros!$E$2:$E$9,MATCH($E296,Parametros!$A$2:$A$9,0))</f>
        <v>107701.08</v>
      </c>
      <c r="AA296" s="16" t="n">
        <f aca="false">Z296*INDEX(Parametros!$F$2:$F$9,MATCH($E296,Parametros!$A$2:$A$9,0))</f>
        <v>4846.5486</v>
      </c>
      <c r="AB296" s="17" t="n">
        <f aca="false">Z296+AA296</f>
        <v>112547.6286</v>
      </c>
      <c r="AC296" s="18" t="n">
        <v>112289.65</v>
      </c>
      <c r="AD296" s="17" t="n">
        <f aca="false">AC296-AB296</f>
        <v>-257.978600000002</v>
      </c>
      <c r="AE296" s="17" t="n">
        <f aca="false">AA296+AD296</f>
        <v>4588.57</v>
      </c>
      <c r="AF296" s="19" t="n">
        <f aca="false">IF(Z296&gt;0,AE296/Z296,0)</f>
        <v>0.0426046795445319</v>
      </c>
      <c r="AG296" s="16" t="n">
        <f aca="false">(U296-W296)*INDEX(Parametros!$H$2:$H$9,MATCH($E296,Parametros!$A$2:$A$9,0))+W296*INDEX(Parametros!$H$2:$H$9,MATCH($E296,Parametros!$A$2:$A$9,0))*Parametros!$N$3</f>
        <v>53298</v>
      </c>
      <c r="AH296" s="13" t="n">
        <v>8844</v>
      </c>
      <c r="AI296" s="16" t="n">
        <f aca="false">AH296*Parametros!$N$2</f>
        <v>813.648</v>
      </c>
      <c r="AJ296" s="18" t="n">
        <v>10827</v>
      </c>
      <c r="AK296" s="18" t="n">
        <v>2690</v>
      </c>
      <c r="AL296" s="17" t="n">
        <f aca="false">AG296+AI296+AJ296+AK296</f>
        <v>67628.648</v>
      </c>
      <c r="AM296" s="20" t="n">
        <f aca="false">IF(L296&gt;0,AL296/L296,0)</f>
        <v>0.46466757362136</v>
      </c>
      <c r="AN296" s="16" t="n">
        <f aca="false">L296*INDEX(Parametros!$G$2:$G$9,MATCH($E296,Parametros!$A$2:$A$9,0))</f>
        <v>250332.24</v>
      </c>
      <c r="AO296" s="17" t="n">
        <f aca="false">AN296-AC296-AL296</f>
        <v>70413.942</v>
      </c>
      <c r="AP296" s="15" t="n">
        <f aca="false">IF(AN296&gt;0,AO296/AN296,0)</f>
        <v>0.281281955532376</v>
      </c>
      <c r="AQ296" s="16" t="n">
        <f aca="false">INDEX(Parametros!$I$2:$I$9,MATCH($E296,Parametros!$A$2:$A$9,0))</f>
        <v>15900000</v>
      </c>
      <c r="AR296" s="19" t="n">
        <f aca="false">IF(AQ296&gt;0,AO296/AQ296,0)</f>
        <v>0.00442854981132075</v>
      </c>
    </row>
    <row r="297" customFormat="false" ht="15" hidden="false" customHeight="false" outlineLevel="0" collapsed="false">
      <c r="A297" s="5" t="s">
        <v>432</v>
      </c>
      <c r="B297" s="9" t="n">
        <v>45803</v>
      </c>
      <c r="C297" s="2" t="str">
        <f aca="false">TEXT(B297,"yyyy")</f>
        <v>2025</v>
      </c>
      <c r="D297" s="2" t="n">
        <f aca="false">WEEKNUM(B297,2)</f>
        <v>22</v>
      </c>
      <c r="E297" s="5" t="s">
        <v>144</v>
      </c>
      <c r="F297" s="6" t="str">
        <f aca="false">INDEX(Parametros!$B$2:$B$9,MATCH($E297,Parametros!$A$2:$A$9,0))</f>
        <v>Salsas picantes</v>
      </c>
      <c r="G297" s="10" t="n">
        <v>84</v>
      </c>
      <c r="H297" s="10" t="n">
        <v>5.6</v>
      </c>
      <c r="I297" s="11" t="n">
        <f aca="false">SUMIFS(Eventos_Paro!$J$2:$J$2186,Eventos_Paro!$D$2:$D$2186,$E297,Eventos_Paro!$B$2:$B$2186,$B297)</f>
        <v>1.45</v>
      </c>
      <c r="J297" s="12" t="n">
        <f aca="false">G297-H297-I297</f>
        <v>76.95</v>
      </c>
      <c r="K297" s="13" t="n">
        <v>185785</v>
      </c>
      <c r="L297" s="13" t="n">
        <v>195877</v>
      </c>
      <c r="M297" s="13" t="n">
        <v>4209</v>
      </c>
      <c r="N297" s="14" t="n">
        <f aca="false">L297+M297</f>
        <v>200086</v>
      </c>
      <c r="O297" s="11" t="n">
        <f aca="false">INDEX(Parametros!$D$2:$D$9,MATCH($E297,Parametros!$A$2:$A$9,0))</f>
        <v>3100</v>
      </c>
      <c r="P297" s="15" t="n">
        <f aca="false">IF((G297-H297)&gt;0,J297/(G297-H297),0)</f>
        <v>0.981505102040816</v>
      </c>
      <c r="Q297" s="15" t="n">
        <f aca="false">IF(J297*O297&gt;0,N297/(O297*J297),0)</f>
        <v>0.838776750717894</v>
      </c>
      <c r="R297" s="15" t="n">
        <f aca="false">IF(N297&gt;0,L297/N297,0)</f>
        <v>0.978964045460452</v>
      </c>
      <c r="S297" s="15" t="n">
        <f aca="false">P297*Q297*R297</f>
        <v>0.805945523370639</v>
      </c>
      <c r="T297" s="15" t="n">
        <f aca="false">IF(K297&gt;0,L297/K297,0)</f>
        <v>1.05432085475146</v>
      </c>
      <c r="U297" s="10" t="n">
        <v>808.5</v>
      </c>
      <c r="V297" s="5" t="n">
        <v>9</v>
      </c>
      <c r="W297" s="10" t="n">
        <v>52.5</v>
      </c>
      <c r="X297" s="15" t="n">
        <f aca="false">IF(U297&gt;0,W297/U297,0)</f>
        <v>0.0649350649350649</v>
      </c>
      <c r="Y297" s="12" t="n">
        <f aca="false">IF(U297&gt;0,L297/U297,0)</f>
        <v>242.272108843537</v>
      </c>
      <c r="Z297" s="16" t="n">
        <f aca="false">L297*INDEX(Parametros!$E$2:$E$9,MATCH($E297,Parametros!$A$2:$A$9,0))</f>
        <v>129278.82</v>
      </c>
      <c r="AA297" s="16" t="n">
        <f aca="false">Z297*INDEX(Parametros!$F$2:$F$9,MATCH($E297,Parametros!$A$2:$A$9,0))</f>
        <v>3361.24932</v>
      </c>
      <c r="AB297" s="17" t="n">
        <f aca="false">Z297+AA297</f>
        <v>132640.06932</v>
      </c>
      <c r="AC297" s="18" t="n">
        <v>135645.29</v>
      </c>
      <c r="AD297" s="17" t="n">
        <f aca="false">AC297-AB297</f>
        <v>3005.22068</v>
      </c>
      <c r="AE297" s="17" t="n">
        <f aca="false">AA297+AD297</f>
        <v>6366.47</v>
      </c>
      <c r="AF297" s="19" t="n">
        <f aca="false">IF(Z297&gt;0,AE297/Z297,0)</f>
        <v>0.0492460404573618</v>
      </c>
      <c r="AG297" s="16" t="n">
        <f aca="false">(U297-W297)*INDEX(Parametros!$H$2:$H$9,MATCH($E297,Parametros!$A$2:$A$9,0))+W297*INDEX(Parametros!$H$2:$H$9,MATCH($E297,Parametros!$A$2:$A$9,0))*Parametros!$N$3</f>
        <v>26294.625</v>
      </c>
      <c r="AH297" s="13" t="n">
        <v>10269</v>
      </c>
      <c r="AI297" s="16" t="n">
        <f aca="false">AH297*Parametros!$N$2</f>
        <v>944.748</v>
      </c>
      <c r="AJ297" s="18" t="n">
        <v>6405</v>
      </c>
      <c r="AK297" s="18" t="n">
        <v>824</v>
      </c>
      <c r="AL297" s="17" t="n">
        <f aca="false">AG297+AI297+AJ297+AK297</f>
        <v>34468.373</v>
      </c>
      <c r="AM297" s="20" t="n">
        <f aca="false">IF(L297&gt;0,AL297/L297,0)</f>
        <v>0.17596947574243</v>
      </c>
      <c r="AN297" s="16" t="n">
        <f aca="false">L297*INDEX(Parametros!$G$2:$G$9,MATCH($E297,Parametros!$A$2:$A$9,0))</f>
        <v>244846.25</v>
      </c>
      <c r="AO297" s="17" t="n">
        <f aca="false">AN297-AC297-AL297</f>
        <v>74732.587</v>
      </c>
      <c r="AP297" s="15" t="n">
        <f aca="false">IF(AN297&gt;0,AO297/AN297,0)</f>
        <v>0.305222510044569</v>
      </c>
      <c r="AQ297" s="16" t="n">
        <f aca="false">INDEX(Parametros!$I$2:$I$9,MATCH($E297,Parametros!$A$2:$A$9,0))</f>
        <v>13300000</v>
      </c>
      <c r="AR297" s="19" t="n">
        <f aca="false">IF(AQ297&gt;0,AO297/AQ297,0)</f>
        <v>0.0056189915037594</v>
      </c>
    </row>
    <row r="298" customFormat="false" ht="15" hidden="false" customHeight="false" outlineLevel="0" collapsed="false">
      <c r="A298" s="5" t="s">
        <v>433</v>
      </c>
      <c r="B298" s="9" t="n">
        <v>45810</v>
      </c>
      <c r="C298" s="2" t="str">
        <f aca="false">TEXT(B298,"yyyy")</f>
        <v>2025</v>
      </c>
      <c r="D298" s="2" t="n">
        <f aca="false">WEEKNUM(B298,2)</f>
        <v>23</v>
      </c>
      <c r="E298" s="5" t="s">
        <v>130</v>
      </c>
      <c r="F298" s="6" t="str">
        <f aca="false">INDEX(Parametros!$B$2:$B$9,MATCH($E298,Parametros!$A$2:$A$9,0))</f>
        <v>Ketchup botella</v>
      </c>
      <c r="G298" s="10" t="n">
        <v>120.3</v>
      </c>
      <c r="H298" s="10" t="n">
        <v>6.6</v>
      </c>
      <c r="I298" s="11" t="n">
        <f aca="false">SUMIFS(Eventos_Paro!$J$2:$J$2186,Eventos_Paro!$D$2:$D$2186,$E298,Eventos_Paro!$B$2:$B$2186,$B298)</f>
        <v>6.85</v>
      </c>
      <c r="J298" s="12" t="n">
        <f aca="false">G298-H298-I298</f>
        <v>106.85</v>
      </c>
      <c r="K298" s="13" t="n">
        <v>844540</v>
      </c>
      <c r="L298" s="13" t="n">
        <v>822945</v>
      </c>
      <c r="M298" s="13" t="n">
        <v>6071</v>
      </c>
      <c r="N298" s="14" t="n">
        <f aca="false">L298+M298</f>
        <v>829016</v>
      </c>
      <c r="O298" s="11" t="n">
        <f aca="false">INDEX(Parametros!$D$2:$D$9,MATCH($E298,Parametros!$A$2:$A$9,0))</f>
        <v>9000</v>
      </c>
      <c r="P298" s="15" t="n">
        <f aca="false">IF((G298-H298)&gt;0,J298/(G298-H298),0)</f>
        <v>0.939753737906772</v>
      </c>
      <c r="Q298" s="15" t="n">
        <f aca="false">IF(J298*O298&gt;0,N298/(O298*J298),0)</f>
        <v>0.862076639109863</v>
      </c>
      <c r="R298" s="15" t="n">
        <f aca="false">IF(N298&gt;0,L298/N298,0)</f>
        <v>0.992676860277727</v>
      </c>
      <c r="S298" s="15" t="n">
        <f aca="false">P298*Q298*R298</f>
        <v>0.804206977425975</v>
      </c>
      <c r="T298" s="15" t="n">
        <f aca="false">IF(K298&gt;0,L298/K298,0)</f>
        <v>0.974429867146612</v>
      </c>
      <c r="U298" s="10" t="n">
        <v>1954.4</v>
      </c>
      <c r="V298" s="5" t="n">
        <v>15</v>
      </c>
      <c r="W298" s="10" t="n">
        <v>149.9</v>
      </c>
      <c r="X298" s="15" t="n">
        <f aca="false">IF(U298&gt;0,W298/U298,0)</f>
        <v>0.0766987310683586</v>
      </c>
      <c r="Y298" s="12" t="n">
        <f aca="false">IF(U298&gt;0,L298/U298,0)</f>
        <v>421.072963569382</v>
      </c>
      <c r="Z298" s="16" t="n">
        <f aca="false">L298*INDEX(Parametros!$E$2:$E$9,MATCH($E298,Parametros!$A$2:$A$9,0))</f>
        <v>345636.9</v>
      </c>
      <c r="AA298" s="16" t="n">
        <f aca="false">Z298*INDEX(Parametros!$F$2:$F$9,MATCH($E298,Parametros!$A$2:$A$9,0))</f>
        <v>6912.738</v>
      </c>
      <c r="AB298" s="17" t="n">
        <f aca="false">Z298+AA298</f>
        <v>352549.638</v>
      </c>
      <c r="AC298" s="18" t="n">
        <v>356797.9</v>
      </c>
      <c r="AD298" s="17" t="n">
        <f aca="false">AC298-AB298</f>
        <v>4248.26200000005</v>
      </c>
      <c r="AE298" s="17" t="n">
        <f aca="false">AA298+AD298</f>
        <v>11161</v>
      </c>
      <c r="AF298" s="19" t="n">
        <f aca="false">IF(Z298&gt;0,AE298/Z298,0)</f>
        <v>0.0322911124362012</v>
      </c>
      <c r="AG298" s="16" t="n">
        <f aca="false">(U298-W298)*INDEX(Parametros!$H$2:$H$9,MATCH($E298,Parametros!$A$2:$A$9,0))+W298*INDEX(Parametros!$H$2:$H$9,MATCH($E298,Parametros!$A$2:$A$9,0))*Parametros!$N$3</f>
        <v>63924.525</v>
      </c>
      <c r="AH298" s="13" t="n">
        <v>43875</v>
      </c>
      <c r="AI298" s="16" t="n">
        <f aca="false">AH298*Parametros!$N$2</f>
        <v>4036.5</v>
      </c>
      <c r="AJ298" s="18" t="n">
        <v>15807</v>
      </c>
      <c r="AK298" s="18" t="n">
        <v>5129</v>
      </c>
      <c r="AL298" s="17" t="n">
        <f aca="false">AG298+AI298+AJ298+AK298</f>
        <v>88897.025</v>
      </c>
      <c r="AM298" s="20" t="n">
        <f aca="false">IF(L298&gt;0,AL298/L298,0)</f>
        <v>0.108023045282492</v>
      </c>
      <c r="AN298" s="16" t="n">
        <f aca="false">L298*INDEX(Parametros!$G$2:$G$9,MATCH($E298,Parametros!$A$2:$A$9,0))</f>
        <v>584290.95</v>
      </c>
      <c r="AO298" s="17" t="n">
        <f aca="false">AN298-AC298-AL298</f>
        <v>138596.025</v>
      </c>
      <c r="AP298" s="15" t="n">
        <f aca="false">IF(AN298&gt;0,AO298/AN298,0)</f>
        <v>0.237203785203245</v>
      </c>
      <c r="AQ298" s="16" t="n">
        <f aca="false">INDEX(Parametros!$I$2:$I$9,MATCH($E298,Parametros!$A$2:$A$9,0))</f>
        <v>29300000</v>
      </c>
      <c r="AR298" s="19" t="n">
        <f aca="false">IF(AQ298&gt;0,AO298/AQ298,0)</f>
        <v>0.00473023976109215</v>
      </c>
    </row>
    <row r="299" customFormat="false" ht="15" hidden="false" customHeight="false" outlineLevel="0" collapsed="false">
      <c r="A299" s="5" t="s">
        <v>434</v>
      </c>
      <c r="B299" s="9" t="n">
        <v>45810</v>
      </c>
      <c r="C299" s="2" t="str">
        <f aca="false">TEXT(B299,"yyyy")</f>
        <v>2025</v>
      </c>
      <c r="D299" s="2" t="n">
        <f aca="false">WEEKNUM(B299,2)</f>
        <v>23</v>
      </c>
      <c r="E299" s="5" t="s">
        <v>132</v>
      </c>
      <c r="F299" s="6" t="str">
        <f aca="false">INDEX(Parametros!$B$2:$B$9,MATCH($E299,Parametros!$A$2:$A$9,0))</f>
        <v>Mayonesa frasco</v>
      </c>
      <c r="G299" s="10" t="n">
        <v>118.4</v>
      </c>
      <c r="H299" s="10" t="n">
        <v>5.3</v>
      </c>
      <c r="I299" s="11" t="n">
        <f aca="false">SUMIFS(Eventos_Paro!$J$2:$J$2186,Eventos_Paro!$D$2:$D$2186,$E299,Eventos_Paro!$B$2:$B$2186,$B299)</f>
        <v>4.55</v>
      </c>
      <c r="J299" s="12" t="n">
        <f aca="false">G299-H299-I299</f>
        <v>108.55</v>
      </c>
      <c r="K299" s="13" t="n">
        <v>606727</v>
      </c>
      <c r="L299" s="13" t="n">
        <v>595813</v>
      </c>
      <c r="M299" s="13" t="n">
        <v>16209</v>
      </c>
      <c r="N299" s="14" t="n">
        <f aca="false">L299+M299</f>
        <v>612022</v>
      </c>
      <c r="O299" s="11" t="n">
        <f aca="false">INDEX(Parametros!$D$2:$D$9,MATCH($E299,Parametros!$A$2:$A$9,0))</f>
        <v>6500</v>
      </c>
      <c r="P299" s="15" t="n">
        <f aca="false">IF((G299-H299)&gt;0,J299/(G299-H299),0)</f>
        <v>0.959770114942529</v>
      </c>
      <c r="Q299" s="15" t="n">
        <f aca="false">IF(J299*O299&gt;0,N299/(O299*J299),0)</f>
        <v>0.867408850937179</v>
      </c>
      <c r="R299" s="15" t="n">
        <f aca="false">IF(N299&gt;0,L299/N299,0)</f>
        <v>0.973515657933865</v>
      </c>
      <c r="S299" s="15" t="n">
        <f aca="false">P299*Q299*R299</f>
        <v>0.810464531048085</v>
      </c>
      <c r="T299" s="15" t="n">
        <f aca="false">IF(K299&gt;0,L299/K299,0)</f>
        <v>0.982011679058292</v>
      </c>
      <c r="U299" s="10" t="n">
        <v>1683</v>
      </c>
      <c r="V299" s="5" t="n">
        <v>13</v>
      </c>
      <c r="W299" s="10" t="n">
        <v>143.8</v>
      </c>
      <c r="X299" s="15" t="n">
        <f aca="false">IF(U299&gt;0,W299/U299,0)</f>
        <v>0.0854426619132502</v>
      </c>
      <c r="Y299" s="12" t="n">
        <f aca="false">IF(U299&gt;0,L299/U299,0)</f>
        <v>354.018419489008</v>
      </c>
      <c r="Z299" s="16" t="n">
        <f aca="false">L299*INDEX(Parametros!$E$2:$E$9,MATCH($E299,Parametros!$A$2:$A$9,0))</f>
        <v>363445.93</v>
      </c>
      <c r="AA299" s="16" t="n">
        <f aca="false">Z299*INDEX(Parametros!$F$2:$F$9,MATCH($E299,Parametros!$A$2:$A$9,0))</f>
        <v>9086.14825</v>
      </c>
      <c r="AB299" s="17" t="n">
        <f aca="false">Z299+AA299</f>
        <v>372532.07825</v>
      </c>
      <c r="AC299" s="18" t="n">
        <v>369700.5</v>
      </c>
      <c r="AD299" s="17" t="n">
        <f aca="false">AC299-AB299</f>
        <v>-2831.57825000002</v>
      </c>
      <c r="AE299" s="17" t="n">
        <f aca="false">AA299+AD299</f>
        <v>6254.56999999998</v>
      </c>
      <c r="AF299" s="19" t="n">
        <f aca="false">IF(Z299&gt;0,AE299/Z299,0)</f>
        <v>0.0172090797660053</v>
      </c>
      <c r="AG299" s="16" t="n">
        <f aca="false">(U299-W299)*INDEX(Parametros!$H$2:$H$9,MATCH($E299,Parametros!$A$2:$A$9,0))+W299*INDEX(Parametros!$H$2:$H$9,MATCH($E299,Parametros!$A$2:$A$9,0))*Parametros!$N$3</f>
        <v>55279.35</v>
      </c>
      <c r="AH299" s="13" t="n">
        <v>32063</v>
      </c>
      <c r="AI299" s="16" t="n">
        <f aca="false">AH299*Parametros!$N$2</f>
        <v>2949.796</v>
      </c>
      <c r="AJ299" s="18" t="n">
        <v>16277</v>
      </c>
      <c r="AK299" s="18" t="n">
        <v>2572</v>
      </c>
      <c r="AL299" s="17" t="n">
        <f aca="false">AG299+AI299+AJ299+AK299</f>
        <v>77078.146</v>
      </c>
      <c r="AM299" s="20" t="n">
        <f aca="false">IF(L299&gt;0,AL299/L299,0)</f>
        <v>0.129366338096013</v>
      </c>
      <c r="AN299" s="16" t="n">
        <f aca="false">L299*INDEX(Parametros!$G$2:$G$9,MATCH($E299,Parametros!$A$2:$A$9,0))</f>
        <v>571980.48</v>
      </c>
      <c r="AO299" s="17" t="n">
        <f aca="false">AN299-AC299-AL299</f>
        <v>125201.834</v>
      </c>
      <c r="AP299" s="15" t="n">
        <f aca="false">IF(AN299&gt;0,AO299/AN299,0)</f>
        <v>0.21889179504867</v>
      </c>
      <c r="AQ299" s="16" t="n">
        <f aca="false">INDEX(Parametros!$I$2:$I$9,MATCH($E299,Parametros!$A$2:$A$9,0))</f>
        <v>29700000</v>
      </c>
      <c r="AR299" s="19" t="n">
        <f aca="false">IF(AQ299&gt;0,AO299/AQ299,0)</f>
        <v>0.00421554996632997</v>
      </c>
    </row>
    <row r="300" customFormat="false" ht="15" hidden="false" customHeight="false" outlineLevel="0" collapsed="false">
      <c r="A300" s="5" t="s">
        <v>435</v>
      </c>
      <c r="B300" s="9" t="n">
        <v>45810</v>
      </c>
      <c r="C300" s="2" t="str">
        <f aca="false">TEXT(B300,"yyyy")</f>
        <v>2025</v>
      </c>
      <c r="D300" s="2" t="n">
        <f aca="false">WEEKNUM(B300,2)</f>
        <v>23</v>
      </c>
      <c r="E300" s="5" t="s">
        <v>134</v>
      </c>
      <c r="F300" s="6" t="str">
        <f aca="false">INDEX(Parametros!$B$2:$B$9,MATCH($E300,Parametros!$A$2:$A$9,0))</f>
        <v>Aderezos vertibles</v>
      </c>
      <c r="G300" s="10" t="n">
        <v>113.5</v>
      </c>
      <c r="H300" s="10" t="n">
        <v>8.1</v>
      </c>
      <c r="I300" s="11" t="n">
        <f aca="false">SUMIFS(Eventos_Paro!$J$2:$J$2186,Eventos_Paro!$D$2:$D$2186,$E300,Eventos_Paro!$B$2:$B$2186,$B300)</f>
        <v>1.5</v>
      </c>
      <c r="J300" s="12" t="n">
        <f aca="false">G300-H300-I300</f>
        <v>103.9</v>
      </c>
      <c r="K300" s="13" t="n">
        <v>452336</v>
      </c>
      <c r="L300" s="13" t="n">
        <v>421691</v>
      </c>
      <c r="M300" s="13" t="n">
        <v>15511</v>
      </c>
      <c r="N300" s="14" t="n">
        <f aca="false">L300+M300</f>
        <v>437202</v>
      </c>
      <c r="O300" s="11" t="n">
        <f aca="false">INDEX(Parametros!$D$2:$D$9,MATCH($E300,Parametros!$A$2:$A$9,0))</f>
        <v>5200</v>
      </c>
      <c r="P300" s="15" t="n">
        <f aca="false">IF((G300-H300)&gt;0,J300/(G300-H300),0)</f>
        <v>0.985768500948767</v>
      </c>
      <c r="Q300" s="15" t="n">
        <f aca="false">IF(J300*O300&gt;0,N300/(O300*J300),0)</f>
        <v>0.809213741023173</v>
      </c>
      <c r="R300" s="15" t="n">
        <f aca="false">IF(N300&gt;0,L300/N300,0)</f>
        <v>0.96452212020988</v>
      </c>
      <c r="S300" s="15" t="n">
        <f aca="false">P300*Q300*R300</f>
        <v>0.769396803386367</v>
      </c>
      <c r="T300" s="15" t="n">
        <f aca="false">IF(K300&gt;0,L300/K300,0)</f>
        <v>0.93225168900994</v>
      </c>
      <c r="U300" s="10" t="n">
        <v>1648</v>
      </c>
      <c r="V300" s="5" t="n">
        <v>13</v>
      </c>
      <c r="W300" s="10" t="n">
        <v>172.5</v>
      </c>
      <c r="X300" s="15" t="n">
        <f aca="false">IF(U300&gt;0,W300/U300,0)</f>
        <v>0.104672330097087</v>
      </c>
      <c r="Y300" s="12" t="n">
        <f aca="false">IF(U300&gt;0,L300/U300,0)</f>
        <v>255.880461165049</v>
      </c>
      <c r="Z300" s="16" t="n">
        <f aca="false">L300*INDEX(Parametros!$E$2:$E$9,MATCH($E300,Parametros!$A$2:$A$9,0))</f>
        <v>231930.05</v>
      </c>
      <c r="AA300" s="16" t="n">
        <f aca="false">Z300*INDEX(Parametros!$F$2:$F$9,MATCH($E300,Parametros!$A$2:$A$9,0))</f>
        <v>6957.9015</v>
      </c>
      <c r="AB300" s="17" t="n">
        <f aca="false">Z300+AA300</f>
        <v>238887.9515</v>
      </c>
      <c r="AC300" s="18" t="n">
        <v>243880.55</v>
      </c>
      <c r="AD300" s="17" t="n">
        <f aca="false">AC300-AB300</f>
        <v>4992.59849999996</v>
      </c>
      <c r="AE300" s="17" t="n">
        <f aca="false">AA300+AD300</f>
        <v>11950.5</v>
      </c>
      <c r="AF300" s="19" t="n">
        <f aca="false">IF(Z300&gt;0,AE300/Z300,0)</f>
        <v>0.0515263114891751</v>
      </c>
      <c r="AG300" s="16" t="n">
        <f aca="false">(U300-W300)*INDEX(Parametros!$H$2:$H$9,MATCH($E300,Parametros!$A$2:$A$9,0))+W300*INDEX(Parametros!$H$2:$H$9,MATCH($E300,Parametros!$A$2:$A$9,0))*Parametros!$N$3</f>
        <v>54628.875</v>
      </c>
      <c r="AH300" s="13" t="n">
        <v>22684</v>
      </c>
      <c r="AI300" s="16" t="n">
        <f aca="false">AH300*Parametros!$N$2</f>
        <v>2086.928</v>
      </c>
      <c r="AJ300" s="18" t="n">
        <v>11139</v>
      </c>
      <c r="AK300" s="18" t="n">
        <v>739</v>
      </c>
      <c r="AL300" s="17" t="n">
        <f aca="false">AG300+AI300+AJ300+AK300</f>
        <v>68593.803</v>
      </c>
      <c r="AM300" s="20" t="n">
        <f aca="false">IF(L300&gt;0,AL300/L300,0)</f>
        <v>0.162663663677906</v>
      </c>
      <c r="AN300" s="16" t="n">
        <f aca="false">L300*INDEX(Parametros!$G$2:$G$9,MATCH($E300,Parametros!$A$2:$A$9,0))</f>
        <v>430124.82</v>
      </c>
      <c r="AO300" s="17" t="n">
        <f aca="false">AN300-AC300-AL300</f>
        <v>117650.467</v>
      </c>
      <c r="AP300" s="15" t="n">
        <f aca="false">IF(AN300&gt;0,AO300/AN300,0)</f>
        <v>0.273526338238282</v>
      </c>
      <c r="AQ300" s="16" t="n">
        <f aca="false">INDEX(Parametros!$I$2:$I$9,MATCH($E300,Parametros!$A$2:$A$9,0))</f>
        <v>19300000</v>
      </c>
      <c r="AR300" s="19" t="n">
        <f aca="false">IF(AQ300&gt;0,AO300/AQ300,0)</f>
        <v>0.00609587911917099</v>
      </c>
    </row>
    <row r="301" customFormat="false" ht="15" hidden="false" customHeight="false" outlineLevel="0" collapsed="false">
      <c r="A301" s="5" t="s">
        <v>436</v>
      </c>
      <c r="B301" s="9" t="n">
        <v>45810</v>
      </c>
      <c r="C301" s="2" t="str">
        <f aca="false">TEXT(B301,"yyyy")</f>
        <v>2025</v>
      </c>
      <c r="D301" s="2" t="n">
        <f aca="false">WEEKNUM(B301,2)</f>
        <v>23</v>
      </c>
      <c r="E301" s="5" t="s">
        <v>136</v>
      </c>
      <c r="F301" s="6" t="str">
        <f aca="false">INDEX(Parametros!$B$2:$B$9,MATCH($E301,Parametros!$A$2:$A$9,0))</f>
        <v>Salsa BBQ</v>
      </c>
      <c r="G301" s="10" t="n">
        <v>83.5</v>
      </c>
      <c r="H301" s="10" t="n">
        <v>8.4</v>
      </c>
      <c r="I301" s="11" t="n">
        <f aca="false">SUMIFS(Eventos_Paro!$J$2:$J$2186,Eventos_Paro!$D$2:$D$2186,$E301,Eventos_Paro!$B$2:$B$2186,$B301)</f>
        <v>5.28333333333333</v>
      </c>
      <c r="J301" s="12" t="n">
        <f aca="false">G301-H301-I301</f>
        <v>69.8166666666667</v>
      </c>
      <c r="K301" s="13" t="n">
        <v>329441</v>
      </c>
      <c r="L301" s="13" t="n">
        <v>264546</v>
      </c>
      <c r="M301" s="13" t="n">
        <v>9682</v>
      </c>
      <c r="N301" s="14" t="n">
        <f aca="false">L301+M301</f>
        <v>274228</v>
      </c>
      <c r="O301" s="11" t="n">
        <f aca="false">INDEX(Parametros!$D$2:$D$9,MATCH($E301,Parametros!$A$2:$A$9,0))</f>
        <v>4800</v>
      </c>
      <c r="P301" s="15" t="n">
        <f aca="false">IF((G301-H301)&gt;0,J301/(G301-H301),0)</f>
        <v>0.929649356413671</v>
      </c>
      <c r="Q301" s="15" t="n">
        <f aca="false">IF(J301*O301&gt;0,N301/(O301*J301),0)</f>
        <v>0.818297923132012</v>
      </c>
      <c r="R301" s="15" t="n">
        <f aca="false">IF(N301&gt;0,L301/N301,0)</f>
        <v>0.964693612614321</v>
      </c>
      <c r="S301" s="15" t="n">
        <f aca="false">P301*Q301*R301</f>
        <v>0.733871504660453</v>
      </c>
      <c r="T301" s="15" t="n">
        <f aca="false">IF(K301&gt;0,L301/K301,0)</f>
        <v>0.803014803864729</v>
      </c>
      <c r="U301" s="10" t="n">
        <v>960.6</v>
      </c>
      <c r="V301" s="5" t="n">
        <v>11</v>
      </c>
      <c r="W301" s="10" t="n">
        <v>42.1</v>
      </c>
      <c r="X301" s="15" t="n">
        <f aca="false">IF(U301&gt;0,W301/U301,0)</f>
        <v>0.043826774932334</v>
      </c>
      <c r="Y301" s="12" t="n">
        <f aca="false">IF(U301&gt;0,L301/U301,0)</f>
        <v>275.396627108057</v>
      </c>
      <c r="Z301" s="16" t="n">
        <f aca="false">L301*INDEX(Parametros!$E$2:$E$9,MATCH($E301,Parametros!$A$2:$A$9,0))</f>
        <v>153436.68</v>
      </c>
      <c r="AA301" s="16" t="n">
        <f aca="false">Z301*INDEX(Parametros!$F$2:$F$9,MATCH($E301,Parametros!$A$2:$A$9,0))</f>
        <v>4296.22704</v>
      </c>
      <c r="AB301" s="17" t="n">
        <f aca="false">Z301+AA301</f>
        <v>157732.90704</v>
      </c>
      <c r="AC301" s="18" t="n">
        <v>157023.34</v>
      </c>
      <c r="AD301" s="17" t="n">
        <f aca="false">AC301-AB301</f>
        <v>-709.567039999994</v>
      </c>
      <c r="AE301" s="17" t="n">
        <f aca="false">AA301+AD301</f>
        <v>3586.66000000001</v>
      </c>
      <c r="AF301" s="19" t="n">
        <f aca="false">IF(Z301&gt;0,AE301/Z301,0)</f>
        <v>0.0233755057786704</v>
      </c>
      <c r="AG301" s="16" t="n">
        <f aca="false">(U301-W301)*INDEX(Parametros!$H$2:$H$9,MATCH($E301,Parametros!$A$2:$A$9,0))+W301*INDEX(Parametros!$H$2:$H$9,MATCH($E301,Parametros!$A$2:$A$9,0))*Parametros!$N$3</f>
        <v>30921.975</v>
      </c>
      <c r="AH301" s="13" t="n">
        <v>14392</v>
      </c>
      <c r="AI301" s="16" t="n">
        <f aca="false">AH301*Parametros!$N$2</f>
        <v>1324.064</v>
      </c>
      <c r="AJ301" s="18" t="n">
        <v>9172</v>
      </c>
      <c r="AK301" s="18" t="n">
        <v>5524</v>
      </c>
      <c r="AL301" s="17" t="n">
        <f aca="false">AG301+AI301+AJ301+AK301</f>
        <v>46942.039</v>
      </c>
      <c r="AM301" s="20" t="n">
        <f aca="false">IF(L301&gt;0,AL301/L301,0)</f>
        <v>0.177443767813537</v>
      </c>
      <c r="AN301" s="16" t="n">
        <f aca="false">L301*INDEX(Parametros!$G$2:$G$9,MATCH($E301,Parametros!$A$2:$A$9,0))</f>
        <v>259255.08</v>
      </c>
      <c r="AO301" s="17" t="n">
        <f aca="false">AN301-AC301-AL301</f>
        <v>55289.701</v>
      </c>
      <c r="AP301" s="15" t="n">
        <f aca="false">IF(AN301&gt;0,AO301/AN301,0)</f>
        <v>0.213263713096769</v>
      </c>
      <c r="AQ301" s="16" t="n">
        <f aca="false">INDEX(Parametros!$I$2:$I$9,MATCH($E301,Parametros!$A$2:$A$9,0))</f>
        <v>17000000</v>
      </c>
      <c r="AR301" s="19" t="n">
        <f aca="false">IF(AQ301&gt;0,AO301/AQ301,0)</f>
        <v>0.00325233535294118</v>
      </c>
    </row>
    <row r="302" customFormat="false" ht="15" hidden="false" customHeight="false" outlineLevel="0" collapsed="false">
      <c r="A302" s="5" t="s">
        <v>437</v>
      </c>
      <c r="B302" s="9" t="n">
        <v>45810</v>
      </c>
      <c r="C302" s="2" t="str">
        <f aca="false">TEXT(B302,"yyyy")</f>
        <v>2025</v>
      </c>
      <c r="D302" s="2" t="n">
        <f aca="false">WEEKNUM(B302,2)</f>
        <v>23</v>
      </c>
      <c r="E302" s="5" t="s">
        <v>138</v>
      </c>
      <c r="F302" s="6" t="str">
        <f aca="false">INDEX(Parametros!$B$2:$B$9,MATCH($E302,Parametros!$A$2:$A$9,0))</f>
        <v>Queso crema</v>
      </c>
      <c r="G302" s="10" t="n">
        <v>114.4</v>
      </c>
      <c r="H302" s="10" t="n">
        <v>6.7</v>
      </c>
      <c r="I302" s="11" t="n">
        <f aca="false">SUMIFS(Eventos_Paro!$J$2:$J$2186,Eventos_Paro!$D$2:$D$2186,$E302,Eventos_Paro!$B$2:$B$2186,$B302)</f>
        <v>4.63333333333333</v>
      </c>
      <c r="J302" s="12" t="n">
        <f aca="false">G302-H302-I302</f>
        <v>103.066666666667</v>
      </c>
      <c r="K302" s="13" t="n">
        <v>337766</v>
      </c>
      <c r="L302" s="13" t="n">
        <v>290691</v>
      </c>
      <c r="M302" s="13" t="n">
        <v>14687</v>
      </c>
      <c r="N302" s="14" t="n">
        <f aca="false">L302+M302</f>
        <v>305378</v>
      </c>
      <c r="O302" s="11" t="n">
        <f aca="false">INDEX(Parametros!$D$2:$D$9,MATCH($E302,Parametros!$A$2:$A$9,0))</f>
        <v>3800</v>
      </c>
      <c r="P302" s="15" t="n">
        <f aca="false">IF((G302-H302)&gt;0,J302/(G302-H302),0)</f>
        <v>0.956979263385949</v>
      </c>
      <c r="Q302" s="15" t="n">
        <f aca="false">IF(J302*O302&gt;0,N302/(O302*J302),0)</f>
        <v>0.779715054129502</v>
      </c>
      <c r="R302" s="15" t="n">
        <f aca="false">IF(N302&gt;0,L302/N302,0)</f>
        <v>0.951905507272954</v>
      </c>
      <c r="S302" s="15" t="n">
        <f aca="false">P302*Q302*R302</f>
        <v>0.710284415774813</v>
      </c>
      <c r="T302" s="15" t="n">
        <f aca="false">IF(K302&gt;0,L302/K302,0)</f>
        <v>0.860628364015324</v>
      </c>
      <c r="U302" s="10" t="n">
        <v>2026.3</v>
      </c>
      <c r="V302" s="5" t="n">
        <v>16</v>
      </c>
      <c r="W302" s="10" t="n">
        <v>195.9</v>
      </c>
      <c r="X302" s="15" t="n">
        <f aca="false">IF(U302&gt;0,W302/U302,0)</f>
        <v>0.09667867541825</v>
      </c>
      <c r="Y302" s="12" t="n">
        <f aca="false">IF(U302&gt;0,L302/U302,0)</f>
        <v>143.459013966343</v>
      </c>
      <c r="Z302" s="16" t="n">
        <f aca="false">L302*INDEX(Parametros!$E$2:$E$9,MATCH($E302,Parametros!$A$2:$A$9,0))</f>
        <v>325573.92</v>
      </c>
      <c r="AA302" s="16" t="n">
        <f aca="false">Z302*INDEX(Parametros!$F$2:$F$9,MATCH($E302,Parametros!$A$2:$A$9,0))</f>
        <v>11395.0872</v>
      </c>
      <c r="AB302" s="17" t="n">
        <f aca="false">Z302+AA302</f>
        <v>336969.0072</v>
      </c>
      <c r="AC302" s="18" t="n">
        <v>339195.26</v>
      </c>
      <c r="AD302" s="17" t="n">
        <f aca="false">AC302-AB302</f>
        <v>2226.25279999996</v>
      </c>
      <c r="AE302" s="17" t="n">
        <f aca="false">AA302+AD302</f>
        <v>13621.34</v>
      </c>
      <c r="AF302" s="19" t="n">
        <f aca="false">IF(Z302&gt;0,AE302/Z302,0)</f>
        <v>0.0418379334560949</v>
      </c>
      <c r="AG302" s="16" t="n">
        <f aca="false">(U302-W302)*INDEX(Parametros!$H$2:$H$9,MATCH($E302,Parametros!$A$2:$A$9,0))+W302*INDEX(Parametros!$H$2:$H$9,MATCH($E302,Parametros!$A$2:$A$9,0))*Parametros!$N$3</f>
        <v>70100.25</v>
      </c>
      <c r="AH302" s="13" t="n">
        <v>16252</v>
      </c>
      <c r="AI302" s="16" t="n">
        <f aca="false">AH302*Parametros!$N$2</f>
        <v>1495.184</v>
      </c>
      <c r="AJ302" s="18" t="n">
        <v>16296</v>
      </c>
      <c r="AK302" s="18" t="n">
        <v>5488</v>
      </c>
      <c r="AL302" s="17" t="n">
        <f aca="false">AG302+AI302+AJ302+AK302</f>
        <v>93379.434</v>
      </c>
      <c r="AM302" s="20" t="n">
        <f aca="false">IF(L302&gt;0,AL302/L302,0)</f>
        <v>0.321232628461149</v>
      </c>
      <c r="AN302" s="16" t="n">
        <f aca="false">L302*INDEX(Parametros!$G$2:$G$9,MATCH($E302,Parametros!$A$2:$A$9,0))</f>
        <v>520336.89</v>
      </c>
      <c r="AO302" s="17" t="n">
        <f aca="false">AN302-AC302-AL302</f>
        <v>87762.196</v>
      </c>
      <c r="AP302" s="15" t="n">
        <f aca="false">IF(AN302&gt;0,AO302/AN302,0)</f>
        <v>0.168664182160907</v>
      </c>
      <c r="AQ302" s="16" t="n">
        <f aca="false">INDEX(Parametros!$I$2:$I$9,MATCH($E302,Parametros!$A$2:$A$9,0))</f>
        <v>33200000</v>
      </c>
      <c r="AR302" s="19" t="n">
        <f aca="false">IF(AQ302&gt;0,AO302/AQ302,0)</f>
        <v>0.00264343963855422</v>
      </c>
    </row>
    <row r="303" customFormat="false" ht="15" hidden="false" customHeight="false" outlineLevel="0" collapsed="false">
      <c r="A303" s="5" t="s">
        <v>438</v>
      </c>
      <c r="B303" s="9" t="n">
        <v>45810</v>
      </c>
      <c r="C303" s="2" t="str">
        <f aca="false">TEXT(B303,"yyyy")</f>
        <v>2025</v>
      </c>
      <c r="D303" s="2" t="n">
        <f aca="false">WEEKNUM(B303,2)</f>
        <v>23</v>
      </c>
      <c r="E303" s="5" t="s">
        <v>140</v>
      </c>
      <c r="F303" s="6" t="str">
        <f aca="false">INDEX(Parametros!$B$2:$B$9,MATCH($E303,Parametros!$A$2:$A$9,0))</f>
        <v>Crema de cacahuate</v>
      </c>
      <c r="G303" s="10" t="n">
        <v>118.7</v>
      </c>
      <c r="H303" s="10" t="n">
        <v>7.9</v>
      </c>
      <c r="I303" s="11" t="n">
        <f aca="false">SUMIFS(Eventos_Paro!$J$2:$J$2186,Eventos_Paro!$D$2:$D$2186,$E303,Eventos_Paro!$B$2:$B$2186,$B303)</f>
        <v>1.83333333333333</v>
      </c>
      <c r="J303" s="12" t="n">
        <f aca="false">G303-H303-I303</f>
        <v>108.966666666667</v>
      </c>
      <c r="K303" s="13" t="n">
        <v>384066</v>
      </c>
      <c r="L303" s="13" t="n">
        <v>382182</v>
      </c>
      <c r="M303" s="13" t="n">
        <v>13789</v>
      </c>
      <c r="N303" s="14" t="n">
        <f aca="false">L303+M303</f>
        <v>395971</v>
      </c>
      <c r="O303" s="11" t="n">
        <f aca="false">INDEX(Parametros!$D$2:$D$9,MATCH($E303,Parametros!$A$2:$A$9,0))</f>
        <v>4200</v>
      </c>
      <c r="P303" s="15" t="n">
        <f aca="false">IF((G303-H303)&gt;0,J303/(G303-H303),0)</f>
        <v>0.983453670276775</v>
      </c>
      <c r="Q303" s="15" t="n">
        <f aca="false">IF(J303*O303&gt;0,N303/(O303*J303),0)</f>
        <v>0.865207796180571</v>
      </c>
      <c r="R303" s="15" t="n">
        <f aca="false">IF(N303&gt;0,L303/N303,0)</f>
        <v>0.965176742741261</v>
      </c>
      <c r="S303" s="15" t="n">
        <f aca="false">P303*Q303*R303</f>
        <v>0.821260959257349</v>
      </c>
      <c r="T303" s="15" t="n">
        <f aca="false">IF(K303&gt;0,L303/K303,0)</f>
        <v>0.995094593116808</v>
      </c>
      <c r="U303" s="10" t="n">
        <v>1394.6</v>
      </c>
      <c r="V303" s="5" t="n">
        <v>11</v>
      </c>
      <c r="W303" s="10" t="n">
        <v>88.9</v>
      </c>
      <c r="X303" s="15" t="n">
        <f aca="false">IF(U303&gt;0,W303/U303,0)</f>
        <v>0.0637458769539653</v>
      </c>
      <c r="Y303" s="12" t="n">
        <f aca="false">IF(U303&gt;0,L303/U303,0)</f>
        <v>274.044170371433</v>
      </c>
      <c r="Z303" s="16" t="n">
        <f aca="false">L303*INDEX(Parametros!$E$2:$E$9,MATCH($E303,Parametros!$A$2:$A$9,0))</f>
        <v>370716.54</v>
      </c>
      <c r="AA303" s="16" t="n">
        <f aca="false">Z303*INDEX(Parametros!$F$2:$F$9,MATCH($E303,Parametros!$A$2:$A$9,0))</f>
        <v>8155.76388</v>
      </c>
      <c r="AB303" s="17" t="n">
        <f aca="false">Z303+AA303</f>
        <v>378872.30388</v>
      </c>
      <c r="AC303" s="18" t="n">
        <v>379274.38</v>
      </c>
      <c r="AD303" s="17" t="n">
        <f aca="false">AC303-AB303</f>
        <v>402.076120000042</v>
      </c>
      <c r="AE303" s="17" t="n">
        <f aca="false">AA303+AD303</f>
        <v>8557.84000000004</v>
      </c>
      <c r="AF303" s="19" t="n">
        <f aca="false">IF(Z303&gt;0,AE303/Z303,0)</f>
        <v>0.023084591801596</v>
      </c>
      <c r="AG303" s="16" t="n">
        <f aca="false">(U303-W303)*INDEX(Parametros!$H$2:$H$9,MATCH($E303,Parametros!$A$2:$A$9,0))+W303*INDEX(Parametros!$H$2:$H$9,MATCH($E303,Parametros!$A$2:$A$9,0))*Parametros!$N$3</f>
        <v>45330.075</v>
      </c>
      <c r="AH303" s="13" t="n">
        <v>19304</v>
      </c>
      <c r="AI303" s="16" t="n">
        <f aca="false">AH303*Parametros!$N$2</f>
        <v>1775.968</v>
      </c>
      <c r="AJ303" s="18" t="n">
        <v>12690</v>
      </c>
      <c r="AK303" s="18" t="n">
        <v>1030</v>
      </c>
      <c r="AL303" s="17" t="n">
        <f aca="false">AG303+AI303+AJ303+AK303</f>
        <v>60826.043</v>
      </c>
      <c r="AM303" s="20" t="n">
        <f aca="false">IF(L303&gt;0,AL303/L303,0)</f>
        <v>0.159154651448786</v>
      </c>
      <c r="AN303" s="16" t="n">
        <f aca="false">L303*INDEX(Parametros!$G$2:$G$9,MATCH($E303,Parametros!$A$2:$A$9,0))</f>
        <v>619134.84</v>
      </c>
      <c r="AO303" s="17" t="n">
        <f aca="false">AN303-AC303-AL303</f>
        <v>179034.417</v>
      </c>
      <c r="AP303" s="15" t="n">
        <f aca="false">IF(AN303&gt;0,AO303/AN303,0)</f>
        <v>0.289168700310905</v>
      </c>
      <c r="AQ303" s="16" t="n">
        <f aca="false">INDEX(Parametros!$I$2:$I$9,MATCH($E303,Parametros!$A$2:$A$9,0))</f>
        <v>28000000</v>
      </c>
      <c r="AR303" s="19" t="n">
        <f aca="false">IF(AQ303&gt;0,AO303/AQ303,0)</f>
        <v>0.00639408632142857</v>
      </c>
    </row>
    <row r="304" customFormat="false" ht="15" hidden="false" customHeight="false" outlineLevel="0" collapsed="false">
      <c r="A304" s="5" t="s">
        <v>439</v>
      </c>
      <c r="B304" s="9" t="n">
        <v>45810</v>
      </c>
      <c r="C304" s="2" t="str">
        <f aca="false">TEXT(B304,"yyyy")</f>
        <v>2025</v>
      </c>
      <c r="D304" s="2" t="n">
        <f aca="false">WEEKNUM(B304,2)</f>
        <v>23</v>
      </c>
      <c r="E304" s="5" t="s">
        <v>142</v>
      </c>
      <c r="F304" s="6" t="str">
        <f aca="false">INDEX(Parametros!$B$2:$B$9,MATCH($E304,Parametros!$A$2:$A$9,0))</f>
        <v>Porciones single serve</v>
      </c>
      <c r="G304" s="10" t="n">
        <v>98.2</v>
      </c>
      <c r="H304" s="10" t="n">
        <v>7.3</v>
      </c>
      <c r="I304" s="11" t="n">
        <f aca="false">SUMIFS(Eventos_Paro!$J$2:$J$2186,Eventos_Paro!$D$2:$D$2186,$E304,Eventos_Paro!$B$2:$B$2186,$B304)</f>
        <v>4.7</v>
      </c>
      <c r="J304" s="12" t="n">
        <f aca="false">G304-H304-I304</f>
        <v>86.2</v>
      </c>
      <c r="K304" s="13" t="n">
        <v>195054</v>
      </c>
      <c r="L304" s="13" t="n">
        <v>162774</v>
      </c>
      <c r="M304" s="13" t="n">
        <v>9995</v>
      </c>
      <c r="N304" s="14" t="n">
        <f aca="false">L304+M304</f>
        <v>172769</v>
      </c>
      <c r="O304" s="11" t="n">
        <f aca="false">INDEX(Parametros!$D$2:$D$9,MATCH($E304,Parametros!$A$2:$A$9,0))</f>
        <v>2600</v>
      </c>
      <c r="P304" s="15" t="n">
        <f aca="false">IF((G304-H304)&gt;0,J304/(G304-H304),0)</f>
        <v>0.948294829482948</v>
      </c>
      <c r="Q304" s="15" t="n">
        <f aca="false">IF(J304*O304&gt;0,N304/(O304*J304),0)</f>
        <v>0.77087720863823</v>
      </c>
      <c r="R304" s="15" t="n">
        <f aca="false">IF(N304&gt;0,L304/N304,0)</f>
        <v>0.942148186306571</v>
      </c>
      <c r="S304" s="15" t="n">
        <f aca="false">P304*Q304*R304</f>
        <v>0.688728103579589</v>
      </c>
      <c r="T304" s="15" t="n">
        <f aca="false">IF(K304&gt;0,L304/K304,0)</f>
        <v>0.834507367190624</v>
      </c>
      <c r="U304" s="10" t="n">
        <v>1763</v>
      </c>
      <c r="V304" s="5" t="n">
        <v>16</v>
      </c>
      <c r="W304" s="10" t="n">
        <v>191.8</v>
      </c>
      <c r="X304" s="15" t="n">
        <f aca="false">IF(U304&gt;0,W304/U304,0)</f>
        <v>0.108791832104368</v>
      </c>
      <c r="Y304" s="12" t="n">
        <f aca="false">IF(U304&gt;0,L304/U304,0)</f>
        <v>92.3278502552467</v>
      </c>
      <c r="Z304" s="16" t="n">
        <f aca="false">L304*INDEX(Parametros!$E$2:$E$9,MATCH($E304,Parametros!$A$2:$A$9,0))</f>
        <v>120452.76</v>
      </c>
      <c r="AA304" s="16" t="n">
        <f aca="false">Z304*INDEX(Parametros!$F$2:$F$9,MATCH($E304,Parametros!$A$2:$A$9,0))</f>
        <v>5420.3742</v>
      </c>
      <c r="AB304" s="17" t="n">
        <f aca="false">Z304+AA304</f>
        <v>125873.1342</v>
      </c>
      <c r="AC304" s="18" t="n">
        <v>126648.37</v>
      </c>
      <c r="AD304" s="17" t="n">
        <f aca="false">AC304-AB304</f>
        <v>775.235799999995</v>
      </c>
      <c r="AE304" s="17" t="n">
        <f aca="false">AA304+AD304</f>
        <v>6195.60999999999</v>
      </c>
      <c r="AF304" s="19" t="n">
        <f aca="false">IF(Z304&gt;0,AE304/Z304,0)</f>
        <v>0.0514360152478033</v>
      </c>
      <c r="AG304" s="16" t="n">
        <f aca="false">(U304-W304)*INDEX(Parametros!$H$2:$H$9,MATCH($E304,Parametros!$A$2:$A$9,0))+W304*INDEX(Parametros!$H$2:$H$9,MATCH($E304,Parametros!$A$2:$A$9,0))*Parametros!$N$3</f>
        <v>55767</v>
      </c>
      <c r="AH304" s="13" t="n">
        <v>9338</v>
      </c>
      <c r="AI304" s="16" t="n">
        <f aca="false">AH304*Parametros!$N$2</f>
        <v>859.096</v>
      </c>
      <c r="AJ304" s="18" t="n">
        <v>12612</v>
      </c>
      <c r="AK304" s="18" t="n">
        <v>4261</v>
      </c>
      <c r="AL304" s="17" t="n">
        <f aca="false">AG304+AI304+AJ304+AK304</f>
        <v>73499.096</v>
      </c>
      <c r="AM304" s="20" t="n">
        <f aca="false">IF(L304&gt;0,AL304/L304,0)</f>
        <v>0.451540762038163</v>
      </c>
      <c r="AN304" s="16" t="n">
        <f aca="false">L304*INDEX(Parametros!$G$2:$G$9,MATCH($E304,Parametros!$A$2:$A$9,0))</f>
        <v>279971.28</v>
      </c>
      <c r="AO304" s="17" t="n">
        <f aca="false">AN304-AC304-AL304</f>
        <v>79823.814</v>
      </c>
      <c r="AP304" s="15" t="n">
        <f aca="false">IF(AN304&gt;0,AO304/AN304,0)</f>
        <v>0.285114294580501</v>
      </c>
      <c r="AQ304" s="16" t="n">
        <f aca="false">INDEX(Parametros!$I$2:$I$9,MATCH($E304,Parametros!$A$2:$A$9,0))</f>
        <v>15900000</v>
      </c>
      <c r="AR304" s="19" t="n">
        <f aca="false">IF(AQ304&gt;0,AO304/AQ304,0)</f>
        <v>0.00502036566037736</v>
      </c>
    </row>
    <row r="305" customFormat="false" ht="15" hidden="false" customHeight="false" outlineLevel="0" collapsed="false">
      <c r="A305" s="5" t="s">
        <v>440</v>
      </c>
      <c r="B305" s="9" t="n">
        <v>45810</v>
      </c>
      <c r="C305" s="2" t="str">
        <f aca="false">TEXT(B305,"yyyy")</f>
        <v>2025</v>
      </c>
      <c r="D305" s="2" t="n">
        <f aca="false">WEEKNUM(B305,2)</f>
        <v>23</v>
      </c>
      <c r="E305" s="5" t="s">
        <v>144</v>
      </c>
      <c r="F305" s="6" t="str">
        <f aca="false">INDEX(Parametros!$B$2:$B$9,MATCH($E305,Parametros!$A$2:$A$9,0))</f>
        <v>Salsas picantes</v>
      </c>
      <c r="G305" s="10" t="n">
        <v>96.1</v>
      </c>
      <c r="H305" s="10" t="n">
        <v>5.3</v>
      </c>
      <c r="I305" s="11" t="n">
        <f aca="false">SUMIFS(Eventos_Paro!$J$2:$J$2186,Eventos_Paro!$D$2:$D$2186,$E305,Eventos_Paro!$B$2:$B$2186,$B305)</f>
        <v>0.683333333333333</v>
      </c>
      <c r="J305" s="12" t="n">
        <f aca="false">G305-H305-I305</f>
        <v>90.1166666666667</v>
      </c>
      <c r="K305" s="13" t="n">
        <v>214152</v>
      </c>
      <c r="L305" s="13" t="n">
        <v>235629</v>
      </c>
      <c r="M305" s="13" t="n">
        <v>4727</v>
      </c>
      <c r="N305" s="14" t="n">
        <f aca="false">L305+M305</f>
        <v>240356</v>
      </c>
      <c r="O305" s="11" t="n">
        <f aca="false">INDEX(Parametros!$D$2:$D$9,MATCH($E305,Parametros!$A$2:$A$9,0))</f>
        <v>3100</v>
      </c>
      <c r="P305" s="15" t="n">
        <f aca="false">IF((G305-H305)&gt;0,J305/(G305-H305),0)</f>
        <v>0.992474302496329</v>
      </c>
      <c r="Q305" s="15" t="n">
        <f aca="false">IF(J305*O305&gt;0,N305/(O305*J305),0)</f>
        <v>0.860375737544521</v>
      </c>
      <c r="R305" s="15" t="n">
        <f aca="false">IF(N305&gt;0,L305/N305,0)</f>
        <v>0.98033333888066</v>
      </c>
      <c r="S305" s="15" t="n">
        <f aca="false">P305*Q305*R305</f>
        <v>0.83710743214438</v>
      </c>
      <c r="T305" s="15" t="n">
        <f aca="false">IF(K305&gt;0,L305/K305,0)</f>
        <v>1.10028858007397</v>
      </c>
      <c r="U305" s="10" t="n">
        <v>941.2</v>
      </c>
      <c r="V305" s="5" t="n">
        <v>9</v>
      </c>
      <c r="W305" s="10" t="n">
        <v>76.3</v>
      </c>
      <c r="X305" s="15" t="n">
        <f aca="false">IF(U305&gt;0,W305/U305,0)</f>
        <v>0.0810667233319167</v>
      </c>
      <c r="Y305" s="12" t="n">
        <f aca="false">IF(U305&gt;0,L305/U305,0)</f>
        <v>250.349553761156</v>
      </c>
      <c r="Z305" s="16" t="n">
        <f aca="false">L305*INDEX(Parametros!$E$2:$E$9,MATCH($E305,Parametros!$A$2:$A$9,0))</f>
        <v>155515.14</v>
      </c>
      <c r="AA305" s="16" t="n">
        <f aca="false">Z305*INDEX(Parametros!$F$2:$F$9,MATCH($E305,Parametros!$A$2:$A$9,0))</f>
        <v>4043.39364</v>
      </c>
      <c r="AB305" s="17" t="n">
        <f aca="false">Z305+AA305</f>
        <v>159558.53364</v>
      </c>
      <c r="AC305" s="18" t="n">
        <v>160554.66</v>
      </c>
      <c r="AD305" s="17" t="n">
        <f aca="false">AC305-AB305</f>
        <v>996.126359999995</v>
      </c>
      <c r="AE305" s="17" t="n">
        <f aca="false">AA305+AD305</f>
        <v>5039.52</v>
      </c>
      <c r="AF305" s="19" t="n">
        <f aca="false">IF(Z305&gt;0,AE305/Z305,0)</f>
        <v>0.032405333654331</v>
      </c>
      <c r="AG305" s="16" t="n">
        <f aca="false">(U305-W305)*INDEX(Parametros!$H$2:$H$9,MATCH($E305,Parametros!$A$2:$A$9,0))+W305*INDEX(Parametros!$H$2:$H$9,MATCH($E305,Parametros!$A$2:$A$9,0))*Parametros!$N$3</f>
        <v>30849.525</v>
      </c>
      <c r="AH305" s="13" t="n">
        <v>11562</v>
      </c>
      <c r="AI305" s="16" t="n">
        <f aca="false">AH305*Parametros!$N$2</f>
        <v>1063.704</v>
      </c>
      <c r="AJ305" s="18" t="n">
        <v>5504</v>
      </c>
      <c r="AK305" s="18" t="n">
        <v>467</v>
      </c>
      <c r="AL305" s="17" t="n">
        <f aca="false">AG305+AI305+AJ305+AK305</f>
        <v>37884.229</v>
      </c>
      <c r="AM305" s="20" t="n">
        <f aca="false">IF(L305&gt;0,AL305/L305,0)</f>
        <v>0.160779144332828</v>
      </c>
      <c r="AN305" s="16" t="n">
        <f aca="false">L305*INDEX(Parametros!$G$2:$G$9,MATCH($E305,Parametros!$A$2:$A$9,0))</f>
        <v>294536.25</v>
      </c>
      <c r="AO305" s="17" t="n">
        <f aca="false">AN305-AC305-AL305</f>
        <v>96097.361</v>
      </c>
      <c r="AP305" s="15" t="n">
        <f aca="false">IF(AN305&gt;0,AO305/AN305,0)</f>
        <v>0.326266668364251</v>
      </c>
      <c r="AQ305" s="16" t="n">
        <f aca="false">INDEX(Parametros!$I$2:$I$9,MATCH($E305,Parametros!$A$2:$A$9,0))</f>
        <v>13300000</v>
      </c>
      <c r="AR305" s="19" t="n">
        <f aca="false">IF(AQ305&gt;0,AO305/AQ305,0)</f>
        <v>0.0072253654887218</v>
      </c>
    </row>
    <row r="306" customFormat="false" ht="15" hidden="false" customHeight="false" outlineLevel="0" collapsed="false">
      <c r="A306" s="5" t="s">
        <v>441</v>
      </c>
      <c r="B306" s="9" t="n">
        <v>45817</v>
      </c>
      <c r="C306" s="2" t="str">
        <f aca="false">TEXT(B306,"yyyy")</f>
        <v>2025</v>
      </c>
      <c r="D306" s="2" t="n">
        <f aca="false">WEEKNUM(B306,2)</f>
        <v>24</v>
      </c>
      <c r="E306" s="5" t="s">
        <v>130</v>
      </c>
      <c r="F306" s="6" t="str">
        <f aca="false">INDEX(Parametros!$B$2:$B$9,MATCH($E306,Parametros!$A$2:$A$9,0))</f>
        <v>Ketchup botella</v>
      </c>
      <c r="G306" s="10" t="n">
        <v>121.8</v>
      </c>
      <c r="H306" s="10" t="n">
        <v>6.1</v>
      </c>
      <c r="I306" s="11" t="n">
        <f aca="false">SUMIFS(Eventos_Paro!$J$2:$J$2186,Eventos_Paro!$D$2:$D$2186,$E306,Eventos_Paro!$B$2:$B$2186,$B306)</f>
        <v>2.21666666666667</v>
      </c>
      <c r="J306" s="12" t="n">
        <f aca="false">G306-H306-I306</f>
        <v>113.483333333333</v>
      </c>
      <c r="K306" s="13" t="n">
        <v>861655</v>
      </c>
      <c r="L306" s="13" t="n">
        <v>852934</v>
      </c>
      <c r="M306" s="13" t="n">
        <v>31196</v>
      </c>
      <c r="N306" s="14" t="n">
        <f aca="false">L306+M306</f>
        <v>884130</v>
      </c>
      <c r="O306" s="11" t="n">
        <f aca="false">INDEX(Parametros!$D$2:$D$9,MATCH($E306,Parametros!$A$2:$A$9,0))</f>
        <v>9000</v>
      </c>
      <c r="P306" s="15" t="n">
        <f aca="false">IF((G306-H306)&gt;0,J306/(G306-H306),0)</f>
        <v>0.980841256122155</v>
      </c>
      <c r="Q306" s="15" t="n">
        <f aca="false">IF(J306*O306&gt;0,N306/(O306*J306),0)</f>
        <v>0.865648406520781</v>
      </c>
      <c r="R306" s="15" t="n">
        <f aca="false">IF(N306&gt;0,L306/N306,0)</f>
        <v>0.964715596122742</v>
      </c>
      <c r="S306" s="15" t="n">
        <f aca="false">P306*Q306*R306</f>
        <v>0.819104964947662</v>
      </c>
      <c r="T306" s="15" t="n">
        <f aca="false">IF(K306&gt;0,L306/K306,0)</f>
        <v>0.989878779790055</v>
      </c>
      <c r="U306" s="10" t="n">
        <v>1871</v>
      </c>
      <c r="V306" s="5" t="n">
        <v>14</v>
      </c>
      <c r="W306" s="10" t="n">
        <v>165.8</v>
      </c>
      <c r="X306" s="15" t="n">
        <f aca="false">IF(U306&gt;0,W306/U306,0)</f>
        <v>0.0886157135221807</v>
      </c>
      <c r="Y306" s="12" t="n">
        <f aca="false">IF(U306&gt;0,L306/U306,0)</f>
        <v>455.870657402459</v>
      </c>
      <c r="Z306" s="16" t="n">
        <f aca="false">L306*INDEX(Parametros!$E$2:$E$9,MATCH($E306,Parametros!$A$2:$A$9,0))</f>
        <v>358232.28</v>
      </c>
      <c r="AA306" s="16" t="n">
        <f aca="false">Z306*INDEX(Parametros!$F$2:$F$9,MATCH($E306,Parametros!$A$2:$A$9,0))</f>
        <v>7164.6456</v>
      </c>
      <c r="AB306" s="17" t="n">
        <f aca="false">Z306+AA306</f>
        <v>365396.9256</v>
      </c>
      <c r="AC306" s="18" t="n">
        <v>360326.2</v>
      </c>
      <c r="AD306" s="17" t="n">
        <f aca="false">AC306-AB306</f>
        <v>-5070.72559999995</v>
      </c>
      <c r="AE306" s="17" t="n">
        <f aca="false">AA306+AD306</f>
        <v>2093.92000000005</v>
      </c>
      <c r="AF306" s="19" t="n">
        <f aca="false">IF(Z306&gt;0,AE306/Z306,0)</f>
        <v>0.00584514605998112</v>
      </c>
      <c r="AG306" s="16" t="n">
        <f aca="false">(U306-W306)*INDEX(Parametros!$H$2:$H$9,MATCH($E306,Parametros!$A$2:$A$9,0))+W306*INDEX(Parametros!$H$2:$H$9,MATCH($E306,Parametros!$A$2:$A$9,0))*Parametros!$N$3</f>
        <v>61547.85</v>
      </c>
      <c r="AH306" s="13" t="n">
        <v>45790</v>
      </c>
      <c r="AI306" s="16" t="n">
        <f aca="false">AH306*Parametros!$N$2</f>
        <v>4212.68</v>
      </c>
      <c r="AJ306" s="18" t="n">
        <v>14517</v>
      </c>
      <c r="AK306" s="18" t="n">
        <v>1836</v>
      </c>
      <c r="AL306" s="17" t="n">
        <f aca="false">AG306+AI306+AJ306+AK306</f>
        <v>82113.53</v>
      </c>
      <c r="AM306" s="20" t="n">
        <f aca="false">IF(L306&gt;0,AL306/L306,0)</f>
        <v>0.0962718451838009</v>
      </c>
      <c r="AN306" s="16" t="n">
        <f aca="false">L306*INDEX(Parametros!$G$2:$G$9,MATCH($E306,Parametros!$A$2:$A$9,0))</f>
        <v>605583.14</v>
      </c>
      <c r="AO306" s="17" t="n">
        <f aca="false">AN306-AC306-AL306</f>
        <v>163143.41</v>
      </c>
      <c r="AP306" s="15" t="n">
        <f aca="false">IF(AN306&gt;0,AO306/AN306,0)</f>
        <v>0.269398864043672</v>
      </c>
      <c r="AQ306" s="16" t="n">
        <f aca="false">INDEX(Parametros!$I$2:$I$9,MATCH($E306,Parametros!$A$2:$A$9,0))</f>
        <v>29300000</v>
      </c>
      <c r="AR306" s="19" t="n">
        <f aca="false">IF(AQ306&gt;0,AO306/AQ306,0)</f>
        <v>0.00556803447098976</v>
      </c>
    </row>
    <row r="307" customFormat="false" ht="15" hidden="false" customHeight="false" outlineLevel="0" collapsed="false">
      <c r="A307" s="5" t="s">
        <v>442</v>
      </c>
      <c r="B307" s="9" t="n">
        <v>45817</v>
      </c>
      <c r="C307" s="2" t="str">
        <f aca="false">TEXT(B307,"yyyy")</f>
        <v>2025</v>
      </c>
      <c r="D307" s="2" t="n">
        <f aca="false">WEEKNUM(B307,2)</f>
        <v>24</v>
      </c>
      <c r="E307" s="5" t="s">
        <v>132</v>
      </c>
      <c r="F307" s="6" t="str">
        <f aca="false">INDEX(Parametros!$B$2:$B$9,MATCH($E307,Parametros!$A$2:$A$9,0))</f>
        <v>Mayonesa frasco</v>
      </c>
      <c r="G307" s="10" t="n">
        <v>123.5</v>
      </c>
      <c r="H307" s="10" t="n">
        <v>5.7</v>
      </c>
      <c r="I307" s="11" t="n">
        <f aca="false">SUMIFS(Eventos_Paro!$J$2:$J$2186,Eventos_Paro!$D$2:$D$2186,$E307,Eventos_Paro!$B$2:$B$2186,$B307)</f>
        <v>3.73333333333333</v>
      </c>
      <c r="J307" s="12" t="n">
        <f aca="false">G307-H307-I307</f>
        <v>114.066666666667</v>
      </c>
      <c r="K307" s="13" t="n">
        <v>633602</v>
      </c>
      <c r="L307" s="13" t="n">
        <v>626931</v>
      </c>
      <c r="M307" s="13" t="n">
        <v>16529</v>
      </c>
      <c r="N307" s="14" t="n">
        <f aca="false">L307+M307</f>
        <v>643460</v>
      </c>
      <c r="O307" s="11" t="n">
        <f aca="false">INDEX(Parametros!$D$2:$D$9,MATCH($E307,Parametros!$A$2:$A$9,0))</f>
        <v>6500</v>
      </c>
      <c r="P307" s="15" t="n">
        <f aca="false">IF((G307-H307)&gt;0,J307/(G307-H307),0)</f>
        <v>0.968307866440294</v>
      </c>
      <c r="Q307" s="15" t="n">
        <f aca="false">IF(J307*O307&gt;0,N307/(O307*J307),0)</f>
        <v>0.867859551319516</v>
      </c>
      <c r="R307" s="15" t="n">
        <f aca="false">IF(N307&gt;0,L307/N307,0)</f>
        <v>0.974312311565599</v>
      </c>
      <c r="S307" s="15" t="n">
        <f aca="false">P307*Q307*R307</f>
        <v>0.818768447172522</v>
      </c>
      <c r="T307" s="15" t="n">
        <f aca="false">IF(K307&gt;0,L307/K307,0)</f>
        <v>0.989471308487031</v>
      </c>
      <c r="U307" s="10" t="n">
        <v>1755.3</v>
      </c>
      <c r="V307" s="5" t="n">
        <v>13</v>
      </c>
      <c r="W307" s="10" t="n">
        <v>149.8</v>
      </c>
      <c r="X307" s="15" t="n">
        <f aca="false">IF(U307&gt;0,W307/U307,0)</f>
        <v>0.0853415370591922</v>
      </c>
      <c r="Y307" s="12" t="n">
        <f aca="false">IF(U307&gt;0,L307/U307,0)</f>
        <v>357.164587250043</v>
      </c>
      <c r="Z307" s="16" t="n">
        <f aca="false">L307*INDEX(Parametros!$E$2:$E$9,MATCH($E307,Parametros!$A$2:$A$9,0))</f>
        <v>382427.91</v>
      </c>
      <c r="AA307" s="16" t="n">
        <f aca="false">Z307*INDEX(Parametros!$F$2:$F$9,MATCH($E307,Parametros!$A$2:$A$9,0))</f>
        <v>9560.69775</v>
      </c>
      <c r="AB307" s="17" t="n">
        <f aca="false">Z307+AA307</f>
        <v>391988.60775</v>
      </c>
      <c r="AC307" s="18" t="n">
        <v>391346.35</v>
      </c>
      <c r="AD307" s="17" t="n">
        <f aca="false">AC307-AB307</f>
        <v>-642.25774999999</v>
      </c>
      <c r="AE307" s="17" t="n">
        <f aca="false">AA307+AD307</f>
        <v>8918.44000000001</v>
      </c>
      <c r="AF307" s="19" t="n">
        <f aca="false">IF(Z307&gt;0,AE307/Z307,0)</f>
        <v>0.0233205782496367</v>
      </c>
      <c r="AG307" s="16" t="n">
        <f aca="false">(U307-W307)*INDEX(Parametros!$H$2:$H$9,MATCH($E307,Parametros!$A$2:$A$9,0))+W307*INDEX(Parametros!$H$2:$H$9,MATCH($E307,Parametros!$A$2:$A$9,0))*Parametros!$N$3</f>
        <v>57651.3</v>
      </c>
      <c r="AH307" s="13" t="n">
        <v>34941</v>
      </c>
      <c r="AI307" s="16" t="n">
        <f aca="false">AH307*Parametros!$N$2</f>
        <v>3214.572</v>
      </c>
      <c r="AJ307" s="18" t="n">
        <v>14126</v>
      </c>
      <c r="AK307" s="18" t="n">
        <v>3138</v>
      </c>
      <c r="AL307" s="17" t="n">
        <f aca="false">AG307+AI307+AJ307+AK307</f>
        <v>78129.872</v>
      </c>
      <c r="AM307" s="20" t="n">
        <f aca="false">IF(L307&gt;0,AL307/L307,0)</f>
        <v>0.124622760718484</v>
      </c>
      <c r="AN307" s="16" t="n">
        <f aca="false">L307*INDEX(Parametros!$G$2:$G$9,MATCH($E307,Parametros!$A$2:$A$9,0))</f>
        <v>601853.76</v>
      </c>
      <c r="AO307" s="17" t="n">
        <f aca="false">AN307-AC307-AL307</f>
        <v>132377.538</v>
      </c>
      <c r="AP307" s="15" t="n">
        <f aca="false">IF(AN307&gt;0,AO307/AN307,0)</f>
        <v>0.219949673488789</v>
      </c>
      <c r="AQ307" s="16" t="n">
        <f aca="false">INDEX(Parametros!$I$2:$I$9,MATCH($E307,Parametros!$A$2:$A$9,0))</f>
        <v>29700000</v>
      </c>
      <c r="AR307" s="19" t="n">
        <f aca="false">IF(AQ307&gt;0,AO307/AQ307,0)</f>
        <v>0.00445715616161616</v>
      </c>
    </row>
    <row r="308" customFormat="false" ht="15" hidden="false" customHeight="false" outlineLevel="0" collapsed="false">
      <c r="A308" s="5" t="s">
        <v>443</v>
      </c>
      <c r="B308" s="9" t="n">
        <v>45817</v>
      </c>
      <c r="C308" s="2" t="str">
        <f aca="false">TEXT(B308,"yyyy")</f>
        <v>2025</v>
      </c>
      <c r="D308" s="2" t="n">
        <f aca="false">WEEKNUM(B308,2)</f>
        <v>24</v>
      </c>
      <c r="E308" s="5" t="s">
        <v>134</v>
      </c>
      <c r="F308" s="6" t="str">
        <f aca="false">INDEX(Parametros!$B$2:$B$9,MATCH($E308,Parametros!$A$2:$A$9,0))</f>
        <v>Aderezos vertibles</v>
      </c>
      <c r="G308" s="10" t="n">
        <v>129.2</v>
      </c>
      <c r="H308" s="10" t="n">
        <v>7</v>
      </c>
      <c r="I308" s="11" t="n">
        <f aca="false">SUMIFS(Eventos_Paro!$J$2:$J$2186,Eventos_Paro!$D$2:$D$2186,$E308,Eventos_Paro!$B$2:$B$2186,$B308)</f>
        <v>2.85</v>
      </c>
      <c r="J308" s="12" t="n">
        <f aca="false">G308-H308-I308</f>
        <v>119.35</v>
      </c>
      <c r="K308" s="13" t="n">
        <v>525814</v>
      </c>
      <c r="L308" s="13" t="n">
        <v>518117</v>
      </c>
      <c r="M308" s="13" t="n">
        <v>16838</v>
      </c>
      <c r="N308" s="14" t="n">
        <f aca="false">L308+M308</f>
        <v>534955</v>
      </c>
      <c r="O308" s="11" t="n">
        <f aca="false">INDEX(Parametros!$D$2:$D$9,MATCH($E308,Parametros!$A$2:$A$9,0))</f>
        <v>5200</v>
      </c>
      <c r="P308" s="15" t="n">
        <f aca="false">IF((G308-H308)&gt;0,J308/(G308-H308),0)</f>
        <v>0.976677577741408</v>
      </c>
      <c r="Q308" s="15" t="n">
        <f aca="false">IF(J308*O308&gt;0,N308/(O308*J308),0)</f>
        <v>0.861968676484806</v>
      </c>
      <c r="R308" s="15" t="n">
        <f aca="false">IF(N308&gt;0,L308/N308,0)</f>
        <v>0.968524455328018</v>
      </c>
      <c r="S308" s="15" t="n">
        <f aca="false">P308*Q308*R308</f>
        <v>0.815367304544882</v>
      </c>
      <c r="T308" s="15" t="n">
        <f aca="false">IF(K308&gt;0,L308/K308,0)</f>
        <v>0.985361743886622</v>
      </c>
      <c r="U308" s="10" t="n">
        <v>2015.2</v>
      </c>
      <c r="V308" s="5" t="n">
        <v>13</v>
      </c>
      <c r="W308" s="10" t="n">
        <v>335.6</v>
      </c>
      <c r="X308" s="15" t="n">
        <f aca="false">IF(U308&gt;0,W308/U308,0)</f>
        <v>0.166534339023422</v>
      </c>
      <c r="Y308" s="12" t="n">
        <f aca="false">IF(U308&gt;0,L308/U308,0)</f>
        <v>257.104505756253</v>
      </c>
      <c r="Z308" s="16" t="n">
        <f aca="false">L308*INDEX(Parametros!$E$2:$E$9,MATCH($E308,Parametros!$A$2:$A$9,0))</f>
        <v>284964.35</v>
      </c>
      <c r="AA308" s="16" t="n">
        <f aca="false">Z308*INDEX(Parametros!$F$2:$F$9,MATCH($E308,Parametros!$A$2:$A$9,0))</f>
        <v>8548.9305</v>
      </c>
      <c r="AB308" s="17" t="n">
        <f aca="false">Z308+AA308</f>
        <v>293513.2805</v>
      </c>
      <c r="AC308" s="18" t="n">
        <v>292827.99</v>
      </c>
      <c r="AD308" s="17" t="n">
        <f aca="false">AC308-AB308</f>
        <v>-685.290500000061</v>
      </c>
      <c r="AE308" s="17" t="n">
        <f aca="false">AA308+AD308</f>
        <v>7863.63999999994</v>
      </c>
      <c r="AF308" s="19" t="n">
        <f aca="false">IF(Z308&gt;0,AE308/Z308,0)</f>
        <v>0.0275951711152639</v>
      </c>
      <c r="AG308" s="16" t="n">
        <f aca="false">(U308-W308)*INDEX(Parametros!$H$2:$H$9,MATCH($E308,Parametros!$A$2:$A$9,0))+W308*INDEX(Parametros!$H$2:$H$9,MATCH($E308,Parametros!$A$2:$A$9,0))*Parametros!$N$3</f>
        <v>68764.5</v>
      </c>
      <c r="AH308" s="13" t="n">
        <v>26959</v>
      </c>
      <c r="AI308" s="16" t="n">
        <f aca="false">AH308*Parametros!$N$2</f>
        <v>2480.228</v>
      </c>
      <c r="AJ308" s="18" t="n">
        <v>9621</v>
      </c>
      <c r="AK308" s="18" t="n">
        <v>2292</v>
      </c>
      <c r="AL308" s="17" t="n">
        <f aca="false">AG308+AI308+AJ308+AK308</f>
        <v>83157.728</v>
      </c>
      <c r="AM308" s="20" t="n">
        <f aca="false">IF(L308&gt;0,AL308/L308,0)</f>
        <v>0.160499902531668</v>
      </c>
      <c r="AN308" s="16" t="n">
        <f aca="false">L308*INDEX(Parametros!$G$2:$G$9,MATCH($E308,Parametros!$A$2:$A$9,0))</f>
        <v>528479.34</v>
      </c>
      <c r="AO308" s="17" t="n">
        <f aca="false">AN308-AC308-AL308</f>
        <v>152493.622</v>
      </c>
      <c r="AP308" s="15" t="n">
        <f aca="false">IF(AN308&gt;0,AO308/AN308,0)</f>
        <v>0.288551718975429</v>
      </c>
      <c r="AQ308" s="16" t="n">
        <f aca="false">INDEX(Parametros!$I$2:$I$9,MATCH($E308,Parametros!$A$2:$A$9,0))</f>
        <v>19300000</v>
      </c>
      <c r="AR308" s="19" t="n">
        <f aca="false">IF(AQ308&gt;0,AO308/AQ308,0)</f>
        <v>0.00790122393782383</v>
      </c>
    </row>
    <row r="309" customFormat="false" ht="15" hidden="false" customHeight="false" outlineLevel="0" collapsed="false">
      <c r="A309" s="5" t="s">
        <v>444</v>
      </c>
      <c r="B309" s="9" t="n">
        <v>45817</v>
      </c>
      <c r="C309" s="2" t="str">
        <f aca="false">TEXT(B309,"yyyy")</f>
        <v>2025</v>
      </c>
      <c r="D309" s="2" t="n">
        <f aca="false">WEEKNUM(B309,2)</f>
        <v>24</v>
      </c>
      <c r="E309" s="5" t="s">
        <v>136</v>
      </c>
      <c r="F309" s="6" t="str">
        <f aca="false">INDEX(Parametros!$B$2:$B$9,MATCH($E309,Parametros!$A$2:$A$9,0))</f>
        <v>Salsa BBQ</v>
      </c>
      <c r="G309" s="10" t="n">
        <v>105.2</v>
      </c>
      <c r="H309" s="10" t="n">
        <v>7.3</v>
      </c>
      <c r="I309" s="11" t="n">
        <f aca="false">SUMIFS(Eventos_Paro!$J$2:$J$2186,Eventos_Paro!$D$2:$D$2186,$E309,Eventos_Paro!$B$2:$B$2186,$B309)</f>
        <v>0.616666666666667</v>
      </c>
      <c r="J309" s="12" t="n">
        <f aca="false">G309-H309-I309</f>
        <v>97.2833333333334</v>
      </c>
      <c r="K309" s="13" t="n">
        <v>434047</v>
      </c>
      <c r="L309" s="13" t="n">
        <v>369614</v>
      </c>
      <c r="M309" s="13" t="n">
        <v>12429</v>
      </c>
      <c r="N309" s="14" t="n">
        <f aca="false">L309+M309</f>
        <v>382043</v>
      </c>
      <c r="O309" s="11" t="n">
        <f aca="false">INDEX(Parametros!$D$2:$D$9,MATCH($E309,Parametros!$A$2:$A$9,0))</f>
        <v>4800</v>
      </c>
      <c r="P309" s="15" t="n">
        <f aca="false">IF((G309-H309)&gt;0,J309/(G309-H309),0)</f>
        <v>0.993701055498808</v>
      </c>
      <c r="Q309" s="15" t="n">
        <f aca="false">IF(J309*O309&gt;0,N309/(O309*J309),0)</f>
        <v>0.81814930615042</v>
      </c>
      <c r="R309" s="15" t="n">
        <f aca="false">IF(N309&gt;0,L309/N309,0)</f>
        <v>0.967467012875514</v>
      </c>
      <c r="S309" s="15" t="n">
        <f aca="false">P309*Q309*R309</f>
        <v>0.786546646237657</v>
      </c>
      <c r="T309" s="15" t="n">
        <f aca="false">IF(K309&gt;0,L309/K309,0)</f>
        <v>0.851552942423286</v>
      </c>
      <c r="U309" s="10" t="n">
        <v>1282.3</v>
      </c>
      <c r="V309" s="5" t="n">
        <v>11</v>
      </c>
      <c r="W309" s="10" t="n">
        <v>125.1</v>
      </c>
      <c r="X309" s="15" t="n">
        <f aca="false">IF(U309&gt;0,W309/U309,0)</f>
        <v>0.0975590735397333</v>
      </c>
      <c r="Y309" s="12" t="n">
        <f aca="false">IF(U309&gt;0,L309/U309,0)</f>
        <v>288.243000857834</v>
      </c>
      <c r="Z309" s="16" t="n">
        <f aca="false">L309*INDEX(Parametros!$E$2:$E$9,MATCH($E309,Parametros!$A$2:$A$9,0))</f>
        <v>214376.12</v>
      </c>
      <c r="AA309" s="16" t="n">
        <f aca="false">Z309*INDEX(Parametros!$F$2:$F$9,MATCH($E309,Parametros!$A$2:$A$9,0))</f>
        <v>6002.53136</v>
      </c>
      <c r="AB309" s="17" t="n">
        <f aca="false">Z309+AA309</f>
        <v>220378.65136</v>
      </c>
      <c r="AC309" s="18" t="n">
        <v>218569.72</v>
      </c>
      <c r="AD309" s="17" t="n">
        <f aca="false">AC309-AB309</f>
        <v>-1808.93135999999</v>
      </c>
      <c r="AE309" s="17" t="n">
        <f aca="false">AA309+AD309</f>
        <v>4193.60000000001</v>
      </c>
      <c r="AF309" s="19" t="n">
        <f aca="false">IF(Z309&gt;0,AE309/Z309,0)</f>
        <v>0.0195618803064446</v>
      </c>
      <c r="AG309" s="16" t="n">
        <f aca="false">(U309-W309)*INDEX(Parametros!$H$2:$H$9,MATCH($E309,Parametros!$A$2:$A$9,0))+W309*INDEX(Parametros!$H$2:$H$9,MATCH($E309,Parametros!$A$2:$A$9,0))*Parametros!$N$3</f>
        <v>42362.775</v>
      </c>
      <c r="AH309" s="13" t="n">
        <v>19616</v>
      </c>
      <c r="AI309" s="16" t="n">
        <f aca="false">AH309*Parametros!$N$2</f>
        <v>1804.672</v>
      </c>
      <c r="AJ309" s="18" t="n">
        <v>8282</v>
      </c>
      <c r="AK309" s="18" t="n">
        <v>473</v>
      </c>
      <c r="AL309" s="17" t="n">
        <f aca="false">AG309+AI309+AJ309+AK309</f>
        <v>52922.447</v>
      </c>
      <c r="AM309" s="20" t="n">
        <f aca="false">IF(L309&gt;0,AL309/L309,0)</f>
        <v>0.143183015253751</v>
      </c>
      <c r="AN309" s="16" t="n">
        <f aca="false">L309*INDEX(Parametros!$G$2:$G$9,MATCH($E309,Parametros!$A$2:$A$9,0))</f>
        <v>362221.72</v>
      </c>
      <c r="AO309" s="17" t="n">
        <f aca="false">AN309-AC309-AL309</f>
        <v>90729.553</v>
      </c>
      <c r="AP309" s="15" t="n">
        <f aca="false">IF(AN309&gt;0,AO309/AN309,0)</f>
        <v>0.250480708335215</v>
      </c>
      <c r="AQ309" s="16" t="n">
        <f aca="false">INDEX(Parametros!$I$2:$I$9,MATCH($E309,Parametros!$A$2:$A$9,0))</f>
        <v>17000000</v>
      </c>
      <c r="AR309" s="19" t="n">
        <f aca="false">IF(AQ309&gt;0,AO309/AQ309,0)</f>
        <v>0.00533703252941176</v>
      </c>
    </row>
    <row r="310" customFormat="false" ht="15" hidden="false" customHeight="false" outlineLevel="0" collapsed="false">
      <c r="A310" s="5" t="s">
        <v>445</v>
      </c>
      <c r="B310" s="9" t="n">
        <v>45817</v>
      </c>
      <c r="C310" s="2" t="str">
        <f aca="false">TEXT(B310,"yyyy")</f>
        <v>2025</v>
      </c>
      <c r="D310" s="2" t="n">
        <f aca="false">WEEKNUM(B310,2)</f>
        <v>24</v>
      </c>
      <c r="E310" s="5" t="s">
        <v>138</v>
      </c>
      <c r="F310" s="6" t="str">
        <f aca="false">INDEX(Parametros!$B$2:$B$9,MATCH($E310,Parametros!$A$2:$A$9,0))</f>
        <v>Queso crema</v>
      </c>
      <c r="G310" s="10" t="n">
        <v>128.2</v>
      </c>
      <c r="H310" s="10" t="n">
        <v>6.4</v>
      </c>
      <c r="I310" s="11" t="n">
        <f aca="false">SUMIFS(Eventos_Paro!$J$2:$J$2186,Eventos_Paro!$D$2:$D$2186,$E310,Eventos_Paro!$B$2:$B$2186,$B310)</f>
        <v>5.86666666666667</v>
      </c>
      <c r="J310" s="12" t="n">
        <f aca="false">G310-H310-I310</f>
        <v>115.933333333333</v>
      </c>
      <c r="K310" s="13" t="n">
        <v>382991</v>
      </c>
      <c r="L310" s="13" t="n">
        <v>312834</v>
      </c>
      <c r="M310" s="13" t="n">
        <v>15297</v>
      </c>
      <c r="N310" s="14" t="n">
        <f aca="false">L310+M310</f>
        <v>328131</v>
      </c>
      <c r="O310" s="11" t="n">
        <f aca="false">INDEX(Parametros!$D$2:$D$9,MATCH($E310,Parametros!$A$2:$A$9,0))</f>
        <v>3800</v>
      </c>
      <c r="P310" s="15" t="n">
        <f aca="false">IF((G310-H310)&gt;0,J310/(G310-H310),0)</f>
        <v>0.951833607006021</v>
      </c>
      <c r="Q310" s="15" t="n">
        <f aca="false">IF(J310*O310&gt;0,N310/(O310*J310),0)</f>
        <v>0.744826881752974</v>
      </c>
      <c r="R310" s="15" t="n">
        <f aca="false">IF(N310&gt;0,L310/N310,0)</f>
        <v>0.953381423882535</v>
      </c>
      <c r="S310" s="15" t="n">
        <f aca="false">P310*Q310*R310</f>
        <v>0.675900959294789</v>
      </c>
      <c r="T310" s="15" t="n">
        <f aca="false">IF(K310&gt;0,L310/K310,0)</f>
        <v>0.816818149773754</v>
      </c>
      <c r="U310" s="10" t="n">
        <v>2375.7</v>
      </c>
      <c r="V310" s="5" t="n">
        <v>16</v>
      </c>
      <c r="W310" s="10" t="n">
        <v>324.5</v>
      </c>
      <c r="X310" s="15" t="n">
        <f aca="false">IF(U310&gt;0,W310/U310,0)</f>
        <v>0.136591320452919</v>
      </c>
      <c r="Y310" s="12" t="n">
        <f aca="false">IF(U310&gt;0,L310/U310,0)</f>
        <v>131.680767773709</v>
      </c>
      <c r="Z310" s="16" t="n">
        <f aca="false">L310*INDEX(Parametros!$E$2:$E$9,MATCH($E310,Parametros!$A$2:$A$9,0))</f>
        <v>350374.08</v>
      </c>
      <c r="AA310" s="16" t="n">
        <f aca="false">Z310*INDEX(Parametros!$F$2:$F$9,MATCH($E310,Parametros!$A$2:$A$9,0))</f>
        <v>12263.0928</v>
      </c>
      <c r="AB310" s="17" t="n">
        <f aca="false">Z310+AA310</f>
        <v>362637.1728</v>
      </c>
      <c r="AC310" s="18" t="n">
        <v>360209.83</v>
      </c>
      <c r="AD310" s="17" t="n">
        <f aca="false">AC310-AB310</f>
        <v>-2427.34279999998</v>
      </c>
      <c r="AE310" s="17" t="n">
        <f aca="false">AA310+AD310</f>
        <v>9835.75000000002</v>
      </c>
      <c r="AF310" s="19" t="n">
        <f aca="false">IF(Z310&gt;0,AE310/Z310,0)</f>
        <v>0.0280721393546007</v>
      </c>
      <c r="AG310" s="16" t="n">
        <f aca="false">(U310-W310)*INDEX(Parametros!$H$2:$H$9,MATCH($E310,Parametros!$A$2:$A$9,0))+W310*INDEX(Parametros!$H$2:$H$9,MATCH($E310,Parametros!$A$2:$A$9,0))*Parametros!$N$3</f>
        <v>83752.35</v>
      </c>
      <c r="AH310" s="13" t="n">
        <v>17160</v>
      </c>
      <c r="AI310" s="16" t="n">
        <f aca="false">AH310*Parametros!$N$2</f>
        <v>1578.72</v>
      </c>
      <c r="AJ310" s="18" t="n">
        <v>21352</v>
      </c>
      <c r="AK310" s="18" t="n">
        <v>6832</v>
      </c>
      <c r="AL310" s="17" t="n">
        <f aca="false">AG310+AI310+AJ310+AK310</f>
        <v>113515.07</v>
      </c>
      <c r="AM310" s="20" t="n">
        <f aca="false">IF(L310&gt;0,AL310/L310,0)</f>
        <v>0.362860398805756</v>
      </c>
      <c r="AN310" s="16" t="n">
        <f aca="false">L310*INDEX(Parametros!$G$2:$G$9,MATCH($E310,Parametros!$A$2:$A$9,0))</f>
        <v>559972.86</v>
      </c>
      <c r="AO310" s="17" t="n">
        <f aca="false">AN310-AC310-AL310</f>
        <v>86247.96</v>
      </c>
      <c r="AP310" s="15" t="n">
        <f aca="false">IF(AN310&gt;0,AO310/AN310,0)</f>
        <v>0.154021678836364</v>
      </c>
      <c r="AQ310" s="16" t="n">
        <f aca="false">INDEX(Parametros!$I$2:$I$9,MATCH($E310,Parametros!$A$2:$A$9,0))</f>
        <v>33200000</v>
      </c>
      <c r="AR310" s="19" t="n">
        <f aca="false">IF(AQ310&gt;0,AO310/AQ310,0)</f>
        <v>0.00259783012048193</v>
      </c>
    </row>
    <row r="311" customFormat="false" ht="15" hidden="false" customHeight="false" outlineLevel="0" collapsed="false">
      <c r="A311" s="5" t="s">
        <v>446</v>
      </c>
      <c r="B311" s="9" t="n">
        <v>45817</v>
      </c>
      <c r="C311" s="2" t="str">
        <f aca="false">TEXT(B311,"yyyy")</f>
        <v>2025</v>
      </c>
      <c r="D311" s="2" t="n">
        <f aca="false">WEEKNUM(B311,2)</f>
        <v>24</v>
      </c>
      <c r="E311" s="5" t="s">
        <v>140</v>
      </c>
      <c r="F311" s="6" t="str">
        <f aca="false">INDEX(Parametros!$B$2:$B$9,MATCH($E311,Parametros!$A$2:$A$9,0))</f>
        <v>Crema de cacahuate</v>
      </c>
      <c r="G311" s="10" t="n">
        <v>114.6</v>
      </c>
      <c r="H311" s="10" t="n">
        <v>6.2</v>
      </c>
      <c r="I311" s="11" t="n">
        <f aca="false">SUMIFS(Eventos_Paro!$J$2:$J$2186,Eventos_Paro!$D$2:$D$2186,$E311,Eventos_Paro!$B$2:$B$2186,$B311)</f>
        <v>4.55</v>
      </c>
      <c r="J311" s="12" t="n">
        <f aca="false">G311-H311-I311</f>
        <v>103.85</v>
      </c>
      <c r="K311" s="13" t="n">
        <v>376735</v>
      </c>
      <c r="L311" s="13" t="n">
        <v>367302</v>
      </c>
      <c r="M311" s="13" t="n">
        <v>6879</v>
      </c>
      <c r="N311" s="14" t="n">
        <f aca="false">L311+M311</f>
        <v>374181</v>
      </c>
      <c r="O311" s="11" t="n">
        <f aca="false">INDEX(Parametros!$D$2:$D$9,MATCH($E311,Parametros!$A$2:$A$9,0))</f>
        <v>4200</v>
      </c>
      <c r="P311" s="15" t="n">
        <f aca="false">IF((G311-H311)&gt;0,J311/(G311-H311),0)</f>
        <v>0.958025830258303</v>
      </c>
      <c r="Q311" s="15" t="n">
        <f aca="false">IF(J311*O311&gt;0,N311/(O311*J311),0)</f>
        <v>0.85787880872137</v>
      </c>
      <c r="R311" s="15" t="n">
        <f aca="false">IF(N311&gt;0,L311/N311,0)</f>
        <v>0.981615849014247</v>
      </c>
      <c r="S311" s="15" t="n">
        <f aca="false">P311*Q311*R311</f>
        <v>0.806760674749605</v>
      </c>
      <c r="T311" s="15" t="n">
        <f aca="false">IF(K311&gt;0,L311/K311,0)</f>
        <v>0.974961179609009</v>
      </c>
      <c r="U311" s="10" t="n">
        <v>1640.6</v>
      </c>
      <c r="V311" s="5" t="n">
        <v>13</v>
      </c>
      <c r="W311" s="10" t="n">
        <v>150.8</v>
      </c>
      <c r="X311" s="15" t="n">
        <f aca="false">IF(U311&gt;0,W311/U311,0)</f>
        <v>0.0919175911251981</v>
      </c>
      <c r="Y311" s="12" t="n">
        <f aca="false">IF(U311&gt;0,L311/U311,0)</f>
        <v>223.882725832013</v>
      </c>
      <c r="Z311" s="16" t="n">
        <f aca="false">L311*INDEX(Parametros!$E$2:$E$9,MATCH($E311,Parametros!$A$2:$A$9,0))</f>
        <v>356282.94</v>
      </c>
      <c r="AA311" s="16" t="n">
        <f aca="false">Z311*INDEX(Parametros!$F$2:$F$9,MATCH($E311,Parametros!$A$2:$A$9,0))</f>
        <v>7838.22468</v>
      </c>
      <c r="AB311" s="17" t="n">
        <f aca="false">Z311+AA311</f>
        <v>364121.16468</v>
      </c>
      <c r="AC311" s="18" t="n">
        <v>358777.76</v>
      </c>
      <c r="AD311" s="17" t="n">
        <f aca="false">AC311-AB311</f>
        <v>-5343.40467999998</v>
      </c>
      <c r="AE311" s="17" t="n">
        <f aca="false">AA311+AD311</f>
        <v>2494.82000000002</v>
      </c>
      <c r="AF311" s="19" t="n">
        <f aca="false">IF(Z311&gt;0,AE311/Z311,0)</f>
        <v>0.00700235604881901</v>
      </c>
      <c r="AG311" s="16" t="n">
        <f aca="false">(U311-W311)*INDEX(Parametros!$H$2:$H$9,MATCH($E311,Parametros!$A$2:$A$9,0))+W311*INDEX(Parametros!$H$2:$H$9,MATCH($E311,Parametros!$A$2:$A$9,0))*Parametros!$N$3</f>
        <v>54054</v>
      </c>
      <c r="AH311" s="13" t="n">
        <v>19363</v>
      </c>
      <c r="AI311" s="16" t="n">
        <f aca="false">AH311*Parametros!$N$2</f>
        <v>1781.396</v>
      </c>
      <c r="AJ311" s="18" t="n">
        <v>11761</v>
      </c>
      <c r="AK311" s="18" t="n">
        <v>2911</v>
      </c>
      <c r="AL311" s="17" t="n">
        <f aca="false">AG311+AI311+AJ311+AK311</f>
        <v>70507.396</v>
      </c>
      <c r="AM311" s="20" t="n">
        <f aca="false">IF(L311&gt;0,AL311/L311,0)</f>
        <v>0.191960283363554</v>
      </c>
      <c r="AN311" s="16" t="n">
        <f aca="false">L311*INDEX(Parametros!$G$2:$G$9,MATCH($E311,Parametros!$A$2:$A$9,0))</f>
        <v>595029.24</v>
      </c>
      <c r="AO311" s="17" t="n">
        <f aca="false">AN311-AC311-AL311</f>
        <v>165744.084</v>
      </c>
      <c r="AP311" s="15" t="n">
        <f aca="false">IF(AN311&gt;0,AO311/AN311,0)</f>
        <v>0.278547797079686</v>
      </c>
      <c r="AQ311" s="16" t="n">
        <f aca="false">INDEX(Parametros!$I$2:$I$9,MATCH($E311,Parametros!$A$2:$A$9,0))</f>
        <v>28000000</v>
      </c>
      <c r="AR311" s="19" t="n">
        <f aca="false">IF(AQ311&gt;0,AO311/AQ311,0)</f>
        <v>0.00591943157142857</v>
      </c>
    </row>
    <row r="312" customFormat="false" ht="15" hidden="false" customHeight="false" outlineLevel="0" collapsed="false">
      <c r="A312" s="5" t="s">
        <v>447</v>
      </c>
      <c r="B312" s="9" t="n">
        <v>45817</v>
      </c>
      <c r="C312" s="2" t="str">
        <f aca="false">TEXT(B312,"yyyy")</f>
        <v>2025</v>
      </c>
      <c r="D312" s="2" t="n">
        <f aca="false">WEEKNUM(B312,2)</f>
        <v>24</v>
      </c>
      <c r="E312" s="5" t="s">
        <v>142</v>
      </c>
      <c r="F312" s="6" t="str">
        <f aca="false">INDEX(Parametros!$B$2:$B$9,MATCH($E312,Parametros!$A$2:$A$9,0))</f>
        <v>Porciones single serve</v>
      </c>
      <c r="G312" s="10" t="n">
        <v>122.3</v>
      </c>
      <c r="H312" s="10" t="n">
        <v>6.3</v>
      </c>
      <c r="I312" s="11" t="n">
        <f aca="false">SUMIFS(Eventos_Paro!$J$2:$J$2186,Eventos_Paro!$D$2:$D$2186,$E312,Eventos_Paro!$B$2:$B$2186,$B312)</f>
        <v>4.2</v>
      </c>
      <c r="J312" s="12" t="n">
        <f aca="false">G312-H312-I312</f>
        <v>111.8</v>
      </c>
      <c r="K312" s="13" t="n">
        <v>249568</v>
      </c>
      <c r="L312" s="13" t="n">
        <v>205806</v>
      </c>
      <c r="M312" s="13" t="n">
        <v>11712</v>
      </c>
      <c r="N312" s="14" t="n">
        <f aca="false">L312+M312</f>
        <v>217518</v>
      </c>
      <c r="O312" s="11" t="n">
        <f aca="false">INDEX(Parametros!$D$2:$D$9,MATCH($E312,Parametros!$A$2:$A$9,0))</f>
        <v>2600</v>
      </c>
      <c r="P312" s="15" t="n">
        <f aca="false">IF((G312-H312)&gt;0,J312/(G312-H312),0)</f>
        <v>0.963793103448276</v>
      </c>
      <c r="Q312" s="15" t="n">
        <f aca="false">IF(J312*O312&gt;0,N312/(O312*J312),0)</f>
        <v>0.748307417090959</v>
      </c>
      <c r="R312" s="15" t="n">
        <f aca="false">IF(N312&gt;0,L312/N312,0)</f>
        <v>0.946156180178192</v>
      </c>
      <c r="S312" s="15" t="n">
        <f aca="false">P312*Q312*R312</f>
        <v>0.682380636604775</v>
      </c>
      <c r="T312" s="15" t="n">
        <f aca="false">IF(K312&gt;0,L312/K312,0)</f>
        <v>0.8246489934607</v>
      </c>
      <c r="U312" s="10" t="n">
        <v>2073.6</v>
      </c>
      <c r="V312" s="5" t="n">
        <v>16</v>
      </c>
      <c r="W312" s="10" t="n">
        <v>116.8</v>
      </c>
      <c r="X312" s="15" t="n">
        <f aca="false">IF(U312&gt;0,W312/U312,0)</f>
        <v>0.0563271604938272</v>
      </c>
      <c r="Y312" s="12" t="n">
        <f aca="false">IF(U312&gt;0,L312/U312,0)</f>
        <v>99.2505787037037</v>
      </c>
      <c r="Z312" s="16" t="n">
        <f aca="false">L312*INDEX(Parametros!$E$2:$E$9,MATCH($E312,Parametros!$A$2:$A$9,0))</f>
        <v>152296.44</v>
      </c>
      <c r="AA312" s="16" t="n">
        <f aca="false">Z312*INDEX(Parametros!$F$2:$F$9,MATCH($E312,Parametros!$A$2:$A$9,0))</f>
        <v>6853.3398</v>
      </c>
      <c r="AB312" s="17" t="n">
        <f aca="false">Z312+AA312</f>
        <v>159149.7798</v>
      </c>
      <c r="AC312" s="18" t="n">
        <v>156345.58</v>
      </c>
      <c r="AD312" s="17" t="n">
        <f aca="false">AC312-AB312</f>
        <v>-2804.1998</v>
      </c>
      <c r="AE312" s="17" t="n">
        <f aca="false">AA312+AD312</f>
        <v>4049.14</v>
      </c>
      <c r="AF312" s="19" t="n">
        <f aca="false">IF(Z312&gt;0,AE312/Z312,0)</f>
        <v>0.026587226858356</v>
      </c>
      <c r="AG312" s="16" t="n">
        <f aca="false">(U312-W312)*INDEX(Parametros!$H$2:$H$9,MATCH($E312,Parametros!$A$2:$A$9,0))+W312*INDEX(Parametros!$H$2:$H$9,MATCH($E312,Parametros!$A$2:$A$9,0))*Parametros!$N$3</f>
        <v>63960</v>
      </c>
      <c r="AH312" s="13" t="n">
        <v>11710</v>
      </c>
      <c r="AI312" s="16" t="n">
        <f aca="false">AH312*Parametros!$N$2</f>
        <v>1077.32</v>
      </c>
      <c r="AJ312" s="18" t="n">
        <v>11373</v>
      </c>
      <c r="AK312" s="18" t="n">
        <v>3313</v>
      </c>
      <c r="AL312" s="17" t="n">
        <f aca="false">AG312+AI312+AJ312+AK312</f>
        <v>79723.32</v>
      </c>
      <c r="AM312" s="20" t="n">
        <f aca="false">IF(L312&gt;0,AL312/L312,0)</f>
        <v>0.38737121366724</v>
      </c>
      <c r="AN312" s="16" t="n">
        <f aca="false">L312*INDEX(Parametros!$G$2:$G$9,MATCH($E312,Parametros!$A$2:$A$9,0))</f>
        <v>353986.32</v>
      </c>
      <c r="AO312" s="17" t="n">
        <f aca="false">AN312-AC312-AL312</f>
        <v>117917.42</v>
      </c>
      <c r="AP312" s="15" t="n">
        <f aca="false">IF(AN312&gt;0,AO312/AN312,0)</f>
        <v>0.3331129293358</v>
      </c>
      <c r="AQ312" s="16" t="n">
        <f aca="false">INDEX(Parametros!$I$2:$I$9,MATCH($E312,Parametros!$A$2:$A$9,0))</f>
        <v>15900000</v>
      </c>
      <c r="AR312" s="19" t="n">
        <f aca="false">IF(AQ312&gt;0,AO312/AQ312,0)</f>
        <v>0.00741618993710692</v>
      </c>
    </row>
    <row r="313" customFormat="false" ht="15" hidden="false" customHeight="false" outlineLevel="0" collapsed="false">
      <c r="A313" s="5" t="s">
        <v>448</v>
      </c>
      <c r="B313" s="9" t="n">
        <v>45817</v>
      </c>
      <c r="C313" s="2" t="str">
        <f aca="false">TEXT(B313,"yyyy")</f>
        <v>2025</v>
      </c>
      <c r="D313" s="2" t="n">
        <f aca="false">WEEKNUM(B313,2)</f>
        <v>24</v>
      </c>
      <c r="E313" s="5" t="s">
        <v>144</v>
      </c>
      <c r="F313" s="6" t="str">
        <f aca="false">INDEX(Parametros!$B$2:$B$9,MATCH($E313,Parametros!$A$2:$A$9,0))</f>
        <v>Salsas picantes</v>
      </c>
      <c r="G313" s="10" t="n">
        <v>67.2</v>
      </c>
      <c r="H313" s="10" t="n">
        <v>6</v>
      </c>
      <c r="I313" s="11" t="n">
        <f aca="false">SUMIFS(Eventos_Paro!$J$2:$J$2186,Eventos_Paro!$D$2:$D$2186,$E313,Eventos_Paro!$B$2:$B$2186,$B313)</f>
        <v>1.11666666666667</v>
      </c>
      <c r="J313" s="12" t="n">
        <f aca="false">G313-H313-I313</f>
        <v>60.0833333333333</v>
      </c>
      <c r="K313" s="13" t="n">
        <v>143762</v>
      </c>
      <c r="L313" s="13" t="n">
        <v>148787</v>
      </c>
      <c r="M313" s="13" t="n">
        <v>3510</v>
      </c>
      <c r="N313" s="14" t="n">
        <f aca="false">L313+M313</f>
        <v>152297</v>
      </c>
      <c r="O313" s="11" t="n">
        <f aca="false">INDEX(Parametros!$D$2:$D$9,MATCH($E313,Parametros!$A$2:$A$9,0))</f>
        <v>3100</v>
      </c>
      <c r="P313" s="15" t="n">
        <f aca="false">IF((G313-H313)&gt;0,J313/(G313-H313),0)</f>
        <v>0.981753812636166</v>
      </c>
      <c r="Q313" s="15" t="n">
        <f aca="false">IF(J313*O313&gt;0,N313/(O313*J313),0)</f>
        <v>0.817665428839873</v>
      </c>
      <c r="R313" s="15" t="n">
        <f aca="false">IF(N313&gt;0,L313/N313,0)</f>
        <v>0.976952927503497</v>
      </c>
      <c r="S313" s="15" t="n">
        <f aca="false">P313*Q313*R313</f>
        <v>0.784245203457727</v>
      </c>
      <c r="T313" s="15" t="n">
        <f aca="false">IF(K313&gt;0,L313/K313,0)</f>
        <v>1.03495360387307</v>
      </c>
      <c r="U313" s="10" t="n">
        <v>762.6</v>
      </c>
      <c r="V313" s="5" t="n">
        <v>10</v>
      </c>
      <c r="W313" s="10" t="n">
        <v>90.6</v>
      </c>
      <c r="X313" s="15" t="n">
        <f aca="false">IF(U313&gt;0,W313/U313,0)</f>
        <v>0.118804091266719</v>
      </c>
      <c r="Y313" s="12" t="n">
        <f aca="false">IF(U313&gt;0,L313/U313,0)</f>
        <v>195.104904274849</v>
      </c>
      <c r="Z313" s="16" t="n">
        <f aca="false">L313*INDEX(Parametros!$E$2:$E$9,MATCH($E313,Parametros!$A$2:$A$9,0))</f>
        <v>98199.42</v>
      </c>
      <c r="AA313" s="16" t="n">
        <f aca="false">Z313*INDEX(Parametros!$F$2:$F$9,MATCH($E313,Parametros!$A$2:$A$9,0))</f>
        <v>2553.18492</v>
      </c>
      <c r="AB313" s="17" t="n">
        <f aca="false">Z313+AA313</f>
        <v>100752.60492</v>
      </c>
      <c r="AC313" s="18" t="n">
        <v>103029.89</v>
      </c>
      <c r="AD313" s="17" t="n">
        <f aca="false">AC313-AB313</f>
        <v>2277.28508</v>
      </c>
      <c r="AE313" s="17" t="n">
        <f aca="false">AA313+AD313</f>
        <v>4830.47</v>
      </c>
      <c r="AF313" s="19" t="n">
        <f aca="false">IF(Z313&gt;0,AE313/Z313,0)</f>
        <v>0.0491904127335986</v>
      </c>
      <c r="AG313" s="16" t="n">
        <f aca="false">(U313-W313)*INDEX(Parametros!$H$2:$H$9,MATCH($E313,Parametros!$A$2:$A$9,0))+W313*INDEX(Parametros!$H$2:$H$9,MATCH($E313,Parametros!$A$2:$A$9,0))*Parametros!$N$3</f>
        <v>25448.85</v>
      </c>
      <c r="AH313" s="13" t="n">
        <v>7728</v>
      </c>
      <c r="AI313" s="16" t="n">
        <f aca="false">AH313*Parametros!$N$2</f>
        <v>710.976</v>
      </c>
      <c r="AJ313" s="18" t="n">
        <v>7539</v>
      </c>
      <c r="AK313" s="18" t="n">
        <v>1237</v>
      </c>
      <c r="AL313" s="17" t="n">
        <f aca="false">AG313+AI313+AJ313+AK313</f>
        <v>34935.826</v>
      </c>
      <c r="AM313" s="20" t="n">
        <f aca="false">IF(L313&gt;0,AL313/L313,0)</f>
        <v>0.23480429069744</v>
      </c>
      <c r="AN313" s="16" t="n">
        <f aca="false">L313*INDEX(Parametros!$G$2:$G$9,MATCH($E313,Parametros!$A$2:$A$9,0))</f>
        <v>185983.75</v>
      </c>
      <c r="AO313" s="17" t="n">
        <f aca="false">AN313-AC313-AL313</f>
        <v>48018.034</v>
      </c>
      <c r="AP313" s="15" t="n">
        <f aca="false">IF(AN313&gt;0,AO313/AN313,0)</f>
        <v>0.258184029518708</v>
      </c>
      <c r="AQ313" s="16" t="n">
        <f aca="false">INDEX(Parametros!$I$2:$I$9,MATCH($E313,Parametros!$A$2:$A$9,0))</f>
        <v>13300000</v>
      </c>
      <c r="AR313" s="19" t="n">
        <f aca="false">IF(AQ313&gt;0,AO313/AQ313,0)</f>
        <v>0.0036103784962406</v>
      </c>
    </row>
    <row r="314" customFormat="false" ht="15" hidden="false" customHeight="false" outlineLevel="0" collapsed="false">
      <c r="A314" s="5" t="s">
        <v>449</v>
      </c>
      <c r="B314" s="9" t="n">
        <v>45824</v>
      </c>
      <c r="C314" s="2" t="str">
        <f aca="false">TEXT(B314,"yyyy")</f>
        <v>2025</v>
      </c>
      <c r="D314" s="2" t="n">
        <f aca="false">WEEKNUM(B314,2)</f>
        <v>25</v>
      </c>
      <c r="E314" s="5" t="s">
        <v>130</v>
      </c>
      <c r="F314" s="6" t="str">
        <f aca="false">INDEX(Parametros!$B$2:$B$9,MATCH($E314,Parametros!$A$2:$A$9,0))</f>
        <v>Ketchup botella</v>
      </c>
      <c r="G314" s="10" t="n">
        <v>129.9</v>
      </c>
      <c r="H314" s="10" t="n">
        <v>9.7</v>
      </c>
      <c r="I314" s="11" t="n">
        <f aca="false">SUMIFS(Eventos_Paro!$J$2:$J$2186,Eventos_Paro!$D$2:$D$2186,$E314,Eventos_Paro!$B$2:$B$2186,$B314)</f>
        <v>2.66666666666667</v>
      </c>
      <c r="J314" s="12" t="n">
        <f aca="false">G314-H314-I314</f>
        <v>117.533333333333</v>
      </c>
      <c r="K314" s="13" t="n">
        <v>897085</v>
      </c>
      <c r="L314" s="13" t="n">
        <v>891303</v>
      </c>
      <c r="M314" s="13" t="n">
        <v>22899</v>
      </c>
      <c r="N314" s="14" t="n">
        <f aca="false">L314+M314</f>
        <v>914202</v>
      </c>
      <c r="O314" s="11" t="n">
        <f aca="false">INDEX(Parametros!$D$2:$D$9,MATCH($E314,Parametros!$A$2:$A$9,0))</f>
        <v>9000</v>
      </c>
      <c r="P314" s="15" t="n">
        <f aca="false">IF((G314-H314)&gt;0,J314/(G314-H314),0)</f>
        <v>0.977814753189129</v>
      </c>
      <c r="Q314" s="15" t="n">
        <f aca="false">IF(J314*O314&gt;0,N314/(O314*J314),0)</f>
        <v>0.86424844015882</v>
      </c>
      <c r="R314" s="15" t="n">
        <f aca="false">IF(N314&gt;0,L314/N314,0)</f>
        <v>0.974951925285659</v>
      </c>
      <c r="S314" s="15" t="n">
        <f aca="false">P314*Q314*R314</f>
        <v>0.823907376594565</v>
      </c>
      <c r="T314" s="15" t="n">
        <f aca="false">IF(K314&gt;0,L314/K314,0)</f>
        <v>0.993554679879833</v>
      </c>
      <c r="U314" s="10" t="n">
        <v>1865.6</v>
      </c>
      <c r="V314" s="5" t="n">
        <v>13</v>
      </c>
      <c r="W314" s="10" t="n">
        <v>176.9</v>
      </c>
      <c r="X314" s="15" t="n">
        <f aca="false">IF(U314&gt;0,W314/U314,0)</f>
        <v>0.0948220411663808</v>
      </c>
      <c r="Y314" s="12" t="n">
        <f aca="false">IF(U314&gt;0,L314/U314,0)</f>
        <v>477.756753859348</v>
      </c>
      <c r="Z314" s="16" t="n">
        <f aca="false">L314*INDEX(Parametros!$E$2:$E$9,MATCH($E314,Parametros!$A$2:$A$9,0))</f>
        <v>374347.26</v>
      </c>
      <c r="AA314" s="16" t="n">
        <f aca="false">Z314*INDEX(Parametros!$F$2:$F$9,MATCH($E314,Parametros!$A$2:$A$9,0))</f>
        <v>7486.9452</v>
      </c>
      <c r="AB314" s="17" t="n">
        <f aca="false">Z314+AA314</f>
        <v>381834.2052</v>
      </c>
      <c r="AC314" s="18" t="n">
        <v>386670.47</v>
      </c>
      <c r="AD314" s="17" t="n">
        <f aca="false">AC314-AB314</f>
        <v>4836.26479999995</v>
      </c>
      <c r="AE314" s="17" t="n">
        <f aca="false">AA314+AD314</f>
        <v>12323.2099999999</v>
      </c>
      <c r="AF314" s="19" t="n">
        <f aca="false">IF(Z314&gt;0,AE314/Z314,0)</f>
        <v>0.0329191937988272</v>
      </c>
      <c r="AG314" s="16" t="n">
        <f aca="false">(U314-W314)*INDEX(Parametros!$H$2:$H$9,MATCH($E314,Parametros!$A$2:$A$9,0))+W314*INDEX(Parametros!$H$2:$H$9,MATCH($E314,Parametros!$A$2:$A$9,0))*Parametros!$N$3</f>
        <v>61552.575</v>
      </c>
      <c r="AH314" s="13" t="n">
        <v>46256</v>
      </c>
      <c r="AI314" s="16" t="n">
        <f aca="false">AH314*Parametros!$N$2</f>
        <v>4255.552</v>
      </c>
      <c r="AJ314" s="18" t="n">
        <v>13949</v>
      </c>
      <c r="AK314" s="18" t="n">
        <v>2105</v>
      </c>
      <c r="AL314" s="17" t="n">
        <f aca="false">AG314+AI314+AJ314+AK314</f>
        <v>81862.127</v>
      </c>
      <c r="AM314" s="20" t="n">
        <f aca="false">IF(L314&gt;0,AL314/L314,0)</f>
        <v>0.0918454521077568</v>
      </c>
      <c r="AN314" s="16" t="n">
        <f aca="false">L314*INDEX(Parametros!$G$2:$G$9,MATCH($E314,Parametros!$A$2:$A$9,0))</f>
        <v>632825.13</v>
      </c>
      <c r="AO314" s="17" t="n">
        <f aca="false">AN314-AC314-AL314</f>
        <v>164292.533</v>
      </c>
      <c r="AP314" s="15" t="n">
        <f aca="false">IF(AN314&gt;0,AO314/AN314,0)</f>
        <v>0.259617586615121</v>
      </c>
      <c r="AQ314" s="16" t="n">
        <f aca="false">INDEX(Parametros!$I$2:$I$9,MATCH($E314,Parametros!$A$2:$A$9,0))</f>
        <v>29300000</v>
      </c>
      <c r="AR314" s="19" t="n">
        <f aca="false">IF(AQ314&gt;0,AO314/AQ314,0)</f>
        <v>0.00560725368600683</v>
      </c>
    </row>
    <row r="315" customFormat="false" ht="15" hidden="false" customHeight="false" outlineLevel="0" collapsed="false">
      <c r="A315" s="5" t="s">
        <v>450</v>
      </c>
      <c r="B315" s="9" t="n">
        <v>45824</v>
      </c>
      <c r="C315" s="2" t="str">
        <f aca="false">TEXT(B315,"yyyy")</f>
        <v>2025</v>
      </c>
      <c r="D315" s="2" t="n">
        <f aca="false">WEEKNUM(B315,2)</f>
        <v>25</v>
      </c>
      <c r="E315" s="5" t="s">
        <v>132</v>
      </c>
      <c r="F315" s="6" t="str">
        <f aca="false">INDEX(Parametros!$B$2:$B$9,MATCH($E315,Parametros!$A$2:$A$9,0))</f>
        <v>Mayonesa frasco</v>
      </c>
      <c r="G315" s="10" t="n">
        <v>125.6</v>
      </c>
      <c r="H315" s="10" t="n">
        <v>10.4</v>
      </c>
      <c r="I315" s="11" t="n">
        <f aca="false">SUMIFS(Eventos_Paro!$J$2:$J$2186,Eventos_Paro!$D$2:$D$2186,$E315,Eventos_Paro!$B$2:$B$2186,$B315)</f>
        <v>1.86666666666667</v>
      </c>
      <c r="J315" s="12" t="n">
        <f aca="false">G315-H315-I315</f>
        <v>113.333333333333</v>
      </c>
      <c r="K315" s="13" t="n">
        <v>620944</v>
      </c>
      <c r="L315" s="13" t="n">
        <v>590737</v>
      </c>
      <c r="M315" s="13" t="n">
        <v>16685</v>
      </c>
      <c r="N315" s="14" t="n">
        <f aca="false">L315+M315</f>
        <v>607422</v>
      </c>
      <c r="O315" s="11" t="n">
        <f aca="false">INDEX(Parametros!$D$2:$D$9,MATCH($E315,Parametros!$A$2:$A$9,0))</f>
        <v>6500</v>
      </c>
      <c r="P315" s="15" t="n">
        <f aca="false">IF((G315-H315)&gt;0,J315/(G315-H315),0)</f>
        <v>0.983796296296296</v>
      </c>
      <c r="Q315" s="15" t="n">
        <f aca="false">IF(J315*O315&gt;0,N315/(O315*J315),0)</f>
        <v>0.824554751131222</v>
      </c>
      <c r="R315" s="15" t="n">
        <f aca="false">IF(N315&gt;0,L315/N315,0)</f>
        <v>0.972531452598029</v>
      </c>
      <c r="S315" s="15" t="n">
        <f aca="false">P315*Q315*R315</f>
        <v>0.788911591880342</v>
      </c>
      <c r="T315" s="15" t="n">
        <f aca="false">IF(K315&gt;0,L315/K315,0)</f>
        <v>0.9513531010848</v>
      </c>
      <c r="U315" s="10" t="n">
        <v>1795.5</v>
      </c>
      <c r="V315" s="5" t="n">
        <v>13</v>
      </c>
      <c r="W315" s="10" t="n">
        <v>162.7</v>
      </c>
      <c r="X315" s="15" t="n">
        <f aca="false">IF(U315&gt;0,W315/U315,0)</f>
        <v>0.0906154274575327</v>
      </c>
      <c r="Y315" s="12" t="n">
        <f aca="false">IF(U315&gt;0,L315/U315,0)</f>
        <v>329.009746588694</v>
      </c>
      <c r="Z315" s="16" t="n">
        <f aca="false">L315*INDEX(Parametros!$E$2:$E$9,MATCH($E315,Parametros!$A$2:$A$9,0))</f>
        <v>360349.57</v>
      </c>
      <c r="AA315" s="16" t="n">
        <f aca="false">Z315*INDEX(Parametros!$F$2:$F$9,MATCH($E315,Parametros!$A$2:$A$9,0))</f>
        <v>9008.73925</v>
      </c>
      <c r="AB315" s="17" t="n">
        <f aca="false">Z315+AA315</f>
        <v>369358.30925</v>
      </c>
      <c r="AC315" s="18" t="n">
        <v>369943.93</v>
      </c>
      <c r="AD315" s="17" t="n">
        <f aca="false">AC315-AB315</f>
        <v>585.620750000002</v>
      </c>
      <c r="AE315" s="17" t="n">
        <f aca="false">AA315+AD315</f>
        <v>9594.36</v>
      </c>
      <c r="AF315" s="19" t="n">
        <f aca="false">IF(Z315&gt;0,AE315/Z315,0)</f>
        <v>0.0266251462434103</v>
      </c>
      <c r="AG315" s="16" t="n">
        <f aca="false">(U315-W315)*INDEX(Parametros!$H$2:$H$9,MATCH($E315,Parametros!$A$2:$A$9,0))+W315*INDEX(Parametros!$H$2:$H$9,MATCH($E315,Parametros!$A$2:$A$9,0))*Parametros!$N$3</f>
        <v>59120.775</v>
      </c>
      <c r="AH315" s="13" t="n">
        <v>32244</v>
      </c>
      <c r="AI315" s="16" t="n">
        <f aca="false">AH315*Parametros!$N$2</f>
        <v>2966.448</v>
      </c>
      <c r="AJ315" s="18" t="n">
        <v>14868</v>
      </c>
      <c r="AK315" s="18" t="n">
        <v>1743</v>
      </c>
      <c r="AL315" s="17" t="n">
        <f aca="false">AG315+AI315+AJ315+AK315</f>
        <v>78698.223</v>
      </c>
      <c r="AM315" s="20" t="n">
        <f aca="false">IF(L315&gt;0,AL315/L315,0)</f>
        <v>0.133220406035173</v>
      </c>
      <c r="AN315" s="16" t="n">
        <f aca="false">L315*INDEX(Parametros!$G$2:$G$9,MATCH($E315,Parametros!$A$2:$A$9,0))</f>
        <v>567107.52</v>
      </c>
      <c r="AO315" s="17" t="n">
        <f aca="false">AN315-AC315-AL315</f>
        <v>118465.367</v>
      </c>
      <c r="AP315" s="15" t="n">
        <f aca="false">IF(AN315&gt;0,AO315/AN315,0)</f>
        <v>0.208894015371195</v>
      </c>
      <c r="AQ315" s="16" t="n">
        <f aca="false">INDEX(Parametros!$I$2:$I$9,MATCH($E315,Parametros!$A$2:$A$9,0))</f>
        <v>29700000</v>
      </c>
      <c r="AR315" s="19" t="n">
        <f aca="false">IF(AQ315&gt;0,AO315/AQ315,0)</f>
        <v>0.0039887328956229</v>
      </c>
    </row>
    <row r="316" customFormat="false" ht="15" hidden="false" customHeight="false" outlineLevel="0" collapsed="false">
      <c r="A316" s="5" t="s">
        <v>451</v>
      </c>
      <c r="B316" s="9" t="n">
        <v>45824</v>
      </c>
      <c r="C316" s="2" t="str">
        <f aca="false">TEXT(B316,"yyyy")</f>
        <v>2025</v>
      </c>
      <c r="D316" s="2" t="n">
        <f aca="false">WEEKNUM(B316,2)</f>
        <v>25</v>
      </c>
      <c r="E316" s="5" t="s">
        <v>134</v>
      </c>
      <c r="F316" s="6" t="str">
        <f aca="false">INDEX(Parametros!$B$2:$B$9,MATCH($E316,Parametros!$A$2:$A$9,0))</f>
        <v>Aderezos vertibles</v>
      </c>
      <c r="G316" s="10" t="n">
        <v>118.1</v>
      </c>
      <c r="H316" s="10" t="n">
        <v>11.2</v>
      </c>
      <c r="I316" s="11" t="n">
        <f aca="false">SUMIFS(Eventos_Paro!$J$2:$J$2186,Eventos_Paro!$D$2:$D$2186,$E316,Eventos_Paro!$B$2:$B$2186,$B316)</f>
        <v>1.95</v>
      </c>
      <c r="J316" s="12" t="n">
        <f aca="false">G316-H316-I316</f>
        <v>104.95</v>
      </c>
      <c r="K316" s="13" t="n">
        <v>460965</v>
      </c>
      <c r="L316" s="13" t="n">
        <v>424323</v>
      </c>
      <c r="M316" s="13" t="n">
        <v>14132</v>
      </c>
      <c r="N316" s="14" t="n">
        <f aca="false">L316+M316</f>
        <v>438455</v>
      </c>
      <c r="O316" s="11" t="n">
        <f aca="false">INDEX(Parametros!$D$2:$D$9,MATCH($E316,Parametros!$A$2:$A$9,0))</f>
        <v>5200</v>
      </c>
      <c r="P316" s="15" t="n">
        <f aca="false">IF((G316-H316)&gt;0,J316/(G316-H316),0)</f>
        <v>0.981758652946679</v>
      </c>
      <c r="Q316" s="15" t="n">
        <f aca="false">IF(J316*O316&gt;0,N316/(O316*J316),0)</f>
        <v>0.80341371348994</v>
      </c>
      <c r="R316" s="15" t="n">
        <f aca="false">IF(N316&gt;0,L316/N316,0)</f>
        <v>0.967768642163962</v>
      </c>
      <c r="S316" s="15" t="n">
        <f aca="false">P316*Q316*R316</f>
        <v>0.763335612002591</v>
      </c>
      <c r="T316" s="15" t="n">
        <f aca="false">IF(K316&gt;0,L316/K316,0)</f>
        <v>0.920510233965702</v>
      </c>
      <c r="U316" s="10" t="n">
        <v>1732.1</v>
      </c>
      <c r="V316" s="5" t="n">
        <v>13</v>
      </c>
      <c r="W316" s="10" t="n">
        <v>196.8</v>
      </c>
      <c r="X316" s="15" t="n">
        <f aca="false">IF(U316&gt;0,W316/U316,0)</f>
        <v>0.113619306044686</v>
      </c>
      <c r="Y316" s="12" t="n">
        <f aca="false">IF(U316&gt;0,L316/U316,0)</f>
        <v>244.976040644305</v>
      </c>
      <c r="Z316" s="16" t="n">
        <f aca="false">L316*INDEX(Parametros!$E$2:$E$9,MATCH($E316,Parametros!$A$2:$A$9,0))</f>
        <v>233377.65</v>
      </c>
      <c r="AA316" s="16" t="n">
        <f aca="false">Z316*INDEX(Parametros!$F$2:$F$9,MATCH($E316,Parametros!$A$2:$A$9,0))</f>
        <v>7001.3295</v>
      </c>
      <c r="AB316" s="17" t="n">
        <f aca="false">Z316+AA316</f>
        <v>240378.9795</v>
      </c>
      <c r="AC316" s="18" t="n">
        <v>241992.09</v>
      </c>
      <c r="AD316" s="17" t="n">
        <f aca="false">AC316-AB316</f>
        <v>1613.11049999998</v>
      </c>
      <c r="AE316" s="17" t="n">
        <f aca="false">AA316+AD316</f>
        <v>8614.43999999998</v>
      </c>
      <c r="AF316" s="19" t="n">
        <f aca="false">IF(Z316&gt;0,AE316/Z316,0)</f>
        <v>0.0369120179245955</v>
      </c>
      <c r="AG316" s="16" t="n">
        <f aca="false">(U316-W316)*INDEX(Parametros!$H$2:$H$9,MATCH($E316,Parametros!$A$2:$A$9,0))+W316*INDEX(Parametros!$H$2:$H$9,MATCH($E316,Parametros!$A$2:$A$9,0))*Parametros!$N$3</f>
        <v>57660.75</v>
      </c>
      <c r="AH316" s="13" t="n">
        <v>22313</v>
      </c>
      <c r="AI316" s="16" t="n">
        <f aca="false">AH316*Parametros!$N$2</f>
        <v>2052.796</v>
      </c>
      <c r="AJ316" s="18" t="n">
        <v>10431</v>
      </c>
      <c r="AK316" s="18" t="n">
        <v>1507</v>
      </c>
      <c r="AL316" s="17" t="n">
        <f aca="false">AG316+AI316+AJ316+AK316</f>
        <v>71651.546</v>
      </c>
      <c r="AM316" s="20" t="n">
        <f aca="false">IF(L316&gt;0,AL316/L316,0)</f>
        <v>0.168860858355545</v>
      </c>
      <c r="AN316" s="16" t="n">
        <f aca="false">L316*INDEX(Parametros!$G$2:$G$9,MATCH($E316,Parametros!$A$2:$A$9,0))</f>
        <v>432809.46</v>
      </c>
      <c r="AO316" s="17" t="n">
        <f aca="false">AN316-AC316-AL316</f>
        <v>119165.824</v>
      </c>
      <c r="AP316" s="15" t="n">
        <f aca="false">IF(AN316&gt;0,AO316/AN316,0)</f>
        <v>0.275330913515615</v>
      </c>
      <c r="AQ316" s="16" t="n">
        <f aca="false">INDEX(Parametros!$I$2:$I$9,MATCH($E316,Parametros!$A$2:$A$9,0))</f>
        <v>19300000</v>
      </c>
      <c r="AR316" s="19" t="n">
        <f aca="false">IF(AQ316&gt;0,AO316/AQ316,0)</f>
        <v>0.00617439502590674</v>
      </c>
    </row>
    <row r="317" customFormat="false" ht="15" hidden="false" customHeight="false" outlineLevel="0" collapsed="false">
      <c r="A317" s="5" t="s">
        <v>452</v>
      </c>
      <c r="B317" s="9" t="n">
        <v>45824</v>
      </c>
      <c r="C317" s="2" t="str">
        <f aca="false">TEXT(B317,"yyyy")</f>
        <v>2025</v>
      </c>
      <c r="D317" s="2" t="n">
        <f aca="false">WEEKNUM(B317,2)</f>
        <v>25</v>
      </c>
      <c r="E317" s="5" t="s">
        <v>136</v>
      </c>
      <c r="F317" s="6" t="str">
        <f aca="false">INDEX(Parametros!$B$2:$B$9,MATCH($E317,Parametros!$A$2:$A$9,0))</f>
        <v>Salsa BBQ</v>
      </c>
      <c r="G317" s="10" t="n">
        <v>110.4</v>
      </c>
      <c r="H317" s="10" t="n">
        <v>13</v>
      </c>
      <c r="I317" s="11" t="n">
        <f aca="false">SUMIFS(Eventos_Paro!$J$2:$J$2186,Eventos_Paro!$D$2:$D$2186,$E317,Eventos_Paro!$B$2:$B$2186,$B317)</f>
        <v>2.8</v>
      </c>
      <c r="J317" s="12" t="n">
        <f aca="false">G317-H317-I317</f>
        <v>94.6</v>
      </c>
      <c r="K317" s="13" t="n">
        <v>435558</v>
      </c>
      <c r="L317" s="13" t="n">
        <v>369215</v>
      </c>
      <c r="M317" s="13" t="n">
        <v>15739</v>
      </c>
      <c r="N317" s="14" t="n">
        <f aca="false">L317+M317</f>
        <v>384954</v>
      </c>
      <c r="O317" s="11" t="n">
        <f aca="false">INDEX(Parametros!$D$2:$D$9,MATCH($E317,Parametros!$A$2:$A$9,0))</f>
        <v>4800</v>
      </c>
      <c r="P317" s="15" t="n">
        <f aca="false">IF((G317-H317)&gt;0,J317/(G317-H317),0)</f>
        <v>0.971252566735113</v>
      </c>
      <c r="Q317" s="15" t="n">
        <f aca="false">IF(J317*O317&gt;0,N317/(O317*J317),0)</f>
        <v>0.847766913319239</v>
      </c>
      <c r="R317" s="15" t="n">
        <f aca="false">IF(N317&gt;0,L317/N317,0)</f>
        <v>0.959114595510113</v>
      </c>
      <c r="S317" s="15" t="n">
        <f aca="false">P317*Q317*R317</f>
        <v>0.789730920602327</v>
      </c>
      <c r="T317" s="15" t="n">
        <f aca="false">IF(K317&gt;0,L317/K317,0)</f>
        <v>0.847682742596853</v>
      </c>
      <c r="U317" s="10" t="n">
        <v>1464.1</v>
      </c>
      <c r="V317" s="5" t="n">
        <v>12</v>
      </c>
      <c r="W317" s="10" t="n">
        <v>139.3</v>
      </c>
      <c r="X317" s="15" t="n">
        <f aca="false">IF(U317&gt;0,W317/U317,0)</f>
        <v>0.0951437743323544</v>
      </c>
      <c r="Y317" s="12" t="n">
        <f aca="false">IF(U317&gt;0,L317/U317,0)</f>
        <v>252.178812922615</v>
      </c>
      <c r="Z317" s="16" t="n">
        <f aca="false">L317*INDEX(Parametros!$E$2:$E$9,MATCH($E317,Parametros!$A$2:$A$9,0))</f>
        <v>214144.7</v>
      </c>
      <c r="AA317" s="16" t="n">
        <f aca="false">Z317*INDEX(Parametros!$F$2:$F$9,MATCH($E317,Parametros!$A$2:$A$9,0))</f>
        <v>5996.0516</v>
      </c>
      <c r="AB317" s="17" t="n">
        <f aca="false">Z317+AA317</f>
        <v>220140.7516</v>
      </c>
      <c r="AC317" s="18" t="n">
        <v>221672.97</v>
      </c>
      <c r="AD317" s="17" t="n">
        <f aca="false">AC317-AB317</f>
        <v>1532.21840000001</v>
      </c>
      <c r="AE317" s="17" t="n">
        <f aca="false">AA317+AD317</f>
        <v>7528.27000000001</v>
      </c>
      <c r="AF317" s="19" t="n">
        <f aca="false">IF(Z317&gt;0,AE317/Z317,0)</f>
        <v>0.0351550610405021</v>
      </c>
      <c r="AG317" s="16" t="n">
        <f aca="false">(U317-W317)*INDEX(Parametros!$H$2:$H$9,MATCH($E317,Parametros!$A$2:$A$9,0))+W317*INDEX(Parametros!$H$2:$H$9,MATCH($E317,Parametros!$A$2:$A$9,0))*Parametros!$N$3</f>
        <v>48313.125</v>
      </c>
      <c r="AH317" s="13" t="n">
        <v>19712</v>
      </c>
      <c r="AI317" s="16" t="n">
        <f aca="false">AH317*Parametros!$N$2</f>
        <v>1813.504</v>
      </c>
      <c r="AJ317" s="18" t="n">
        <v>9544</v>
      </c>
      <c r="AK317" s="18" t="n">
        <v>2501</v>
      </c>
      <c r="AL317" s="17" t="n">
        <f aca="false">AG317+AI317+AJ317+AK317</f>
        <v>62171.629</v>
      </c>
      <c r="AM317" s="20" t="n">
        <f aca="false">IF(L317&gt;0,AL317/L317,0)</f>
        <v>0.168388686808499</v>
      </c>
      <c r="AN317" s="16" t="n">
        <f aca="false">L317*INDEX(Parametros!$G$2:$G$9,MATCH($E317,Parametros!$A$2:$A$9,0))</f>
        <v>361830.7</v>
      </c>
      <c r="AO317" s="17" t="n">
        <f aca="false">AN317-AC317-AL317</f>
        <v>77986.101</v>
      </c>
      <c r="AP317" s="15" t="n">
        <f aca="false">IF(AN317&gt;0,AO317/AN317,0)</f>
        <v>0.21553201815103</v>
      </c>
      <c r="AQ317" s="16" t="n">
        <f aca="false">INDEX(Parametros!$I$2:$I$9,MATCH($E317,Parametros!$A$2:$A$9,0))</f>
        <v>17000000</v>
      </c>
      <c r="AR317" s="19" t="n">
        <f aca="false">IF(AQ317&gt;0,AO317/AQ317,0)</f>
        <v>0.00458741770588235</v>
      </c>
    </row>
    <row r="318" customFormat="false" ht="15" hidden="false" customHeight="false" outlineLevel="0" collapsed="false">
      <c r="A318" s="5" t="s">
        <v>453</v>
      </c>
      <c r="B318" s="9" t="n">
        <v>45824</v>
      </c>
      <c r="C318" s="2" t="str">
        <f aca="false">TEXT(B318,"yyyy")</f>
        <v>2025</v>
      </c>
      <c r="D318" s="2" t="n">
        <f aca="false">WEEKNUM(B318,2)</f>
        <v>25</v>
      </c>
      <c r="E318" s="5" t="s">
        <v>138</v>
      </c>
      <c r="F318" s="6" t="str">
        <f aca="false">INDEX(Parametros!$B$2:$B$9,MATCH($E318,Parametros!$A$2:$A$9,0))</f>
        <v>Queso crema</v>
      </c>
      <c r="G318" s="10" t="n">
        <v>129.8</v>
      </c>
      <c r="H318" s="10" t="n">
        <v>11.4</v>
      </c>
      <c r="I318" s="11" t="n">
        <f aca="false">SUMIFS(Eventos_Paro!$J$2:$J$2186,Eventos_Paro!$D$2:$D$2186,$E318,Eventos_Paro!$B$2:$B$2186,$B318)</f>
        <v>17.1333333333333</v>
      </c>
      <c r="J318" s="12" t="n">
        <f aca="false">G318-H318-I318</f>
        <v>101.266666666667</v>
      </c>
      <c r="K318" s="13" t="n">
        <v>373097</v>
      </c>
      <c r="L318" s="13" t="n">
        <v>277151</v>
      </c>
      <c r="M318" s="13" t="n">
        <v>22433</v>
      </c>
      <c r="N318" s="14" t="n">
        <f aca="false">L318+M318</f>
        <v>299584</v>
      </c>
      <c r="O318" s="11" t="n">
        <f aca="false">INDEX(Parametros!$D$2:$D$9,MATCH($E318,Parametros!$A$2:$A$9,0))</f>
        <v>3800</v>
      </c>
      <c r="P318" s="15" t="n">
        <f aca="false">IF((G318-H318)&gt;0,J318/(G318-H318),0)</f>
        <v>0.855292792792793</v>
      </c>
      <c r="Q318" s="15" t="n">
        <f aca="false">IF(J318*O318&gt;0,N318/(O318*J318),0)</f>
        <v>0.778517722878625</v>
      </c>
      <c r="R318" s="15" t="n">
        <f aca="false">IF(N318&gt;0,L318/N318,0)</f>
        <v>0.925119499038667</v>
      </c>
      <c r="S318" s="15" t="n">
        <f aca="false">P318*Q318*R318</f>
        <v>0.616000622332859</v>
      </c>
      <c r="T318" s="15" t="n">
        <f aca="false">IF(K318&gt;0,L318/K318,0)</f>
        <v>0.742838993612921</v>
      </c>
      <c r="U318" s="10" t="n">
        <v>1905.5</v>
      </c>
      <c r="V318" s="5" t="n">
        <v>14</v>
      </c>
      <c r="W318" s="10" t="n">
        <v>88.3</v>
      </c>
      <c r="X318" s="15" t="n">
        <f aca="false">IF(U318&gt;0,W318/U318,0)</f>
        <v>0.0463395434269221</v>
      </c>
      <c r="Y318" s="12" t="n">
        <f aca="false">IF(U318&gt;0,L318/U318,0)</f>
        <v>145.447913933351</v>
      </c>
      <c r="Z318" s="16" t="n">
        <f aca="false">L318*INDEX(Parametros!$E$2:$E$9,MATCH($E318,Parametros!$A$2:$A$9,0))</f>
        <v>310409.12</v>
      </c>
      <c r="AA318" s="16" t="n">
        <f aca="false">Z318*INDEX(Parametros!$F$2:$F$9,MATCH($E318,Parametros!$A$2:$A$9,0))</f>
        <v>10864.3192</v>
      </c>
      <c r="AB318" s="17" t="n">
        <f aca="false">Z318+AA318</f>
        <v>321273.4392</v>
      </c>
      <c r="AC318" s="18" t="n">
        <v>328815.87</v>
      </c>
      <c r="AD318" s="17" t="n">
        <f aca="false">AC318-AB318</f>
        <v>7542.43079999992</v>
      </c>
      <c r="AE318" s="17" t="n">
        <f aca="false">AA318+AD318</f>
        <v>18406.7499999999</v>
      </c>
      <c r="AF318" s="19" t="n">
        <f aca="false">IF(Z318&gt;0,AE318/Z318,0)</f>
        <v>0.0592983543782474</v>
      </c>
      <c r="AG318" s="16" t="n">
        <f aca="false">(U318-W318)*INDEX(Parametros!$H$2:$H$9,MATCH($E318,Parametros!$A$2:$A$9,0))+W318*INDEX(Parametros!$H$2:$H$9,MATCH($E318,Parametros!$A$2:$A$9,0))*Parametros!$N$3</f>
        <v>64338.45</v>
      </c>
      <c r="AH318" s="13" t="n">
        <v>15264</v>
      </c>
      <c r="AI318" s="16" t="n">
        <f aca="false">AH318*Parametros!$N$2</f>
        <v>1404.288</v>
      </c>
      <c r="AJ318" s="18" t="n">
        <v>18976</v>
      </c>
      <c r="AK318" s="18" t="n">
        <v>32713</v>
      </c>
      <c r="AL318" s="17" t="n">
        <f aca="false">AG318+AI318+AJ318+AK318</f>
        <v>117431.738</v>
      </c>
      <c r="AM318" s="20" t="n">
        <f aca="false">IF(L318&gt;0,AL318/L318,0)</f>
        <v>0.423710316758734</v>
      </c>
      <c r="AN318" s="16" t="n">
        <f aca="false">L318*INDEX(Parametros!$G$2:$G$9,MATCH($E318,Parametros!$A$2:$A$9,0))</f>
        <v>496100.29</v>
      </c>
      <c r="AO318" s="17" t="n">
        <f aca="false">AN318-AC318-AL318</f>
        <v>49852.682</v>
      </c>
      <c r="AP318" s="15" t="n">
        <f aca="false">IF(AN318&gt;0,AO318/AN318,0)</f>
        <v>0.10048912085901</v>
      </c>
      <c r="AQ318" s="16" t="n">
        <f aca="false">INDEX(Parametros!$I$2:$I$9,MATCH($E318,Parametros!$A$2:$A$9,0))</f>
        <v>33200000</v>
      </c>
      <c r="AR318" s="19" t="n">
        <f aca="false">IF(AQ318&gt;0,AO318/AQ318,0)</f>
        <v>0.00150158680722892</v>
      </c>
    </row>
    <row r="319" customFormat="false" ht="15" hidden="false" customHeight="false" outlineLevel="0" collapsed="false">
      <c r="A319" s="5" t="s">
        <v>454</v>
      </c>
      <c r="B319" s="9" t="n">
        <v>45824</v>
      </c>
      <c r="C319" s="2" t="str">
        <f aca="false">TEXT(B319,"yyyy")</f>
        <v>2025</v>
      </c>
      <c r="D319" s="2" t="n">
        <f aca="false">WEEKNUM(B319,2)</f>
        <v>25</v>
      </c>
      <c r="E319" s="5" t="s">
        <v>140</v>
      </c>
      <c r="F319" s="6" t="str">
        <f aca="false">INDEX(Parametros!$B$2:$B$9,MATCH($E319,Parametros!$A$2:$A$9,0))</f>
        <v>Crema de cacahuate</v>
      </c>
      <c r="G319" s="10" t="n">
        <v>115.4</v>
      </c>
      <c r="H319" s="10" t="n">
        <v>10.8</v>
      </c>
      <c r="I319" s="11" t="n">
        <f aca="false">SUMIFS(Eventos_Paro!$J$2:$J$2186,Eventos_Paro!$D$2:$D$2186,$E319,Eventos_Paro!$B$2:$B$2186,$B319)</f>
        <v>2.9</v>
      </c>
      <c r="J319" s="12" t="n">
        <f aca="false">G319-H319-I319</f>
        <v>101.7</v>
      </c>
      <c r="K319" s="13" t="n">
        <v>364307</v>
      </c>
      <c r="L319" s="13" t="n">
        <v>356460</v>
      </c>
      <c r="M319" s="13" t="n">
        <v>8658</v>
      </c>
      <c r="N319" s="14" t="n">
        <f aca="false">L319+M319</f>
        <v>365118</v>
      </c>
      <c r="O319" s="11" t="n">
        <f aca="false">INDEX(Parametros!$D$2:$D$9,MATCH($E319,Parametros!$A$2:$A$9,0))</f>
        <v>4200</v>
      </c>
      <c r="P319" s="15" t="n">
        <f aca="false">IF((G319-H319)&gt;0,J319/(G319-H319),0)</f>
        <v>0.972275334608031</v>
      </c>
      <c r="Q319" s="15" t="n">
        <f aca="false">IF(J319*O319&gt;0,N319/(O319*J319),0)</f>
        <v>0.854797022053659</v>
      </c>
      <c r="R319" s="15" t="n">
        <f aca="false">IF(N319&gt;0,L319/N319,0)</f>
        <v>0.97628711813715</v>
      </c>
      <c r="S319" s="15" t="n">
        <f aca="false">P319*Q319*R319</f>
        <v>0.811390330510789</v>
      </c>
      <c r="T319" s="15" t="n">
        <f aca="false">IF(K319&gt;0,L319/K319,0)</f>
        <v>0.978460474270327</v>
      </c>
      <c r="U319" s="10" t="n">
        <v>1500.9</v>
      </c>
      <c r="V319" s="5" t="n">
        <v>12</v>
      </c>
      <c r="W319" s="10" t="n">
        <v>116.1</v>
      </c>
      <c r="X319" s="15" t="n">
        <f aca="false">IF(U319&gt;0,W319/U319,0)</f>
        <v>0.0773535878472916</v>
      </c>
      <c r="Y319" s="12" t="n">
        <f aca="false">IF(U319&gt;0,L319/U319,0)</f>
        <v>237.497501499101</v>
      </c>
      <c r="Z319" s="16" t="n">
        <f aca="false">L319*INDEX(Parametros!$E$2:$E$9,MATCH($E319,Parametros!$A$2:$A$9,0))</f>
        <v>345766.2</v>
      </c>
      <c r="AA319" s="16" t="n">
        <f aca="false">Z319*INDEX(Parametros!$F$2:$F$9,MATCH($E319,Parametros!$A$2:$A$9,0))</f>
        <v>7606.8564</v>
      </c>
      <c r="AB319" s="17" t="n">
        <f aca="false">Z319+AA319</f>
        <v>353373.0564</v>
      </c>
      <c r="AC319" s="18" t="n">
        <v>354365.63</v>
      </c>
      <c r="AD319" s="17" t="n">
        <f aca="false">AC319-AB319</f>
        <v>992.573600000003</v>
      </c>
      <c r="AE319" s="17" t="n">
        <f aca="false">AA319+AD319</f>
        <v>8599.43</v>
      </c>
      <c r="AF319" s="19" t="n">
        <f aca="false">IF(Z319&gt;0,AE319/Z319,0)</f>
        <v>0.0248706495892311</v>
      </c>
      <c r="AG319" s="16" t="n">
        <f aca="false">(U319-W319)*INDEX(Parametros!$H$2:$H$9,MATCH($E319,Parametros!$A$2:$A$9,0))+W319*INDEX(Parametros!$H$2:$H$9,MATCH($E319,Parametros!$A$2:$A$9,0))*Parametros!$N$3</f>
        <v>49106.925</v>
      </c>
      <c r="AH319" s="13" t="n">
        <v>19018</v>
      </c>
      <c r="AI319" s="16" t="n">
        <f aca="false">AH319*Parametros!$N$2</f>
        <v>1749.656</v>
      </c>
      <c r="AJ319" s="18" t="n">
        <v>12792</v>
      </c>
      <c r="AK319" s="18" t="n">
        <v>2833</v>
      </c>
      <c r="AL319" s="17" t="n">
        <f aca="false">AG319+AI319+AJ319+AK319</f>
        <v>66481.581</v>
      </c>
      <c r="AM319" s="20" t="n">
        <f aca="false">IF(L319&gt;0,AL319/L319,0)</f>
        <v>0.186505024406666</v>
      </c>
      <c r="AN319" s="16" t="n">
        <f aca="false">L319*INDEX(Parametros!$G$2:$G$9,MATCH($E319,Parametros!$A$2:$A$9,0))</f>
        <v>577465.2</v>
      </c>
      <c r="AO319" s="17" t="n">
        <f aca="false">AN319-AC319-AL319</f>
        <v>156617.989</v>
      </c>
      <c r="AP319" s="15" t="n">
        <f aca="false">IF(AN319&gt;0,AO319/AN319,0)</f>
        <v>0.271216324377642</v>
      </c>
      <c r="AQ319" s="16" t="n">
        <f aca="false">INDEX(Parametros!$I$2:$I$9,MATCH($E319,Parametros!$A$2:$A$9,0))</f>
        <v>28000000</v>
      </c>
      <c r="AR319" s="19" t="n">
        <f aca="false">IF(AQ319&gt;0,AO319/AQ319,0)</f>
        <v>0.00559349960714286</v>
      </c>
    </row>
    <row r="320" customFormat="false" ht="15" hidden="false" customHeight="false" outlineLevel="0" collapsed="false">
      <c r="A320" s="5" t="s">
        <v>455</v>
      </c>
      <c r="B320" s="9" t="n">
        <v>45824</v>
      </c>
      <c r="C320" s="2" t="str">
        <f aca="false">TEXT(B320,"yyyy")</f>
        <v>2025</v>
      </c>
      <c r="D320" s="2" t="n">
        <f aca="false">WEEKNUM(B320,2)</f>
        <v>25</v>
      </c>
      <c r="E320" s="5" t="s">
        <v>142</v>
      </c>
      <c r="F320" s="6" t="str">
        <f aca="false">INDEX(Parametros!$B$2:$B$9,MATCH($E320,Parametros!$A$2:$A$9,0))</f>
        <v>Porciones single serve</v>
      </c>
      <c r="G320" s="10" t="n">
        <v>132.3</v>
      </c>
      <c r="H320" s="10" t="n">
        <v>9.4</v>
      </c>
      <c r="I320" s="11" t="n">
        <f aca="false">SUMIFS(Eventos_Paro!$J$2:$J$2186,Eventos_Paro!$D$2:$D$2186,$E320,Eventos_Paro!$B$2:$B$2186,$B320)</f>
        <v>5.5</v>
      </c>
      <c r="J320" s="12" t="n">
        <f aca="false">G320-H320-I320</f>
        <v>117.4</v>
      </c>
      <c r="K320" s="13" t="n">
        <v>264979</v>
      </c>
      <c r="L320" s="13" t="n">
        <v>232814</v>
      </c>
      <c r="M320" s="13" t="n">
        <v>11123</v>
      </c>
      <c r="N320" s="14" t="n">
        <f aca="false">L320+M320</f>
        <v>243937</v>
      </c>
      <c r="O320" s="11" t="n">
        <f aca="false">INDEX(Parametros!$D$2:$D$9,MATCH($E320,Parametros!$A$2:$A$9,0))</f>
        <v>2600</v>
      </c>
      <c r="P320" s="15" t="n">
        <f aca="false">IF((G320-H320)&gt;0,J320/(G320-H320),0)</f>
        <v>0.955248169243287</v>
      </c>
      <c r="Q320" s="15" t="n">
        <f aca="false">IF(J320*O320&gt;0,N320/(O320*J320),0)</f>
        <v>0.799164591796619</v>
      </c>
      <c r="R320" s="15" t="n">
        <f aca="false">IF(N320&gt;0,L320/N320,0)</f>
        <v>0.954402161213756</v>
      </c>
      <c r="S320" s="15" t="n">
        <f aca="false">P320*Q320*R320</f>
        <v>0.728591099705827</v>
      </c>
      <c r="T320" s="15" t="n">
        <f aca="false">IF(K320&gt;0,L320/K320,0)</f>
        <v>0.878613022164021</v>
      </c>
      <c r="U320" s="10" t="n">
        <v>2215.5</v>
      </c>
      <c r="V320" s="5" t="n">
        <v>16</v>
      </c>
      <c r="W320" s="10" t="n">
        <v>98.7</v>
      </c>
      <c r="X320" s="15" t="n">
        <f aca="false">IF(U320&gt;0,W320/U320,0)</f>
        <v>0.0445497630331754</v>
      </c>
      <c r="Y320" s="12" t="n">
        <f aca="false">IF(U320&gt;0,L320/U320,0)</f>
        <v>105.084179643421</v>
      </c>
      <c r="Z320" s="16" t="n">
        <f aca="false">L320*INDEX(Parametros!$E$2:$E$9,MATCH($E320,Parametros!$A$2:$A$9,0))</f>
        <v>172282.36</v>
      </c>
      <c r="AA320" s="16" t="n">
        <f aca="false">Z320*INDEX(Parametros!$F$2:$F$9,MATCH($E320,Parametros!$A$2:$A$9,0))</f>
        <v>7752.7062</v>
      </c>
      <c r="AB320" s="17" t="n">
        <f aca="false">Z320+AA320</f>
        <v>180035.0662</v>
      </c>
      <c r="AC320" s="18" t="n">
        <v>183121.94</v>
      </c>
      <c r="AD320" s="17" t="n">
        <f aca="false">AC320-AB320</f>
        <v>3086.87380000003</v>
      </c>
      <c r="AE320" s="17" t="n">
        <f aca="false">AA320+AD320</f>
        <v>10839.58</v>
      </c>
      <c r="AF320" s="19" t="n">
        <f aca="false">IF(Z320&gt;0,AE320/Z320,0)</f>
        <v>0.0629175267856792</v>
      </c>
      <c r="AG320" s="16" t="n">
        <f aca="false">(U320-W320)*INDEX(Parametros!$H$2:$H$9,MATCH($E320,Parametros!$A$2:$A$9,0))+W320*INDEX(Parametros!$H$2:$H$9,MATCH($E320,Parametros!$A$2:$A$9,0))*Parametros!$N$3</f>
        <v>67945.5</v>
      </c>
      <c r="AH320" s="13" t="n">
        <v>12570</v>
      </c>
      <c r="AI320" s="16" t="n">
        <f aca="false">AH320*Parametros!$N$2</f>
        <v>1156.44</v>
      </c>
      <c r="AJ320" s="18" t="n">
        <v>11602</v>
      </c>
      <c r="AK320" s="18" t="n">
        <v>3459</v>
      </c>
      <c r="AL320" s="17" t="n">
        <f aca="false">AG320+AI320+AJ320+AK320</f>
        <v>84162.94</v>
      </c>
      <c r="AM320" s="20" t="n">
        <f aca="false">IF(L320&gt;0,AL320/L320,0)</f>
        <v>0.361502916491276</v>
      </c>
      <c r="AN320" s="16" t="n">
        <f aca="false">L320*INDEX(Parametros!$G$2:$G$9,MATCH($E320,Parametros!$A$2:$A$9,0))</f>
        <v>400440.08</v>
      </c>
      <c r="AO320" s="17" t="n">
        <f aca="false">AN320-AC320-AL320</f>
        <v>133155.2</v>
      </c>
      <c r="AP320" s="15" t="n">
        <f aca="false">IF(AN320&gt;0,AO320/AN320,0)</f>
        <v>0.332522159120536</v>
      </c>
      <c r="AQ320" s="16" t="n">
        <f aca="false">INDEX(Parametros!$I$2:$I$9,MATCH($E320,Parametros!$A$2:$A$9,0))</f>
        <v>15900000</v>
      </c>
      <c r="AR320" s="19" t="n">
        <f aca="false">IF(AQ320&gt;0,AO320/AQ320,0)</f>
        <v>0.00837454088050315</v>
      </c>
    </row>
    <row r="321" customFormat="false" ht="15" hidden="false" customHeight="false" outlineLevel="0" collapsed="false">
      <c r="A321" s="5" t="s">
        <v>456</v>
      </c>
      <c r="B321" s="9" t="n">
        <v>45824</v>
      </c>
      <c r="C321" s="2" t="str">
        <f aca="false">TEXT(B321,"yyyy")</f>
        <v>2025</v>
      </c>
      <c r="D321" s="2" t="n">
        <f aca="false">WEEKNUM(B321,2)</f>
        <v>25</v>
      </c>
      <c r="E321" s="5" t="s">
        <v>144</v>
      </c>
      <c r="F321" s="6" t="str">
        <f aca="false">INDEX(Parametros!$B$2:$B$9,MATCH($E321,Parametros!$A$2:$A$9,0))</f>
        <v>Salsas picantes</v>
      </c>
      <c r="G321" s="10" t="n">
        <v>86.8</v>
      </c>
      <c r="H321" s="10" t="n">
        <v>12.3</v>
      </c>
      <c r="I321" s="11" t="n">
        <f aca="false">SUMIFS(Eventos_Paro!$J$2:$J$2186,Eventos_Paro!$D$2:$D$2186,$E321,Eventos_Paro!$B$2:$B$2186,$B321)</f>
        <v>3.21666666666667</v>
      </c>
      <c r="J321" s="12" t="n">
        <f aca="false">G321-H321-I321</f>
        <v>71.2833333333333</v>
      </c>
      <c r="K321" s="13" t="n">
        <v>174442</v>
      </c>
      <c r="L321" s="13" t="n">
        <v>171316</v>
      </c>
      <c r="M321" s="13" t="n">
        <v>7030</v>
      </c>
      <c r="N321" s="14" t="n">
        <f aca="false">L321+M321</f>
        <v>178346</v>
      </c>
      <c r="O321" s="11" t="n">
        <f aca="false">INDEX(Parametros!$D$2:$D$9,MATCH($E321,Parametros!$A$2:$A$9,0))</f>
        <v>3100</v>
      </c>
      <c r="P321" s="15" t="n">
        <f aca="false">IF((G321-H321)&gt;0,J321/(G321-H321),0)</f>
        <v>0.956823266219239</v>
      </c>
      <c r="Q321" s="15" t="n">
        <f aca="false">IF(J321*O321&gt;0,N321/(O321*J321),0)</f>
        <v>0.807074600073914</v>
      </c>
      <c r="R321" s="15" t="n">
        <f aca="false">IF(N321&gt;0,L321/N321,0)</f>
        <v>0.960582239018537</v>
      </c>
      <c r="S321" s="15" t="n">
        <f aca="false">P321*Q321*R321</f>
        <v>0.741788265858411</v>
      </c>
      <c r="T321" s="15" t="n">
        <f aca="false">IF(K321&gt;0,L321/K321,0)</f>
        <v>0.982080003668841</v>
      </c>
      <c r="U321" s="10" t="n">
        <v>867.8</v>
      </c>
      <c r="V321" s="5" t="n">
        <v>9</v>
      </c>
      <c r="W321" s="10" t="n">
        <v>86.6</v>
      </c>
      <c r="X321" s="15" t="n">
        <f aca="false">IF(U321&gt;0,W321/U321,0)</f>
        <v>0.0997925789352385</v>
      </c>
      <c r="Y321" s="12" t="n">
        <f aca="false">IF(U321&gt;0,L321/U321,0)</f>
        <v>197.414150725974</v>
      </c>
      <c r="Z321" s="16" t="n">
        <f aca="false">L321*INDEX(Parametros!$E$2:$E$9,MATCH($E321,Parametros!$A$2:$A$9,0))</f>
        <v>113068.56</v>
      </c>
      <c r="AA321" s="16" t="n">
        <f aca="false">Z321*INDEX(Parametros!$F$2:$F$9,MATCH($E321,Parametros!$A$2:$A$9,0))</f>
        <v>2939.78256</v>
      </c>
      <c r="AB321" s="17" t="n">
        <f aca="false">Z321+AA321</f>
        <v>116008.34256</v>
      </c>
      <c r="AC321" s="18" t="n">
        <v>115932.76</v>
      </c>
      <c r="AD321" s="17" t="n">
        <f aca="false">AC321-AB321</f>
        <v>-75.5825600000244</v>
      </c>
      <c r="AE321" s="17" t="n">
        <f aca="false">AA321+AD321</f>
        <v>2864.19999999998</v>
      </c>
      <c r="AF321" s="19" t="n">
        <f aca="false">IF(Z321&gt;0,AE321/Z321,0)</f>
        <v>0.0253315333634741</v>
      </c>
      <c r="AG321" s="16" t="n">
        <f aca="false">(U321-W321)*INDEX(Parametros!$H$2:$H$9,MATCH($E321,Parametros!$A$2:$A$9,0))+W321*INDEX(Parametros!$H$2:$H$9,MATCH($E321,Parametros!$A$2:$A$9,0))*Parametros!$N$3</f>
        <v>28699.65</v>
      </c>
      <c r="AH321" s="13" t="n">
        <v>9336</v>
      </c>
      <c r="AI321" s="16" t="n">
        <f aca="false">AH321*Parametros!$N$2</f>
        <v>858.912</v>
      </c>
      <c r="AJ321" s="18" t="n">
        <v>7382</v>
      </c>
      <c r="AK321" s="18" t="n">
        <v>2637</v>
      </c>
      <c r="AL321" s="17" t="n">
        <f aca="false">AG321+AI321+AJ321+AK321</f>
        <v>39577.562</v>
      </c>
      <c r="AM321" s="20" t="n">
        <f aca="false">IF(L321&gt;0,AL321/L321,0)</f>
        <v>0.231020815335404</v>
      </c>
      <c r="AN321" s="16" t="n">
        <f aca="false">L321*INDEX(Parametros!$G$2:$G$9,MATCH($E321,Parametros!$A$2:$A$9,0))</f>
        <v>214145</v>
      </c>
      <c r="AO321" s="17" t="n">
        <f aca="false">AN321-AC321-AL321</f>
        <v>58634.678</v>
      </c>
      <c r="AP321" s="15" t="n">
        <f aca="false">IF(AN321&gt;0,AO321/AN321,0)</f>
        <v>0.273808298115763</v>
      </c>
      <c r="AQ321" s="16" t="n">
        <f aca="false">INDEX(Parametros!$I$2:$I$9,MATCH($E321,Parametros!$A$2:$A$9,0))</f>
        <v>13300000</v>
      </c>
      <c r="AR321" s="19" t="n">
        <f aca="false">IF(AQ321&gt;0,AO321/AQ321,0)</f>
        <v>0.00440862240601504</v>
      </c>
    </row>
    <row r="322" customFormat="false" ht="15" hidden="false" customHeight="false" outlineLevel="0" collapsed="false">
      <c r="A322" s="5" t="s">
        <v>457</v>
      </c>
      <c r="B322" s="9" t="n">
        <v>45831</v>
      </c>
      <c r="C322" s="2" t="str">
        <f aca="false">TEXT(B322,"yyyy")</f>
        <v>2025</v>
      </c>
      <c r="D322" s="2" t="n">
        <f aca="false">WEEKNUM(B322,2)</f>
        <v>26</v>
      </c>
      <c r="E322" s="5" t="s">
        <v>130</v>
      </c>
      <c r="F322" s="6" t="str">
        <f aca="false">INDEX(Parametros!$B$2:$B$9,MATCH($E322,Parametros!$A$2:$A$9,0))</f>
        <v>Ketchup botella</v>
      </c>
      <c r="G322" s="10" t="n">
        <v>126.3</v>
      </c>
      <c r="H322" s="10" t="n">
        <v>8.2</v>
      </c>
      <c r="I322" s="11" t="n">
        <f aca="false">SUMIFS(Eventos_Paro!$J$2:$J$2186,Eventos_Paro!$D$2:$D$2186,$E322,Eventos_Paro!$B$2:$B$2186,$B322)</f>
        <v>2.88333333333333</v>
      </c>
      <c r="J322" s="12" t="n">
        <f aca="false">G322-H322-I322</f>
        <v>115.216666666667</v>
      </c>
      <c r="K322" s="13" t="n">
        <v>882844</v>
      </c>
      <c r="L322" s="13" t="n">
        <v>900250</v>
      </c>
      <c r="M322" s="13" t="n">
        <v>22012</v>
      </c>
      <c r="N322" s="14" t="n">
        <f aca="false">L322+M322</f>
        <v>922262</v>
      </c>
      <c r="O322" s="11" t="n">
        <f aca="false">INDEX(Parametros!$D$2:$D$9,MATCH($E322,Parametros!$A$2:$A$9,0))</f>
        <v>9000</v>
      </c>
      <c r="P322" s="15" t="n">
        <f aca="false">IF((G322-H322)&gt;0,J322/(G322-H322),0)</f>
        <v>0.975585661868473</v>
      </c>
      <c r="Q322" s="15" t="n">
        <f aca="false">IF(J322*O322&gt;0,N322/(O322*J322),0)</f>
        <v>0.889398717392353</v>
      </c>
      <c r="R322" s="15" t="n">
        <f aca="false">IF(N322&gt;0,L322/N322,0)</f>
        <v>0.976132595726594</v>
      </c>
      <c r="S322" s="15" t="n">
        <f aca="false">P322*Q322*R322</f>
        <v>0.846975256374071</v>
      </c>
      <c r="T322" s="15" t="n">
        <f aca="false">IF(K322&gt;0,L322/K322,0)</f>
        <v>1.01971582748481</v>
      </c>
      <c r="U322" s="10" t="n">
        <v>1923.6</v>
      </c>
      <c r="V322" s="5" t="n">
        <v>14</v>
      </c>
      <c r="W322" s="10" t="n">
        <v>155.4</v>
      </c>
      <c r="X322" s="15" t="n">
        <f aca="false">IF(U322&gt;0,W322/U322,0)</f>
        <v>0.0807860262008734</v>
      </c>
      <c r="Y322" s="12" t="n">
        <f aca="false">IF(U322&gt;0,L322/U322,0)</f>
        <v>468.002703264712</v>
      </c>
      <c r="Z322" s="16" t="n">
        <f aca="false">L322*INDEX(Parametros!$E$2:$E$9,MATCH($E322,Parametros!$A$2:$A$9,0))</f>
        <v>378105</v>
      </c>
      <c r="AA322" s="16" t="n">
        <f aca="false">Z322*INDEX(Parametros!$F$2:$F$9,MATCH($E322,Parametros!$A$2:$A$9,0))</f>
        <v>7562.1</v>
      </c>
      <c r="AB322" s="17" t="n">
        <f aca="false">Z322+AA322</f>
        <v>385667.1</v>
      </c>
      <c r="AC322" s="18" t="n">
        <v>385397.25</v>
      </c>
      <c r="AD322" s="17" t="n">
        <f aca="false">AC322-AB322</f>
        <v>-269.849999999977</v>
      </c>
      <c r="AE322" s="17" t="n">
        <f aca="false">AA322+AD322</f>
        <v>7292.25000000002</v>
      </c>
      <c r="AF322" s="19" t="n">
        <f aca="false">IF(Z322&gt;0,AE322/Z322,0)</f>
        <v>0.0192863093585116</v>
      </c>
      <c r="AG322" s="16" t="n">
        <f aca="false">(U322-W322)*INDEX(Parametros!$H$2:$H$9,MATCH($E322,Parametros!$A$2:$A$9,0))+W322*INDEX(Parametros!$H$2:$H$9,MATCH($E322,Parametros!$A$2:$A$9,0))*Parametros!$N$3</f>
        <v>63040.95</v>
      </c>
      <c r="AH322" s="13" t="n">
        <v>46423</v>
      </c>
      <c r="AI322" s="16" t="n">
        <f aca="false">AH322*Parametros!$N$2</f>
        <v>4270.916</v>
      </c>
      <c r="AJ322" s="18" t="n">
        <v>12851</v>
      </c>
      <c r="AK322" s="18" t="n">
        <v>2961</v>
      </c>
      <c r="AL322" s="17" t="n">
        <f aca="false">AG322+AI322+AJ322+AK322</f>
        <v>83123.866</v>
      </c>
      <c r="AM322" s="20" t="n">
        <f aca="false">IF(L322&gt;0,AL322/L322,0)</f>
        <v>0.0923342027214663</v>
      </c>
      <c r="AN322" s="16" t="n">
        <f aca="false">L322*INDEX(Parametros!$G$2:$G$9,MATCH($E322,Parametros!$A$2:$A$9,0))</f>
        <v>639177.5</v>
      </c>
      <c r="AO322" s="17" t="n">
        <f aca="false">AN322-AC322-AL322</f>
        <v>170656.384</v>
      </c>
      <c r="AP322" s="15" t="n">
        <f aca="false">IF(AN322&gt;0,AO322/AN322,0)</f>
        <v>0.266993728659097</v>
      </c>
      <c r="AQ322" s="16" t="n">
        <f aca="false">INDEX(Parametros!$I$2:$I$9,MATCH($E322,Parametros!$A$2:$A$9,0))</f>
        <v>29300000</v>
      </c>
      <c r="AR322" s="19" t="n">
        <f aca="false">IF(AQ322&gt;0,AO322/AQ322,0)</f>
        <v>0.00582444996587031</v>
      </c>
    </row>
    <row r="323" customFormat="false" ht="15" hidden="false" customHeight="false" outlineLevel="0" collapsed="false">
      <c r="A323" s="5" t="s">
        <v>458</v>
      </c>
      <c r="B323" s="9" t="n">
        <v>45831</v>
      </c>
      <c r="C323" s="2" t="str">
        <f aca="false">TEXT(B323,"yyyy")</f>
        <v>2025</v>
      </c>
      <c r="D323" s="2" t="n">
        <f aca="false">WEEKNUM(B323,2)</f>
        <v>26</v>
      </c>
      <c r="E323" s="5" t="s">
        <v>132</v>
      </c>
      <c r="F323" s="6" t="str">
        <f aca="false">INDEX(Parametros!$B$2:$B$9,MATCH($E323,Parametros!$A$2:$A$9,0))</f>
        <v>Mayonesa frasco</v>
      </c>
      <c r="G323" s="10" t="n">
        <v>130.1</v>
      </c>
      <c r="H323" s="10" t="n">
        <v>8.3</v>
      </c>
      <c r="I323" s="11" t="n">
        <f aca="false">SUMIFS(Eventos_Paro!$J$2:$J$2186,Eventos_Paro!$D$2:$D$2186,$E323,Eventos_Paro!$B$2:$B$2186,$B323)</f>
        <v>3.33333333333333</v>
      </c>
      <c r="J323" s="12" t="n">
        <f aca="false">G323-H323-I323</f>
        <v>118.466666666667</v>
      </c>
      <c r="K323" s="13" t="n">
        <v>657586</v>
      </c>
      <c r="L323" s="13" t="n">
        <v>659888</v>
      </c>
      <c r="M323" s="13" t="n">
        <v>15403</v>
      </c>
      <c r="N323" s="14" t="n">
        <f aca="false">L323+M323</f>
        <v>675291</v>
      </c>
      <c r="O323" s="11" t="n">
        <f aca="false">INDEX(Parametros!$D$2:$D$9,MATCH($E323,Parametros!$A$2:$A$9,0))</f>
        <v>6500</v>
      </c>
      <c r="P323" s="15" t="n">
        <f aca="false">IF((G323-H323)&gt;0,J323/(G323-H323),0)</f>
        <v>0.972632731253421</v>
      </c>
      <c r="Q323" s="15" t="n">
        <f aca="false">IF(J323*O323&gt;0,N323/(O323*J323),0)</f>
        <v>0.876963334920566</v>
      </c>
      <c r="R323" s="15" t="n">
        <f aca="false">IF(N323&gt;0,L323/N323,0)</f>
        <v>0.977190574137668</v>
      </c>
      <c r="S323" s="15" t="n">
        <f aca="false">P323*Q323*R323</f>
        <v>0.833507641783504</v>
      </c>
      <c r="T323" s="15" t="n">
        <f aca="false">IF(K323&gt;0,L323/K323,0)</f>
        <v>1.00350068280042</v>
      </c>
      <c r="U323" s="10" t="n">
        <v>1818.8</v>
      </c>
      <c r="V323" s="5" t="n">
        <v>13</v>
      </c>
      <c r="W323" s="10" t="n">
        <v>127.5</v>
      </c>
      <c r="X323" s="15" t="n">
        <f aca="false">IF(U323&gt;0,W323/U323,0)</f>
        <v>0.0701011656036947</v>
      </c>
      <c r="Y323" s="12" t="n">
        <f aca="false">IF(U323&gt;0,L323/U323,0)</f>
        <v>362.815042885419</v>
      </c>
      <c r="Z323" s="16" t="n">
        <f aca="false">L323*INDEX(Parametros!$E$2:$E$9,MATCH($E323,Parametros!$A$2:$A$9,0))</f>
        <v>402531.68</v>
      </c>
      <c r="AA323" s="16" t="n">
        <f aca="false">Z323*INDEX(Parametros!$F$2:$F$9,MATCH($E323,Parametros!$A$2:$A$9,0))</f>
        <v>10063.292</v>
      </c>
      <c r="AB323" s="17" t="n">
        <f aca="false">Z323+AA323</f>
        <v>412594.972</v>
      </c>
      <c r="AC323" s="18" t="n">
        <v>418393.82</v>
      </c>
      <c r="AD323" s="17" t="n">
        <f aca="false">AC323-AB323</f>
        <v>5798.848</v>
      </c>
      <c r="AE323" s="17" t="n">
        <f aca="false">AA323+AD323</f>
        <v>15862.14</v>
      </c>
      <c r="AF323" s="19" t="n">
        <f aca="false">IF(Z323&gt;0,AE323/Z323,0)</f>
        <v>0.0394059419124477</v>
      </c>
      <c r="AG323" s="16" t="n">
        <f aca="false">(U323-W323)*INDEX(Parametros!$H$2:$H$9,MATCH($E323,Parametros!$A$2:$A$9,0))+W323*INDEX(Parametros!$H$2:$H$9,MATCH($E323,Parametros!$A$2:$A$9,0))*Parametros!$N$3</f>
        <v>59300.325</v>
      </c>
      <c r="AH323" s="13" t="n">
        <v>33948</v>
      </c>
      <c r="AI323" s="16" t="n">
        <f aca="false">AH323*Parametros!$N$2</f>
        <v>3123.216</v>
      </c>
      <c r="AJ323" s="18" t="n">
        <v>16768</v>
      </c>
      <c r="AK323" s="18" t="n">
        <v>4579</v>
      </c>
      <c r="AL323" s="17" t="n">
        <f aca="false">AG323+AI323+AJ323+AK323</f>
        <v>83770.541</v>
      </c>
      <c r="AM323" s="20" t="n">
        <f aca="false">IF(L323&gt;0,AL323/L323,0)</f>
        <v>0.126946604575322</v>
      </c>
      <c r="AN323" s="16" t="n">
        <f aca="false">L323*INDEX(Parametros!$G$2:$G$9,MATCH($E323,Parametros!$A$2:$A$9,0))</f>
        <v>633492.48</v>
      </c>
      <c r="AO323" s="17" t="n">
        <f aca="false">AN323-AC323-AL323</f>
        <v>131328.119</v>
      </c>
      <c r="AP323" s="15" t="n">
        <f aca="false">IF(AN323&gt;0,AO323/AN323,0)</f>
        <v>0.207308094643839</v>
      </c>
      <c r="AQ323" s="16" t="n">
        <f aca="false">INDEX(Parametros!$I$2:$I$9,MATCH($E323,Parametros!$A$2:$A$9,0))</f>
        <v>29700000</v>
      </c>
      <c r="AR323" s="19" t="n">
        <f aca="false">IF(AQ323&gt;0,AO323/AQ323,0)</f>
        <v>0.00442182218855219</v>
      </c>
    </row>
    <row r="324" customFormat="false" ht="15" hidden="false" customHeight="false" outlineLevel="0" collapsed="false">
      <c r="A324" s="5" t="s">
        <v>459</v>
      </c>
      <c r="B324" s="9" t="n">
        <v>45831</v>
      </c>
      <c r="C324" s="2" t="str">
        <f aca="false">TEXT(B324,"yyyy")</f>
        <v>2025</v>
      </c>
      <c r="D324" s="2" t="n">
        <f aca="false">WEEKNUM(B324,2)</f>
        <v>26</v>
      </c>
      <c r="E324" s="5" t="s">
        <v>134</v>
      </c>
      <c r="F324" s="6" t="str">
        <f aca="false">INDEX(Parametros!$B$2:$B$9,MATCH($E324,Parametros!$A$2:$A$9,0))</f>
        <v>Aderezos vertibles</v>
      </c>
      <c r="G324" s="10" t="n">
        <v>114.4</v>
      </c>
      <c r="H324" s="10" t="n">
        <v>5.1</v>
      </c>
      <c r="I324" s="11" t="n">
        <f aca="false">SUMIFS(Eventos_Paro!$J$2:$J$2186,Eventos_Paro!$D$2:$D$2186,$E324,Eventos_Paro!$B$2:$B$2186,$B324)</f>
        <v>2.8</v>
      </c>
      <c r="J324" s="12" t="n">
        <f aca="false">G324-H324-I324</f>
        <v>106.5</v>
      </c>
      <c r="K324" s="13" t="n">
        <v>472080</v>
      </c>
      <c r="L324" s="13" t="n">
        <v>444899</v>
      </c>
      <c r="M324" s="13" t="n">
        <v>14393</v>
      </c>
      <c r="N324" s="14" t="n">
        <f aca="false">L324+M324</f>
        <v>459292</v>
      </c>
      <c r="O324" s="11" t="n">
        <f aca="false">INDEX(Parametros!$D$2:$D$9,MATCH($E324,Parametros!$A$2:$A$9,0))</f>
        <v>5200</v>
      </c>
      <c r="P324" s="15" t="n">
        <f aca="false">IF((G324-H324)&gt;0,J324/(G324-H324),0)</f>
        <v>0.974382433668802</v>
      </c>
      <c r="Q324" s="15" t="n">
        <f aca="false">IF(J324*O324&gt;0,N324/(O324*J324),0)</f>
        <v>0.829346334416757</v>
      </c>
      <c r="R324" s="15" t="n">
        <f aca="false">IF(N324&gt;0,L324/N324,0)</f>
        <v>0.968662637276504</v>
      </c>
      <c r="S324" s="15" t="n">
        <f aca="false">P324*Q324*R324</f>
        <v>0.782776761207685</v>
      </c>
      <c r="T324" s="15" t="n">
        <f aca="false">IF(K324&gt;0,L324/K324,0)</f>
        <v>0.942422894424674</v>
      </c>
      <c r="U324" s="10" t="n">
        <v>1482.3</v>
      </c>
      <c r="V324" s="5" t="n">
        <v>12</v>
      </c>
      <c r="W324" s="10" t="n">
        <v>109.5</v>
      </c>
      <c r="X324" s="15" t="n">
        <f aca="false">IF(U324&gt;0,W324/U324,0)</f>
        <v>0.0738716858935438</v>
      </c>
      <c r="Y324" s="12" t="n">
        <f aca="false">IF(U324&gt;0,L324/U324,0)</f>
        <v>300.140997099103</v>
      </c>
      <c r="Z324" s="16" t="n">
        <f aca="false">L324*INDEX(Parametros!$E$2:$E$9,MATCH($E324,Parametros!$A$2:$A$9,0))</f>
        <v>244694.45</v>
      </c>
      <c r="AA324" s="16" t="n">
        <f aca="false">Z324*INDEX(Parametros!$F$2:$F$9,MATCH($E324,Parametros!$A$2:$A$9,0))</f>
        <v>7340.8335</v>
      </c>
      <c r="AB324" s="17" t="n">
        <f aca="false">Z324+AA324</f>
        <v>252035.2835</v>
      </c>
      <c r="AC324" s="18" t="n">
        <v>255986.73</v>
      </c>
      <c r="AD324" s="17" t="n">
        <f aca="false">AC324-AB324</f>
        <v>3951.44649999999</v>
      </c>
      <c r="AE324" s="17" t="n">
        <f aca="false">AA324+AD324</f>
        <v>11292.28</v>
      </c>
      <c r="AF324" s="19" t="n">
        <f aca="false">IF(Z324&gt;0,AE324/Z324,0)</f>
        <v>0.0461484925383473</v>
      </c>
      <c r="AG324" s="16" t="n">
        <f aca="false">(U324-W324)*INDEX(Parametros!$H$2:$H$9,MATCH($E324,Parametros!$A$2:$A$9,0))+W324*INDEX(Parametros!$H$2:$H$9,MATCH($E324,Parametros!$A$2:$A$9,0))*Parametros!$N$3</f>
        <v>48417.075</v>
      </c>
      <c r="AH324" s="13" t="n">
        <v>24920</v>
      </c>
      <c r="AI324" s="16" t="n">
        <f aca="false">AH324*Parametros!$N$2</f>
        <v>2292.64</v>
      </c>
      <c r="AJ324" s="18" t="n">
        <v>9116</v>
      </c>
      <c r="AK324" s="18" t="n">
        <v>2371</v>
      </c>
      <c r="AL324" s="17" t="n">
        <f aca="false">AG324+AI324+AJ324+AK324</f>
        <v>62196.715</v>
      </c>
      <c r="AM324" s="20" t="n">
        <f aca="false">IF(L324&gt;0,AL324/L324,0)</f>
        <v>0.139799628679768</v>
      </c>
      <c r="AN324" s="16" t="n">
        <f aca="false">L324*INDEX(Parametros!$G$2:$G$9,MATCH($E324,Parametros!$A$2:$A$9,0))</f>
        <v>453796.98</v>
      </c>
      <c r="AO324" s="17" t="n">
        <f aca="false">AN324-AC324-AL324</f>
        <v>135613.535</v>
      </c>
      <c r="AP324" s="15" t="n">
        <f aca="false">IF(AN324&gt;0,AO324/AN324,0)</f>
        <v>0.298841863160923</v>
      </c>
      <c r="AQ324" s="16" t="n">
        <f aca="false">INDEX(Parametros!$I$2:$I$9,MATCH($E324,Parametros!$A$2:$A$9,0))</f>
        <v>19300000</v>
      </c>
      <c r="AR324" s="19" t="n">
        <f aca="false">IF(AQ324&gt;0,AO324/AQ324,0)</f>
        <v>0.00702660803108808</v>
      </c>
    </row>
    <row r="325" customFormat="false" ht="15" hidden="false" customHeight="false" outlineLevel="0" collapsed="false">
      <c r="A325" s="5" t="s">
        <v>460</v>
      </c>
      <c r="B325" s="9" t="n">
        <v>45831</v>
      </c>
      <c r="C325" s="2" t="str">
        <f aca="false">TEXT(B325,"yyyy")</f>
        <v>2025</v>
      </c>
      <c r="D325" s="2" t="n">
        <f aca="false">WEEKNUM(B325,2)</f>
        <v>26</v>
      </c>
      <c r="E325" s="5" t="s">
        <v>136</v>
      </c>
      <c r="F325" s="6" t="str">
        <f aca="false">INDEX(Parametros!$B$2:$B$9,MATCH($E325,Parametros!$A$2:$A$9,0))</f>
        <v>Salsa BBQ</v>
      </c>
      <c r="G325" s="10" t="n">
        <v>125</v>
      </c>
      <c r="H325" s="10" t="n">
        <v>8.8</v>
      </c>
      <c r="I325" s="11" t="n">
        <f aca="false">SUMIFS(Eventos_Paro!$J$2:$J$2186,Eventos_Paro!$D$2:$D$2186,$E325,Eventos_Paro!$B$2:$B$2186,$B325)</f>
        <v>1.91666666666667</v>
      </c>
      <c r="J325" s="12" t="n">
        <f aca="false">G325-H325-I325</f>
        <v>114.283333333333</v>
      </c>
      <c r="K325" s="13" t="n">
        <v>523010</v>
      </c>
      <c r="L325" s="13" t="n">
        <v>462928</v>
      </c>
      <c r="M325" s="13" t="n">
        <v>16176</v>
      </c>
      <c r="N325" s="14" t="n">
        <f aca="false">L325+M325</f>
        <v>479104</v>
      </c>
      <c r="O325" s="11" t="n">
        <f aca="false">INDEX(Parametros!$D$2:$D$9,MATCH($E325,Parametros!$A$2:$A$9,0))</f>
        <v>4800</v>
      </c>
      <c r="P325" s="15" t="n">
        <f aca="false">IF((G325-H325)&gt;0,J325/(G325-H325),0)</f>
        <v>0.98350545037292</v>
      </c>
      <c r="Q325" s="15" t="n">
        <f aca="false">IF(J325*O325&gt;0,N325/(O325*J325),0)</f>
        <v>0.873384862184629</v>
      </c>
      <c r="R325" s="15" t="n">
        <f aca="false">IF(N325&gt;0,L325/N325,0)</f>
        <v>0.966236975687951</v>
      </c>
      <c r="S325" s="15" t="n">
        <f aca="false">P325*Q325*R325</f>
        <v>0.829977051061388</v>
      </c>
      <c r="T325" s="15" t="n">
        <f aca="false">IF(K325&gt;0,L325/K325,0)</f>
        <v>0.885122655398558</v>
      </c>
      <c r="U325" s="10" t="n">
        <v>1489.6</v>
      </c>
      <c r="V325" s="5" t="n">
        <v>11</v>
      </c>
      <c r="W325" s="10" t="n">
        <v>114.6</v>
      </c>
      <c r="X325" s="15" t="n">
        <f aca="false">IF(U325&gt;0,W325/U325,0)</f>
        <v>0.0769334049409237</v>
      </c>
      <c r="Y325" s="12" t="n">
        <f aca="false">IF(U325&gt;0,L325/U325,0)</f>
        <v>310.77336197637</v>
      </c>
      <c r="Z325" s="16" t="n">
        <f aca="false">L325*INDEX(Parametros!$E$2:$E$9,MATCH($E325,Parametros!$A$2:$A$9,0))</f>
        <v>268498.24</v>
      </c>
      <c r="AA325" s="16" t="n">
        <f aca="false">Z325*INDEX(Parametros!$F$2:$F$9,MATCH($E325,Parametros!$A$2:$A$9,0))</f>
        <v>7517.95072</v>
      </c>
      <c r="AB325" s="17" t="n">
        <f aca="false">Z325+AA325</f>
        <v>276016.19072</v>
      </c>
      <c r="AC325" s="18" t="n">
        <v>271016.45</v>
      </c>
      <c r="AD325" s="17" t="n">
        <f aca="false">AC325-AB325</f>
        <v>-4999.74072</v>
      </c>
      <c r="AE325" s="17" t="n">
        <f aca="false">AA325+AD325</f>
        <v>2518.21</v>
      </c>
      <c r="AF325" s="19" t="n">
        <f aca="false">IF(Z325&gt;0,AE325/Z325,0)</f>
        <v>0.00937886967154793</v>
      </c>
      <c r="AG325" s="16" t="n">
        <f aca="false">(U325-W325)*INDEX(Parametros!$H$2:$H$9,MATCH($E325,Parametros!$A$2:$A$9,0))+W325*INDEX(Parametros!$H$2:$H$9,MATCH($E325,Parametros!$A$2:$A$9,0))*Parametros!$N$3</f>
        <v>48727.35</v>
      </c>
      <c r="AH325" s="13" t="n">
        <v>24067</v>
      </c>
      <c r="AI325" s="16" t="n">
        <f aca="false">AH325*Parametros!$N$2</f>
        <v>2214.164</v>
      </c>
      <c r="AJ325" s="18" t="n">
        <v>7959</v>
      </c>
      <c r="AK325" s="18" t="n">
        <v>1798</v>
      </c>
      <c r="AL325" s="17" t="n">
        <f aca="false">AG325+AI325+AJ325+AK325</f>
        <v>60698.514</v>
      </c>
      <c r="AM325" s="20" t="n">
        <f aca="false">IF(L325&gt;0,AL325/L325,0)</f>
        <v>0.131118692323644</v>
      </c>
      <c r="AN325" s="16" t="n">
        <f aca="false">L325*INDEX(Parametros!$G$2:$G$9,MATCH($E325,Parametros!$A$2:$A$9,0))</f>
        <v>453669.44</v>
      </c>
      <c r="AO325" s="17" t="n">
        <f aca="false">AN325-AC325-AL325</f>
        <v>121954.476</v>
      </c>
      <c r="AP325" s="15" t="n">
        <f aca="false">IF(AN325&gt;0,AO325/AN325,0)</f>
        <v>0.268817921700875</v>
      </c>
      <c r="AQ325" s="16" t="n">
        <f aca="false">INDEX(Parametros!$I$2:$I$9,MATCH($E325,Parametros!$A$2:$A$9,0))</f>
        <v>17000000</v>
      </c>
      <c r="AR325" s="19" t="n">
        <f aca="false">IF(AQ325&gt;0,AO325/AQ325,0)</f>
        <v>0.00717379270588235</v>
      </c>
    </row>
    <row r="326" customFormat="false" ht="15" hidden="false" customHeight="false" outlineLevel="0" collapsed="false">
      <c r="A326" s="5" t="s">
        <v>461</v>
      </c>
      <c r="B326" s="9" t="n">
        <v>45831</v>
      </c>
      <c r="C326" s="2" t="str">
        <f aca="false">TEXT(B326,"yyyy")</f>
        <v>2025</v>
      </c>
      <c r="D326" s="2" t="n">
        <f aca="false">WEEKNUM(B326,2)</f>
        <v>26</v>
      </c>
      <c r="E326" s="5" t="s">
        <v>138</v>
      </c>
      <c r="F326" s="6" t="str">
        <f aca="false">INDEX(Parametros!$B$2:$B$9,MATCH($E326,Parametros!$A$2:$A$9,0))</f>
        <v>Queso crema</v>
      </c>
      <c r="G326" s="10" t="n">
        <v>125.3</v>
      </c>
      <c r="H326" s="10" t="n">
        <v>7.7</v>
      </c>
      <c r="I326" s="11" t="n">
        <f aca="false">SUMIFS(Eventos_Paro!$J$2:$J$2186,Eventos_Paro!$D$2:$D$2186,$E326,Eventos_Paro!$B$2:$B$2186,$B326)</f>
        <v>4.4</v>
      </c>
      <c r="J326" s="12" t="n">
        <f aca="false">G326-H326-I326</f>
        <v>113.2</v>
      </c>
      <c r="K326" s="13" t="n">
        <v>371178</v>
      </c>
      <c r="L326" s="13" t="n">
        <v>323944</v>
      </c>
      <c r="M326" s="13" t="n">
        <v>15483</v>
      </c>
      <c r="N326" s="14" t="n">
        <f aca="false">L326+M326</f>
        <v>339427</v>
      </c>
      <c r="O326" s="11" t="n">
        <f aca="false">INDEX(Parametros!$D$2:$D$9,MATCH($E326,Parametros!$A$2:$A$9,0))</f>
        <v>3800</v>
      </c>
      <c r="P326" s="15" t="n">
        <f aca="false">IF((G326-H326)&gt;0,J326/(G326-H326),0)</f>
        <v>0.962585034013605</v>
      </c>
      <c r="Q326" s="15" t="n">
        <f aca="false">IF(J326*O326&gt;0,N326/(O326*J326),0)</f>
        <v>0.789071508275991</v>
      </c>
      <c r="R326" s="15" t="n">
        <f aca="false">IF(N326&gt;0,L326/N326,0)</f>
        <v>0.954384889829035</v>
      </c>
      <c r="S326" s="15" t="n">
        <f aca="false">P326*Q326*R326</f>
        <v>0.724901539563194</v>
      </c>
      <c r="T326" s="15" t="n">
        <f aca="false">IF(K326&gt;0,L326/K326,0)</f>
        <v>0.872745690746758</v>
      </c>
      <c r="U326" s="10" t="n">
        <v>2193.9</v>
      </c>
      <c r="V326" s="5" t="n">
        <v>16</v>
      </c>
      <c r="W326" s="10" t="n">
        <v>189.1</v>
      </c>
      <c r="X326" s="15" t="n">
        <f aca="false">IF(U326&gt;0,W326/U326,0)</f>
        <v>0.0861935366242764</v>
      </c>
      <c r="Y326" s="12" t="n">
        <f aca="false">IF(U326&gt;0,L326/U326,0)</f>
        <v>147.656684443229</v>
      </c>
      <c r="Z326" s="16" t="n">
        <f aca="false">L326*INDEX(Parametros!$E$2:$E$9,MATCH($E326,Parametros!$A$2:$A$9,0))</f>
        <v>362817.28</v>
      </c>
      <c r="AA326" s="16" t="n">
        <f aca="false">Z326*INDEX(Parametros!$F$2:$F$9,MATCH($E326,Parametros!$A$2:$A$9,0))</f>
        <v>12698.6048</v>
      </c>
      <c r="AB326" s="17" t="n">
        <f aca="false">Z326+AA326</f>
        <v>375515.8848</v>
      </c>
      <c r="AC326" s="18" t="n">
        <v>370115.54</v>
      </c>
      <c r="AD326" s="17" t="n">
        <f aca="false">AC326-AB326</f>
        <v>-5400.34480000008</v>
      </c>
      <c r="AE326" s="17" t="n">
        <f aca="false">AA326+AD326</f>
        <v>7298.25999999992</v>
      </c>
      <c r="AF326" s="19" t="n">
        <f aca="false">IF(Z326&gt;0,AE326/Z326,0)</f>
        <v>0.0201155248173404</v>
      </c>
      <c r="AG326" s="16" t="n">
        <f aca="false">(U326-W326)*INDEX(Parametros!$H$2:$H$9,MATCH($E326,Parametros!$A$2:$A$9,0))+W326*INDEX(Parametros!$H$2:$H$9,MATCH($E326,Parametros!$A$2:$A$9,0))*Parametros!$N$3</f>
        <v>75518.85</v>
      </c>
      <c r="AH326" s="13" t="n">
        <v>17593</v>
      </c>
      <c r="AI326" s="16" t="n">
        <f aca="false">AH326*Parametros!$N$2</f>
        <v>1618.556</v>
      </c>
      <c r="AJ326" s="18" t="n">
        <v>19895</v>
      </c>
      <c r="AK326" s="18" t="n">
        <v>2996</v>
      </c>
      <c r="AL326" s="17" t="n">
        <f aca="false">AG326+AI326+AJ326+AK326</f>
        <v>100028.406</v>
      </c>
      <c r="AM326" s="20" t="n">
        <f aca="false">IF(L326&gt;0,AL326/L326,0)</f>
        <v>0.308783018052503</v>
      </c>
      <c r="AN326" s="16" t="n">
        <f aca="false">L326*INDEX(Parametros!$G$2:$G$9,MATCH($E326,Parametros!$A$2:$A$9,0))</f>
        <v>579859.76</v>
      </c>
      <c r="AO326" s="17" t="n">
        <f aca="false">AN326-AC326-AL326</f>
        <v>109715.814</v>
      </c>
      <c r="AP326" s="15" t="n">
        <f aca="false">IF(AN326&gt;0,AO326/AN326,0)</f>
        <v>0.189210946453674</v>
      </c>
      <c r="AQ326" s="16" t="n">
        <f aca="false">INDEX(Parametros!$I$2:$I$9,MATCH($E326,Parametros!$A$2:$A$9,0))</f>
        <v>33200000</v>
      </c>
      <c r="AR326" s="19" t="n">
        <f aca="false">IF(AQ326&gt;0,AO326/AQ326,0)</f>
        <v>0.00330469319277109</v>
      </c>
    </row>
    <row r="327" customFormat="false" ht="15" hidden="false" customHeight="false" outlineLevel="0" collapsed="false">
      <c r="A327" s="5" t="s">
        <v>462</v>
      </c>
      <c r="B327" s="9" t="n">
        <v>45831</v>
      </c>
      <c r="C327" s="2" t="str">
        <f aca="false">TEXT(B327,"yyyy")</f>
        <v>2025</v>
      </c>
      <c r="D327" s="2" t="n">
        <f aca="false">WEEKNUM(B327,2)</f>
        <v>26</v>
      </c>
      <c r="E327" s="5" t="s">
        <v>140</v>
      </c>
      <c r="F327" s="6" t="str">
        <f aca="false">INDEX(Parametros!$B$2:$B$9,MATCH($E327,Parametros!$A$2:$A$9,0))</f>
        <v>Crema de cacahuate</v>
      </c>
      <c r="G327" s="10" t="n">
        <v>109.1</v>
      </c>
      <c r="H327" s="10" t="n">
        <v>5.5</v>
      </c>
      <c r="I327" s="11" t="n">
        <f aca="false">SUMIFS(Eventos_Paro!$J$2:$J$2186,Eventos_Paro!$D$2:$D$2186,$E327,Eventos_Paro!$B$2:$B$2186,$B327)</f>
        <v>0.35</v>
      </c>
      <c r="J327" s="12" t="n">
        <f aca="false">G327-H327-I327</f>
        <v>103.25</v>
      </c>
      <c r="K327" s="13" t="n">
        <v>361410</v>
      </c>
      <c r="L327" s="13" t="n">
        <v>369875</v>
      </c>
      <c r="M327" s="13" t="n">
        <v>10102</v>
      </c>
      <c r="N327" s="14" t="n">
        <f aca="false">L327+M327</f>
        <v>379977</v>
      </c>
      <c r="O327" s="11" t="n">
        <f aca="false">INDEX(Parametros!$D$2:$D$9,MATCH($E327,Parametros!$A$2:$A$9,0))</f>
        <v>4200</v>
      </c>
      <c r="P327" s="15" t="n">
        <f aca="false">IF((G327-H327)&gt;0,J327/(G327-H327),0)</f>
        <v>0.996621621621622</v>
      </c>
      <c r="Q327" s="15" t="n">
        <f aca="false">IF(J327*O327&gt;0,N327/(O327*J327),0)</f>
        <v>0.876229678312003</v>
      </c>
      <c r="R327" s="15" t="n">
        <f aca="false">IF(N327&gt;0,L327/N327,0)</f>
        <v>0.973414180331968</v>
      </c>
      <c r="S327" s="15" t="n">
        <f aca="false">P327*Q327*R327</f>
        <v>0.850052858981431</v>
      </c>
      <c r="T327" s="15" t="n">
        <f aca="false">IF(K327&gt;0,L327/K327,0)</f>
        <v>1.02342215212639</v>
      </c>
      <c r="U327" s="10" t="n">
        <v>1486.1</v>
      </c>
      <c r="V327" s="5" t="n">
        <v>13</v>
      </c>
      <c r="W327" s="10" t="n">
        <v>67.8</v>
      </c>
      <c r="X327" s="15" t="n">
        <f aca="false">IF(U327&gt;0,W327/U327,0)</f>
        <v>0.0456227710113721</v>
      </c>
      <c r="Y327" s="12" t="n">
        <f aca="false">IF(U327&gt;0,L327/U327,0)</f>
        <v>248.889711324945</v>
      </c>
      <c r="Z327" s="16" t="n">
        <f aca="false">L327*INDEX(Parametros!$E$2:$E$9,MATCH($E327,Parametros!$A$2:$A$9,0))</f>
        <v>358778.75</v>
      </c>
      <c r="AA327" s="16" t="n">
        <f aca="false">Z327*INDEX(Parametros!$F$2:$F$9,MATCH($E327,Parametros!$A$2:$A$9,0))</f>
        <v>7893.1325</v>
      </c>
      <c r="AB327" s="17" t="n">
        <f aca="false">Z327+AA327</f>
        <v>366671.8825</v>
      </c>
      <c r="AC327" s="18" t="n">
        <v>361727.62</v>
      </c>
      <c r="AD327" s="17" t="n">
        <f aca="false">AC327-AB327</f>
        <v>-4944.26250000001</v>
      </c>
      <c r="AE327" s="17" t="n">
        <f aca="false">AA327+AD327</f>
        <v>2948.86999999999</v>
      </c>
      <c r="AF327" s="19" t="n">
        <f aca="false">IF(Z327&gt;0,AE327/Z327,0)</f>
        <v>0.00821918800932326</v>
      </c>
      <c r="AG327" s="16" t="n">
        <f aca="false">(U327-W327)*INDEX(Parametros!$H$2:$H$9,MATCH($E327,Parametros!$A$2:$A$9,0))+W327*INDEX(Parametros!$H$2:$H$9,MATCH($E327,Parametros!$A$2:$A$9,0))*Parametros!$N$3</f>
        <v>47880</v>
      </c>
      <c r="AH327" s="13" t="n">
        <v>19786</v>
      </c>
      <c r="AI327" s="16" t="n">
        <f aca="false">AH327*Parametros!$N$2</f>
        <v>1820.312</v>
      </c>
      <c r="AJ327" s="18" t="n">
        <v>11182</v>
      </c>
      <c r="AK327" s="18" t="n">
        <v>273</v>
      </c>
      <c r="AL327" s="17" t="n">
        <f aca="false">AG327+AI327+AJ327+AK327</f>
        <v>61155.312</v>
      </c>
      <c r="AM327" s="20" t="n">
        <f aca="false">IF(L327&gt;0,AL327/L327,0)</f>
        <v>0.165340485299088</v>
      </c>
      <c r="AN327" s="16" t="n">
        <f aca="false">L327*INDEX(Parametros!$G$2:$G$9,MATCH($E327,Parametros!$A$2:$A$9,0))</f>
        <v>599197.5</v>
      </c>
      <c r="AO327" s="17" t="n">
        <f aca="false">AN327-AC327-AL327</f>
        <v>176314.568</v>
      </c>
      <c r="AP327" s="15" t="n">
        <f aca="false">IF(AN327&gt;0,AO327/AN327,0)</f>
        <v>0.294251174278931</v>
      </c>
      <c r="AQ327" s="16" t="n">
        <f aca="false">INDEX(Parametros!$I$2:$I$9,MATCH($E327,Parametros!$A$2:$A$9,0))</f>
        <v>28000000</v>
      </c>
      <c r="AR327" s="19" t="n">
        <f aca="false">IF(AQ327&gt;0,AO327/AQ327,0)</f>
        <v>0.00629694885714286</v>
      </c>
    </row>
    <row r="328" customFormat="false" ht="15" hidden="false" customHeight="false" outlineLevel="0" collapsed="false">
      <c r="A328" s="5" t="s">
        <v>463</v>
      </c>
      <c r="B328" s="9" t="n">
        <v>45831</v>
      </c>
      <c r="C328" s="2" t="str">
        <f aca="false">TEXT(B328,"yyyy")</f>
        <v>2025</v>
      </c>
      <c r="D328" s="2" t="n">
        <f aca="false">WEEKNUM(B328,2)</f>
        <v>26</v>
      </c>
      <c r="E328" s="5" t="s">
        <v>142</v>
      </c>
      <c r="F328" s="6" t="str">
        <f aca="false">INDEX(Parametros!$B$2:$B$9,MATCH($E328,Parametros!$A$2:$A$9,0))</f>
        <v>Porciones single serve</v>
      </c>
      <c r="G328" s="10" t="n">
        <v>138</v>
      </c>
      <c r="H328" s="10" t="n">
        <v>8</v>
      </c>
      <c r="I328" s="11" t="n">
        <f aca="false">SUMIFS(Eventos_Paro!$J$2:$J$2186,Eventos_Paro!$D$2:$D$2186,$E328,Eventos_Paro!$B$2:$B$2186,$B328)</f>
        <v>0.383333333333333</v>
      </c>
      <c r="J328" s="12" t="n">
        <f aca="false">G328-H328-I328</f>
        <v>129.616666666667</v>
      </c>
      <c r="K328" s="13" t="n">
        <v>280743</v>
      </c>
      <c r="L328" s="13" t="n">
        <v>242976</v>
      </c>
      <c r="M328" s="13" t="n">
        <v>12113</v>
      </c>
      <c r="N328" s="14" t="n">
        <f aca="false">L328+M328</f>
        <v>255089</v>
      </c>
      <c r="O328" s="11" t="n">
        <f aca="false">INDEX(Parametros!$D$2:$D$9,MATCH($E328,Parametros!$A$2:$A$9,0))</f>
        <v>2600</v>
      </c>
      <c r="P328" s="15" t="n">
        <f aca="false">IF((G328-H328)&gt;0,J328/(G328-H328),0)</f>
        <v>0.997051282051282</v>
      </c>
      <c r="Q328" s="15" t="n">
        <f aca="false">IF(J328*O328&gt;0,N328/(O328*J328),0)</f>
        <v>0.756933165844057</v>
      </c>
      <c r="R328" s="15" t="n">
        <f aca="false">IF(N328&gt;0,L328/N328,0)</f>
        <v>0.952514612546993</v>
      </c>
      <c r="S328" s="15" t="n">
        <f aca="false">P328*Q328*R328</f>
        <v>0.718863905325444</v>
      </c>
      <c r="T328" s="15" t="n">
        <f aca="false">IF(K328&gt;0,L328/K328,0)</f>
        <v>0.865474829292271</v>
      </c>
      <c r="U328" s="10" t="n">
        <v>2201.3</v>
      </c>
      <c r="V328" s="5" t="n">
        <v>15</v>
      </c>
      <c r="W328" s="10" t="n">
        <v>131.3</v>
      </c>
      <c r="X328" s="15" t="n">
        <f aca="false">IF(U328&gt;0,W328/U328,0)</f>
        <v>0.0596465724798982</v>
      </c>
      <c r="Y328" s="12" t="n">
        <f aca="false">IF(U328&gt;0,L328/U328,0)</f>
        <v>110.378412756099</v>
      </c>
      <c r="Z328" s="16" t="n">
        <f aca="false">L328*INDEX(Parametros!$E$2:$E$9,MATCH($E328,Parametros!$A$2:$A$9,0))</f>
        <v>179802.24</v>
      </c>
      <c r="AA328" s="16" t="n">
        <f aca="false">Z328*INDEX(Parametros!$F$2:$F$9,MATCH($E328,Parametros!$A$2:$A$9,0))</f>
        <v>8091.1008</v>
      </c>
      <c r="AB328" s="17" t="n">
        <f aca="false">Z328+AA328</f>
        <v>187893.3408</v>
      </c>
      <c r="AC328" s="18" t="n">
        <v>184400.93</v>
      </c>
      <c r="AD328" s="17" t="n">
        <f aca="false">AC328-AB328</f>
        <v>-3492.41079999998</v>
      </c>
      <c r="AE328" s="17" t="n">
        <f aca="false">AA328+AD328</f>
        <v>4598.69000000002</v>
      </c>
      <c r="AF328" s="19" t="n">
        <f aca="false">IF(Z328&gt;0,AE328/Z328,0)</f>
        <v>0.0255763776914015</v>
      </c>
      <c r="AG328" s="16" t="n">
        <f aca="false">(U328-W328)*INDEX(Parametros!$H$2:$H$9,MATCH($E328,Parametros!$A$2:$A$9,0))+W328*INDEX(Parametros!$H$2:$H$9,MATCH($E328,Parametros!$A$2:$A$9,0))*Parametros!$N$3</f>
        <v>68008.5</v>
      </c>
      <c r="AH328" s="13" t="n">
        <v>13763</v>
      </c>
      <c r="AI328" s="16" t="n">
        <f aca="false">AH328*Parametros!$N$2</f>
        <v>1266.196</v>
      </c>
      <c r="AJ328" s="18" t="n">
        <v>13375</v>
      </c>
      <c r="AK328" s="18" t="n">
        <v>475</v>
      </c>
      <c r="AL328" s="17" t="n">
        <f aca="false">AG328+AI328+AJ328+AK328</f>
        <v>83124.696</v>
      </c>
      <c r="AM328" s="20" t="n">
        <f aca="false">IF(L328&gt;0,AL328/L328,0)</f>
        <v>0.342110726985381</v>
      </c>
      <c r="AN328" s="16" t="n">
        <f aca="false">L328*INDEX(Parametros!$G$2:$G$9,MATCH($E328,Parametros!$A$2:$A$9,0))</f>
        <v>417918.72</v>
      </c>
      <c r="AO328" s="17" t="n">
        <f aca="false">AN328-AC328-AL328</f>
        <v>150393.094</v>
      </c>
      <c r="AP328" s="15" t="n">
        <f aca="false">IF(AN328&gt;0,AO328/AN328,0)</f>
        <v>0.359862066001734</v>
      </c>
      <c r="AQ328" s="16" t="n">
        <f aca="false">INDEX(Parametros!$I$2:$I$9,MATCH($E328,Parametros!$A$2:$A$9,0))</f>
        <v>15900000</v>
      </c>
      <c r="AR328" s="19" t="n">
        <f aca="false">IF(AQ328&gt;0,AO328/AQ328,0)</f>
        <v>0.0094586851572327</v>
      </c>
    </row>
    <row r="329" customFormat="false" ht="15" hidden="false" customHeight="false" outlineLevel="0" collapsed="false">
      <c r="A329" s="5" t="s">
        <v>464</v>
      </c>
      <c r="B329" s="9" t="n">
        <v>45831</v>
      </c>
      <c r="C329" s="2" t="str">
        <f aca="false">TEXT(B329,"yyyy")</f>
        <v>2025</v>
      </c>
      <c r="D329" s="2" t="n">
        <f aca="false">WEEKNUM(B329,2)</f>
        <v>26</v>
      </c>
      <c r="E329" s="5" t="s">
        <v>144</v>
      </c>
      <c r="F329" s="6" t="str">
        <f aca="false">INDEX(Parametros!$B$2:$B$9,MATCH($E329,Parametros!$A$2:$A$9,0))</f>
        <v>Salsas picantes</v>
      </c>
      <c r="G329" s="10" t="n">
        <v>95.5</v>
      </c>
      <c r="H329" s="10" t="n">
        <v>5.1</v>
      </c>
      <c r="I329" s="11" t="n">
        <f aca="false">SUMIFS(Eventos_Paro!$J$2:$J$2186,Eventos_Paro!$D$2:$D$2186,$E329,Eventos_Paro!$B$2:$B$2186,$B329)</f>
        <v>0</v>
      </c>
      <c r="J329" s="12" t="n">
        <f aca="false">G329-H329-I329</f>
        <v>90.4</v>
      </c>
      <c r="K329" s="13" t="n">
        <v>211172</v>
      </c>
      <c r="L329" s="13" t="n">
        <v>233389</v>
      </c>
      <c r="M329" s="13" t="n">
        <v>5865</v>
      </c>
      <c r="N329" s="14" t="n">
        <f aca="false">L329+M329</f>
        <v>239254</v>
      </c>
      <c r="O329" s="11" t="n">
        <f aca="false">INDEX(Parametros!$D$2:$D$9,MATCH($E329,Parametros!$A$2:$A$9,0))</f>
        <v>3100</v>
      </c>
      <c r="P329" s="15" t="n">
        <f aca="false">IF((G329-H329)&gt;0,J329/(G329-H329),0)</f>
        <v>1</v>
      </c>
      <c r="Q329" s="15" t="n">
        <f aca="false">IF(J329*O329&gt;0,N329/(O329*J329),0)</f>
        <v>0.853746788467028</v>
      </c>
      <c r="R329" s="15" t="n">
        <f aca="false">IF(N329&gt;0,L329/N329,0)</f>
        <v>0.975486303259298</v>
      </c>
      <c r="S329" s="15" t="n">
        <f aca="false">P329*Q329*R329</f>
        <v>0.832818298601199</v>
      </c>
      <c r="T329" s="15" t="n">
        <f aca="false">IF(K329&gt;0,L329/K329,0)</f>
        <v>1.10520807682837</v>
      </c>
      <c r="U329" s="10" t="n">
        <v>884.3</v>
      </c>
      <c r="V329" s="5" t="n">
        <v>9</v>
      </c>
      <c r="W329" s="10" t="n">
        <v>24.8</v>
      </c>
      <c r="X329" s="15" t="n">
        <f aca="false">IF(U329&gt;0,W329/U329,0)</f>
        <v>0.0280447811828565</v>
      </c>
      <c r="Y329" s="12" t="n">
        <f aca="false">IF(U329&gt;0,L329/U329,0)</f>
        <v>263.925138527649</v>
      </c>
      <c r="Z329" s="16" t="n">
        <f aca="false">L329*INDEX(Parametros!$E$2:$E$9,MATCH($E329,Parametros!$A$2:$A$9,0))</f>
        <v>154036.74</v>
      </c>
      <c r="AA329" s="16" t="n">
        <f aca="false">Z329*INDEX(Parametros!$F$2:$F$9,MATCH($E329,Parametros!$A$2:$A$9,0))</f>
        <v>4004.95524</v>
      </c>
      <c r="AB329" s="17" t="n">
        <f aca="false">Z329+AA329</f>
        <v>158041.69524</v>
      </c>
      <c r="AC329" s="18" t="n">
        <v>157884.62</v>
      </c>
      <c r="AD329" s="17" t="n">
        <f aca="false">AC329-AB329</f>
        <v>-157.075240000035</v>
      </c>
      <c r="AE329" s="17" t="n">
        <f aca="false">AA329+AD329</f>
        <v>3847.87999999997</v>
      </c>
      <c r="AF329" s="19" t="n">
        <f aca="false">IF(Z329&gt;0,AE329/Z329,0)</f>
        <v>0.0249802741865348</v>
      </c>
      <c r="AG329" s="16" t="n">
        <f aca="false">(U329-W329)*INDEX(Parametros!$H$2:$H$9,MATCH($E329,Parametros!$A$2:$A$9,0))+W329*INDEX(Parametros!$H$2:$H$9,MATCH($E329,Parametros!$A$2:$A$9,0))*Parametros!$N$3</f>
        <v>28246.05</v>
      </c>
      <c r="AH329" s="13" t="n">
        <v>12271</v>
      </c>
      <c r="AI329" s="16" t="n">
        <f aca="false">AH329*Parametros!$N$2</f>
        <v>1128.932</v>
      </c>
      <c r="AJ329" s="18" t="n">
        <v>6163</v>
      </c>
      <c r="AK329" s="18" t="n">
        <v>0</v>
      </c>
      <c r="AL329" s="17" t="n">
        <f aca="false">AG329+AI329+AJ329+AK329</f>
        <v>35537.982</v>
      </c>
      <c r="AM329" s="20" t="n">
        <f aca="false">IF(L329&gt;0,AL329/L329,0)</f>
        <v>0.152269310036034</v>
      </c>
      <c r="AN329" s="16" t="n">
        <f aca="false">L329*INDEX(Parametros!$G$2:$G$9,MATCH($E329,Parametros!$A$2:$A$9,0))</f>
        <v>291736.25</v>
      </c>
      <c r="AO329" s="17" t="n">
        <f aca="false">AN329-AC329-AL329</f>
        <v>98313.648</v>
      </c>
      <c r="AP329" s="15" t="n">
        <f aca="false">IF(AN329&gt;0,AO329/AN329,0)</f>
        <v>0.336994967200682</v>
      </c>
      <c r="AQ329" s="16" t="n">
        <f aca="false">INDEX(Parametros!$I$2:$I$9,MATCH($E329,Parametros!$A$2:$A$9,0))</f>
        <v>13300000</v>
      </c>
      <c r="AR329" s="19" t="n">
        <f aca="false">IF(AQ329&gt;0,AO329/AQ329,0)</f>
        <v>0.00739200360902256</v>
      </c>
    </row>
    <row r="330" customFormat="false" ht="15" hidden="false" customHeight="false" outlineLevel="0" collapsed="false">
      <c r="A330" s="5" t="s">
        <v>465</v>
      </c>
      <c r="B330" s="9" t="n">
        <v>45838</v>
      </c>
      <c r="C330" s="2" t="str">
        <f aca="false">TEXT(B330,"yyyy")</f>
        <v>2025</v>
      </c>
      <c r="D330" s="2" t="n">
        <f aca="false">WEEKNUM(B330,2)</f>
        <v>27</v>
      </c>
      <c r="E330" s="5" t="s">
        <v>130</v>
      </c>
      <c r="F330" s="6" t="str">
        <f aca="false">INDEX(Parametros!$B$2:$B$9,MATCH($E330,Parametros!$A$2:$A$9,0))</f>
        <v>Ketchup botella</v>
      </c>
      <c r="G330" s="10" t="n">
        <v>105.7</v>
      </c>
      <c r="H330" s="10" t="n">
        <v>7.3</v>
      </c>
      <c r="I330" s="11" t="n">
        <f aca="false">SUMIFS(Eventos_Paro!$J$2:$J$2186,Eventos_Paro!$D$2:$D$2186,$E330,Eventos_Paro!$B$2:$B$2186,$B330)</f>
        <v>3.5</v>
      </c>
      <c r="J330" s="12" t="n">
        <f aca="false">G330-H330-I330</f>
        <v>94.9</v>
      </c>
      <c r="K330" s="13" t="n">
        <v>736379</v>
      </c>
      <c r="L330" s="13" t="n">
        <v>747943</v>
      </c>
      <c r="M330" s="13" t="n">
        <v>21266</v>
      </c>
      <c r="N330" s="14" t="n">
        <f aca="false">L330+M330</f>
        <v>769209</v>
      </c>
      <c r="O330" s="11" t="n">
        <f aca="false">INDEX(Parametros!$D$2:$D$9,MATCH($E330,Parametros!$A$2:$A$9,0))</f>
        <v>9000</v>
      </c>
      <c r="P330" s="15" t="n">
        <f aca="false">IF((G330-H330)&gt;0,J330/(G330-H330),0)</f>
        <v>0.964430894308943</v>
      </c>
      <c r="Q330" s="15" t="n">
        <f aca="false">IF(J330*O330&gt;0,N330/(O330*J330),0)</f>
        <v>0.900607657183</v>
      </c>
      <c r="R330" s="15" t="n">
        <f aca="false">IF(N330&gt;0,L330/N330,0)</f>
        <v>0.972353417601718</v>
      </c>
      <c r="S330" s="15" t="n">
        <f aca="false">P330*Q330*R330</f>
        <v>0.844560749774164</v>
      </c>
      <c r="T330" s="15" t="n">
        <f aca="false">IF(K330&gt;0,L330/K330,0)</f>
        <v>1.01570386988222</v>
      </c>
      <c r="U330" s="10" t="n">
        <v>1602.1</v>
      </c>
      <c r="V330" s="5" t="n">
        <v>14</v>
      </c>
      <c r="W330" s="10" t="n">
        <v>122.3</v>
      </c>
      <c r="X330" s="15" t="n">
        <f aca="false">IF(U330&gt;0,W330/U330,0)</f>
        <v>0.0763373072841895</v>
      </c>
      <c r="Y330" s="12" t="n">
        <f aca="false">IF(U330&gt;0,L330/U330,0)</f>
        <v>466.851632232695</v>
      </c>
      <c r="Z330" s="16" t="n">
        <f aca="false">L330*INDEX(Parametros!$E$2:$E$9,MATCH($E330,Parametros!$A$2:$A$9,0))</f>
        <v>314136.06</v>
      </c>
      <c r="AA330" s="16" t="n">
        <f aca="false">Z330*INDEX(Parametros!$F$2:$F$9,MATCH($E330,Parametros!$A$2:$A$9,0))</f>
        <v>6282.7212</v>
      </c>
      <c r="AB330" s="17" t="n">
        <f aca="false">Z330+AA330</f>
        <v>320418.7812</v>
      </c>
      <c r="AC330" s="18" t="n">
        <v>318263.38</v>
      </c>
      <c r="AD330" s="17" t="n">
        <f aca="false">AC330-AB330</f>
        <v>-2155.40119999996</v>
      </c>
      <c r="AE330" s="17" t="n">
        <f aca="false">AA330+AD330</f>
        <v>4127.32000000004</v>
      </c>
      <c r="AF330" s="19" t="n">
        <f aca="false">IF(Z330&gt;0,AE330/Z330,0)</f>
        <v>0.0131386380793088</v>
      </c>
      <c r="AG330" s="16" t="n">
        <f aca="false">(U330-W330)*INDEX(Parametros!$H$2:$H$9,MATCH($E330,Parametros!$A$2:$A$9,0))+W330*INDEX(Parametros!$H$2:$H$9,MATCH($E330,Parametros!$A$2:$A$9,0))*Parametros!$N$3</f>
        <v>52392.375</v>
      </c>
      <c r="AH330" s="13" t="n">
        <v>37137</v>
      </c>
      <c r="AI330" s="16" t="n">
        <f aca="false">AH330*Parametros!$N$2</f>
        <v>3416.604</v>
      </c>
      <c r="AJ330" s="18" t="n">
        <v>18191</v>
      </c>
      <c r="AK330" s="18" t="n">
        <v>2862</v>
      </c>
      <c r="AL330" s="17" t="n">
        <f aca="false">AG330+AI330+AJ330+AK330</f>
        <v>76861.979</v>
      </c>
      <c r="AM330" s="20" t="n">
        <f aca="false">IF(L330&gt;0,AL330/L330,0)</f>
        <v>0.102764487400778</v>
      </c>
      <c r="AN330" s="16" t="n">
        <f aca="false">L330*INDEX(Parametros!$G$2:$G$9,MATCH($E330,Parametros!$A$2:$A$9,0))</f>
        <v>531039.53</v>
      </c>
      <c r="AO330" s="17" t="n">
        <f aca="false">AN330-AC330-AL330</f>
        <v>135914.171</v>
      </c>
      <c r="AP330" s="15" t="n">
        <f aca="false">IF(AN330&gt;0,AO330/AN330,0)</f>
        <v>0.255939837473116</v>
      </c>
      <c r="AQ330" s="16" t="n">
        <f aca="false">INDEX(Parametros!$I$2:$I$9,MATCH($E330,Parametros!$A$2:$A$9,0))</f>
        <v>29300000</v>
      </c>
      <c r="AR330" s="19" t="n">
        <f aca="false">IF(AQ330&gt;0,AO330/AQ330,0)</f>
        <v>0.00463870890784983</v>
      </c>
    </row>
    <row r="331" customFormat="false" ht="15" hidden="false" customHeight="false" outlineLevel="0" collapsed="false">
      <c r="A331" s="5" t="s">
        <v>466</v>
      </c>
      <c r="B331" s="9" t="n">
        <v>45838</v>
      </c>
      <c r="C331" s="2" t="str">
        <f aca="false">TEXT(B331,"yyyy")</f>
        <v>2025</v>
      </c>
      <c r="D331" s="2" t="n">
        <f aca="false">WEEKNUM(B331,2)</f>
        <v>27</v>
      </c>
      <c r="E331" s="5" t="s">
        <v>132</v>
      </c>
      <c r="F331" s="6" t="str">
        <f aca="false">INDEX(Parametros!$B$2:$B$9,MATCH($E331,Parametros!$A$2:$A$9,0))</f>
        <v>Mayonesa frasco</v>
      </c>
      <c r="G331" s="10" t="n">
        <v>123.9</v>
      </c>
      <c r="H331" s="10" t="n">
        <v>7</v>
      </c>
      <c r="I331" s="11" t="n">
        <f aca="false">SUMIFS(Eventos_Paro!$J$2:$J$2186,Eventos_Paro!$D$2:$D$2186,$E331,Eventos_Paro!$B$2:$B$2186,$B331)</f>
        <v>1.6</v>
      </c>
      <c r="J331" s="12" t="n">
        <f aca="false">G331-H331-I331</f>
        <v>115.3</v>
      </c>
      <c r="K331" s="13" t="n">
        <v>631818</v>
      </c>
      <c r="L331" s="13" t="n">
        <v>640111</v>
      </c>
      <c r="M331" s="13" t="n">
        <v>18249</v>
      </c>
      <c r="N331" s="14" t="n">
        <f aca="false">L331+M331</f>
        <v>658360</v>
      </c>
      <c r="O331" s="11" t="n">
        <f aca="false">INDEX(Parametros!$D$2:$D$9,MATCH($E331,Parametros!$A$2:$A$9,0))</f>
        <v>6500</v>
      </c>
      <c r="P331" s="15" t="n">
        <f aca="false">IF((G331-H331)&gt;0,J331/(G331-H331),0)</f>
        <v>0.986313088109495</v>
      </c>
      <c r="Q331" s="15" t="n">
        <f aca="false">IF(J331*O331&gt;0,N331/(O331*J331),0)</f>
        <v>0.878457535526052</v>
      </c>
      <c r="R331" s="15" t="n">
        <f aca="false">IF(N331&gt;0,L331/N331,0)</f>
        <v>0.972281122789963</v>
      </c>
      <c r="S331" s="15" t="n">
        <f aca="false">P331*Q331*R331</f>
        <v>0.842417582417582</v>
      </c>
      <c r="T331" s="15" t="n">
        <f aca="false">IF(K331&gt;0,L331/K331,0)</f>
        <v>1.01312561528795</v>
      </c>
      <c r="U331" s="10" t="n">
        <v>1848.7</v>
      </c>
      <c r="V331" s="5" t="n">
        <v>14</v>
      </c>
      <c r="W331" s="10" t="n">
        <v>114.1</v>
      </c>
      <c r="X331" s="15" t="n">
        <f aca="false">IF(U331&gt;0,W331/U331,0)</f>
        <v>0.0617190458159788</v>
      </c>
      <c r="Y331" s="12" t="n">
        <f aca="false">IF(U331&gt;0,L331/U331,0)</f>
        <v>346.249256234111</v>
      </c>
      <c r="Z331" s="16" t="n">
        <f aca="false">L331*INDEX(Parametros!$E$2:$E$9,MATCH($E331,Parametros!$A$2:$A$9,0))</f>
        <v>390467.71</v>
      </c>
      <c r="AA331" s="16" t="n">
        <f aca="false">Z331*INDEX(Parametros!$F$2:$F$9,MATCH($E331,Parametros!$A$2:$A$9,0))</f>
        <v>9761.69275</v>
      </c>
      <c r="AB331" s="17" t="n">
        <f aca="false">Z331+AA331</f>
        <v>400229.40275</v>
      </c>
      <c r="AC331" s="18" t="n">
        <v>400137.12</v>
      </c>
      <c r="AD331" s="17" t="n">
        <f aca="false">AC331-AB331</f>
        <v>-92.2827499999548</v>
      </c>
      <c r="AE331" s="17" t="n">
        <f aca="false">AA331+AD331</f>
        <v>9669.41000000005</v>
      </c>
      <c r="AF331" s="19" t="n">
        <f aca="false">IF(Z331&gt;0,AE331/Z331,0)</f>
        <v>0.0247636609951692</v>
      </c>
      <c r="AG331" s="16" t="n">
        <f aca="false">(U331-W331)*INDEX(Parametros!$H$2:$H$9,MATCH($E331,Parametros!$A$2:$A$9,0))+W331*INDEX(Parametros!$H$2:$H$9,MATCH($E331,Parametros!$A$2:$A$9,0))*Parametros!$N$3</f>
        <v>60031.125</v>
      </c>
      <c r="AH331" s="13" t="n">
        <v>34534</v>
      </c>
      <c r="AI331" s="16" t="n">
        <f aca="false">AH331*Parametros!$N$2</f>
        <v>3177.128</v>
      </c>
      <c r="AJ331" s="18" t="n">
        <v>12091</v>
      </c>
      <c r="AK331" s="18" t="n">
        <v>1167</v>
      </c>
      <c r="AL331" s="17" t="n">
        <f aca="false">AG331+AI331+AJ331+AK331</f>
        <v>76466.253</v>
      </c>
      <c r="AM331" s="20" t="n">
        <f aca="false">IF(L331&gt;0,AL331/L331,0)</f>
        <v>0.119457801849992</v>
      </c>
      <c r="AN331" s="16" t="n">
        <f aca="false">L331*INDEX(Parametros!$G$2:$G$9,MATCH($E331,Parametros!$A$2:$A$9,0))</f>
        <v>614506.56</v>
      </c>
      <c r="AO331" s="17" t="n">
        <f aca="false">AN331-AC331-AL331</f>
        <v>137903.187</v>
      </c>
      <c r="AP331" s="15" t="n">
        <f aca="false">IF(AN331&gt;0,AO331/AN331,0)</f>
        <v>0.224412880148912</v>
      </c>
      <c r="AQ331" s="16" t="n">
        <f aca="false">INDEX(Parametros!$I$2:$I$9,MATCH($E331,Parametros!$A$2:$A$9,0))</f>
        <v>29700000</v>
      </c>
      <c r="AR331" s="19" t="n">
        <f aca="false">IF(AQ331&gt;0,AO331/AQ331,0)</f>
        <v>0.00464320494949495</v>
      </c>
    </row>
    <row r="332" customFormat="false" ht="15" hidden="false" customHeight="false" outlineLevel="0" collapsed="false">
      <c r="A332" s="5" t="s">
        <v>467</v>
      </c>
      <c r="B332" s="9" t="n">
        <v>45838</v>
      </c>
      <c r="C332" s="2" t="str">
        <f aca="false">TEXT(B332,"yyyy")</f>
        <v>2025</v>
      </c>
      <c r="D332" s="2" t="n">
        <f aca="false">WEEKNUM(B332,2)</f>
        <v>27</v>
      </c>
      <c r="E332" s="5" t="s">
        <v>134</v>
      </c>
      <c r="F332" s="6" t="str">
        <f aca="false">INDEX(Parametros!$B$2:$B$9,MATCH($E332,Parametros!$A$2:$A$9,0))</f>
        <v>Aderezos vertibles</v>
      </c>
      <c r="G332" s="10" t="n">
        <v>118.3</v>
      </c>
      <c r="H332" s="10" t="n">
        <v>7.7</v>
      </c>
      <c r="I332" s="11" t="n">
        <f aca="false">SUMIFS(Eventos_Paro!$J$2:$J$2186,Eventos_Paro!$D$2:$D$2186,$E332,Eventos_Paro!$B$2:$B$2186,$B332)</f>
        <v>2.66666666666667</v>
      </c>
      <c r="J332" s="12" t="n">
        <f aca="false">G332-H332-I332</f>
        <v>107.933333333333</v>
      </c>
      <c r="K332" s="13" t="n">
        <v>478214</v>
      </c>
      <c r="L332" s="13" t="n">
        <v>422553</v>
      </c>
      <c r="M332" s="13" t="n">
        <v>17061</v>
      </c>
      <c r="N332" s="14" t="n">
        <f aca="false">L332+M332</f>
        <v>439614</v>
      </c>
      <c r="O332" s="11" t="n">
        <f aca="false">INDEX(Parametros!$D$2:$D$9,MATCH($E332,Parametros!$A$2:$A$9,0))</f>
        <v>5200</v>
      </c>
      <c r="P332" s="15" t="n">
        <f aca="false">IF((G332-H332)&gt;0,J332/(G332-H332),0)</f>
        <v>0.97588908981314</v>
      </c>
      <c r="Q332" s="15" t="n">
        <f aca="false">IF(J332*O332&gt;0,N332/(O332*J332),0)</f>
        <v>0.783271962750036</v>
      </c>
      <c r="R332" s="15" t="n">
        <f aca="false">IF(N332&gt;0,L332/N332,0)</f>
        <v>0.96119095388227</v>
      </c>
      <c r="S332" s="15" t="n">
        <f aca="false">P332*Q332*R332</f>
        <v>0.734721449436639</v>
      </c>
      <c r="T332" s="15" t="n">
        <f aca="false">IF(K332&gt;0,L332/K332,0)</f>
        <v>0.883606502528157</v>
      </c>
      <c r="U332" s="10" t="n">
        <v>1525</v>
      </c>
      <c r="V332" s="5" t="n">
        <v>12</v>
      </c>
      <c r="W332" s="10" t="n">
        <v>105.4</v>
      </c>
      <c r="X332" s="15" t="n">
        <f aca="false">IF(U332&gt;0,W332/U332,0)</f>
        <v>0.0691147540983607</v>
      </c>
      <c r="Y332" s="12" t="n">
        <f aca="false">IF(U332&gt;0,L332/U332,0)</f>
        <v>277.08393442623</v>
      </c>
      <c r="Z332" s="16" t="n">
        <f aca="false">L332*INDEX(Parametros!$E$2:$E$9,MATCH($E332,Parametros!$A$2:$A$9,0))</f>
        <v>232404.15</v>
      </c>
      <c r="AA332" s="16" t="n">
        <f aca="false">Z332*INDEX(Parametros!$F$2:$F$9,MATCH($E332,Parametros!$A$2:$A$9,0))</f>
        <v>6972.1245</v>
      </c>
      <c r="AB332" s="17" t="n">
        <f aca="false">Z332+AA332</f>
        <v>239376.2745</v>
      </c>
      <c r="AC332" s="18" t="n">
        <v>238081.1</v>
      </c>
      <c r="AD332" s="17" t="n">
        <f aca="false">AC332-AB332</f>
        <v>-1295.17450000002</v>
      </c>
      <c r="AE332" s="17" t="n">
        <f aca="false">AA332+AD332</f>
        <v>5676.94999999998</v>
      </c>
      <c r="AF332" s="19" t="n">
        <f aca="false">IF(Z332&gt;0,AE332/Z332,0)</f>
        <v>0.0244270594995829</v>
      </c>
      <c r="AG332" s="16" t="n">
        <f aca="false">(U332-W332)*INDEX(Parametros!$H$2:$H$9,MATCH($E332,Parametros!$A$2:$A$9,0))+W332*INDEX(Parametros!$H$2:$H$9,MATCH($E332,Parametros!$A$2:$A$9,0))*Parametros!$N$3</f>
        <v>49697.55</v>
      </c>
      <c r="AH332" s="13" t="n">
        <v>22939</v>
      </c>
      <c r="AI332" s="16" t="n">
        <f aca="false">AH332*Parametros!$N$2</f>
        <v>2110.388</v>
      </c>
      <c r="AJ332" s="18" t="n">
        <v>7447</v>
      </c>
      <c r="AK332" s="18" t="n">
        <v>2732</v>
      </c>
      <c r="AL332" s="17" t="n">
        <f aca="false">AG332+AI332+AJ332+AK332</f>
        <v>61986.938</v>
      </c>
      <c r="AM332" s="20" t="n">
        <f aca="false">IF(L332&gt;0,AL332/L332,0)</f>
        <v>0.14669624402146</v>
      </c>
      <c r="AN332" s="16" t="n">
        <f aca="false">L332*INDEX(Parametros!$G$2:$G$9,MATCH($E332,Parametros!$A$2:$A$9,0))</f>
        <v>431004.06</v>
      </c>
      <c r="AO332" s="17" t="n">
        <f aca="false">AN332-AC332-AL332</f>
        <v>130936.022</v>
      </c>
      <c r="AP332" s="15" t="n">
        <f aca="false">IF(AN332&gt;0,AO332/AN332,0)</f>
        <v>0.303793012993892</v>
      </c>
      <c r="AQ332" s="16" t="n">
        <f aca="false">INDEX(Parametros!$I$2:$I$9,MATCH($E332,Parametros!$A$2:$A$9,0))</f>
        <v>19300000</v>
      </c>
      <c r="AR332" s="19" t="n">
        <f aca="false">IF(AQ332&gt;0,AO332/AQ332,0)</f>
        <v>0.00678424984455959</v>
      </c>
    </row>
    <row r="333" customFormat="false" ht="15" hidden="false" customHeight="false" outlineLevel="0" collapsed="false">
      <c r="A333" s="5" t="s">
        <v>468</v>
      </c>
      <c r="B333" s="9" t="n">
        <v>45838</v>
      </c>
      <c r="C333" s="2" t="str">
        <f aca="false">TEXT(B333,"yyyy")</f>
        <v>2025</v>
      </c>
      <c r="D333" s="2" t="n">
        <f aca="false">WEEKNUM(B333,2)</f>
        <v>27</v>
      </c>
      <c r="E333" s="5" t="s">
        <v>136</v>
      </c>
      <c r="F333" s="6" t="str">
        <f aca="false">INDEX(Parametros!$B$2:$B$9,MATCH($E333,Parametros!$A$2:$A$9,0))</f>
        <v>Salsa BBQ</v>
      </c>
      <c r="G333" s="10" t="n">
        <v>120.3</v>
      </c>
      <c r="H333" s="10" t="n">
        <v>6.5</v>
      </c>
      <c r="I333" s="11" t="n">
        <f aca="false">SUMIFS(Eventos_Paro!$J$2:$J$2186,Eventos_Paro!$D$2:$D$2186,$E333,Eventos_Paro!$B$2:$B$2186,$B333)</f>
        <v>3.56666666666667</v>
      </c>
      <c r="J333" s="12" t="n">
        <f aca="false">G333-H333-I333</f>
        <v>110.233333333333</v>
      </c>
      <c r="K333" s="13" t="n">
        <v>514429</v>
      </c>
      <c r="L333" s="13" t="n">
        <v>428109</v>
      </c>
      <c r="M333" s="13" t="n">
        <v>11756</v>
      </c>
      <c r="N333" s="14" t="n">
        <f aca="false">L333+M333</f>
        <v>439865</v>
      </c>
      <c r="O333" s="11" t="n">
        <f aca="false">INDEX(Parametros!$D$2:$D$9,MATCH($E333,Parametros!$A$2:$A$9,0))</f>
        <v>4800</v>
      </c>
      <c r="P333" s="15" t="n">
        <f aca="false">IF((G333-H333)&gt;0,J333/(G333-H333),0)</f>
        <v>0.968658465143527</v>
      </c>
      <c r="Q333" s="15" t="n">
        <f aca="false">IF(J333*O333&gt;0,N333/(O333*J333),0)</f>
        <v>0.831314257635319</v>
      </c>
      <c r="R333" s="15" t="n">
        <f aca="false">IF(N333&gt;0,L333/N333,0)</f>
        <v>0.973273618041899</v>
      </c>
      <c r="S333" s="15" t="n">
        <f aca="false">P333*Q333*R333</f>
        <v>0.783737917398946</v>
      </c>
      <c r="T333" s="15" t="n">
        <f aca="false">IF(K333&gt;0,L333/K333,0)</f>
        <v>0.832202305857563</v>
      </c>
      <c r="U333" s="10" t="n">
        <v>1208.3</v>
      </c>
      <c r="V333" s="5" t="n">
        <v>10</v>
      </c>
      <c r="W333" s="10" t="n">
        <v>5.3</v>
      </c>
      <c r="X333" s="15" t="n">
        <f aca="false">IF(U333&gt;0,W333/U333,0)</f>
        <v>0.00438632789870065</v>
      </c>
      <c r="Y333" s="12" t="n">
        <f aca="false">IF(U333&gt;0,L333/U333,0)</f>
        <v>354.306877431102</v>
      </c>
      <c r="Z333" s="16" t="n">
        <f aca="false">L333*INDEX(Parametros!$E$2:$E$9,MATCH($E333,Parametros!$A$2:$A$9,0))</f>
        <v>248303.22</v>
      </c>
      <c r="AA333" s="16" t="n">
        <f aca="false">Z333*INDEX(Parametros!$F$2:$F$9,MATCH($E333,Parametros!$A$2:$A$9,0))</f>
        <v>6952.49016</v>
      </c>
      <c r="AB333" s="17" t="n">
        <f aca="false">Z333+AA333</f>
        <v>255255.71016</v>
      </c>
      <c r="AC333" s="18" t="n">
        <v>251866.6</v>
      </c>
      <c r="AD333" s="17" t="n">
        <f aca="false">AC333-AB333</f>
        <v>-3389.11015999995</v>
      </c>
      <c r="AE333" s="17" t="n">
        <f aca="false">AA333+AD333</f>
        <v>3563.38000000005</v>
      </c>
      <c r="AF333" s="19" t="n">
        <f aca="false">IF(Z333&gt;0,AE333/Z333,0)</f>
        <v>0.0143509214258279</v>
      </c>
      <c r="AG333" s="16" t="n">
        <f aca="false">(U333-W333)*INDEX(Parametros!$H$2:$H$9,MATCH($E333,Parametros!$A$2:$A$9,0))+W333*INDEX(Parametros!$H$2:$H$9,MATCH($E333,Parametros!$A$2:$A$9,0))*Parametros!$N$3</f>
        <v>38144.925</v>
      </c>
      <c r="AH333" s="13" t="n">
        <v>21389</v>
      </c>
      <c r="AI333" s="16" t="n">
        <f aca="false">AH333*Parametros!$N$2</f>
        <v>1967.788</v>
      </c>
      <c r="AJ333" s="18" t="n">
        <v>9074</v>
      </c>
      <c r="AK333" s="18" t="n">
        <v>3384</v>
      </c>
      <c r="AL333" s="17" t="n">
        <f aca="false">AG333+AI333+AJ333+AK333</f>
        <v>52570.713</v>
      </c>
      <c r="AM333" s="20" t="n">
        <f aca="false">IF(L333&gt;0,AL333/L333,0)</f>
        <v>0.122797495497642</v>
      </c>
      <c r="AN333" s="16" t="n">
        <f aca="false">L333*INDEX(Parametros!$G$2:$G$9,MATCH($E333,Parametros!$A$2:$A$9,0))</f>
        <v>419546.82</v>
      </c>
      <c r="AO333" s="17" t="n">
        <f aca="false">AN333-AC333-AL333</f>
        <v>115109.507</v>
      </c>
      <c r="AP333" s="15" t="n">
        <f aca="false">IF(AN333&gt;0,AO333/AN333,0)</f>
        <v>0.274366295995284</v>
      </c>
      <c r="AQ333" s="16" t="n">
        <f aca="false">INDEX(Parametros!$I$2:$I$9,MATCH($E333,Parametros!$A$2:$A$9,0))</f>
        <v>17000000</v>
      </c>
      <c r="AR333" s="19" t="n">
        <f aca="false">IF(AQ333&gt;0,AO333/AQ333,0)</f>
        <v>0.00677114747058824</v>
      </c>
    </row>
    <row r="334" customFormat="false" ht="15" hidden="false" customHeight="false" outlineLevel="0" collapsed="false">
      <c r="A334" s="5" t="s">
        <v>469</v>
      </c>
      <c r="B334" s="9" t="n">
        <v>45838</v>
      </c>
      <c r="C334" s="2" t="str">
        <f aca="false">TEXT(B334,"yyyy")</f>
        <v>2025</v>
      </c>
      <c r="D334" s="2" t="n">
        <f aca="false">WEEKNUM(B334,2)</f>
        <v>27</v>
      </c>
      <c r="E334" s="5" t="s">
        <v>138</v>
      </c>
      <c r="F334" s="6" t="str">
        <f aca="false">INDEX(Parametros!$B$2:$B$9,MATCH($E334,Parametros!$A$2:$A$9,0))</f>
        <v>Queso crema</v>
      </c>
      <c r="G334" s="10" t="n">
        <v>130.9</v>
      </c>
      <c r="H334" s="10" t="n">
        <v>8.9</v>
      </c>
      <c r="I334" s="11" t="n">
        <f aca="false">SUMIFS(Eventos_Paro!$J$2:$J$2186,Eventos_Paro!$D$2:$D$2186,$E334,Eventos_Paro!$B$2:$B$2186,$B334)</f>
        <v>3.45</v>
      </c>
      <c r="J334" s="12" t="n">
        <f aca="false">G334-H334-I334</f>
        <v>118.55</v>
      </c>
      <c r="K334" s="13" t="n">
        <v>385485</v>
      </c>
      <c r="L334" s="13" t="n">
        <v>348191</v>
      </c>
      <c r="M334" s="13" t="n">
        <v>14046</v>
      </c>
      <c r="N334" s="14" t="n">
        <f aca="false">L334+M334</f>
        <v>362237</v>
      </c>
      <c r="O334" s="11" t="n">
        <f aca="false">INDEX(Parametros!$D$2:$D$9,MATCH($E334,Parametros!$A$2:$A$9,0))</f>
        <v>3800</v>
      </c>
      <c r="P334" s="15" t="n">
        <f aca="false">IF((G334-H334)&gt;0,J334/(G334-H334),0)</f>
        <v>0.97172131147541</v>
      </c>
      <c r="Q334" s="15" t="n">
        <f aca="false">IF(J334*O334&gt;0,N334/(O334*J334),0)</f>
        <v>0.804095540411552</v>
      </c>
      <c r="R334" s="15" t="n">
        <f aca="false">IF(N334&gt;0,L334/N334,0)</f>
        <v>0.961224281340669</v>
      </c>
      <c r="S334" s="15" t="n">
        <f aca="false">P334*Q334*R334</f>
        <v>0.75105910267472</v>
      </c>
      <c r="T334" s="15" t="n">
        <f aca="false">IF(K334&gt;0,L334/K334,0)</f>
        <v>0.90325434193289</v>
      </c>
      <c r="U334" s="10" t="n">
        <v>1841.4</v>
      </c>
      <c r="V334" s="5" t="n">
        <v>14</v>
      </c>
      <c r="W334" s="10" t="n">
        <v>8.8</v>
      </c>
      <c r="X334" s="15" t="n">
        <f aca="false">IF(U334&gt;0,W334/U334,0)</f>
        <v>0.00477897252090801</v>
      </c>
      <c r="Y334" s="12" t="n">
        <f aca="false">IF(U334&gt;0,L334/U334,0)</f>
        <v>189.09036602585</v>
      </c>
      <c r="Z334" s="16" t="n">
        <f aca="false">L334*INDEX(Parametros!$E$2:$E$9,MATCH($E334,Parametros!$A$2:$A$9,0))</f>
        <v>389973.92</v>
      </c>
      <c r="AA334" s="16" t="n">
        <f aca="false">Z334*INDEX(Parametros!$F$2:$F$9,MATCH($E334,Parametros!$A$2:$A$9,0))</f>
        <v>13649.0872</v>
      </c>
      <c r="AB334" s="17" t="n">
        <f aca="false">Z334+AA334</f>
        <v>403623.0072</v>
      </c>
      <c r="AC334" s="18" t="n">
        <v>405250.97</v>
      </c>
      <c r="AD334" s="17" t="n">
        <f aca="false">AC334-AB334</f>
        <v>1627.96279999992</v>
      </c>
      <c r="AE334" s="17" t="n">
        <f aca="false">AA334+AD334</f>
        <v>15277.0499999999</v>
      </c>
      <c r="AF334" s="19" t="n">
        <f aca="false">IF(Z334&gt;0,AE334/Z334,0)</f>
        <v>0.0391745427489098</v>
      </c>
      <c r="AG334" s="16" t="n">
        <f aca="false">(U334-W334)*INDEX(Parametros!$H$2:$H$9,MATCH($E334,Parametros!$A$2:$A$9,0))+W334*INDEX(Parametros!$H$2:$H$9,MATCH($E334,Parametros!$A$2:$A$9,0))*Parametros!$N$3</f>
        <v>60911.4</v>
      </c>
      <c r="AH334" s="13" t="n">
        <v>17795</v>
      </c>
      <c r="AI334" s="16" t="n">
        <f aca="false">AH334*Parametros!$N$2</f>
        <v>1637.14</v>
      </c>
      <c r="AJ334" s="18" t="n">
        <v>20501</v>
      </c>
      <c r="AK334" s="18" t="n">
        <v>1760</v>
      </c>
      <c r="AL334" s="17" t="n">
        <f aca="false">AG334+AI334+AJ334+AK334</f>
        <v>84809.54</v>
      </c>
      <c r="AM334" s="20" t="n">
        <f aca="false">IF(L334&gt;0,AL334/L334,0)</f>
        <v>0.243571890140756</v>
      </c>
      <c r="AN334" s="16" t="n">
        <f aca="false">L334*INDEX(Parametros!$G$2:$G$9,MATCH($E334,Parametros!$A$2:$A$9,0))</f>
        <v>623261.89</v>
      </c>
      <c r="AO334" s="17" t="n">
        <f aca="false">AN334-AC334-AL334</f>
        <v>133201.38</v>
      </c>
      <c r="AP334" s="15" t="n">
        <f aca="false">IF(AN334&gt;0,AO334/AN334,0)</f>
        <v>0.213716548592438</v>
      </c>
      <c r="AQ334" s="16" t="n">
        <f aca="false">INDEX(Parametros!$I$2:$I$9,MATCH($E334,Parametros!$A$2:$A$9,0))</f>
        <v>33200000</v>
      </c>
      <c r="AR334" s="19" t="n">
        <f aca="false">IF(AQ334&gt;0,AO334/AQ334,0)</f>
        <v>0.00401208975903615</v>
      </c>
    </row>
    <row r="335" customFormat="false" ht="15" hidden="false" customHeight="false" outlineLevel="0" collapsed="false">
      <c r="A335" s="5" t="s">
        <v>470</v>
      </c>
      <c r="B335" s="9" t="n">
        <v>45838</v>
      </c>
      <c r="C335" s="2" t="str">
        <f aca="false">TEXT(B335,"yyyy")</f>
        <v>2025</v>
      </c>
      <c r="D335" s="2" t="n">
        <f aca="false">WEEKNUM(B335,2)</f>
        <v>27</v>
      </c>
      <c r="E335" s="5" t="s">
        <v>140</v>
      </c>
      <c r="F335" s="6" t="str">
        <f aca="false">INDEX(Parametros!$B$2:$B$9,MATCH($E335,Parametros!$A$2:$A$9,0))</f>
        <v>Crema de cacahuate</v>
      </c>
      <c r="G335" s="10" t="n">
        <v>113.9</v>
      </c>
      <c r="H335" s="10" t="n">
        <v>7.6</v>
      </c>
      <c r="I335" s="11" t="n">
        <f aca="false">SUMIFS(Eventos_Paro!$J$2:$J$2186,Eventos_Paro!$D$2:$D$2186,$E335,Eventos_Paro!$B$2:$B$2186,$B335)</f>
        <v>2.53333333333333</v>
      </c>
      <c r="J335" s="12" t="n">
        <f aca="false">G335-H335-I335</f>
        <v>103.766666666667</v>
      </c>
      <c r="K335" s="13" t="n">
        <v>371233</v>
      </c>
      <c r="L335" s="13" t="n">
        <v>379154</v>
      </c>
      <c r="M335" s="13" t="n">
        <v>8462</v>
      </c>
      <c r="N335" s="14" t="n">
        <f aca="false">L335+M335</f>
        <v>387616</v>
      </c>
      <c r="O335" s="11" t="n">
        <f aca="false">INDEX(Parametros!$D$2:$D$9,MATCH($E335,Parametros!$A$2:$A$9,0))</f>
        <v>4200</v>
      </c>
      <c r="P335" s="15" t="n">
        <f aca="false">IF((G335-H335)&gt;0,J335/(G335-H335),0)</f>
        <v>0.976168077767325</v>
      </c>
      <c r="Q335" s="15" t="n">
        <f aca="false">IF(J335*O335&gt;0,N335/(O335*J335),0)</f>
        <v>0.889394704235694</v>
      </c>
      <c r="R335" s="15" t="n">
        <f aca="false">IF(N335&gt;0,L335/N335,0)</f>
        <v>0.978169115825972</v>
      </c>
      <c r="S335" s="15" t="n">
        <f aca="false">P335*Q335*R335</f>
        <v>0.849245173139811</v>
      </c>
      <c r="T335" s="15" t="n">
        <f aca="false">IF(K335&gt;0,L335/K335,0)</f>
        <v>1.02133700398402</v>
      </c>
      <c r="U335" s="10" t="n">
        <v>1527.7</v>
      </c>
      <c r="V335" s="5" t="n">
        <v>12</v>
      </c>
      <c r="W335" s="10" t="n">
        <v>160.9</v>
      </c>
      <c r="X335" s="15" t="n">
        <f aca="false">IF(U335&gt;0,W335/U335,0)</f>
        <v>0.10532172546966</v>
      </c>
      <c r="Y335" s="12" t="n">
        <f aca="false">IF(U335&gt;0,L335/U335,0)</f>
        <v>248.186162204621</v>
      </c>
      <c r="Z335" s="16" t="n">
        <f aca="false">L335*INDEX(Parametros!$E$2:$E$9,MATCH($E335,Parametros!$A$2:$A$9,0))</f>
        <v>367779.38</v>
      </c>
      <c r="AA335" s="16" t="n">
        <f aca="false">Z335*INDEX(Parametros!$F$2:$F$9,MATCH($E335,Parametros!$A$2:$A$9,0))</f>
        <v>8091.14636</v>
      </c>
      <c r="AB335" s="17" t="n">
        <f aca="false">Z335+AA335</f>
        <v>375870.52636</v>
      </c>
      <c r="AC335" s="18" t="n">
        <v>373149.66</v>
      </c>
      <c r="AD335" s="17" t="n">
        <f aca="false">AC335-AB335</f>
        <v>-2720.86636000004</v>
      </c>
      <c r="AE335" s="17" t="n">
        <f aca="false">AA335+AD335</f>
        <v>5370.27999999996</v>
      </c>
      <c r="AF335" s="19" t="n">
        <f aca="false">IF(Z335&gt;0,AE335/Z335,0)</f>
        <v>0.0146019061753814</v>
      </c>
      <c r="AG335" s="16" t="n">
        <f aca="false">(U335-W335)*INDEX(Parametros!$H$2:$H$9,MATCH($E335,Parametros!$A$2:$A$9,0))+W335*INDEX(Parametros!$H$2:$H$9,MATCH($E335,Parametros!$A$2:$A$9,0))*Parametros!$N$3</f>
        <v>50656.725</v>
      </c>
      <c r="AH335" s="13" t="n">
        <v>19878</v>
      </c>
      <c r="AI335" s="16" t="n">
        <f aca="false">AH335*Parametros!$N$2</f>
        <v>1828.776</v>
      </c>
      <c r="AJ335" s="18" t="n">
        <v>14374</v>
      </c>
      <c r="AK335" s="18" t="n">
        <v>1253</v>
      </c>
      <c r="AL335" s="17" t="n">
        <f aca="false">AG335+AI335+AJ335+AK335</f>
        <v>68112.501</v>
      </c>
      <c r="AM335" s="20" t="n">
        <f aca="false">IF(L335&gt;0,AL335/L335,0)</f>
        <v>0.17964336654763</v>
      </c>
      <c r="AN335" s="16" t="n">
        <f aca="false">L335*INDEX(Parametros!$G$2:$G$9,MATCH($E335,Parametros!$A$2:$A$9,0))</f>
        <v>614229.48</v>
      </c>
      <c r="AO335" s="17" t="n">
        <f aca="false">AN335-AC335-AL335</f>
        <v>172967.319</v>
      </c>
      <c r="AP335" s="15" t="n">
        <f aca="false">IF(AN335&gt;0,AO335/AN335,0)</f>
        <v>0.281600484235957</v>
      </c>
      <c r="AQ335" s="16" t="n">
        <f aca="false">INDEX(Parametros!$I$2:$I$9,MATCH($E335,Parametros!$A$2:$A$9,0))</f>
        <v>28000000</v>
      </c>
      <c r="AR335" s="19" t="n">
        <f aca="false">IF(AQ335&gt;0,AO335/AQ335,0)</f>
        <v>0.00617740425000001</v>
      </c>
    </row>
    <row r="336" customFormat="false" ht="15" hidden="false" customHeight="false" outlineLevel="0" collapsed="false">
      <c r="A336" s="5" t="s">
        <v>471</v>
      </c>
      <c r="B336" s="9" t="n">
        <v>45838</v>
      </c>
      <c r="C336" s="2" t="str">
        <f aca="false">TEXT(B336,"yyyy")</f>
        <v>2025</v>
      </c>
      <c r="D336" s="2" t="n">
        <f aca="false">WEEKNUM(B336,2)</f>
        <v>27</v>
      </c>
      <c r="E336" s="5" t="s">
        <v>142</v>
      </c>
      <c r="F336" s="6" t="str">
        <f aca="false">INDEX(Parametros!$B$2:$B$9,MATCH($E336,Parametros!$A$2:$A$9,0))</f>
        <v>Porciones single serve</v>
      </c>
      <c r="G336" s="10" t="n">
        <v>113.7</v>
      </c>
      <c r="H336" s="10" t="n">
        <v>8.5</v>
      </c>
      <c r="I336" s="11" t="n">
        <f aca="false">SUMIFS(Eventos_Paro!$J$2:$J$2186,Eventos_Paro!$D$2:$D$2186,$E336,Eventos_Paro!$B$2:$B$2186,$B336)</f>
        <v>5.63333333333333</v>
      </c>
      <c r="J336" s="12" t="n">
        <f aca="false">G336-H336-I336</f>
        <v>99.5666666666667</v>
      </c>
      <c r="K336" s="13" t="n">
        <v>227433</v>
      </c>
      <c r="L336" s="13" t="n">
        <v>176738</v>
      </c>
      <c r="M336" s="13" t="n">
        <v>7707</v>
      </c>
      <c r="N336" s="14" t="n">
        <f aca="false">L336+M336</f>
        <v>184445</v>
      </c>
      <c r="O336" s="11" t="n">
        <f aca="false">INDEX(Parametros!$D$2:$D$9,MATCH($E336,Parametros!$A$2:$A$9,0))</f>
        <v>2600</v>
      </c>
      <c r="P336" s="15" t="n">
        <f aca="false">IF((G336-H336)&gt;0,J336/(G336-H336),0)</f>
        <v>0.946451204055767</v>
      </c>
      <c r="Q336" s="15" t="n">
        <f aca="false">IF(J336*O336&gt;0,N336/(O336*J336),0)</f>
        <v>0.712491308490639</v>
      </c>
      <c r="R336" s="15" t="n">
        <f aca="false">IF(N336&gt;0,L336/N336,0)</f>
        <v>0.958215186098837</v>
      </c>
      <c r="S336" s="15" t="n">
        <f aca="false">P336*Q336*R336</f>
        <v>0.646161158233402</v>
      </c>
      <c r="T336" s="15" t="n">
        <f aca="false">IF(K336&gt;0,L336/K336,0)</f>
        <v>0.777099189651458</v>
      </c>
      <c r="U336" s="10" t="n">
        <v>1761</v>
      </c>
      <c r="V336" s="5" t="n">
        <v>15</v>
      </c>
      <c r="W336" s="10" t="n">
        <v>55.5</v>
      </c>
      <c r="X336" s="15" t="n">
        <f aca="false">IF(U336&gt;0,W336/U336,0)</f>
        <v>0.0315161839863714</v>
      </c>
      <c r="Y336" s="12" t="n">
        <f aca="false">IF(U336&gt;0,L336/U336,0)</f>
        <v>100.362294151051</v>
      </c>
      <c r="Z336" s="16" t="n">
        <f aca="false">L336*INDEX(Parametros!$E$2:$E$9,MATCH($E336,Parametros!$A$2:$A$9,0))</f>
        <v>130786.12</v>
      </c>
      <c r="AA336" s="16" t="n">
        <f aca="false">Z336*INDEX(Parametros!$F$2:$F$9,MATCH($E336,Parametros!$A$2:$A$9,0))</f>
        <v>5885.3754</v>
      </c>
      <c r="AB336" s="17" t="n">
        <f aca="false">Z336+AA336</f>
        <v>136671.4954</v>
      </c>
      <c r="AC336" s="18" t="n">
        <v>137958.13</v>
      </c>
      <c r="AD336" s="17" t="n">
        <f aca="false">AC336-AB336</f>
        <v>1286.63460000002</v>
      </c>
      <c r="AE336" s="17" t="n">
        <f aca="false">AA336+AD336</f>
        <v>7172.01000000002</v>
      </c>
      <c r="AF336" s="19" t="n">
        <f aca="false">IF(Z336&gt;0,AE336/Z336,0)</f>
        <v>0.0548376999027115</v>
      </c>
      <c r="AG336" s="16" t="n">
        <f aca="false">(U336-W336)*INDEX(Parametros!$H$2:$H$9,MATCH($E336,Parametros!$A$2:$A$9,0))+W336*INDEX(Parametros!$H$2:$H$9,MATCH($E336,Parametros!$A$2:$A$9,0))*Parametros!$N$3</f>
        <v>53662.5</v>
      </c>
      <c r="AH336" s="13" t="n">
        <v>9935</v>
      </c>
      <c r="AI336" s="16" t="n">
        <f aca="false">AH336*Parametros!$N$2</f>
        <v>914.02</v>
      </c>
      <c r="AJ336" s="18" t="n">
        <v>12384</v>
      </c>
      <c r="AK336" s="18" t="n">
        <v>3509</v>
      </c>
      <c r="AL336" s="17" t="n">
        <f aca="false">AG336+AI336+AJ336+AK336</f>
        <v>70469.52</v>
      </c>
      <c r="AM336" s="20" t="n">
        <f aca="false">IF(L336&gt;0,AL336/L336,0)</f>
        <v>0.398723081623646</v>
      </c>
      <c r="AN336" s="16" t="n">
        <f aca="false">L336*INDEX(Parametros!$G$2:$G$9,MATCH($E336,Parametros!$A$2:$A$9,0))</f>
        <v>303989.36</v>
      </c>
      <c r="AO336" s="17" t="n">
        <f aca="false">AN336-AC336-AL336</f>
        <v>95561.71</v>
      </c>
      <c r="AP336" s="15" t="n">
        <f aca="false">IF(AN336&gt;0,AO336/AN336,0)</f>
        <v>0.314358732818807</v>
      </c>
      <c r="AQ336" s="16" t="n">
        <f aca="false">INDEX(Parametros!$I$2:$I$9,MATCH($E336,Parametros!$A$2:$A$9,0))</f>
        <v>15900000</v>
      </c>
      <c r="AR336" s="19" t="n">
        <f aca="false">IF(AQ336&gt;0,AO336/AQ336,0)</f>
        <v>0.00601017044025157</v>
      </c>
    </row>
    <row r="337" customFormat="false" ht="15" hidden="false" customHeight="false" outlineLevel="0" collapsed="false">
      <c r="A337" s="5" t="s">
        <v>472</v>
      </c>
      <c r="B337" s="9" t="n">
        <v>45838</v>
      </c>
      <c r="C337" s="2" t="str">
        <f aca="false">TEXT(B337,"yyyy")</f>
        <v>2025</v>
      </c>
      <c r="D337" s="2" t="n">
        <f aca="false">WEEKNUM(B337,2)</f>
        <v>27</v>
      </c>
      <c r="E337" s="5" t="s">
        <v>144</v>
      </c>
      <c r="F337" s="6" t="str">
        <f aca="false">INDEX(Parametros!$B$2:$B$9,MATCH($E337,Parametros!$A$2:$A$9,0))</f>
        <v>Salsas picantes</v>
      </c>
      <c r="G337" s="10" t="n">
        <v>85.2</v>
      </c>
      <c r="H337" s="10" t="n">
        <v>6.1</v>
      </c>
      <c r="I337" s="11" t="n">
        <f aca="false">SUMIFS(Eventos_Paro!$J$2:$J$2186,Eventos_Paro!$D$2:$D$2186,$E337,Eventos_Paro!$B$2:$B$2186,$B337)</f>
        <v>2.7</v>
      </c>
      <c r="J337" s="12" t="n">
        <f aca="false">G337-H337-I337</f>
        <v>76.4</v>
      </c>
      <c r="K337" s="13" t="n">
        <v>184503</v>
      </c>
      <c r="L337" s="13" t="n">
        <v>192865</v>
      </c>
      <c r="M337" s="13" t="n">
        <v>6299</v>
      </c>
      <c r="N337" s="14" t="n">
        <f aca="false">L337+M337</f>
        <v>199164</v>
      </c>
      <c r="O337" s="11" t="n">
        <f aca="false">INDEX(Parametros!$D$2:$D$9,MATCH($E337,Parametros!$A$2:$A$9,0))</f>
        <v>3100</v>
      </c>
      <c r="P337" s="15" t="n">
        <f aca="false">IF((G337-H337)&gt;0,J337/(G337-H337),0)</f>
        <v>0.965865992414665</v>
      </c>
      <c r="Q337" s="15" t="n">
        <f aca="false">IF(J337*O337&gt;0,N337/(O337*J337),0)</f>
        <v>0.840922141530147</v>
      </c>
      <c r="R337" s="15" t="n">
        <f aca="false">IF(N337&gt;0,L337/N337,0)</f>
        <v>0.968372798296881</v>
      </c>
      <c r="S337" s="15" t="n">
        <f aca="false">P337*Q337*R337</f>
        <v>0.78652991313568</v>
      </c>
      <c r="T337" s="15" t="n">
        <f aca="false">IF(K337&gt;0,L337/K337,0)</f>
        <v>1.04532175628581</v>
      </c>
      <c r="U337" s="10" t="n">
        <v>715.9</v>
      </c>
      <c r="V337" s="5" t="n">
        <v>8</v>
      </c>
      <c r="W337" s="10" t="n">
        <v>34.3</v>
      </c>
      <c r="X337" s="15" t="n">
        <f aca="false">IF(U337&gt;0,W337/U337,0)</f>
        <v>0.0479117195138986</v>
      </c>
      <c r="Y337" s="12" t="n">
        <f aca="false">IF(U337&gt;0,L337/U337,0)</f>
        <v>269.402151138427</v>
      </c>
      <c r="Z337" s="16" t="n">
        <f aca="false">L337*INDEX(Parametros!$E$2:$E$9,MATCH($E337,Parametros!$A$2:$A$9,0))</f>
        <v>127290.9</v>
      </c>
      <c r="AA337" s="16" t="n">
        <f aca="false">Z337*INDEX(Parametros!$F$2:$F$9,MATCH($E337,Parametros!$A$2:$A$9,0))</f>
        <v>3309.5634</v>
      </c>
      <c r="AB337" s="17" t="n">
        <f aca="false">Z337+AA337</f>
        <v>130600.4634</v>
      </c>
      <c r="AC337" s="18" t="n">
        <v>130718.93</v>
      </c>
      <c r="AD337" s="17" t="n">
        <f aca="false">AC337-AB337</f>
        <v>118.466599999985</v>
      </c>
      <c r="AE337" s="17" t="n">
        <f aca="false">AA337+AD337</f>
        <v>3428.02999999999</v>
      </c>
      <c r="AF337" s="19" t="n">
        <f aca="false">IF(Z337&gt;0,AE337/Z337,0)</f>
        <v>0.0269306761127464</v>
      </c>
      <c r="AG337" s="16" t="n">
        <f aca="false">(U337-W337)*INDEX(Parametros!$H$2:$H$9,MATCH($E337,Parametros!$A$2:$A$9,0))+W337*INDEX(Parametros!$H$2:$H$9,MATCH($E337,Parametros!$A$2:$A$9,0))*Parametros!$N$3</f>
        <v>23091.075</v>
      </c>
      <c r="AH337" s="13" t="n">
        <v>10302</v>
      </c>
      <c r="AI337" s="16" t="n">
        <f aca="false">AH337*Parametros!$N$2</f>
        <v>947.784</v>
      </c>
      <c r="AJ337" s="18" t="n">
        <v>8092</v>
      </c>
      <c r="AK337" s="18" t="n">
        <v>2679</v>
      </c>
      <c r="AL337" s="17" t="n">
        <f aca="false">AG337+AI337+AJ337+AK337</f>
        <v>34809.859</v>
      </c>
      <c r="AM337" s="20" t="n">
        <f aca="false">IF(L337&gt;0,AL337/L337,0)</f>
        <v>0.180488211961735</v>
      </c>
      <c r="AN337" s="16" t="n">
        <f aca="false">L337*INDEX(Parametros!$G$2:$G$9,MATCH($E337,Parametros!$A$2:$A$9,0))</f>
        <v>241081.25</v>
      </c>
      <c r="AO337" s="17" t="n">
        <f aca="false">AN337-AC337-AL337</f>
        <v>75552.461</v>
      </c>
      <c r="AP337" s="15" t="n">
        <f aca="false">IF(AN337&gt;0,AO337/AN337,0)</f>
        <v>0.313390033443082</v>
      </c>
      <c r="AQ337" s="16" t="n">
        <f aca="false">INDEX(Parametros!$I$2:$I$9,MATCH($E337,Parametros!$A$2:$A$9,0))</f>
        <v>13300000</v>
      </c>
      <c r="AR337" s="19" t="n">
        <f aca="false">IF(AQ337&gt;0,AO337/AQ337,0)</f>
        <v>0.00568063616541354</v>
      </c>
    </row>
    <row r="338" customFormat="false" ht="15" hidden="false" customHeight="false" outlineLevel="0" collapsed="false">
      <c r="A338" s="5" t="s">
        <v>473</v>
      </c>
      <c r="B338" s="9" t="n">
        <v>45845</v>
      </c>
      <c r="C338" s="2" t="str">
        <f aca="false">TEXT(B338,"yyyy")</f>
        <v>2025</v>
      </c>
      <c r="D338" s="2" t="n">
        <f aca="false">WEEKNUM(B338,2)</f>
        <v>28</v>
      </c>
      <c r="E338" s="5" t="s">
        <v>130</v>
      </c>
      <c r="F338" s="6" t="str">
        <f aca="false">INDEX(Parametros!$B$2:$B$9,MATCH($E338,Parametros!$A$2:$A$9,0))</f>
        <v>Ketchup botella</v>
      </c>
      <c r="G338" s="10" t="n">
        <v>117.8</v>
      </c>
      <c r="H338" s="10" t="n">
        <v>6.7</v>
      </c>
      <c r="I338" s="11" t="n">
        <f aca="false">SUMIFS(Eventos_Paro!$J$2:$J$2186,Eventos_Paro!$D$2:$D$2186,$E338,Eventos_Paro!$B$2:$B$2186,$B338)</f>
        <v>3.31666666666667</v>
      </c>
      <c r="J338" s="12" t="n">
        <f aca="false">G338-H338-I338</f>
        <v>107.783333333333</v>
      </c>
      <c r="K338" s="13" t="n">
        <v>831867</v>
      </c>
      <c r="L338" s="13" t="n">
        <v>826538</v>
      </c>
      <c r="M338" s="13" t="n">
        <v>23277</v>
      </c>
      <c r="N338" s="14" t="n">
        <f aca="false">L338+M338</f>
        <v>849815</v>
      </c>
      <c r="O338" s="11" t="n">
        <f aca="false">INDEX(Parametros!$D$2:$D$9,MATCH($E338,Parametros!$A$2:$A$9,0))</f>
        <v>9000</v>
      </c>
      <c r="P338" s="15" t="n">
        <f aca="false">IF((G338-H338)&gt;0,J338/(G338-H338),0)</f>
        <v>0.97014701470147</v>
      </c>
      <c r="Q338" s="15" t="n">
        <f aca="false">IF(J338*O338&gt;0,N338/(O338*J338),0)</f>
        <v>0.876052780784496</v>
      </c>
      <c r="R338" s="15" t="n">
        <f aca="false">IF(N338&gt;0,L338/N338,0)</f>
        <v>0.972609332619453</v>
      </c>
      <c r="S338" s="15" t="n">
        <f aca="false">P338*Q338*R338</f>
        <v>0.826620662066207</v>
      </c>
      <c r="T338" s="15" t="n">
        <f aca="false">IF(K338&gt;0,L338/K338,0)</f>
        <v>0.99359392787549</v>
      </c>
      <c r="U338" s="10" t="n">
        <v>1616.6</v>
      </c>
      <c r="V338" s="5" t="n">
        <v>13</v>
      </c>
      <c r="W338" s="10" t="n">
        <v>85.2</v>
      </c>
      <c r="X338" s="15" t="n">
        <f aca="false">IF(U338&gt;0,W338/U338,0)</f>
        <v>0.0527032042558456</v>
      </c>
      <c r="Y338" s="12" t="n">
        <f aca="false">IF(U338&gt;0,L338/U338,0)</f>
        <v>511.281702338241</v>
      </c>
      <c r="Z338" s="16" t="n">
        <f aca="false">L338*INDEX(Parametros!$E$2:$E$9,MATCH($E338,Parametros!$A$2:$A$9,0))</f>
        <v>347145.96</v>
      </c>
      <c r="AA338" s="16" t="n">
        <f aca="false">Z338*INDEX(Parametros!$F$2:$F$9,MATCH($E338,Parametros!$A$2:$A$9,0))</f>
        <v>6942.9192</v>
      </c>
      <c r="AB338" s="17" t="n">
        <f aca="false">Z338+AA338</f>
        <v>354088.8792</v>
      </c>
      <c r="AC338" s="18" t="n">
        <v>354538.51</v>
      </c>
      <c r="AD338" s="17" t="n">
        <f aca="false">AC338-AB338</f>
        <v>449.630800000043</v>
      </c>
      <c r="AE338" s="17" t="n">
        <f aca="false">AA338+AD338</f>
        <v>7392.55000000004</v>
      </c>
      <c r="AF338" s="19" t="n">
        <f aca="false">IF(Z338&gt;0,AE338/Z338,0)</f>
        <v>0.0212952211801631</v>
      </c>
      <c r="AG338" s="16" t="n">
        <f aca="false">(U338-W338)*INDEX(Parametros!$H$2:$H$9,MATCH($E338,Parametros!$A$2:$A$9,0))+W338*INDEX(Parametros!$H$2:$H$9,MATCH($E338,Parametros!$A$2:$A$9,0))*Parametros!$N$3</f>
        <v>52264.8</v>
      </c>
      <c r="AH338" s="13" t="n">
        <v>41468</v>
      </c>
      <c r="AI338" s="16" t="n">
        <f aca="false">AH338*Parametros!$N$2</f>
        <v>3815.056</v>
      </c>
      <c r="AJ338" s="18" t="n">
        <v>20048</v>
      </c>
      <c r="AK338" s="18" t="n">
        <v>3272</v>
      </c>
      <c r="AL338" s="17" t="n">
        <f aca="false">AG338+AI338+AJ338+AK338</f>
        <v>79399.856</v>
      </c>
      <c r="AM338" s="20" t="n">
        <f aca="false">IF(L338&gt;0,AL338/L338,0)</f>
        <v>0.0960631646699849</v>
      </c>
      <c r="AN338" s="16" t="n">
        <f aca="false">L338*INDEX(Parametros!$G$2:$G$9,MATCH($E338,Parametros!$A$2:$A$9,0))</f>
        <v>586841.98</v>
      </c>
      <c r="AO338" s="17" t="n">
        <f aca="false">AN338-AC338-AL338</f>
        <v>152903.614</v>
      </c>
      <c r="AP338" s="15" t="n">
        <f aca="false">IF(AN338&gt;0,AO338/AN338,0)</f>
        <v>0.260553299203305</v>
      </c>
      <c r="AQ338" s="16" t="n">
        <f aca="false">INDEX(Parametros!$I$2:$I$9,MATCH($E338,Parametros!$A$2:$A$9,0))</f>
        <v>29300000</v>
      </c>
      <c r="AR338" s="19" t="n">
        <f aca="false">IF(AQ338&gt;0,AO338/AQ338,0)</f>
        <v>0.00521855337883959</v>
      </c>
    </row>
    <row r="339" customFormat="false" ht="15" hidden="false" customHeight="false" outlineLevel="0" collapsed="false">
      <c r="A339" s="5" t="s">
        <v>474</v>
      </c>
      <c r="B339" s="9" t="n">
        <v>45845</v>
      </c>
      <c r="C339" s="2" t="str">
        <f aca="false">TEXT(B339,"yyyy")</f>
        <v>2025</v>
      </c>
      <c r="D339" s="2" t="n">
        <f aca="false">WEEKNUM(B339,2)</f>
        <v>28</v>
      </c>
      <c r="E339" s="5" t="s">
        <v>132</v>
      </c>
      <c r="F339" s="6" t="str">
        <f aca="false">INDEX(Parametros!$B$2:$B$9,MATCH($E339,Parametros!$A$2:$A$9,0))</f>
        <v>Mayonesa frasco</v>
      </c>
      <c r="G339" s="10" t="n">
        <v>132.5</v>
      </c>
      <c r="H339" s="10" t="n">
        <v>8.3</v>
      </c>
      <c r="I339" s="11" t="n">
        <f aca="false">SUMIFS(Eventos_Paro!$J$2:$J$2186,Eventos_Paro!$D$2:$D$2186,$E339,Eventos_Paro!$B$2:$B$2186,$B339)</f>
        <v>0.616666666666667</v>
      </c>
      <c r="J339" s="12" t="n">
        <f aca="false">G339-H339-I339</f>
        <v>123.583333333333</v>
      </c>
      <c r="K339" s="13" t="n">
        <v>671633</v>
      </c>
      <c r="L339" s="13" t="n">
        <v>675493</v>
      </c>
      <c r="M339" s="13" t="n">
        <v>21383</v>
      </c>
      <c r="N339" s="14" t="n">
        <f aca="false">L339+M339</f>
        <v>696876</v>
      </c>
      <c r="O339" s="11" t="n">
        <f aca="false">INDEX(Parametros!$D$2:$D$9,MATCH($E339,Parametros!$A$2:$A$9,0))</f>
        <v>6500</v>
      </c>
      <c r="P339" s="15" t="n">
        <f aca="false">IF((G339-H339)&gt;0,J339/(G339-H339),0)</f>
        <v>0.995034889962426</v>
      </c>
      <c r="Q339" s="15" t="n">
        <f aca="false">IF(J339*O339&gt;0,N339/(O339*J339),0)</f>
        <v>0.867525494060895</v>
      </c>
      <c r="R339" s="15" t="n">
        <f aca="false">IF(N339&gt;0,L339/N339,0)</f>
        <v>0.969315918470431</v>
      </c>
      <c r="S339" s="15" t="n">
        <f aca="false">P339*Q339*R339</f>
        <v>0.836731078904992</v>
      </c>
      <c r="T339" s="15" t="n">
        <f aca="false">IF(K339&gt;0,L339/K339,0)</f>
        <v>1.00574718633539</v>
      </c>
      <c r="U339" s="10" t="n">
        <v>2005.4</v>
      </c>
      <c r="V339" s="5" t="n">
        <v>14</v>
      </c>
      <c r="W339" s="10" t="n">
        <v>150.4</v>
      </c>
      <c r="X339" s="15" t="n">
        <f aca="false">IF(U339&gt;0,W339/U339,0)</f>
        <v>0.0749975067318241</v>
      </c>
      <c r="Y339" s="12" t="n">
        <f aca="false">IF(U339&gt;0,L339/U339,0)</f>
        <v>336.837039992022</v>
      </c>
      <c r="Z339" s="16" t="n">
        <f aca="false">L339*INDEX(Parametros!$E$2:$E$9,MATCH($E339,Parametros!$A$2:$A$9,0))</f>
        <v>412050.73</v>
      </c>
      <c r="AA339" s="16" t="n">
        <f aca="false">Z339*INDEX(Parametros!$F$2:$F$9,MATCH($E339,Parametros!$A$2:$A$9,0))</f>
        <v>10301.26825</v>
      </c>
      <c r="AB339" s="17" t="n">
        <f aca="false">Z339+AA339</f>
        <v>422351.99825</v>
      </c>
      <c r="AC339" s="18" t="n">
        <v>424658.32</v>
      </c>
      <c r="AD339" s="17" t="n">
        <f aca="false">AC339-AB339</f>
        <v>2306.32175</v>
      </c>
      <c r="AE339" s="17" t="n">
        <f aca="false">AA339+AD339</f>
        <v>12607.59</v>
      </c>
      <c r="AF339" s="19" t="n">
        <f aca="false">IF(Z339&gt;0,AE339/Z339,0)</f>
        <v>0.0305971791385978</v>
      </c>
      <c r="AG339" s="16" t="n">
        <f aca="false">(U339-W339)*INDEX(Parametros!$H$2:$H$9,MATCH($E339,Parametros!$A$2:$A$9,0))+W339*INDEX(Parametros!$H$2:$H$9,MATCH($E339,Parametros!$A$2:$A$9,0))*Parametros!$N$3</f>
        <v>65538.9</v>
      </c>
      <c r="AH339" s="13" t="n">
        <v>35931</v>
      </c>
      <c r="AI339" s="16" t="n">
        <f aca="false">AH339*Parametros!$N$2</f>
        <v>3305.652</v>
      </c>
      <c r="AJ339" s="18" t="n">
        <v>15990</v>
      </c>
      <c r="AK339" s="18" t="n">
        <v>544</v>
      </c>
      <c r="AL339" s="17" t="n">
        <f aca="false">AG339+AI339+AJ339+AK339</f>
        <v>85378.552</v>
      </c>
      <c r="AM339" s="20" t="n">
        <f aca="false">IF(L339&gt;0,AL339/L339,0)</f>
        <v>0.126394428957813</v>
      </c>
      <c r="AN339" s="16" t="n">
        <f aca="false">L339*INDEX(Parametros!$G$2:$G$9,MATCH($E339,Parametros!$A$2:$A$9,0))</f>
        <v>648473.28</v>
      </c>
      <c r="AO339" s="17" t="n">
        <f aca="false">AN339-AC339-AL339</f>
        <v>138436.408</v>
      </c>
      <c r="AP339" s="15" t="n">
        <f aca="false">IF(AN339&gt;0,AO339/AN339,0)</f>
        <v>0.213480512257961</v>
      </c>
      <c r="AQ339" s="16" t="n">
        <f aca="false">INDEX(Parametros!$I$2:$I$9,MATCH($E339,Parametros!$A$2:$A$9,0))</f>
        <v>29700000</v>
      </c>
      <c r="AR339" s="19" t="n">
        <f aca="false">IF(AQ339&gt;0,AO339/AQ339,0)</f>
        <v>0.00466115851851852</v>
      </c>
    </row>
    <row r="340" customFormat="false" ht="15" hidden="false" customHeight="false" outlineLevel="0" collapsed="false">
      <c r="A340" s="5" t="s">
        <v>475</v>
      </c>
      <c r="B340" s="9" t="n">
        <v>45845</v>
      </c>
      <c r="C340" s="2" t="str">
        <f aca="false">TEXT(B340,"yyyy")</f>
        <v>2025</v>
      </c>
      <c r="D340" s="2" t="n">
        <f aca="false">WEEKNUM(B340,2)</f>
        <v>28</v>
      </c>
      <c r="E340" s="5" t="s">
        <v>134</v>
      </c>
      <c r="F340" s="6" t="str">
        <f aca="false">INDEX(Parametros!$B$2:$B$9,MATCH($E340,Parametros!$A$2:$A$9,0))</f>
        <v>Aderezos vertibles</v>
      </c>
      <c r="G340" s="10" t="n">
        <v>110.7</v>
      </c>
      <c r="H340" s="10" t="n">
        <v>8.1</v>
      </c>
      <c r="I340" s="11" t="n">
        <f aca="false">SUMIFS(Eventos_Paro!$J$2:$J$2186,Eventos_Paro!$D$2:$D$2186,$E340,Eventos_Paro!$B$2:$B$2186,$B340)</f>
        <v>2.66666666666667</v>
      </c>
      <c r="J340" s="12" t="n">
        <f aca="false">G340-H340-I340</f>
        <v>99.9333333333333</v>
      </c>
      <c r="K340" s="13" t="n">
        <v>443862</v>
      </c>
      <c r="L340" s="13" t="n">
        <v>414961</v>
      </c>
      <c r="M340" s="13" t="n">
        <v>15487</v>
      </c>
      <c r="N340" s="14" t="n">
        <f aca="false">L340+M340</f>
        <v>430448</v>
      </c>
      <c r="O340" s="11" t="n">
        <f aca="false">INDEX(Parametros!$D$2:$D$9,MATCH($E340,Parametros!$A$2:$A$9,0))</f>
        <v>5200</v>
      </c>
      <c r="P340" s="15" t="n">
        <f aca="false">IF((G340-H340)&gt;0,J340/(G340-H340),0)</f>
        <v>0.974009096816114</v>
      </c>
      <c r="Q340" s="15" t="n">
        <f aca="false">IF(J340*O340&gt;0,N340/(O340*J340),0)</f>
        <v>0.828336839944578</v>
      </c>
      <c r="R340" s="15" t="n">
        <f aca="false">IF(N340&gt;0,L340/N340,0)</f>
        <v>0.964021205813478</v>
      </c>
      <c r="S340" s="15" t="n">
        <f aca="false">P340*Q340*R340</f>
        <v>0.777779652121757</v>
      </c>
      <c r="T340" s="15" t="n">
        <f aca="false">IF(K340&gt;0,L340/K340,0)</f>
        <v>0.934887419963863</v>
      </c>
      <c r="U340" s="10" t="n">
        <v>1412.9</v>
      </c>
      <c r="V340" s="5" t="n">
        <v>12</v>
      </c>
      <c r="W340" s="10" t="n">
        <v>84.5</v>
      </c>
      <c r="X340" s="15" t="n">
        <f aca="false">IF(U340&gt;0,W340/U340,0)</f>
        <v>0.0598060726166041</v>
      </c>
      <c r="Y340" s="12" t="n">
        <f aca="false">IF(U340&gt;0,L340/U340,0)</f>
        <v>293.694528982943</v>
      </c>
      <c r="Z340" s="16" t="n">
        <f aca="false">L340*INDEX(Parametros!$E$2:$E$9,MATCH($E340,Parametros!$A$2:$A$9,0))</f>
        <v>228228.55</v>
      </c>
      <c r="AA340" s="16" t="n">
        <f aca="false">Z340*INDEX(Parametros!$F$2:$F$9,MATCH($E340,Parametros!$A$2:$A$9,0))</f>
        <v>6846.8565</v>
      </c>
      <c r="AB340" s="17" t="n">
        <f aca="false">Z340+AA340</f>
        <v>235075.4065</v>
      </c>
      <c r="AC340" s="18" t="n">
        <v>233413.11</v>
      </c>
      <c r="AD340" s="17" t="n">
        <f aca="false">AC340-AB340</f>
        <v>-1662.29650000003</v>
      </c>
      <c r="AE340" s="17" t="n">
        <f aca="false">AA340+AD340</f>
        <v>5184.55999999997</v>
      </c>
      <c r="AF340" s="19" t="n">
        <f aca="false">IF(Z340&gt;0,AE340/Z340,0)</f>
        <v>0.0227165269200544</v>
      </c>
      <c r="AG340" s="16" t="n">
        <f aca="false">(U340-W340)*INDEX(Parametros!$H$2:$H$9,MATCH($E340,Parametros!$A$2:$A$9,0))+W340*INDEX(Parametros!$H$2:$H$9,MATCH($E340,Parametros!$A$2:$A$9,0))*Parametros!$N$3</f>
        <v>45837.225</v>
      </c>
      <c r="AH340" s="13" t="n">
        <v>21612</v>
      </c>
      <c r="AI340" s="16" t="n">
        <f aca="false">AH340*Parametros!$N$2</f>
        <v>1988.304</v>
      </c>
      <c r="AJ340" s="18" t="n">
        <v>11657</v>
      </c>
      <c r="AK340" s="18" t="n">
        <v>3215</v>
      </c>
      <c r="AL340" s="17" t="n">
        <f aca="false">AG340+AI340+AJ340+AK340</f>
        <v>62697.529</v>
      </c>
      <c r="AM340" s="20" t="n">
        <f aca="false">IF(L340&gt;0,AL340/L340,0)</f>
        <v>0.151092582194471</v>
      </c>
      <c r="AN340" s="16" t="n">
        <f aca="false">L340*INDEX(Parametros!$G$2:$G$9,MATCH($E340,Parametros!$A$2:$A$9,0))</f>
        <v>423260.22</v>
      </c>
      <c r="AO340" s="17" t="n">
        <f aca="false">AN340-AC340-AL340</f>
        <v>127149.581</v>
      </c>
      <c r="AP340" s="15" t="n">
        <f aca="false">IF(AN340&gt;0,AO340/AN340,0)</f>
        <v>0.30040522352892</v>
      </c>
      <c r="AQ340" s="16" t="n">
        <f aca="false">INDEX(Parametros!$I$2:$I$9,MATCH($E340,Parametros!$A$2:$A$9,0))</f>
        <v>19300000</v>
      </c>
      <c r="AR340" s="19" t="n">
        <f aca="false">IF(AQ340&gt;0,AO340/AQ340,0)</f>
        <v>0.00658806119170985</v>
      </c>
    </row>
    <row r="341" customFormat="false" ht="15" hidden="false" customHeight="false" outlineLevel="0" collapsed="false">
      <c r="A341" s="5" t="s">
        <v>476</v>
      </c>
      <c r="B341" s="9" t="n">
        <v>45845</v>
      </c>
      <c r="C341" s="2" t="str">
        <f aca="false">TEXT(B341,"yyyy")</f>
        <v>2025</v>
      </c>
      <c r="D341" s="2" t="n">
        <f aca="false">WEEKNUM(B341,2)</f>
        <v>28</v>
      </c>
      <c r="E341" s="5" t="s">
        <v>136</v>
      </c>
      <c r="F341" s="6" t="str">
        <f aca="false">INDEX(Parametros!$B$2:$B$9,MATCH($E341,Parametros!$A$2:$A$9,0))</f>
        <v>Salsa BBQ</v>
      </c>
      <c r="G341" s="10" t="n">
        <v>125</v>
      </c>
      <c r="H341" s="10" t="n">
        <v>7.7</v>
      </c>
      <c r="I341" s="11" t="n">
        <f aca="false">SUMIFS(Eventos_Paro!$J$2:$J$2186,Eventos_Paro!$D$2:$D$2186,$E341,Eventos_Paro!$B$2:$B$2186,$B341)</f>
        <v>2.83333333333333</v>
      </c>
      <c r="J341" s="12" t="n">
        <f aca="false">G341-H341-I341</f>
        <v>114.466666666667</v>
      </c>
      <c r="K341" s="13" t="n">
        <v>531383</v>
      </c>
      <c r="L341" s="13" t="n">
        <v>467565</v>
      </c>
      <c r="M341" s="13" t="n">
        <v>9747</v>
      </c>
      <c r="N341" s="14" t="n">
        <f aca="false">L341+M341</f>
        <v>477312</v>
      </c>
      <c r="O341" s="11" t="n">
        <f aca="false">INDEX(Parametros!$D$2:$D$9,MATCH($E341,Parametros!$A$2:$A$9,0))</f>
        <v>4800</v>
      </c>
      <c r="P341" s="15" t="n">
        <f aca="false">IF((G341-H341)&gt;0,J341/(G341-H341),0)</f>
        <v>0.975845410628019</v>
      </c>
      <c r="Q341" s="15" t="n">
        <f aca="false">IF(J341*O341&gt;0,N341/(O341*J341),0)</f>
        <v>0.868724519510775</v>
      </c>
      <c r="R341" s="15" t="n">
        <f aca="false">IF(N341&gt;0,L341/N341,0)</f>
        <v>0.979579394609815</v>
      </c>
      <c r="S341" s="15" t="n">
        <f aca="false">P341*Q341*R341</f>
        <v>0.830429454390452</v>
      </c>
      <c r="T341" s="15" t="n">
        <f aca="false">IF(K341&gt;0,L341/K341,0)</f>
        <v>0.879902066870788</v>
      </c>
      <c r="U341" s="10" t="n">
        <v>1289.7</v>
      </c>
      <c r="V341" s="5" t="n">
        <v>10</v>
      </c>
      <c r="W341" s="10" t="n">
        <v>39.7</v>
      </c>
      <c r="X341" s="15" t="n">
        <f aca="false">IF(U341&gt;0,W341/U341,0)</f>
        <v>0.0307823524850741</v>
      </c>
      <c r="Y341" s="12" t="n">
        <f aca="false">IF(U341&gt;0,L341/U341,0)</f>
        <v>362.537799488253</v>
      </c>
      <c r="Z341" s="16" t="n">
        <f aca="false">L341*INDEX(Parametros!$E$2:$E$9,MATCH($E341,Parametros!$A$2:$A$9,0))</f>
        <v>271187.7</v>
      </c>
      <c r="AA341" s="16" t="n">
        <f aca="false">Z341*INDEX(Parametros!$F$2:$F$9,MATCH($E341,Parametros!$A$2:$A$9,0))</f>
        <v>7593.2556</v>
      </c>
      <c r="AB341" s="17" t="n">
        <f aca="false">Z341+AA341</f>
        <v>278780.9556</v>
      </c>
      <c r="AC341" s="18" t="n">
        <v>271772.2</v>
      </c>
      <c r="AD341" s="17" t="n">
        <f aca="false">AC341-AB341</f>
        <v>-7008.75559999992</v>
      </c>
      <c r="AE341" s="17" t="n">
        <f aca="false">AA341+AD341</f>
        <v>584.500000000082</v>
      </c>
      <c r="AF341" s="19" t="n">
        <f aca="false">IF(Z341&gt;0,AE341/Z341,0)</f>
        <v>0.00215533374116924</v>
      </c>
      <c r="AG341" s="16" t="n">
        <f aca="false">(U341-W341)*INDEX(Parametros!$H$2:$H$9,MATCH($E341,Parametros!$A$2:$A$9,0))+W341*INDEX(Parametros!$H$2:$H$9,MATCH($E341,Parametros!$A$2:$A$9,0))*Parametros!$N$3</f>
        <v>41250.825</v>
      </c>
      <c r="AH341" s="13" t="n">
        <v>23362</v>
      </c>
      <c r="AI341" s="16" t="n">
        <f aca="false">AH341*Parametros!$N$2</f>
        <v>2149.304</v>
      </c>
      <c r="AJ341" s="18" t="n">
        <v>8018</v>
      </c>
      <c r="AK341" s="18" t="n">
        <v>2694</v>
      </c>
      <c r="AL341" s="17" t="n">
        <f aca="false">AG341+AI341+AJ341+AK341</f>
        <v>54112.129</v>
      </c>
      <c r="AM341" s="20" t="n">
        <f aca="false">IF(L341&gt;0,AL341/L341,0)</f>
        <v>0.115731778469304</v>
      </c>
      <c r="AN341" s="16" t="n">
        <f aca="false">L341*INDEX(Parametros!$G$2:$G$9,MATCH($E341,Parametros!$A$2:$A$9,0))</f>
        <v>458213.7</v>
      </c>
      <c r="AO341" s="17" t="n">
        <f aca="false">AN341-AC341-AL341</f>
        <v>132329.371</v>
      </c>
      <c r="AP341" s="15" t="n">
        <f aca="false">IF(AN341&gt;0,AO341/AN341,0)</f>
        <v>0.288794008123284</v>
      </c>
      <c r="AQ341" s="16" t="n">
        <f aca="false">INDEX(Parametros!$I$2:$I$9,MATCH($E341,Parametros!$A$2:$A$9,0))</f>
        <v>17000000</v>
      </c>
      <c r="AR341" s="19" t="n">
        <f aca="false">IF(AQ341&gt;0,AO341/AQ341,0)</f>
        <v>0.00778408064705882</v>
      </c>
    </row>
    <row r="342" customFormat="false" ht="15" hidden="false" customHeight="false" outlineLevel="0" collapsed="false">
      <c r="A342" s="5" t="s">
        <v>477</v>
      </c>
      <c r="B342" s="9" t="n">
        <v>45845</v>
      </c>
      <c r="C342" s="2" t="str">
        <f aca="false">TEXT(B342,"yyyy")</f>
        <v>2025</v>
      </c>
      <c r="D342" s="2" t="n">
        <f aca="false">WEEKNUM(B342,2)</f>
        <v>28</v>
      </c>
      <c r="E342" s="5" t="s">
        <v>138</v>
      </c>
      <c r="F342" s="6" t="str">
        <f aca="false">INDEX(Parametros!$B$2:$B$9,MATCH($E342,Parametros!$A$2:$A$9,0))</f>
        <v>Queso crema</v>
      </c>
      <c r="G342" s="10" t="n">
        <v>133.6</v>
      </c>
      <c r="H342" s="10" t="n">
        <v>6.8</v>
      </c>
      <c r="I342" s="11" t="n">
        <f aca="false">SUMIFS(Eventos_Paro!$J$2:$J$2186,Eventos_Paro!$D$2:$D$2186,$E342,Eventos_Paro!$B$2:$B$2186,$B342)</f>
        <v>2.43333333333333</v>
      </c>
      <c r="J342" s="12" t="n">
        <f aca="false">G342-H342-I342</f>
        <v>124.366666666667</v>
      </c>
      <c r="K342" s="13" t="n">
        <v>400867</v>
      </c>
      <c r="L342" s="13" t="n">
        <v>353589</v>
      </c>
      <c r="M342" s="13" t="n">
        <v>13923</v>
      </c>
      <c r="N342" s="14" t="n">
        <f aca="false">L342+M342</f>
        <v>367512</v>
      </c>
      <c r="O342" s="11" t="n">
        <f aca="false">INDEX(Parametros!$D$2:$D$9,MATCH($E342,Parametros!$A$2:$A$9,0))</f>
        <v>3800</v>
      </c>
      <c r="P342" s="15" t="n">
        <f aca="false">IF((G342-H342)&gt;0,J342/(G342-H342),0)</f>
        <v>0.98080967402734</v>
      </c>
      <c r="Q342" s="15" t="n">
        <f aca="false">IF(J342*O342&gt;0,N342/(O342*J342),0)</f>
        <v>0.777649564812594</v>
      </c>
      <c r="R342" s="15" t="n">
        <f aca="false">IF(N342&gt;0,L342/N342,0)</f>
        <v>0.962115522758441</v>
      </c>
      <c r="S342" s="15" t="n">
        <f aca="false">P342*Q342*R342</f>
        <v>0.733830732193259</v>
      </c>
      <c r="T342" s="15" t="n">
        <f aca="false">IF(K342&gt;0,L342/K342,0)</f>
        <v>0.882060633576723</v>
      </c>
      <c r="U342" s="10" t="n">
        <v>2256.2</v>
      </c>
      <c r="V342" s="5" t="n">
        <v>16</v>
      </c>
      <c r="W342" s="10" t="n">
        <v>118.6</v>
      </c>
      <c r="X342" s="15" t="n">
        <f aca="false">IF(U342&gt;0,W342/U342,0)</f>
        <v>0.0525662618562184</v>
      </c>
      <c r="Y342" s="12" t="n">
        <f aca="false">IF(U342&gt;0,L342/U342,0)</f>
        <v>156.718819253612</v>
      </c>
      <c r="Z342" s="16" t="n">
        <f aca="false">L342*INDEX(Parametros!$E$2:$E$9,MATCH($E342,Parametros!$A$2:$A$9,0))</f>
        <v>396019.68</v>
      </c>
      <c r="AA342" s="16" t="n">
        <f aca="false">Z342*INDEX(Parametros!$F$2:$F$9,MATCH($E342,Parametros!$A$2:$A$9,0))</f>
        <v>13860.6888</v>
      </c>
      <c r="AB342" s="17" t="n">
        <f aca="false">Z342+AA342</f>
        <v>409880.3688</v>
      </c>
      <c r="AC342" s="18" t="n">
        <v>404510.91</v>
      </c>
      <c r="AD342" s="17" t="n">
        <f aca="false">AC342-AB342</f>
        <v>-5369.45880000008</v>
      </c>
      <c r="AE342" s="17" t="n">
        <f aca="false">AA342+AD342</f>
        <v>8491.22999999992</v>
      </c>
      <c r="AF342" s="19" t="n">
        <f aca="false">IF(Z342&gt;0,AE342/Z342,0)</f>
        <v>0.0214414344256829</v>
      </c>
      <c r="AG342" s="16" t="n">
        <f aca="false">(U342-W342)*INDEX(Parametros!$H$2:$H$9,MATCH($E342,Parametros!$A$2:$A$9,0))+W342*INDEX(Parametros!$H$2:$H$9,MATCH($E342,Parametros!$A$2:$A$9,0))*Parametros!$N$3</f>
        <v>76411.5</v>
      </c>
      <c r="AH342" s="13" t="n">
        <v>18368</v>
      </c>
      <c r="AI342" s="16" t="n">
        <f aca="false">AH342*Parametros!$N$2</f>
        <v>1689.856</v>
      </c>
      <c r="AJ342" s="18" t="n">
        <v>18460</v>
      </c>
      <c r="AK342" s="18" t="n">
        <v>2944</v>
      </c>
      <c r="AL342" s="17" t="n">
        <f aca="false">AG342+AI342+AJ342+AK342</f>
        <v>99505.356</v>
      </c>
      <c r="AM342" s="20" t="n">
        <f aca="false">IF(L342&gt;0,AL342/L342,0)</f>
        <v>0.281415304209124</v>
      </c>
      <c r="AN342" s="16" t="n">
        <f aca="false">L342*INDEX(Parametros!$G$2:$G$9,MATCH($E342,Parametros!$A$2:$A$9,0))</f>
        <v>632924.31</v>
      </c>
      <c r="AO342" s="17" t="n">
        <f aca="false">AN342-AC342-AL342</f>
        <v>128908.044</v>
      </c>
      <c r="AP342" s="15" t="n">
        <f aca="false">IF(AN342&gt;0,AO342/AN342,0)</f>
        <v>0.203670552644755</v>
      </c>
      <c r="AQ342" s="16" t="n">
        <f aca="false">INDEX(Parametros!$I$2:$I$9,MATCH($E342,Parametros!$A$2:$A$9,0))</f>
        <v>33200000</v>
      </c>
      <c r="AR342" s="19" t="n">
        <f aca="false">IF(AQ342&gt;0,AO342/AQ342,0)</f>
        <v>0.00388277240963856</v>
      </c>
    </row>
    <row r="343" customFormat="false" ht="15" hidden="false" customHeight="false" outlineLevel="0" collapsed="false">
      <c r="A343" s="5" t="s">
        <v>478</v>
      </c>
      <c r="B343" s="9" t="n">
        <v>45845</v>
      </c>
      <c r="C343" s="2" t="str">
        <f aca="false">TEXT(B343,"yyyy")</f>
        <v>2025</v>
      </c>
      <c r="D343" s="2" t="n">
        <f aca="false">WEEKNUM(B343,2)</f>
        <v>28</v>
      </c>
      <c r="E343" s="5" t="s">
        <v>140</v>
      </c>
      <c r="F343" s="6" t="str">
        <f aca="false">INDEX(Parametros!$B$2:$B$9,MATCH($E343,Parametros!$A$2:$A$9,0))</f>
        <v>Crema de cacahuate</v>
      </c>
      <c r="G343" s="10" t="n">
        <v>111.3</v>
      </c>
      <c r="H343" s="10" t="n">
        <v>8.8</v>
      </c>
      <c r="I343" s="11" t="n">
        <f aca="false">SUMIFS(Eventos_Paro!$J$2:$J$2186,Eventos_Paro!$D$2:$D$2186,$E343,Eventos_Paro!$B$2:$B$2186,$B343)</f>
        <v>0.35</v>
      </c>
      <c r="J343" s="12" t="n">
        <f aca="false">G343-H343-I343</f>
        <v>102.15</v>
      </c>
      <c r="K343" s="13" t="n">
        <v>358154</v>
      </c>
      <c r="L343" s="13" t="n">
        <v>363610</v>
      </c>
      <c r="M343" s="13" t="n">
        <v>9222</v>
      </c>
      <c r="N343" s="14" t="n">
        <f aca="false">L343+M343</f>
        <v>372832</v>
      </c>
      <c r="O343" s="11" t="n">
        <f aca="false">INDEX(Parametros!$D$2:$D$9,MATCH($E343,Parametros!$A$2:$A$9,0))</f>
        <v>4200</v>
      </c>
      <c r="P343" s="15" t="n">
        <f aca="false">IF((G343-H343)&gt;0,J343/(G343-H343),0)</f>
        <v>0.996585365853659</v>
      </c>
      <c r="Q343" s="15" t="n">
        <f aca="false">IF(J343*O343&gt;0,N343/(O343*J343),0)</f>
        <v>0.869011491037923</v>
      </c>
      <c r="R343" s="15" t="n">
        <f aca="false">IF(N343&gt;0,L343/N343,0)</f>
        <v>0.975264998712557</v>
      </c>
      <c r="S343" s="15" t="n">
        <f aca="false">P343*Q343*R343</f>
        <v>0.844622531939605</v>
      </c>
      <c r="T343" s="15" t="n">
        <f aca="false">IF(K343&gt;0,L343/K343,0)</f>
        <v>1.01523367043227</v>
      </c>
      <c r="U343" s="10" t="n">
        <v>1286.3</v>
      </c>
      <c r="V343" s="5" t="n">
        <v>11</v>
      </c>
      <c r="W343" s="10" t="n">
        <v>62</v>
      </c>
      <c r="X343" s="15" t="n">
        <f aca="false">IF(U343&gt;0,W343/U343,0)</f>
        <v>0.0482002643240302</v>
      </c>
      <c r="Y343" s="12" t="n">
        <f aca="false">IF(U343&gt;0,L343/U343,0)</f>
        <v>282.679001788074</v>
      </c>
      <c r="Z343" s="16" t="n">
        <f aca="false">L343*INDEX(Parametros!$E$2:$E$9,MATCH($E343,Parametros!$A$2:$A$9,0))</f>
        <v>352701.7</v>
      </c>
      <c r="AA343" s="16" t="n">
        <f aca="false">Z343*INDEX(Parametros!$F$2:$F$9,MATCH($E343,Parametros!$A$2:$A$9,0))</f>
        <v>7759.4374</v>
      </c>
      <c r="AB343" s="17" t="n">
        <f aca="false">Z343+AA343</f>
        <v>360461.1374</v>
      </c>
      <c r="AC343" s="18" t="n">
        <v>359025.76</v>
      </c>
      <c r="AD343" s="17" t="n">
        <f aca="false">AC343-AB343</f>
        <v>-1435.3774</v>
      </c>
      <c r="AE343" s="17" t="n">
        <f aca="false">AA343+AD343</f>
        <v>6324.06</v>
      </c>
      <c r="AF343" s="19" t="n">
        <f aca="false">IF(Z343&gt;0,AE343/Z343,0)</f>
        <v>0.0179303360318365</v>
      </c>
      <c r="AG343" s="16" t="n">
        <f aca="false">(U343-W343)*INDEX(Parametros!$H$2:$H$9,MATCH($E343,Parametros!$A$2:$A$9,0))+W343*INDEX(Parametros!$H$2:$H$9,MATCH($E343,Parametros!$A$2:$A$9,0))*Parametros!$N$3</f>
        <v>41494.95</v>
      </c>
      <c r="AH343" s="13" t="n">
        <v>19276</v>
      </c>
      <c r="AI343" s="16" t="n">
        <f aca="false">AH343*Parametros!$N$2</f>
        <v>1773.392</v>
      </c>
      <c r="AJ343" s="18" t="n">
        <v>10925</v>
      </c>
      <c r="AK343" s="18" t="n">
        <v>381</v>
      </c>
      <c r="AL343" s="17" t="n">
        <f aca="false">AG343+AI343+AJ343+AK343</f>
        <v>54574.342</v>
      </c>
      <c r="AM343" s="20" t="n">
        <f aca="false">IF(L343&gt;0,AL343/L343,0)</f>
        <v>0.150090322048349</v>
      </c>
      <c r="AN343" s="16" t="n">
        <f aca="false">L343*INDEX(Parametros!$G$2:$G$9,MATCH($E343,Parametros!$A$2:$A$9,0))</f>
        <v>589048.2</v>
      </c>
      <c r="AO343" s="17" t="n">
        <f aca="false">AN343-AC343-AL343</f>
        <v>175448.098</v>
      </c>
      <c r="AP343" s="15" t="n">
        <f aca="false">IF(AN343&gt;0,AO343/AN343,0)</f>
        <v>0.297850155556031</v>
      </c>
      <c r="AQ343" s="16" t="n">
        <f aca="false">INDEX(Parametros!$I$2:$I$9,MATCH($E343,Parametros!$A$2:$A$9,0))</f>
        <v>28000000</v>
      </c>
      <c r="AR343" s="19" t="n">
        <f aca="false">IF(AQ343&gt;0,AO343/AQ343,0)</f>
        <v>0.0062660035</v>
      </c>
    </row>
    <row r="344" customFormat="false" ht="15" hidden="false" customHeight="false" outlineLevel="0" collapsed="false">
      <c r="A344" s="5" t="s">
        <v>479</v>
      </c>
      <c r="B344" s="9" t="n">
        <v>45845</v>
      </c>
      <c r="C344" s="2" t="str">
        <f aca="false">TEXT(B344,"yyyy")</f>
        <v>2025</v>
      </c>
      <c r="D344" s="2" t="n">
        <f aca="false">WEEKNUM(B344,2)</f>
        <v>28</v>
      </c>
      <c r="E344" s="5" t="s">
        <v>142</v>
      </c>
      <c r="F344" s="6" t="str">
        <f aca="false">INDEX(Parametros!$B$2:$B$9,MATCH($E344,Parametros!$A$2:$A$9,0))</f>
        <v>Porciones single serve</v>
      </c>
      <c r="G344" s="10" t="n">
        <v>141.4</v>
      </c>
      <c r="H344" s="10" t="n">
        <v>7.3</v>
      </c>
      <c r="I344" s="11" t="n">
        <f aca="false">SUMIFS(Eventos_Paro!$J$2:$J$2186,Eventos_Paro!$D$2:$D$2186,$E344,Eventos_Paro!$B$2:$B$2186,$B344)</f>
        <v>0.9</v>
      </c>
      <c r="J344" s="12" t="n">
        <f aca="false">G344-H344-I344</f>
        <v>133.2</v>
      </c>
      <c r="K344" s="13" t="n">
        <v>290068</v>
      </c>
      <c r="L344" s="13" t="n">
        <v>231990</v>
      </c>
      <c r="M344" s="13" t="n">
        <v>11887</v>
      </c>
      <c r="N344" s="14" t="n">
        <f aca="false">L344+M344</f>
        <v>243877</v>
      </c>
      <c r="O344" s="11" t="n">
        <f aca="false">INDEX(Parametros!$D$2:$D$9,MATCH($E344,Parametros!$A$2:$A$9,0))</f>
        <v>2600</v>
      </c>
      <c r="P344" s="15" t="n">
        <f aca="false">IF((G344-H344)&gt;0,J344/(G344-H344),0)</f>
        <v>0.993288590604027</v>
      </c>
      <c r="Q344" s="15" t="n">
        <f aca="false">IF(J344*O344&gt;0,N344/(O344*J344),0)</f>
        <v>0.704195541695542</v>
      </c>
      <c r="R344" s="15" t="n">
        <f aca="false">IF(N344&gt;0,L344/N344,0)</f>
        <v>0.951258216231953</v>
      </c>
      <c r="S344" s="15" t="n">
        <f aca="false">P344*Q344*R344</f>
        <v>0.665376011013595</v>
      </c>
      <c r="T344" s="15" t="n">
        <f aca="false">IF(K344&gt;0,L344/K344,0)</f>
        <v>0.79977798309362</v>
      </c>
      <c r="U344" s="10" t="n">
        <v>2545.2</v>
      </c>
      <c r="V344" s="5" t="n">
        <v>17</v>
      </c>
      <c r="W344" s="10" t="n">
        <v>141.4</v>
      </c>
      <c r="X344" s="15" t="n">
        <f aca="false">IF(U344&gt;0,W344/U344,0)</f>
        <v>0.0555555555555556</v>
      </c>
      <c r="Y344" s="12" t="n">
        <f aca="false">IF(U344&gt;0,L344/U344,0)</f>
        <v>91.1480433757662</v>
      </c>
      <c r="Z344" s="16" t="n">
        <f aca="false">L344*INDEX(Parametros!$E$2:$E$9,MATCH($E344,Parametros!$A$2:$A$9,0))</f>
        <v>171672.6</v>
      </c>
      <c r="AA344" s="16" t="n">
        <f aca="false">Z344*INDEX(Parametros!$F$2:$F$9,MATCH($E344,Parametros!$A$2:$A$9,0))</f>
        <v>7725.267</v>
      </c>
      <c r="AB344" s="17" t="n">
        <f aca="false">Z344+AA344</f>
        <v>179397.867</v>
      </c>
      <c r="AC344" s="18" t="n">
        <v>179249.27</v>
      </c>
      <c r="AD344" s="17" t="n">
        <f aca="false">AC344-AB344</f>
        <v>-148.597000000009</v>
      </c>
      <c r="AE344" s="17" t="n">
        <f aca="false">AA344+AD344</f>
        <v>7576.66999999999</v>
      </c>
      <c r="AF344" s="19" t="n">
        <f aca="false">IF(Z344&gt;0,AE344/Z344,0)</f>
        <v>0.0441344163250279</v>
      </c>
      <c r="AG344" s="16" t="n">
        <f aca="false">(U344-W344)*INDEX(Parametros!$H$2:$H$9,MATCH($E344,Parametros!$A$2:$A$9,0))+W344*INDEX(Parametros!$H$2:$H$9,MATCH($E344,Parametros!$A$2:$A$9,0))*Parametros!$N$3</f>
        <v>78477</v>
      </c>
      <c r="AH344" s="13" t="n">
        <v>12980</v>
      </c>
      <c r="AI344" s="16" t="n">
        <f aca="false">AH344*Parametros!$N$2</f>
        <v>1194.16</v>
      </c>
      <c r="AJ344" s="18" t="n">
        <v>10311</v>
      </c>
      <c r="AK344" s="18" t="n">
        <v>523</v>
      </c>
      <c r="AL344" s="17" t="n">
        <f aca="false">AG344+AI344+AJ344+AK344</f>
        <v>90505.16</v>
      </c>
      <c r="AM344" s="20" t="n">
        <f aca="false">IF(L344&gt;0,AL344/L344,0)</f>
        <v>0.390125264020001</v>
      </c>
      <c r="AN344" s="16" t="n">
        <f aca="false">L344*INDEX(Parametros!$G$2:$G$9,MATCH($E344,Parametros!$A$2:$A$9,0))</f>
        <v>399022.8</v>
      </c>
      <c r="AO344" s="17" t="n">
        <f aca="false">AN344-AC344-AL344</f>
        <v>129268.37</v>
      </c>
      <c r="AP344" s="15" t="n">
        <f aca="false">IF(AN344&gt;0,AO344/AN344,0)</f>
        <v>0.323962365057836</v>
      </c>
      <c r="AQ344" s="16" t="n">
        <f aca="false">INDEX(Parametros!$I$2:$I$9,MATCH($E344,Parametros!$A$2:$A$9,0))</f>
        <v>15900000</v>
      </c>
      <c r="AR344" s="19" t="n">
        <f aca="false">IF(AQ344&gt;0,AO344/AQ344,0)</f>
        <v>0.00813008616352201</v>
      </c>
    </row>
    <row r="345" customFormat="false" ht="15" hidden="false" customHeight="false" outlineLevel="0" collapsed="false">
      <c r="A345" s="5" t="s">
        <v>480</v>
      </c>
      <c r="B345" s="9" t="n">
        <v>45845</v>
      </c>
      <c r="C345" s="2" t="str">
        <f aca="false">TEXT(B345,"yyyy")</f>
        <v>2025</v>
      </c>
      <c r="D345" s="2" t="n">
        <f aca="false">WEEKNUM(B345,2)</f>
        <v>28</v>
      </c>
      <c r="E345" s="5" t="s">
        <v>144</v>
      </c>
      <c r="F345" s="6" t="str">
        <f aca="false">INDEX(Parametros!$B$2:$B$9,MATCH($E345,Parametros!$A$2:$A$9,0))</f>
        <v>Salsas picantes</v>
      </c>
      <c r="G345" s="10" t="n">
        <v>90.6</v>
      </c>
      <c r="H345" s="10" t="n">
        <v>8.6</v>
      </c>
      <c r="I345" s="11" t="n">
        <f aca="false">SUMIFS(Eventos_Paro!$J$2:$J$2186,Eventos_Paro!$D$2:$D$2186,$E345,Eventos_Paro!$B$2:$B$2186,$B345)</f>
        <v>1.38333333333333</v>
      </c>
      <c r="J345" s="12" t="n">
        <f aca="false">G345-H345-I345</f>
        <v>80.6166666666667</v>
      </c>
      <c r="K345" s="13" t="n">
        <v>191159</v>
      </c>
      <c r="L345" s="13" t="n">
        <v>216306</v>
      </c>
      <c r="M345" s="13" t="n">
        <v>2724</v>
      </c>
      <c r="N345" s="14" t="n">
        <f aca="false">L345+M345</f>
        <v>219030</v>
      </c>
      <c r="O345" s="11" t="n">
        <f aca="false">INDEX(Parametros!$D$2:$D$9,MATCH($E345,Parametros!$A$2:$A$9,0))</f>
        <v>3100</v>
      </c>
      <c r="P345" s="15" t="n">
        <f aca="false">IF((G345-H345)&gt;0,J345/(G345-H345),0)</f>
        <v>0.983130081300813</v>
      </c>
      <c r="Q345" s="15" t="n">
        <f aca="false">IF(J345*O345&gt;0,N345/(O345*J345),0)</f>
        <v>0.876429671817376</v>
      </c>
      <c r="R345" s="15" t="n">
        <f aca="false">IF(N345&gt;0,L345/N345,0)</f>
        <v>0.987563347486646</v>
      </c>
      <c r="S345" s="15" t="n">
        <f aca="false">P345*Q345*R345</f>
        <v>0.850928402832415</v>
      </c>
      <c r="T345" s="15" t="n">
        <f aca="false">IF(K345&gt;0,L345/K345,0)</f>
        <v>1.13155017550835</v>
      </c>
      <c r="U345" s="10" t="n">
        <v>1070.8</v>
      </c>
      <c r="V345" s="5" t="n">
        <v>11</v>
      </c>
      <c r="W345" s="10" t="n">
        <v>74.2</v>
      </c>
      <c r="X345" s="15" t="n">
        <f aca="false">IF(U345&gt;0,W345/U345,0)</f>
        <v>0.0692939858050056</v>
      </c>
      <c r="Y345" s="12" t="n">
        <f aca="false">IF(U345&gt;0,L345/U345,0)</f>
        <v>202.004109077325</v>
      </c>
      <c r="Z345" s="16" t="n">
        <f aca="false">L345*INDEX(Parametros!$E$2:$E$9,MATCH($E345,Parametros!$A$2:$A$9,0))</f>
        <v>142761.96</v>
      </c>
      <c r="AA345" s="16" t="n">
        <f aca="false">Z345*INDEX(Parametros!$F$2:$F$9,MATCH($E345,Parametros!$A$2:$A$9,0))</f>
        <v>3711.81096</v>
      </c>
      <c r="AB345" s="17" t="n">
        <f aca="false">Z345+AA345</f>
        <v>146473.77096</v>
      </c>
      <c r="AC345" s="18" t="n">
        <v>147648.01</v>
      </c>
      <c r="AD345" s="17" t="n">
        <f aca="false">AC345-AB345</f>
        <v>1174.23903999999</v>
      </c>
      <c r="AE345" s="17" t="n">
        <f aca="false">AA345+AD345</f>
        <v>4886.04999999999</v>
      </c>
      <c r="AF345" s="19" t="n">
        <f aca="false">IF(Z345&gt;0,AE345/Z345,0)</f>
        <v>0.0342251535352974</v>
      </c>
      <c r="AG345" s="16" t="n">
        <f aca="false">(U345-W345)*INDEX(Parametros!$H$2:$H$9,MATCH($E345,Parametros!$A$2:$A$9,0))+W345*INDEX(Parametros!$H$2:$H$9,MATCH($E345,Parametros!$A$2:$A$9,0))*Parametros!$N$3</f>
        <v>34898.85</v>
      </c>
      <c r="AH345" s="13" t="n">
        <v>10746</v>
      </c>
      <c r="AI345" s="16" t="n">
        <f aca="false">AH345*Parametros!$N$2</f>
        <v>988.632</v>
      </c>
      <c r="AJ345" s="18" t="n">
        <v>6628</v>
      </c>
      <c r="AK345" s="18" t="n">
        <v>783</v>
      </c>
      <c r="AL345" s="17" t="n">
        <f aca="false">AG345+AI345+AJ345+AK345</f>
        <v>43298.482</v>
      </c>
      <c r="AM345" s="20" t="n">
        <f aca="false">IF(L345&gt;0,AL345/L345,0)</f>
        <v>0.200172357678474</v>
      </c>
      <c r="AN345" s="16" t="n">
        <f aca="false">L345*INDEX(Parametros!$G$2:$G$9,MATCH($E345,Parametros!$A$2:$A$9,0))</f>
        <v>270382.5</v>
      </c>
      <c r="AO345" s="17" t="n">
        <f aca="false">AN345-AC345-AL345</f>
        <v>79436.008</v>
      </c>
      <c r="AP345" s="15" t="n">
        <f aca="false">IF(AN345&gt;0,AO345/AN345,0)</f>
        <v>0.293791232790584</v>
      </c>
      <c r="AQ345" s="16" t="n">
        <f aca="false">INDEX(Parametros!$I$2:$I$9,MATCH($E345,Parametros!$A$2:$A$9,0))</f>
        <v>13300000</v>
      </c>
      <c r="AR345" s="19" t="n">
        <f aca="false">IF(AQ345&gt;0,AO345/AQ345,0)</f>
        <v>0.00597263218045113</v>
      </c>
    </row>
    <row r="346" customFormat="false" ht="15" hidden="false" customHeight="false" outlineLevel="0" collapsed="false">
      <c r="A346" s="5" t="s">
        <v>481</v>
      </c>
      <c r="B346" s="9" t="n">
        <v>45852</v>
      </c>
      <c r="C346" s="2" t="str">
        <f aca="false">TEXT(B346,"yyyy")</f>
        <v>2025</v>
      </c>
      <c r="D346" s="2" t="n">
        <f aca="false">WEEKNUM(B346,2)</f>
        <v>29</v>
      </c>
      <c r="E346" s="5" t="s">
        <v>130</v>
      </c>
      <c r="F346" s="6" t="str">
        <f aca="false">INDEX(Parametros!$B$2:$B$9,MATCH($E346,Parametros!$A$2:$A$9,0))</f>
        <v>Ketchup botella</v>
      </c>
      <c r="G346" s="10" t="n">
        <v>130.6</v>
      </c>
      <c r="H346" s="10" t="n">
        <v>8</v>
      </c>
      <c r="I346" s="11" t="n">
        <f aca="false">SUMIFS(Eventos_Paro!$J$2:$J$2186,Eventos_Paro!$D$2:$D$2186,$E346,Eventos_Paro!$B$2:$B$2186,$B346)</f>
        <v>1.58333333333333</v>
      </c>
      <c r="J346" s="12" t="n">
        <f aca="false">G346-H346-I346</f>
        <v>121.016666666667</v>
      </c>
      <c r="K346" s="13" t="n">
        <v>917955</v>
      </c>
      <c r="L346" s="13" t="n">
        <v>902531</v>
      </c>
      <c r="M346" s="13" t="n">
        <v>25690</v>
      </c>
      <c r="N346" s="14" t="n">
        <f aca="false">L346+M346</f>
        <v>928221</v>
      </c>
      <c r="O346" s="11" t="n">
        <f aca="false">INDEX(Parametros!$D$2:$D$9,MATCH($E346,Parametros!$A$2:$A$9,0))</f>
        <v>9000</v>
      </c>
      <c r="P346" s="15" t="n">
        <f aca="false">IF((G346-H346)&gt;0,J346/(G346-H346),0)</f>
        <v>0.987085372485046</v>
      </c>
      <c r="Q346" s="15" t="n">
        <f aca="false">IF(J346*O346&gt;0,N346/(O346*J346),0)</f>
        <v>0.852243492631869</v>
      </c>
      <c r="R346" s="15" t="n">
        <f aca="false">IF(N346&gt;0,L346/N346,0)</f>
        <v>0.97232340143134</v>
      </c>
      <c r="S346" s="15" t="n">
        <f aca="false">P346*Q346*R346</f>
        <v>0.817954504259561</v>
      </c>
      <c r="T346" s="15" t="n">
        <f aca="false">IF(K346&gt;0,L346/K346,0)</f>
        <v>0.983197433425386</v>
      </c>
      <c r="U346" s="10" t="n">
        <v>2012.5</v>
      </c>
      <c r="V346" s="5" t="n">
        <v>15</v>
      </c>
      <c r="W346" s="10" t="n">
        <v>53.5</v>
      </c>
      <c r="X346" s="15" t="n">
        <f aca="false">IF(U346&gt;0,W346/U346,0)</f>
        <v>0.026583850931677</v>
      </c>
      <c r="Y346" s="12" t="n">
        <f aca="false">IF(U346&gt;0,L346/U346,0)</f>
        <v>448.462608695652</v>
      </c>
      <c r="Z346" s="16" t="n">
        <f aca="false">L346*INDEX(Parametros!$E$2:$E$9,MATCH($E346,Parametros!$A$2:$A$9,0))</f>
        <v>379063.02</v>
      </c>
      <c r="AA346" s="16" t="n">
        <f aca="false">Z346*INDEX(Parametros!$F$2:$F$9,MATCH($E346,Parametros!$A$2:$A$9,0))</f>
        <v>7581.2604</v>
      </c>
      <c r="AB346" s="17" t="n">
        <f aca="false">Z346+AA346</f>
        <v>386644.2804</v>
      </c>
      <c r="AC346" s="18" t="n">
        <v>396625.77</v>
      </c>
      <c r="AD346" s="17" t="n">
        <f aca="false">AC346-AB346</f>
        <v>9981.48960000009</v>
      </c>
      <c r="AE346" s="17" t="n">
        <f aca="false">AA346+AD346</f>
        <v>17562.7500000001</v>
      </c>
      <c r="AF346" s="19" t="n">
        <f aca="false">IF(Z346&gt;0,AE346/Z346,0)</f>
        <v>0.0463320056912966</v>
      </c>
      <c r="AG346" s="16" t="n">
        <f aca="false">(U346-W346)*INDEX(Parametros!$H$2:$H$9,MATCH($E346,Parametros!$A$2:$A$9,0))+W346*INDEX(Parametros!$H$2:$H$9,MATCH($E346,Parametros!$A$2:$A$9,0))*Parametros!$N$3</f>
        <v>64236.375</v>
      </c>
      <c r="AH346" s="13" t="n">
        <v>45655</v>
      </c>
      <c r="AI346" s="16" t="n">
        <f aca="false">AH346*Parametros!$N$2</f>
        <v>4200.26</v>
      </c>
      <c r="AJ346" s="18" t="n">
        <v>16279</v>
      </c>
      <c r="AK346" s="18" t="n">
        <v>1560</v>
      </c>
      <c r="AL346" s="17" t="n">
        <f aca="false">AG346+AI346+AJ346+AK346</f>
        <v>86275.635</v>
      </c>
      <c r="AM346" s="20" t="n">
        <f aca="false">IF(L346&gt;0,AL346/L346,0)</f>
        <v>0.0955929879416884</v>
      </c>
      <c r="AN346" s="16" t="n">
        <f aca="false">L346*INDEX(Parametros!$G$2:$G$9,MATCH($E346,Parametros!$A$2:$A$9,0))</f>
        <v>640797.01</v>
      </c>
      <c r="AO346" s="17" t="n">
        <f aca="false">AN346-AC346-AL346</f>
        <v>157895.605</v>
      </c>
      <c r="AP346" s="15" t="n">
        <f aca="false">IF(AN346&gt;0,AO346/AN346,0)</f>
        <v>0.246405027701362</v>
      </c>
      <c r="AQ346" s="16" t="n">
        <f aca="false">INDEX(Parametros!$I$2:$I$9,MATCH($E346,Parametros!$A$2:$A$9,0))</f>
        <v>29300000</v>
      </c>
      <c r="AR346" s="19" t="n">
        <f aca="false">IF(AQ346&gt;0,AO346/AQ346,0)</f>
        <v>0.00538892849829351</v>
      </c>
    </row>
    <row r="347" customFormat="false" ht="15" hidden="false" customHeight="false" outlineLevel="0" collapsed="false">
      <c r="A347" s="5" t="s">
        <v>482</v>
      </c>
      <c r="B347" s="9" t="n">
        <v>45852</v>
      </c>
      <c r="C347" s="2" t="str">
        <f aca="false">TEXT(B347,"yyyy")</f>
        <v>2025</v>
      </c>
      <c r="D347" s="2" t="n">
        <f aca="false">WEEKNUM(B347,2)</f>
        <v>29</v>
      </c>
      <c r="E347" s="5" t="s">
        <v>132</v>
      </c>
      <c r="F347" s="6" t="str">
        <f aca="false">INDEX(Parametros!$B$2:$B$9,MATCH($E347,Parametros!$A$2:$A$9,0))</f>
        <v>Mayonesa frasco</v>
      </c>
      <c r="G347" s="10" t="n">
        <v>112.4</v>
      </c>
      <c r="H347" s="10" t="n">
        <v>6.7</v>
      </c>
      <c r="I347" s="11" t="n">
        <f aca="false">SUMIFS(Eventos_Paro!$J$2:$J$2186,Eventos_Paro!$D$2:$D$2186,$E347,Eventos_Paro!$B$2:$B$2186,$B347)</f>
        <v>2.43333333333333</v>
      </c>
      <c r="J347" s="12" t="n">
        <f aca="false">G347-H347-I347</f>
        <v>103.266666666667</v>
      </c>
      <c r="K347" s="13" t="n">
        <v>571580</v>
      </c>
      <c r="L347" s="13" t="n">
        <v>572663</v>
      </c>
      <c r="M347" s="13" t="n">
        <v>14794</v>
      </c>
      <c r="N347" s="14" t="n">
        <f aca="false">L347+M347</f>
        <v>587457</v>
      </c>
      <c r="O347" s="11" t="n">
        <f aca="false">INDEX(Parametros!$D$2:$D$9,MATCH($E347,Parametros!$A$2:$A$9,0))</f>
        <v>6500</v>
      </c>
      <c r="P347" s="15" t="n">
        <f aca="false">IF((G347-H347)&gt;0,J347/(G347-H347),0)</f>
        <v>0.976978871018606</v>
      </c>
      <c r="Q347" s="15" t="n">
        <f aca="false">IF(J347*O347&gt;0,N347/(O347*J347),0)</f>
        <v>0.875190445448677</v>
      </c>
      <c r="R347" s="15" t="n">
        <f aca="false">IF(N347&gt;0,L347/N347,0)</f>
        <v>0.974816880214211</v>
      </c>
      <c r="S347" s="15" t="n">
        <f aca="false">P347*Q347*R347</f>
        <v>0.833509933774834</v>
      </c>
      <c r="T347" s="15" t="n">
        <f aca="false">IF(K347&gt;0,L347/K347,0)</f>
        <v>1.00189474789181</v>
      </c>
      <c r="U347" s="10" t="n">
        <v>1587.8</v>
      </c>
      <c r="V347" s="5" t="n">
        <v>13</v>
      </c>
      <c r="W347" s="10" t="n">
        <v>126.6</v>
      </c>
      <c r="X347" s="15" t="n">
        <f aca="false">IF(U347&gt;0,W347/U347,0)</f>
        <v>0.0797329638493513</v>
      </c>
      <c r="Y347" s="12" t="n">
        <f aca="false">IF(U347&gt;0,L347/U347,0)</f>
        <v>360.664441365411</v>
      </c>
      <c r="Z347" s="16" t="n">
        <f aca="false">L347*INDEX(Parametros!$E$2:$E$9,MATCH($E347,Parametros!$A$2:$A$9,0))</f>
        <v>349324.43</v>
      </c>
      <c r="AA347" s="16" t="n">
        <f aca="false">Z347*INDEX(Parametros!$F$2:$F$9,MATCH($E347,Parametros!$A$2:$A$9,0))</f>
        <v>8733.11075</v>
      </c>
      <c r="AB347" s="17" t="n">
        <f aca="false">Z347+AA347</f>
        <v>358057.54075</v>
      </c>
      <c r="AC347" s="18" t="n">
        <v>354941.62</v>
      </c>
      <c r="AD347" s="17" t="n">
        <f aca="false">AC347-AB347</f>
        <v>-3115.92074999999</v>
      </c>
      <c r="AE347" s="17" t="n">
        <f aca="false">AA347+AD347</f>
        <v>5617.19000000001</v>
      </c>
      <c r="AF347" s="19" t="n">
        <f aca="false">IF(Z347&gt;0,AE347/Z347,0)</f>
        <v>0.016080152195482</v>
      </c>
      <c r="AG347" s="16" t="n">
        <f aca="false">(U347-W347)*INDEX(Parametros!$H$2:$H$9,MATCH($E347,Parametros!$A$2:$A$9,0))+W347*INDEX(Parametros!$H$2:$H$9,MATCH($E347,Parametros!$A$2:$A$9,0))*Parametros!$N$3</f>
        <v>52009.65</v>
      </c>
      <c r="AH347" s="13" t="n">
        <v>29930</v>
      </c>
      <c r="AI347" s="16" t="n">
        <f aca="false">AH347*Parametros!$N$2</f>
        <v>2753.56</v>
      </c>
      <c r="AJ347" s="18" t="n">
        <v>16270</v>
      </c>
      <c r="AK347" s="18" t="n">
        <v>2890</v>
      </c>
      <c r="AL347" s="17" t="n">
        <f aca="false">AG347+AI347+AJ347+AK347</f>
        <v>73923.21</v>
      </c>
      <c r="AM347" s="20" t="n">
        <f aca="false">IF(L347&gt;0,AL347/L347,0)</f>
        <v>0.129086757831395</v>
      </c>
      <c r="AN347" s="16" t="n">
        <f aca="false">L347*INDEX(Parametros!$G$2:$G$9,MATCH($E347,Parametros!$A$2:$A$9,0))</f>
        <v>549756.48</v>
      </c>
      <c r="AO347" s="17" t="n">
        <f aca="false">AN347-AC347-AL347</f>
        <v>120891.65</v>
      </c>
      <c r="AP347" s="15" t="n">
        <f aca="false">IF(AN347&gt;0,AO347/AN347,0)</f>
        <v>0.219900363884751</v>
      </c>
      <c r="AQ347" s="16" t="n">
        <f aca="false">INDEX(Parametros!$I$2:$I$9,MATCH($E347,Parametros!$A$2:$A$9,0))</f>
        <v>29700000</v>
      </c>
      <c r="AR347" s="19" t="n">
        <f aca="false">IF(AQ347&gt;0,AO347/AQ347,0)</f>
        <v>0.00407042592592593</v>
      </c>
    </row>
    <row r="348" customFormat="false" ht="15" hidden="false" customHeight="false" outlineLevel="0" collapsed="false">
      <c r="A348" s="5" t="s">
        <v>483</v>
      </c>
      <c r="B348" s="9" t="n">
        <v>45852</v>
      </c>
      <c r="C348" s="2" t="str">
        <f aca="false">TEXT(B348,"yyyy")</f>
        <v>2025</v>
      </c>
      <c r="D348" s="2" t="n">
        <f aca="false">WEEKNUM(B348,2)</f>
        <v>29</v>
      </c>
      <c r="E348" s="5" t="s">
        <v>134</v>
      </c>
      <c r="F348" s="6" t="str">
        <f aca="false">INDEX(Parametros!$B$2:$B$9,MATCH($E348,Parametros!$A$2:$A$9,0))</f>
        <v>Aderezos vertibles</v>
      </c>
      <c r="G348" s="10" t="n">
        <v>114.8</v>
      </c>
      <c r="H348" s="10" t="n">
        <v>6.7</v>
      </c>
      <c r="I348" s="11" t="n">
        <f aca="false">SUMIFS(Eventos_Paro!$J$2:$J$2186,Eventos_Paro!$D$2:$D$2186,$E348,Eventos_Paro!$B$2:$B$2186,$B348)</f>
        <v>3.68333333333333</v>
      </c>
      <c r="J348" s="12" t="n">
        <f aca="false">G348-H348-I348</f>
        <v>104.416666666667</v>
      </c>
      <c r="K348" s="13" t="n">
        <v>467646</v>
      </c>
      <c r="L348" s="13" t="n">
        <v>454313</v>
      </c>
      <c r="M348" s="13" t="n">
        <v>15191</v>
      </c>
      <c r="N348" s="14" t="n">
        <f aca="false">L348+M348</f>
        <v>469504</v>
      </c>
      <c r="O348" s="11" t="n">
        <f aca="false">INDEX(Parametros!$D$2:$D$9,MATCH($E348,Parametros!$A$2:$A$9,0))</f>
        <v>5200</v>
      </c>
      <c r="P348" s="15" t="n">
        <f aca="false">IF((G348-H348)&gt;0,J348/(G348-H348),0)</f>
        <v>0.965926611162504</v>
      </c>
      <c r="Q348" s="15" t="n">
        <f aca="false">IF(J348*O348&gt;0,N348/(O348*J348),0)</f>
        <v>0.864701332187366</v>
      </c>
      <c r="R348" s="15" t="n">
        <f aca="false">IF(N348&gt;0,L348/N348,0)</f>
        <v>0.967644578107961</v>
      </c>
      <c r="S348" s="15" t="n">
        <f aca="false">P348*Q348*R348</f>
        <v>0.808213548708461</v>
      </c>
      <c r="T348" s="15" t="n">
        <f aca="false">IF(K348&gt;0,L348/K348,0)</f>
        <v>0.971489117836996</v>
      </c>
      <c r="U348" s="10" t="n">
        <v>1607.4</v>
      </c>
      <c r="V348" s="5" t="n">
        <v>13</v>
      </c>
      <c r="W348" s="10" t="n">
        <v>115</v>
      </c>
      <c r="X348" s="15" t="n">
        <f aca="false">IF(U348&gt;0,W348/U348,0)</f>
        <v>0.0715441084981958</v>
      </c>
      <c r="Y348" s="12" t="n">
        <f aca="false">IF(U348&gt;0,L348/U348,0)</f>
        <v>282.638422296877</v>
      </c>
      <c r="Z348" s="16" t="n">
        <f aca="false">L348*INDEX(Parametros!$E$2:$E$9,MATCH($E348,Parametros!$A$2:$A$9,0))</f>
        <v>249872.15</v>
      </c>
      <c r="AA348" s="16" t="n">
        <f aca="false">Z348*INDEX(Parametros!$F$2:$F$9,MATCH($E348,Parametros!$A$2:$A$9,0))</f>
        <v>7496.1645</v>
      </c>
      <c r="AB348" s="17" t="n">
        <f aca="false">Z348+AA348</f>
        <v>257368.3145</v>
      </c>
      <c r="AC348" s="18" t="n">
        <v>249029.42</v>
      </c>
      <c r="AD348" s="17" t="n">
        <f aca="false">AC348-AB348</f>
        <v>-8338.89450000002</v>
      </c>
      <c r="AE348" s="17" t="n">
        <f aca="false">AA348+AD348</f>
        <v>-842.730000000023</v>
      </c>
      <c r="AF348" s="19" t="n">
        <f aca="false">IF(Z348&gt;0,AE348/Z348,0)</f>
        <v>-0.00337264477053574</v>
      </c>
      <c r="AG348" s="16" t="n">
        <f aca="false">(U348-W348)*INDEX(Parametros!$H$2:$H$9,MATCH($E348,Parametros!$A$2:$A$9,0))+W348*INDEX(Parametros!$H$2:$H$9,MATCH($E348,Parametros!$A$2:$A$9,0))*Parametros!$N$3</f>
        <v>52444.35</v>
      </c>
      <c r="AH348" s="13" t="n">
        <v>22124</v>
      </c>
      <c r="AI348" s="16" t="n">
        <f aca="false">AH348*Parametros!$N$2</f>
        <v>2035.408</v>
      </c>
      <c r="AJ348" s="18" t="n">
        <v>10261</v>
      </c>
      <c r="AK348" s="18" t="n">
        <v>2953</v>
      </c>
      <c r="AL348" s="17" t="n">
        <f aca="false">AG348+AI348+AJ348+AK348</f>
        <v>67693.758</v>
      </c>
      <c r="AM348" s="20" t="n">
        <f aca="false">IF(L348&gt;0,AL348/L348,0)</f>
        <v>0.14900246746186</v>
      </c>
      <c r="AN348" s="16" t="n">
        <f aca="false">L348*INDEX(Parametros!$G$2:$G$9,MATCH($E348,Parametros!$A$2:$A$9,0))</f>
        <v>463399.26</v>
      </c>
      <c r="AO348" s="17" t="n">
        <f aca="false">AN348-AC348-AL348</f>
        <v>146676.082</v>
      </c>
      <c r="AP348" s="15" t="n">
        <f aca="false">IF(AN348&gt;0,AO348/AN348,0)</f>
        <v>0.316522046237191</v>
      </c>
      <c r="AQ348" s="16" t="n">
        <f aca="false">INDEX(Parametros!$I$2:$I$9,MATCH($E348,Parametros!$A$2:$A$9,0))</f>
        <v>19300000</v>
      </c>
      <c r="AR348" s="19" t="n">
        <f aca="false">IF(AQ348&gt;0,AO348/AQ348,0)</f>
        <v>0.00759979699481865</v>
      </c>
    </row>
    <row r="349" customFormat="false" ht="15" hidden="false" customHeight="false" outlineLevel="0" collapsed="false">
      <c r="A349" s="5" t="s">
        <v>484</v>
      </c>
      <c r="B349" s="9" t="n">
        <v>45852</v>
      </c>
      <c r="C349" s="2" t="str">
        <f aca="false">TEXT(B349,"yyyy")</f>
        <v>2025</v>
      </c>
      <c r="D349" s="2" t="n">
        <f aca="false">WEEKNUM(B349,2)</f>
        <v>29</v>
      </c>
      <c r="E349" s="5" t="s">
        <v>136</v>
      </c>
      <c r="F349" s="6" t="str">
        <f aca="false">INDEX(Parametros!$B$2:$B$9,MATCH($E349,Parametros!$A$2:$A$9,0))</f>
        <v>Salsa BBQ</v>
      </c>
      <c r="G349" s="10" t="n">
        <v>125</v>
      </c>
      <c r="H349" s="10" t="n">
        <v>7.4</v>
      </c>
      <c r="I349" s="11" t="n">
        <f aca="false">SUMIFS(Eventos_Paro!$J$2:$J$2186,Eventos_Paro!$D$2:$D$2186,$E349,Eventos_Paro!$B$2:$B$2186,$B349)</f>
        <v>1.83333333333333</v>
      </c>
      <c r="J349" s="12" t="n">
        <f aca="false">G349-H349-I349</f>
        <v>115.766666666667</v>
      </c>
      <c r="K349" s="13" t="n">
        <v>532700</v>
      </c>
      <c r="L349" s="13" t="n">
        <v>445360</v>
      </c>
      <c r="M349" s="13" t="n">
        <v>12452</v>
      </c>
      <c r="N349" s="14" t="n">
        <f aca="false">L349+M349</f>
        <v>457812</v>
      </c>
      <c r="O349" s="11" t="n">
        <f aca="false">INDEX(Parametros!$D$2:$D$9,MATCH($E349,Parametros!$A$2:$A$9,0))</f>
        <v>4800</v>
      </c>
      <c r="P349" s="15" t="n">
        <f aca="false">IF((G349-H349)&gt;0,J349/(G349-H349),0)</f>
        <v>0.984410430839002</v>
      </c>
      <c r="Q349" s="15" t="n">
        <f aca="false">IF(J349*O349&gt;0,N349/(O349*J349),0)</f>
        <v>0.823877051540455</v>
      </c>
      <c r="R349" s="15" t="n">
        <f aca="false">IF(N349&gt;0,L349/N349,0)</f>
        <v>0.972801062444846</v>
      </c>
      <c r="S349" s="15" t="n">
        <f aca="false">P349*Q349*R349</f>
        <v>0.788973922902494</v>
      </c>
      <c r="T349" s="15" t="n">
        <f aca="false">IF(K349&gt;0,L349/K349,0)</f>
        <v>0.836042800825981</v>
      </c>
      <c r="U349" s="10" t="n">
        <v>1616.1</v>
      </c>
      <c r="V349" s="5" t="n">
        <v>12</v>
      </c>
      <c r="W349" s="10" t="n">
        <v>116.1</v>
      </c>
      <c r="X349" s="15" t="n">
        <f aca="false">IF(U349&gt;0,W349/U349,0)</f>
        <v>0.0718396138852794</v>
      </c>
      <c r="Y349" s="12" t="n">
        <f aca="false">IF(U349&gt;0,L349/U349,0)</f>
        <v>275.577006373368</v>
      </c>
      <c r="Z349" s="16" t="n">
        <f aca="false">L349*INDEX(Parametros!$E$2:$E$9,MATCH($E349,Parametros!$A$2:$A$9,0))</f>
        <v>258308.8</v>
      </c>
      <c r="AA349" s="16" t="n">
        <f aca="false">Z349*INDEX(Parametros!$F$2:$F$9,MATCH($E349,Parametros!$A$2:$A$9,0))</f>
        <v>7232.6464</v>
      </c>
      <c r="AB349" s="17" t="n">
        <f aca="false">Z349+AA349</f>
        <v>265541.4464</v>
      </c>
      <c r="AC349" s="18" t="n">
        <v>266586.06</v>
      </c>
      <c r="AD349" s="17" t="n">
        <f aca="false">AC349-AB349</f>
        <v>1044.61359999998</v>
      </c>
      <c r="AE349" s="17" t="n">
        <f aca="false">AA349+AD349</f>
        <v>8277.25999999998</v>
      </c>
      <c r="AF349" s="19" t="n">
        <f aca="false">IF(Z349&gt;0,AE349/Z349,0)</f>
        <v>0.0320440496026461</v>
      </c>
      <c r="AG349" s="16" t="n">
        <f aca="false">(U349-W349)*INDEX(Parametros!$H$2:$H$9,MATCH($E349,Parametros!$A$2:$A$9,0))+W349*INDEX(Parametros!$H$2:$H$9,MATCH($E349,Parametros!$A$2:$A$9,0))*Parametros!$N$3</f>
        <v>52735.725</v>
      </c>
      <c r="AH349" s="13" t="n">
        <v>21583</v>
      </c>
      <c r="AI349" s="16" t="n">
        <f aca="false">AH349*Parametros!$N$2</f>
        <v>1985.636</v>
      </c>
      <c r="AJ349" s="18" t="n">
        <v>8140</v>
      </c>
      <c r="AK349" s="18" t="n">
        <v>1567</v>
      </c>
      <c r="AL349" s="17" t="n">
        <f aca="false">AG349+AI349+AJ349+AK349</f>
        <v>64428.361</v>
      </c>
      <c r="AM349" s="20" t="n">
        <f aca="false">IF(L349&gt;0,AL349/L349,0)</f>
        <v>0.144665800700557</v>
      </c>
      <c r="AN349" s="16" t="n">
        <f aca="false">L349*INDEX(Parametros!$G$2:$G$9,MATCH($E349,Parametros!$A$2:$A$9,0))</f>
        <v>436452.8</v>
      </c>
      <c r="AO349" s="17" t="n">
        <f aca="false">AN349-AC349-AL349</f>
        <v>105438.379</v>
      </c>
      <c r="AP349" s="15" t="n">
        <f aca="false">IF(AN349&gt;0,AO349/AN349,0)</f>
        <v>0.241580255642764</v>
      </c>
      <c r="AQ349" s="16" t="n">
        <f aca="false">INDEX(Parametros!$I$2:$I$9,MATCH($E349,Parametros!$A$2:$A$9,0))</f>
        <v>17000000</v>
      </c>
      <c r="AR349" s="19" t="n">
        <f aca="false">IF(AQ349&gt;0,AO349/AQ349,0)</f>
        <v>0.00620225758823529</v>
      </c>
    </row>
    <row r="350" customFormat="false" ht="15" hidden="false" customHeight="false" outlineLevel="0" collapsed="false">
      <c r="A350" s="5" t="s">
        <v>485</v>
      </c>
      <c r="B350" s="9" t="n">
        <v>45852</v>
      </c>
      <c r="C350" s="2" t="str">
        <f aca="false">TEXT(B350,"yyyy")</f>
        <v>2025</v>
      </c>
      <c r="D350" s="2" t="n">
        <f aca="false">WEEKNUM(B350,2)</f>
        <v>29</v>
      </c>
      <c r="E350" s="5" t="s">
        <v>138</v>
      </c>
      <c r="F350" s="6" t="str">
        <f aca="false">INDEX(Parametros!$B$2:$B$9,MATCH($E350,Parametros!$A$2:$A$9,0))</f>
        <v>Queso crema</v>
      </c>
      <c r="G350" s="10" t="n">
        <v>124.1</v>
      </c>
      <c r="H350" s="10" t="n">
        <v>6.4</v>
      </c>
      <c r="I350" s="11" t="n">
        <f aca="false">SUMIFS(Eventos_Paro!$J$2:$J$2186,Eventos_Paro!$D$2:$D$2186,$E350,Eventos_Paro!$B$2:$B$2186,$B350)</f>
        <v>1.45</v>
      </c>
      <c r="J350" s="12" t="n">
        <f aca="false">G350-H350-I350</f>
        <v>116.25</v>
      </c>
      <c r="K350" s="13" t="n">
        <v>372091</v>
      </c>
      <c r="L350" s="13" t="n">
        <v>335132</v>
      </c>
      <c r="M350" s="13" t="n">
        <v>12643</v>
      </c>
      <c r="N350" s="14" t="n">
        <f aca="false">L350+M350</f>
        <v>347775</v>
      </c>
      <c r="O350" s="11" t="n">
        <f aca="false">INDEX(Parametros!$D$2:$D$9,MATCH($E350,Parametros!$A$2:$A$9,0))</f>
        <v>3800</v>
      </c>
      <c r="P350" s="15" t="n">
        <f aca="false">IF((G350-H350)&gt;0,J350/(G350-H350),0)</f>
        <v>0.98768054375531</v>
      </c>
      <c r="Q350" s="15" t="n">
        <f aca="false">IF(J350*O350&gt;0,N350/(O350*J350),0)</f>
        <v>0.787266553480476</v>
      </c>
      <c r="R350" s="15" t="n">
        <f aca="false">IF(N350&gt;0,L350/N350,0)</f>
        <v>0.963646035511466</v>
      </c>
      <c r="S350" s="15" t="n">
        <f aca="false">P350*Q350*R350</f>
        <v>0.74930018333855</v>
      </c>
      <c r="T350" s="15" t="n">
        <f aca="false">IF(K350&gt;0,L350/K350,0)</f>
        <v>0.900672147404802</v>
      </c>
      <c r="U350" s="10" t="n">
        <v>2063.6</v>
      </c>
      <c r="V350" s="5" t="n">
        <v>16</v>
      </c>
      <c r="W350" s="10" t="n">
        <v>78</v>
      </c>
      <c r="X350" s="15" t="n">
        <f aca="false">IF(U350&gt;0,W350/U350,0)</f>
        <v>0.0377980228726497</v>
      </c>
      <c r="Y350" s="12" t="n">
        <f aca="false">IF(U350&gt;0,L350/U350,0)</f>
        <v>162.401628222524</v>
      </c>
      <c r="Z350" s="16" t="n">
        <f aca="false">L350*INDEX(Parametros!$E$2:$E$9,MATCH($E350,Parametros!$A$2:$A$9,0))</f>
        <v>375347.84</v>
      </c>
      <c r="AA350" s="16" t="n">
        <f aca="false">Z350*INDEX(Parametros!$F$2:$F$9,MATCH($E350,Parametros!$A$2:$A$9,0))</f>
        <v>13137.1744</v>
      </c>
      <c r="AB350" s="17" t="n">
        <f aca="false">Z350+AA350</f>
        <v>388485.0144</v>
      </c>
      <c r="AC350" s="18" t="n">
        <v>389686.61</v>
      </c>
      <c r="AD350" s="17" t="n">
        <f aca="false">AC350-AB350</f>
        <v>1201.59559999994</v>
      </c>
      <c r="AE350" s="17" t="n">
        <f aca="false">AA350+AD350</f>
        <v>14338.7699999999</v>
      </c>
      <c r="AF350" s="19" t="n">
        <f aca="false">IF(Z350&gt;0,AE350/Z350,0)</f>
        <v>0.0382012855062652</v>
      </c>
      <c r="AG350" s="16" t="n">
        <f aca="false">(U350-W350)*INDEX(Parametros!$H$2:$H$9,MATCH($E350,Parametros!$A$2:$A$9,0))+W350*INDEX(Parametros!$H$2:$H$9,MATCH($E350,Parametros!$A$2:$A$9,0))*Parametros!$N$3</f>
        <v>69385.8</v>
      </c>
      <c r="AH350" s="13" t="n">
        <v>17608</v>
      </c>
      <c r="AI350" s="16" t="n">
        <f aca="false">AH350*Parametros!$N$2</f>
        <v>1619.936</v>
      </c>
      <c r="AJ350" s="18" t="n">
        <v>18500</v>
      </c>
      <c r="AK350" s="18" t="n">
        <v>1315</v>
      </c>
      <c r="AL350" s="17" t="n">
        <f aca="false">AG350+AI350+AJ350+AK350</f>
        <v>90820.736</v>
      </c>
      <c r="AM350" s="20" t="n">
        <f aca="false">IF(L350&gt;0,AL350/L350,0)</f>
        <v>0.27099989257964</v>
      </c>
      <c r="AN350" s="16" t="n">
        <f aca="false">L350*INDEX(Parametros!$G$2:$G$9,MATCH($E350,Parametros!$A$2:$A$9,0))</f>
        <v>599886.28</v>
      </c>
      <c r="AO350" s="17" t="n">
        <f aca="false">AN350-AC350-AL350</f>
        <v>119378.934</v>
      </c>
      <c r="AP350" s="15" t="n">
        <f aca="false">IF(AN350&gt;0,AO350/AN350,0)</f>
        <v>0.199002607627566</v>
      </c>
      <c r="AQ350" s="16" t="n">
        <f aca="false">INDEX(Parametros!$I$2:$I$9,MATCH($E350,Parametros!$A$2:$A$9,0))</f>
        <v>33200000</v>
      </c>
      <c r="AR350" s="19" t="n">
        <f aca="false">IF(AQ350&gt;0,AO350/AQ350,0)</f>
        <v>0.00359575102409639</v>
      </c>
    </row>
    <row r="351" customFormat="false" ht="15" hidden="false" customHeight="false" outlineLevel="0" collapsed="false">
      <c r="A351" s="5" t="s">
        <v>486</v>
      </c>
      <c r="B351" s="9" t="n">
        <v>45852</v>
      </c>
      <c r="C351" s="2" t="str">
        <f aca="false">TEXT(B351,"yyyy")</f>
        <v>2025</v>
      </c>
      <c r="D351" s="2" t="n">
        <f aca="false">WEEKNUM(B351,2)</f>
        <v>29</v>
      </c>
      <c r="E351" s="5" t="s">
        <v>140</v>
      </c>
      <c r="F351" s="6" t="str">
        <f aca="false">INDEX(Parametros!$B$2:$B$9,MATCH($E351,Parametros!$A$2:$A$9,0))</f>
        <v>Crema de cacahuate</v>
      </c>
      <c r="G351" s="10" t="n">
        <v>117.4</v>
      </c>
      <c r="H351" s="10" t="n">
        <v>8.5</v>
      </c>
      <c r="I351" s="11" t="n">
        <f aca="false">SUMIFS(Eventos_Paro!$J$2:$J$2186,Eventos_Paro!$D$2:$D$2186,$E351,Eventos_Paro!$B$2:$B$2186,$B351)</f>
        <v>0</v>
      </c>
      <c r="J351" s="12" t="n">
        <f aca="false">G351-H351-I351</f>
        <v>108.9</v>
      </c>
      <c r="K351" s="13" t="n">
        <v>380510</v>
      </c>
      <c r="L351" s="13" t="n">
        <v>387190</v>
      </c>
      <c r="M351" s="13" t="n">
        <v>8820</v>
      </c>
      <c r="N351" s="14" t="n">
        <f aca="false">L351+M351</f>
        <v>396010</v>
      </c>
      <c r="O351" s="11" t="n">
        <f aca="false">INDEX(Parametros!$D$2:$D$9,MATCH($E351,Parametros!$A$2:$A$9,0))</f>
        <v>4200</v>
      </c>
      <c r="P351" s="15" t="n">
        <f aca="false">IF((G351-H351)&gt;0,J351/(G351-H351),0)</f>
        <v>1</v>
      </c>
      <c r="Q351" s="15" t="n">
        <f aca="false">IF(J351*O351&gt;0,N351/(O351*J351),0)</f>
        <v>0.865822729459093</v>
      </c>
      <c r="R351" s="15" t="n">
        <f aca="false">IF(N351&gt;0,L351/N351,0)</f>
        <v>0.977727835155678</v>
      </c>
      <c r="S351" s="15" t="n">
        <f aca="false">P351*Q351*R351</f>
        <v>0.846538982902619</v>
      </c>
      <c r="T351" s="15" t="n">
        <f aca="false">IF(K351&gt;0,L351/K351,0)</f>
        <v>1.01755538619222</v>
      </c>
      <c r="U351" s="10" t="n">
        <v>1627.7</v>
      </c>
      <c r="V351" s="5" t="n">
        <v>13</v>
      </c>
      <c r="W351" s="10" t="n">
        <v>101.5</v>
      </c>
      <c r="X351" s="15" t="n">
        <f aca="false">IF(U351&gt;0,W351/U351,0)</f>
        <v>0.0623579283651779</v>
      </c>
      <c r="Y351" s="12" t="n">
        <f aca="false">IF(U351&gt;0,L351/U351,0)</f>
        <v>237.8755298888</v>
      </c>
      <c r="Z351" s="16" t="n">
        <f aca="false">L351*INDEX(Parametros!$E$2:$E$9,MATCH($E351,Parametros!$A$2:$A$9,0))</f>
        <v>375574.3</v>
      </c>
      <c r="AA351" s="16" t="n">
        <f aca="false">Z351*INDEX(Parametros!$F$2:$F$9,MATCH($E351,Parametros!$A$2:$A$9,0))</f>
        <v>8262.6346</v>
      </c>
      <c r="AB351" s="17" t="n">
        <f aca="false">Z351+AA351</f>
        <v>383836.9346</v>
      </c>
      <c r="AC351" s="18" t="n">
        <v>392196.52</v>
      </c>
      <c r="AD351" s="17" t="n">
        <f aca="false">AC351-AB351</f>
        <v>8359.58540000004</v>
      </c>
      <c r="AE351" s="17" t="n">
        <f aca="false">AA351+AD351</f>
        <v>16622.22</v>
      </c>
      <c r="AF351" s="19" t="n">
        <f aca="false">IF(Z351&gt;0,AE351/Z351,0)</f>
        <v>0.0442581401336568</v>
      </c>
      <c r="AG351" s="16" t="n">
        <f aca="false">(U351-W351)*INDEX(Parametros!$H$2:$H$9,MATCH($E351,Parametros!$A$2:$A$9,0))+W351*INDEX(Parametros!$H$2:$H$9,MATCH($E351,Parametros!$A$2:$A$9,0))*Parametros!$N$3</f>
        <v>52871.175</v>
      </c>
      <c r="AH351" s="13" t="n">
        <v>20014</v>
      </c>
      <c r="AI351" s="16" t="n">
        <f aca="false">AH351*Parametros!$N$2</f>
        <v>1841.288</v>
      </c>
      <c r="AJ351" s="18" t="n">
        <v>13817</v>
      </c>
      <c r="AK351" s="18" t="n">
        <v>0</v>
      </c>
      <c r="AL351" s="17" t="n">
        <f aca="false">AG351+AI351+AJ351+AK351</f>
        <v>68529.463</v>
      </c>
      <c r="AM351" s="20" t="n">
        <f aca="false">IF(L351&gt;0,AL351/L351,0)</f>
        <v>0.176991820553217</v>
      </c>
      <c r="AN351" s="16" t="n">
        <f aca="false">L351*INDEX(Parametros!$G$2:$G$9,MATCH($E351,Parametros!$A$2:$A$9,0))</f>
        <v>627247.8</v>
      </c>
      <c r="AO351" s="17" t="n">
        <f aca="false">AN351-AC351-AL351</f>
        <v>166521.817</v>
      </c>
      <c r="AP351" s="15" t="n">
        <f aca="false">IF(AN351&gt;0,AO351/AN351,0)</f>
        <v>0.265480113282183</v>
      </c>
      <c r="AQ351" s="16" t="n">
        <f aca="false">INDEX(Parametros!$I$2:$I$9,MATCH($E351,Parametros!$A$2:$A$9,0))</f>
        <v>28000000</v>
      </c>
      <c r="AR351" s="19" t="n">
        <f aca="false">IF(AQ351&gt;0,AO351/AQ351,0)</f>
        <v>0.00594720775</v>
      </c>
    </row>
    <row r="352" customFormat="false" ht="15" hidden="false" customHeight="false" outlineLevel="0" collapsed="false">
      <c r="A352" s="5" t="s">
        <v>487</v>
      </c>
      <c r="B352" s="9" t="n">
        <v>45852</v>
      </c>
      <c r="C352" s="2" t="str">
        <f aca="false">TEXT(B352,"yyyy")</f>
        <v>2025</v>
      </c>
      <c r="D352" s="2" t="n">
        <f aca="false">WEEKNUM(B352,2)</f>
        <v>29</v>
      </c>
      <c r="E352" s="5" t="s">
        <v>142</v>
      </c>
      <c r="F352" s="6" t="str">
        <f aca="false">INDEX(Parametros!$B$2:$B$9,MATCH($E352,Parametros!$A$2:$A$9,0))</f>
        <v>Porciones single serve</v>
      </c>
      <c r="G352" s="10" t="n">
        <v>144.1</v>
      </c>
      <c r="H352" s="10" t="n">
        <v>6.2</v>
      </c>
      <c r="I352" s="11" t="n">
        <f aca="false">SUMIFS(Eventos_Paro!$J$2:$J$2186,Eventos_Paro!$D$2:$D$2186,$E352,Eventos_Paro!$B$2:$B$2186,$B352)</f>
        <v>1.73333333333333</v>
      </c>
      <c r="J352" s="12" t="n">
        <f aca="false">G352-H352-I352</f>
        <v>136.166666666667</v>
      </c>
      <c r="K352" s="13" t="n">
        <v>298281</v>
      </c>
      <c r="L352" s="13" t="n">
        <v>276885</v>
      </c>
      <c r="M352" s="13" t="n">
        <v>13055</v>
      </c>
      <c r="N352" s="14" t="n">
        <f aca="false">L352+M352</f>
        <v>289940</v>
      </c>
      <c r="O352" s="11" t="n">
        <f aca="false">INDEX(Parametros!$D$2:$D$9,MATCH($E352,Parametros!$A$2:$A$9,0))</f>
        <v>2600</v>
      </c>
      <c r="P352" s="15" t="n">
        <f aca="false">IF((G352-H352)&gt;0,J352/(G352-H352),0)</f>
        <v>0.987430505197003</v>
      </c>
      <c r="Q352" s="15" t="n">
        <f aca="false">IF(J352*O352&gt;0,N352/(O352*J352),0)</f>
        <v>0.818962432915921</v>
      </c>
      <c r="R352" s="15" t="n">
        <f aca="false">IF(N352&gt;0,L352/N352,0)</f>
        <v>0.954973442781265</v>
      </c>
      <c r="S352" s="15" t="n">
        <f aca="false">P352*Q352*R352</f>
        <v>0.772256930886373</v>
      </c>
      <c r="T352" s="15" t="n">
        <f aca="false">IF(K352&gt;0,L352/K352,0)</f>
        <v>0.928268981262635</v>
      </c>
      <c r="U352" s="10" t="n">
        <v>2347.9</v>
      </c>
      <c r="V352" s="5" t="n">
        <v>16</v>
      </c>
      <c r="W352" s="10" t="n">
        <v>42.3</v>
      </c>
      <c r="X352" s="15" t="n">
        <f aca="false">IF(U352&gt;0,W352/U352,0)</f>
        <v>0.0180160994931641</v>
      </c>
      <c r="Y352" s="12" t="n">
        <f aca="false">IF(U352&gt;0,L352/U352,0)</f>
        <v>117.928787427062</v>
      </c>
      <c r="Z352" s="16" t="n">
        <f aca="false">L352*INDEX(Parametros!$E$2:$E$9,MATCH($E352,Parametros!$A$2:$A$9,0))</f>
        <v>204894.9</v>
      </c>
      <c r="AA352" s="16" t="n">
        <f aca="false">Z352*INDEX(Parametros!$F$2:$F$9,MATCH($E352,Parametros!$A$2:$A$9,0))</f>
        <v>9220.2705</v>
      </c>
      <c r="AB352" s="17" t="n">
        <f aca="false">Z352+AA352</f>
        <v>214115.1705</v>
      </c>
      <c r="AC352" s="18" t="n">
        <v>209588.47</v>
      </c>
      <c r="AD352" s="17" t="n">
        <f aca="false">AC352-AB352</f>
        <v>-4526.70050000001</v>
      </c>
      <c r="AE352" s="17" t="n">
        <f aca="false">AA352+AD352</f>
        <v>4693.56999999999</v>
      </c>
      <c r="AF352" s="19" t="n">
        <f aca="false">IF(Z352&gt;0,AE352/Z352,0)</f>
        <v>0.0229072075488457</v>
      </c>
      <c r="AG352" s="16" t="n">
        <f aca="false">(U352-W352)*INDEX(Parametros!$H$2:$H$9,MATCH($E352,Parametros!$A$2:$A$9,0))+W352*INDEX(Parametros!$H$2:$H$9,MATCH($E352,Parametros!$A$2:$A$9,0))*Parametros!$N$3</f>
        <v>71071.5</v>
      </c>
      <c r="AH352" s="13" t="n">
        <v>15112</v>
      </c>
      <c r="AI352" s="16" t="n">
        <f aca="false">AH352*Parametros!$N$2</f>
        <v>1390.304</v>
      </c>
      <c r="AJ352" s="18" t="n">
        <v>11694</v>
      </c>
      <c r="AK352" s="18" t="n">
        <v>1734</v>
      </c>
      <c r="AL352" s="17" t="n">
        <f aca="false">AG352+AI352+AJ352+AK352</f>
        <v>85889.804</v>
      </c>
      <c r="AM352" s="20" t="n">
        <f aca="false">IF(L352&gt;0,AL352/L352,0)</f>
        <v>0.310200278093793</v>
      </c>
      <c r="AN352" s="16" t="n">
        <f aca="false">L352*INDEX(Parametros!$G$2:$G$9,MATCH($E352,Parametros!$A$2:$A$9,0))</f>
        <v>476242.2</v>
      </c>
      <c r="AO352" s="17" t="n">
        <f aca="false">AN352-AC352-AL352</f>
        <v>180763.926</v>
      </c>
      <c r="AP352" s="15" t="n">
        <f aca="false">IF(AN352&gt;0,AO352/AN352,0)</f>
        <v>0.379563016465152</v>
      </c>
      <c r="AQ352" s="16" t="n">
        <f aca="false">INDEX(Parametros!$I$2:$I$9,MATCH($E352,Parametros!$A$2:$A$9,0))</f>
        <v>15900000</v>
      </c>
      <c r="AR352" s="19" t="n">
        <f aca="false">IF(AQ352&gt;0,AO352/AQ352,0)</f>
        <v>0.0113688003773585</v>
      </c>
    </row>
    <row r="353" customFormat="false" ht="15" hidden="false" customHeight="false" outlineLevel="0" collapsed="false">
      <c r="A353" s="5" t="s">
        <v>488</v>
      </c>
      <c r="B353" s="9" t="n">
        <v>45852</v>
      </c>
      <c r="C353" s="2" t="str">
        <f aca="false">TEXT(B353,"yyyy")</f>
        <v>2025</v>
      </c>
      <c r="D353" s="2" t="n">
        <f aca="false">WEEKNUM(B353,2)</f>
        <v>29</v>
      </c>
      <c r="E353" s="5" t="s">
        <v>144</v>
      </c>
      <c r="F353" s="6" t="str">
        <f aca="false">INDEX(Parametros!$B$2:$B$9,MATCH($E353,Parametros!$A$2:$A$9,0))</f>
        <v>Salsas picantes</v>
      </c>
      <c r="G353" s="10" t="n">
        <v>92.2</v>
      </c>
      <c r="H353" s="10" t="n">
        <v>6.2</v>
      </c>
      <c r="I353" s="11" t="n">
        <f aca="false">SUMIFS(Eventos_Paro!$J$2:$J$2186,Eventos_Paro!$D$2:$D$2186,$E353,Eventos_Paro!$B$2:$B$2186,$B353)</f>
        <v>3.1</v>
      </c>
      <c r="J353" s="12" t="n">
        <f aca="false">G353-H353-I353</f>
        <v>82.9</v>
      </c>
      <c r="K353" s="13" t="n">
        <v>200557</v>
      </c>
      <c r="L353" s="13" t="n">
        <v>216680</v>
      </c>
      <c r="M353" s="13" t="n">
        <v>9404</v>
      </c>
      <c r="N353" s="14" t="n">
        <f aca="false">L353+M353</f>
        <v>226084</v>
      </c>
      <c r="O353" s="11" t="n">
        <f aca="false">INDEX(Parametros!$D$2:$D$9,MATCH($E353,Parametros!$A$2:$A$9,0))</f>
        <v>3100</v>
      </c>
      <c r="P353" s="15" t="n">
        <f aca="false">IF((G353-H353)&gt;0,J353/(G353-H353),0)</f>
        <v>0.963953488372093</v>
      </c>
      <c r="Q353" s="15" t="n">
        <f aca="false">IF(J353*O353&gt;0,N353/(O353*J353),0)</f>
        <v>0.879738511226118</v>
      </c>
      <c r="R353" s="15" t="n">
        <f aca="false">IF(N353&gt;0,L353/N353,0)</f>
        <v>0.958404840678686</v>
      </c>
      <c r="S353" s="15" t="n">
        <f aca="false">P353*Q353*R353</f>
        <v>0.812753188297074</v>
      </c>
      <c r="T353" s="15" t="n">
        <f aca="false">IF(K353&gt;0,L353/K353,0)</f>
        <v>1.08039111075654</v>
      </c>
      <c r="U353" s="10" t="n">
        <v>868.5</v>
      </c>
      <c r="V353" s="5" t="n">
        <v>9</v>
      </c>
      <c r="W353" s="10" t="n">
        <v>38.7</v>
      </c>
      <c r="X353" s="15" t="n">
        <f aca="false">IF(U353&gt;0,W353/U353,0)</f>
        <v>0.044559585492228</v>
      </c>
      <c r="Y353" s="12" t="n">
        <f aca="false">IF(U353&gt;0,L353/U353,0)</f>
        <v>249.487622337363</v>
      </c>
      <c r="Z353" s="16" t="n">
        <f aca="false">L353*INDEX(Parametros!$E$2:$E$9,MATCH($E353,Parametros!$A$2:$A$9,0))</f>
        <v>143008.8</v>
      </c>
      <c r="AA353" s="16" t="n">
        <f aca="false">Z353*INDEX(Parametros!$F$2:$F$9,MATCH($E353,Parametros!$A$2:$A$9,0))</f>
        <v>3718.2288</v>
      </c>
      <c r="AB353" s="17" t="n">
        <f aca="false">Z353+AA353</f>
        <v>146727.0288</v>
      </c>
      <c r="AC353" s="18" t="n">
        <v>145048.52</v>
      </c>
      <c r="AD353" s="17" t="n">
        <f aca="false">AC353-AB353</f>
        <v>-1678.50880000004</v>
      </c>
      <c r="AE353" s="17" t="n">
        <f aca="false">AA353+AD353</f>
        <v>2039.71999999996</v>
      </c>
      <c r="AF353" s="19" t="n">
        <f aca="false">IF(Z353&gt;0,AE353/Z353,0)</f>
        <v>0.0142628985069448</v>
      </c>
      <c r="AG353" s="16" t="n">
        <f aca="false">(U353-W353)*INDEX(Parametros!$H$2:$H$9,MATCH($E353,Parametros!$A$2:$A$9,0))+W353*INDEX(Parametros!$H$2:$H$9,MATCH($E353,Parametros!$A$2:$A$9,0))*Parametros!$N$3</f>
        <v>27967.275</v>
      </c>
      <c r="AH353" s="13" t="n">
        <v>11306</v>
      </c>
      <c r="AI353" s="16" t="n">
        <f aca="false">AH353*Parametros!$N$2</f>
        <v>1040.152</v>
      </c>
      <c r="AJ353" s="18" t="n">
        <v>6218</v>
      </c>
      <c r="AK353" s="18" t="n">
        <v>3515</v>
      </c>
      <c r="AL353" s="17" t="n">
        <f aca="false">AG353+AI353+AJ353+AK353</f>
        <v>38740.427</v>
      </c>
      <c r="AM353" s="20" t="n">
        <f aca="false">IF(L353&gt;0,AL353/L353,0)</f>
        <v>0.178790968248108</v>
      </c>
      <c r="AN353" s="16" t="n">
        <f aca="false">L353*INDEX(Parametros!$G$2:$G$9,MATCH($E353,Parametros!$A$2:$A$9,0))</f>
        <v>270850</v>
      </c>
      <c r="AO353" s="17" t="n">
        <f aca="false">AN353-AC353-AL353</f>
        <v>87061.053</v>
      </c>
      <c r="AP353" s="15" t="n">
        <f aca="false">IF(AN353&gt;0,AO353/AN353,0)</f>
        <v>0.321436414989847</v>
      </c>
      <c r="AQ353" s="16" t="n">
        <f aca="false">INDEX(Parametros!$I$2:$I$9,MATCH($E353,Parametros!$A$2:$A$9,0))</f>
        <v>13300000</v>
      </c>
      <c r="AR353" s="19" t="n">
        <f aca="false">IF(AQ353&gt;0,AO353/AQ353,0)</f>
        <v>0.00654594383458647</v>
      </c>
    </row>
    <row r="354" customFormat="false" ht="15" hidden="false" customHeight="false" outlineLevel="0" collapsed="false">
      <c r="A354" s="5" t="s">
        <v>489</v>
      </c>
      <c r="B354" s="9" t="n">
        <v>45859</v>
      </c>
      <c r="C354" s="2" t="str">
        <f aca="false">TEXT(B354,"yyyy")</f>
        <v>2025</v>
      </c>
      <c r="D354" s="2" t="n">
        <f aca="false">WEEKNUM(B354,2)</f>
        <v>30</v>
      </c>
      <c r="E354" s="5" t="s">
        <v>130</v>
      </c>
      <c r="F354" s="6" t="str">
        <f aca="false">INDEX(Parametros!$B$2:$B$9,MATCH($E354,Parametros!$A$2:$A$9,0))</f>
        <v>Ketchup botella</v>
      </c>
      <c r="G354" s="10" t="n">
        <v>108.9</v>
      </c>
      <c r="H354" s="10" t="n">
        <v>5</v>
      </c>
      <c r="I354" s="11" t="n">
        <f aca="false">SUMIFS(Eventos_Paro!$J$2:$J$2186,Eventos_Paro!$D$2:$D$2186,$E354,Eventos_Paro!$B$2:$B$2186,$B354)</f>
        <v>0</v>
      </c>
      <c r="J354" s="12" t="n">
        <f aca="false">G354-H354-I354</f>
        <v>103.9</v>
      </c>
      <c r="K354" s="13" t="n">
        <v>777492</v>
      </c>
      <c r="L354" s="13" t="n">
        <v>811627</v>
      </c>
      <c r="M354" s="13" t="n">
        <v>18661</v>
      </c>
      <c r="N354" s="14" t="n">
        <f aca="false">L354+M354</f>
        <v>830288</v>
      </c>
      <c r="O354" s="11" t="n">
        <f aca="false">INDEX(Parametros!$D$2:$D$9,MATCH($E354,Parametros!$A$2:$A$9,0))</f>
        <v>9000</v>
      </c>
      <c r="P354" s="15" t="n">
        <f aca="false">IF((G354-H354)&gt;0,J354/(G354-H354),0)</f>
        <v>1</v>
      </c>
      <c r="Q354" s="15" t="n">
        <f aca="false">IF(J354*O354&gt;0,N354/(O354*J354),0)</f>
        <v>0.887913592129184</v>
      </c>
      <c r="R354" s="15" t="n">
        <f aca="false">IF(N354&gt;0,L354/N354,0)</f>
        <v>0.977524666139942</v>
      </c>
      <c r="S354" s="15" t="n">
        <f aca="false">P354*Q354*R354</f>
        <v>0.867957437707197</v>
      </c>
      <c r="T354" s="15" t="n">
        <f aca="false">IF(K354&gt;0,L354/K354,0)</f>
        <v>1.04390398872271</v>
      </c>
      <c r="U354" s="10" t="n">
        <v>1640.1</v>
      </c>
      <c r="V354" s="5" t="n">
        <v>14</v>
      </c>
      <c r="W354" s="10" t="n">
        <v>115.5</v>
      </c>
      <c r="X354" s="15" t="n">
        <f aca="false">IF(U354&gt;0,W354/U354,0)</f>
        <v>0.0704225352112676</v>
      </c>
      <c r="Y354" s="12" t="n">
        <f aca="false">IF(U354&gt;0,L354/U354,0)</f>
        <v>494.864337540394</v>
      </c>
      <c r="Z354" s="16" t="n">
        <f aca="false">L354*INDEX(Parametros!$E$2:$E$9,MATCH($E354,Parametros!$A$2:$A$9,0))</f>
        <v>340883.34</v>
      </c>
      <c r="AA354" s="16" t="n">
        <f aca="false">Z354*INDEX(Parametros!$F$2:$F$9,MATCH($E354,Parametros!$A$2:$A$9,0))</f>
        <v>6817.6668</v>
      </c>
      <c r="AB354" s="17" t="n">
        <f aca="false">Z354+AA354</f>
        <v>347701.0068</v>
      </c>
      <c r="AC354" s="18" t="n">
        <v>350198.17</v>
      </c>
      <c r="AD354" s="17" t="n">
        <f aca="false">AC354-AB354</f>
        <v>2497.16320000001</v>
      </c>
      <c r="AE354" s="17" t="n">
        <f aca="false">AA354+AD354</f>
        <v>9314.83000000001</v>
      </c>
      <c r="AF354" s="19" t="n">
        <f aca="false">IF(Z354&gt;0,AE354/Z354,0)</f>
        <v>0.0273255653972412</v>
      </c>
      <c r="AG354" s="16" t="n">
        <f aca="false">(U354-W354)*INDEX(Parametros!$H$2:$H$9,MATCH($E354,Parametros!$A$2:$A$9,0))+W354*INDEX(Parametros!$H$2:$H$9,MATCH($E354,Parametros!$A$2:$A$9,0))*Parametros!$N$3</f>
        <v>53482.275</v>
      </c>
      <c r="AH354" s="13" t="n">
        <v>42550</v>
      </c>
      <c r="AI354" s="16" t="n">
        <f aca="false">AH354*Parametros!$N$2</f>
        <v>3914.6</v>
      </c>
      <c r="AJ354" s="18" t="n">
        <v>18554</v>
      </c>
      <c r="AK354" s="18" t="n">
        <v>0</v>
      </c>
      <c r="AL354" s="17" t="n">
        <f aca="false">AG354+AI354+AJ354+AK354</f>
        <v>75950.875</v>
      </c>
      <c r="AM354" s="20" t="n">
        <f aca="false">IF(L354&gt;0,AL354/L354,0)</f>
        <v>0.0935785465490921</v>
      </c>
      <c r="AN354" s="16" t="n">
        <f aca="false">L354*INDEX(Parametros!$G$2:$G$9,MATCH($E354,Parametros!$A$2:$A$9,0))</f>
        <v>576255.17</v>
      </c>
      <c r="AO354" s="17" t="n">
        <f aca="false">AN354-AC354-AL354</f>
        <v>150106.125</v>
      </c>
      <c r="AP354" s="15" t="n">
        <f aca="false">IF(AN354&gt;0,AO354/AN354,0)</f>
        <v>0.260485515470516</v>
      </c>
      <c r="AQ354" s="16" t="n">
        <f aca="false">INDEX(Parametros!$I$2:$I$9,MATCH($E354,Parametros!$A$2:$A$9,0))</f>
        <v>29300000</v>
      </c>
      <c r="AR354" s="19" t="n">
        <f aca="false">IF(AQ354&gt;0,AO354/AQ354,0)</f>
        <v>0.00512307593856655</v>
      </c>
    </row>
    <row r="355" customFormat="false" ht="15" hidden="false" customHeight="false" outlineLevel="0" collapsed="false">
      <c r="A355" s="5" t="s">
        <v>490</v>
      </c>
      <c r="B355" s="9" t="n">
        <v>45859</v>
      </c>
      <c r="C355" s="2" t="str">
        <f aca="false">TEXT(B355,"yyyy")</f>
        <v>2025</v>
      </c>
      <c r="D355" s="2" t="n">
        <f aca="false">WEEKNUM(B355,2)</f>
        <v>30</v>
      </c>
      <c r="E355" s="5" t="s">
        <v>132</v>
      </c>
      <c r="F355" s="6" t="str">
        <f aca="false">INDEX(Parametros!$B$2:$B$9,MATCH($E355,Parametros!$A$2:$A$9,0))</f>
        <v>Mayonesa frasco</v>
      </c>
      <c r="G355" s="10" t="n">
        <v>130.6</v>
      </c>
      <c r="H355" s="10" t="n">
        <v>6.9</v>
      </c>
      <c r="I355" s="11" t="n">
        <f aca="false">SUMIFS(Eventos_Paro!$J$2:$J$2186,Eventos_Paro!$D$2:$D$2186,$E355,Eventos_Paro!$B$2:$B$2186,$B355)</f>
        <v>0</v>
      </c>
      <c r="J355" s="12" t="n">
        <f aca="false">G355-H355-I355</f>
        <v>123.7</v>
      </c>
      <c r="K355" s="13" t="n">
        <v>668530</v>
      </c>
      <c r="L355" s="13" t="n">
        <v>674161</v>
      </c>
      <c r="M355" s="13" t="n">
        <v>12731</v>
      </c>
      <c r="N355" s="14" t="n">
        <f aca="false">L355+M355</f>
        <v>686892</v>
      </c>
      <c r="O355" s="11" t="n">
        <f aca="false">INDEX(Parametros!$D$2:$D$9,MATCH($E355,Parametros!$A$2:$A$9,0))</f>
        <v>6500</v>
      </c>
      <c r="P355" s="15" t="n">
        <f aca="false">IF((G355-H355)&gt;0,J355/(G355-H355),0)</f>
        <v>1</v>
      </c>
      <c r="Q355" s="15" t="n">
        <f aca="false">IF(J355*O355&gt;0,N355/(O355*J355),0)</f>
        <v>0.854290156084821</v>
      </c>
      <c r="R355" s="15" t="n">
        <f aca="false">IF(N355&gt;0,L355/N355,0)</f>
        <v>0.98146579083757</v>
      </c>
      <c r="S355" s="15" t="n">
        <f aca="false">P355*Q355*R355</f>
        <v>0.83845656364654</v>
      </c>
      <c r="T355" s="15" t="n">
        <f aca="false">IF(K355&gt;0,L355/K355,0)</f>
        <v>1.00842295783286</v>
      </c>
      <c r="U355" s="10" t="n">
        <v>1731.6</v>
      </c>
      <c r="V355" s="5" t="n">
        <v>13</v>
      </c>
      <c r="W355" s="10" t="n">
        <v>33.8</v>
      </c>
      <c r="X355" s="15" t="n">
        <f aca="false">IF(U355&gt;0,W355/U355,0)</f>
        <v>0.0195195195195195</v>
      </c>
      <c r="Y355" s="12" t="n">
        <f aca="false">IF(U355&gt;0,L355/U355,0)</f>
        <v>389.328366828367</v>
      </c>
      <c r="Z355" s="16" t="n">
        <f aca="false">L355*INDEX(Parametros!$E$2:$E$9,MATCH($E355,Parametros!$A$2:$A$9,0))</f>
        <v>411238.21</v>
      </c>
      <c r="AA355" s="16" t="n">
        <f aca="false">Z355*INDEX(Parametros!$F$2:$F$9,MATCH($E355,Parametros!$A$2:$A$9,0))</f>
        <v>10280.95525</v>
      </c>
      <c r="AB355" s="17" t="n">
        <f aca="false">Z355+AA355</f>
        <v>421519.16525</v>
      </c>
      <c r="AC355" s="18" t="n">
        <v>422890.92</v>
      </c>
      <c r="AD355" s="17" t="n">
        <f aca="false">AC355-AB355</f>
        <v>1371.75475000002</v>
      </c>
      <c r="AE355" s="17" t="n">
        <f aca="false">AA355+AD355</f>
        <v>11652.71</v>
      </c>
      <c r="AF355" s="19" t="n">
        <f aca="false">IF(Z355&gt;0,AE355/Z355,0)</f>
        <v>0.028335669489467</v>
      </c>
      <c r="AG355" s="16" t="n">
        <f aca="false">(U355-W355)*INDEX(Parametros!$H$2:$H$9,MATCH($E355,Parametros!$A$2:$A$9,0))+W355*INDEX(Parametros!$H$2:$H$9,MATCH($E355,Parametros!$A$2:$A$9,0))*Parametros!$N$3</f>
        <v>55077.75</v>
      </c>
      <c r="AH355" s="13" t="n">
        <v>34319</v>
      </c>
      <c r="AI355" s="16" t="n">
        <f aca="false">AH355*Parametros!$N$2</f>
        <v>3157.348</v>
      </c>
      <c r="AJ355" s="18" t="n">
        <v>13465</v>
      </c>
      <c r="AK355" s="18" t="n">
        <v>0</v>
      </c>
      <c r="AL355" s="17" t="n">
        <f aca="false">AG355+AI355+AJ355+AK355</f>
        <v>71700.098</v>
      </c>
      <c r="AM355" s="20" t="n">
        <f aca="false">IF(L355&gt;0,AL355/L355,0)</f>
        <v>0.106354562189151</v>
      </c>
      <c r="AN355" s="16" t="n">
        <f aca="false">L355*INDEX(Parametros!$G$2:$G$9,MATCH($E355,Parametros!$A$2:$A$9,0))</f>
        <v>647194.56</v>
      </c>
      <c r="AO355" s="17" t="n">
        <f aca="false">AN355-AC355-AL355</f>
        <v>152603.542</v>
      </c>
      <c r="AP355" s="15" t="n">
        <f aca="false">IF(AN355&gt;0,AO355/AN355,0)</f>
        <v>0.235792374398203</v>
      </c>
      <c r="AQ355" s="16" t="n">
        <f aca="false">INDEX(Parametros!$I$2:$I$9,MATCH($E355,Parametros!$A$2:$A$9,0))</f>
        <v>29700000</v>
      </c>
      <c r="AR355" s="19" t="n">
        <f aca="false">IF(AQ355&gt;0,AO355/AQ355,0)</f>
        <v>0.0051381663973064</v>
      </c>
    </row>
    <row r="356" customFormat="false" ht="15" hidden="false" customHeight="false" outlineLevel="0" collapsed="false">
      <c r="A356" s="5" t="s">
        <v>491</v>
      </c>
      <c r="B356" s="9" t="n">
        <v>45859</v>
      </c>
      <c r="C356" s="2" t="str">
        <f aca="false">TEXT(B356,"yyyy")</f>
        <v>2025</v>
      </c>
      <c r="D356" s="2" t="n">
        <f aca="false">WEEKNUM(B356,2)</f>
        <v>30</v>
      </c>
      <c r="E356" s="5" t="s">
        <v>134</v>
      </c>
      <c r="F356" s="6" t="str">
        <f aca="false">INDEX(Parametros!$B$2:$B$9,MATCH($E356,Parametros!$A$2:$A$9,0))</f>
        <v>Aderezos vertibles</v>
      </c>
      <c r="G356" s="10" t="n">
        <v>114.7</v>
      </c>
      <c r="H356" s="10" t="n">
        <v>6.8</v>
      </c>
      <c r="I356" s="11" t="n">
        <f aca="false">SUMIFS(Eventos_Paro!$J$2:$J$2186,Eventos_Paro!$D$2:$D$2186,$E356,Eventos_Paro!$B$2:$B$2186,$B356)</f>
        <v>5.41666666666667</v>
      </c>
      <c r="J356" s="12" t="n">
        <f aca="false">G356-H356-I356</f>
        <v>102.483333333333</v>
      </c>
      <c r="K356" s="13" t="n">
        <v>466512</v>
      </c>
      <c r="L356" s="13" t="n">
        <v>438015</v>
      </c>
      <c r="M356" s="13" t="n">
        <v>11773</v>
      </c>
      <c r="N356" s="14" t="n">
        <f aca="false">L356+M356</f>
        <v>449788</v>
      </c>
      <c r="O356" s="11" t="n">
        <f aca="false">INDEX(Parametros!$D$2:$D$9,MATCH($E356,Parametros!$A$2:$A$9,0))</f>
        <v>5200</v>
      </c>
      <c r="P356" s="15" t="n">
        <f aca="false">IF((G356-H356)&gt;0,J356/(G356-H356),0)</f>
        <v>0.949799196787149</v>
      </c>
      <c r="Q356" s="15" t="n">
        <f aca="false">IF(J356*O356&gt;0,N356/(O356*J356),0)</f>
        <v>0.844017163516269</v>
      </c>
      <c r="R356" s="15" t="n">
        <f aca="false">IF(N356&gt;0,L356/N356,0)</f>
        <v>0.973825446654869</v>
      </c>
      <c r="S356" s="15" t="n">
        <f aca="false">P356*Q356*R356</f>
        <v>0.780664076424039</v>
      </c>
      <c r="T356" s="15" t="n">
        <f aca="false">IF(K356&gt;0,L356/K356,0)</f>
        <v>0.938914754604383</v>
      </c>
      <c r="U356" s="10" t="n">
        <v>1417.9</v>
      </c>
      <c r="V356" s="5" t="n">
        <v>12</v>
      </c>
      <c r="W356" s="10" t="n">
        <v>41.5</v>
      </c>
      <c r="X356" s="15" t="n">
        <f aca="false">IF(U356&gt;0,W356/U356,0)</f>
        <v>0.0292686367162705</v>
      </c>
      <c r="Y356" s="12" t="n">
        <f aca="false">IF(U356&gt;0,L356/U356,0)</f>
        <v>308.91811834403</v>
      </c>
      <c r="Z356" s="16" t="n">
        <f aca="false">L356*INDEX(Parametros!$E$2:$E$9,MATCH($E356,Parametros!$A$2:$A$9,0))</f>
        <v>240908.25</v>
      </c>
      <c r="AA356" s="16" t="n">
        <f aca="false">Z356*INDEX(Parametros!$F$2:$F$9,MATCH($E356,Parametros!$A$2:$A$9,0))</f>
        <v>7227.2475</v>
      </c>
      <c r="AB356" s="17" t="n">
        <f aca="false">Z356+AA356</f>
        <v>248135.4975</v>
      </c>
      <c r="AC356" s="18" t="n">
        <v>246686.4</v>
      </c>
      <c r="AD356" s="17" t="n">
        <f aca="false">AC356-AB356</f>
        <v>-1449.09750000003</v>
      </c>
      <c r="AE356" s="17" t="n">
        <f aca="false">AA356+AD356</f>
        <v>5778.14999999997</v>
      </c>
      <c r="AF356" s="19" t="n">
        <f aca="false">IF(Z356&gt;0,AE356/Z356,0)</f>
        <v>0.0239848573056339</v>
      </c>
      <c r="AG356" s="16" t="n">
        <f aca="false">(U356-W356)*INDEX(Parametros!$H$2:$H$9,MATCH($E356,Parametros!$A$2:$A$9,0))+W356*INDEX(Parametros!$H$2:$H$9,MATCH($E356,Parametros!$A$2:$A$9,0))*Parametros!$N$3</f>
        <v>45317.475</v>
      </c>
      <c r="AH356" s="13" t="n">
        <v>23718</v>
      </c>
      <c r="AI356" s="16" t="n">
        <f aca="false">AH356*Parametros!$N$2</f>
        <v>2182.056</v>
      </c>
      <c r="AJ356" s="18" t="n">
        <v>10297</v>
      </c>
      <c r="AK356" s="18" t="n">
        <v>3118</v>
      </c>
      <c r="AL356" s="17" t="n">
        <f aca="false">AG356+AI356+AJ356+AK356</f>
        <v>60914.531</v>
      </c>
      <c r="AM356" s="20" t="n">
        <f aca="false">IF(L356&gt;0,AL356/L356,0)</f>
        <v>0.139069509035079</v>
      </c>
      <c r="AN356" s="16" t="n">
        <f aca="false">L356*INDEX(Parametros!$G$2:$G$9,MATCH($E356,Parametros!$A$2:$A$9,0))</f>
        <v>446775.3</v>
      </c>
      <c r="AO356" s="17" t="n">
        <f aca="false">AN356-AC356-AL356</f>
        <v>139174.369</v>
      </c>
      <c r="AP356" s="15" t="n">
        <f aca="false">IF(AN356&gt;0,AO356/AN356,0)</f>
        <v>0.311508646516493</v>
      </c>
      <c r="AQ356" s="16" t="n">
        <f aca="false">INDEX(Parametros!$I$2:$I$9,MATCH($E356,Parametros!$A$2:$A$9,0))</f>
        <v>19300000</v>
      </c>
      <c r="AR356" s="19" t="n">
        <f aca="false">IF(AQ356&gt;0,AO356/AQ356,0)</f>
        <v>0.00721110720207254</v>
      </c>
    </row>
    <row r="357" customFormat="false" ht="15" hidden="false" customHeight="false" outlineLevel="0" collapsed="false">
      <c r="A357" s="5" t="s">
        <v>492</v>
      </c>
      <c r="B357" s="9" t="n">
        <v>45859</v>
      </c>
      <c r="C357" s="2" t="str">
        <f aca="false">TEXT(B357,"yyyy")</f>
        <v>2025</v>
      </c>
      <c r="D357" s="2" t="n">
        <f aca="false">WEEKNUM(B357,2)</f>
        <v>30</v>
      </c>
      <c r="E357" s="5" t="s">
        <v>136</v>
      </c>
      <c r="F357" s="6" t="str">
        <f aca="false">INDEX(Parametros!$B$2:$B$9,MATCH($E357,Parametros!$A$2:$A$9,0))</f>
        <v>Salsa BBQ</v>
      </c>
      <c r="G357" s="10" t="n">
        <v>125</v>
      </c>
      <c r="H357" s="10" t="n">
        <v>7.5</v>
      </c>
      <c r="I357" s="11" t="n">
        <f aca="false">SUMIFS(Eventos_Paro!$J$2:$J$2186,Eventos_Paro!$D$2:$D$2186,$E357,Eventos_Paro!$B$2:$B$2186,$B357)</f>
        <v>1.98333333333333</v>
      </c>
      <c r="J357" s="12" t="n">
        <f aca="false">G357-H357-I357</f>
        <v>115.516666666667</v>
      </c>
      <c r="K357" s="13" t="n">
        <v>531029</v>
      </c>
      <c r="L357" s="13" t="n">
        <v>446078</v>
      </c>
      <c r="M357" s="13" t="n">
        <v>14907</v>
      </c>
      <c r="N357" s="14" t="n">
        <f aca="false">L357+M357</f>
        <v>460985</v>
      </c>
      <c r="O357" s="11" t="n">
        <f aca="false">INDEX(Parametros!$D$2:$D$9,MATCH($E357,Parametros!$A$2:$A$9,0))</f>
        <v>4800</v>
      </c>
      <c r="P357" s="15" t="n">
        <f aca="false">IF((G357-H357)&gt;0,J357/(G357-H357),0)</f>
        <v>0.983120567375887</v>
      </c>
      <c r="Q357" s="15" t="n">
        <f aca="false">IF(J357*O357&gt;0,N357/(O357*J357),0)</f>
        <v>0.831382556629635</v>
      </c>
      <c r="R357" s="15" t="n">
        <f aca="false">IF(N357&gt;0,L357/N357,0)</f>
        <v>0.967662722214389</v>
      </c>
      <c r="S357" s="15" t="n">
        <f aca="false">P357*Q357*R357</f>
        <v>0.790918439716312</v>
      </c>
      <c r="T357" s="15" t="n">
        <f aca="false">IF(K357&gt;0,L357/K357,0)</f>
        <v>0.840025685979485</v>
      </c>
      <c r="U357" s="10" t="n">
        <v>1251</v>
      </c>
      <c r="V357" s="5" t="n">
        <v>10</v>
      </c>
      <c r="W357" s="10" t="n">
        <v>1</v>
      </c>
      <c r="X357" s="15" t="n">
        <f aca="false">IF(U357&gt;0,W357/U357,0)</f>
        <v>0.000799360511590727</v>
      </c>
      <c r="Y357" s="12" t="n">
        <f aca="false">IF(U357&gt;0,L357/U357,0)</f>
        <v>356.577138289369</v>
      </c>
      <c r="Z357" s="16" t="n">
        <f aca="false">L357*INDEX(Parametros!$E$2:$E$9,MATCH($E357,Parametros!$A$2:$A$9,0))</f>
        <v>258725.24</v>
      </c>
      <c r="AA357" s="16" t="n">
        <f aca="false">Z357*INDEX(Parametros!$F$2:$F$9,MATCH($E357,Parametros!$A$2:$A$9,0))</f>
        <v>7244.30672</v>
      </c>
      <c r="AB357" s="17" t="n">
        <f aca="false">Z357+AA357</f>
        <v>265969.54672</v>
      </c>
      <c r="AC357" s="18" t="n">
        <v>270749.37</v>
      </c>
      <c r="AD357" s="17" t="n">
        <f aca="false">AC357-AB357</f>
        <v>4779.82328000001</v>
      </c>
      <c r="AE357" s="17" t="n">
        <f aca="false">AA357+AD357</f>
        <v>12024.13</v>
      </c>
      <c r="AF357" s="19" t="n">
        <f aca="false">IF(Z357&gt;0,AE357/Z357,0)</f>
        <v>0.0464745148173406</v>
      </c>
      <c r="AG357" s="16" t="n">
        <f aca="false">(U357-W357)*INDEX(Parametros!$H$2:$H$9,MATCH($E357,Parametros!$A$2:$A$9,0))+W357*INDEX(Parametros!$H$2:$H$9,MATCH($E357,Parametros!$A$2:$A$9,0))*Parametros!$N$3</f>
        <v>39422.25</v>
      </c>
      <c r="AH357" s="13" t="n">
        <v>23491</v>
      </c>
      <c r="AI357" s="16" t="n">
        <f aca="false">AH357*Parametros!$N$2</f>
        <v>2161.172</v>
      </c>
      <c r="AJ357" s="18" t="n">
        <v>8771</v>
      </c>
      <c r="AK357" s="18" t="n">
        <v>1475</v>
      </c>
      <c r="AL357" s="17" t="n">
        <f aca="false">AG357+AI357+AJ357+AK357</f>
        <v>51829.422</v>
      </c>
      <c r="AM357" s="20" t="n">
        <f aca="false">IF(L357&gt;0,AL357/L357,0)</f>
        <v>0.116189146292801</v>
      </c>
      <c r="AN357" s="16" t="n">
        <f aca="false">L357*INDEX(Parametros!$G$2:$G$9,MATCH($E357,Parametros!$A$2:$A$9,0))</f>
        <v>437156.44</v>
      </c>
      <c r="AO357" s="17" t="n">
        <f aca="false">AN357-AC357-AL357</f>
        <v>114577.648</v>
      </c>
      <c r="AP357" s="15" t="n">
        <f aca="false">IF(AN357&gt;0,AO357/AN357,0)</f>
        <v>0.262097586850145</v>
      </c>
      <c r="AQ357" s="16" t="n">
        <f aca="false">INDEX(Parametros!$I$2:$I$9,MATCH($E357,Parametros!$A$2:$A$9,0))</f>
        <v>17000000</v>
      </c>
      <c r="AR357" s="19" t="n">
        <f aca="false">IF(AQ357&gt;0,AO357/AQ357,0)</f>
        <v>0.00673986164705883</v>
      </c>
    </row>
    <row r="358" customFormat="false" ht="15" hidden="false" customHeight="false" outlineLevel="0" collapsed="false">
      <c r="A358" s="5" t="s">
        <v>493</v>
      </c>
      <c r="B358" s="9" t="n">
        <v>45859</v>
      </c>
      <c r="C358" s="2" t="str">
        <f aca="false">TEXT(B358,"yyyy")</f>
        <v>2025</v>
      </c>
      <c r="D358" s="2" t="n">
        <f aca="false">WEEKNUM(B358,2)</f>
        <v>30</v>
      </c>
      <c r="E358" s="5" t="s">
        <v>138</v>
      </c>
      <c r="F358" s="6" t="str">
        <f aca="false">INDEX(Parametros!$B$2:$B$9,MATCH($E358,Parametros!$A$2:$A$9,0))</f>
        <v>Queso crema</v>
      </c>
      <c r="G358" s="10" t="n">
        <v>123.9</v>
      </c>
      <c r="H358" s="10" t="n">
        <v>8.4</v>
      </c>
      <c r="I358" s="11" t="n">
        <f aca="false">SUMIFS(Eventos_Paro!$J$2:$J$2186,Eventos_Paro!$D$2:$D$2186,$E358,Eventos_Paro!$B$2:$B$2186,$B358)</f>
        <v>2.63333333333333</v>
      </c>
      <c r="J358" s="12" t="n">
        <f aca="false">G358-H358-I358</f>
        <v>112.866666666667</v>
      </c>
      <c r="K358" s="13" t="n">
        <v>364925</v>
      </c>
      <c r="L358" s="13" t="n">
        <v>331827</v>
      </c>
      <c r="M358" s="13" t="n">
        <v>18338</v>
      </c>
      <c r="N358" s="14" t="n">
        <f aca="false">L358+M358</f>
        <v>350165</v>
      </c>
      <c r="O358" s="11" t="n">
        <f aca="false">INDEX(Parametros!$D$2:$D$9,MATCH($E358,Parametros!$A$2:$A$9,0))</f>
        <v>3800</v>
      </c>
      <c r="P358" s="15" t="n">
        <f aca="false">IF((G358-H358)&gt;0,J358/(G358-H358),0)</f>
        <v>0.977200577200577</v>
      </c>
      <c r="Q358" s="15" t="n">
        <f aca="false">IF(J358*O358&gt;0,N358/(O358*J358),0)</f>
        <v>0.816438430689838</v>
      </c>
      <c r="R358" s="15" t="n">
        <f aca="false">IF(N358&gt;0,L358/N358,0)</f>
        <v>0.947630402810104</v>
      </c>
      <c r="S358" s="15" t="n">
        <f aca="false">P358*Q358*R358</f>
        <v>0.756042378673958</v>
      </c>
      <c r="T358" s="15" t="n">
        <f aca="false">IF(K358&gt;0,L358/K358,0)</f>
        <v>0.909301911351648</v>
      </c>
      <c r="U358" s="10" t="n">
        <v>1971.8</v>
      </c>
      <c r="V358" s="5" t="n">
        <v>15</v>
      </c>
      <c r="W358" s="10" t="n">
        <v>113.3</v>
      </c>
      <c r="X358" s="15" t="n">
        <f aca="false">IF(U358&gt;0,W358/U358,0)</f>
        <v>0.0574601886601075</v>
      </c>
      <c r="Y358" s="12" t="n">
        <f aca="false">IF(U358&gt;0,L358/U358,0)</f>
        <v>168.28633735673</v>
      </c>
      <c r="Z358" s="16" t="n">
        <f aca="false">L358*INDEX(Parametros!$E$2:$E$9,MATCH($E358,Parametros!$A$2:$A$9,0))</f>
        <v>371646.24</v>
      </c>
      <c r="AA358" s="16" t="n">
        <f aca="false">Z358*INDEX(Parametros!$F$2:$F$9,MATCH($E358,Parametros!$A$2:$A$9,0))</f>
        <v>13007.6184</v>
      </c>
      <c r="AB358" s="17" t="n">
        <f aca="false">Z358+AA358</f>
        <v>384653.8584</v>
      </c>
      <c r="AC358" s="18" t="n">
        <v>385533.05</v>
      </c>
      <c r="AD358" s="17" t="n">
        <f aca="false">AC358-AB358</f>
        <v>879.191599999962</v>
      </c>
      <c r="AE358" s="17" t="n">
        <f aca="false">AA358+AD358</f>
        <v>13886.81</v>
      </c>
      <c r="AF358" s="19" t="n">
        <f aca="false">IF(Z358&gt;0,AE358/Z358,0)</f>
        <v>0.0373656679534817</v>
      </c>
      <c r="AG358" s="16" t="n">
        <f aca="false">(U358-W358)*INDEX(Parametros!$H$2:$H$9,MATCH($E358,Parametros!$A$2:$A$9,0))+W358*INDEX(Parametros!$H$2:$H$9,MATCH($E358,Parametros!$A$2:$A$9,0))*Parametros!$N$3</f>
        <v>66938.85</v>
      </c>
      <c r="AH358" s="13" t="n">
        <v>17603</v>
      </c>
      <c r="AI358" s="16" t="n">
        <f aca="false">AH358*Parametros!$N$2</f>
        <v>1619.476</v>
      </c>
      <c r="AJ358" s="18" t="n">
        <v>20229</v>
      </c>
      <c r="AK358" s="18" t="n">
        <v>2706</v>
      </c>
      <c r="AL358" s="17" t="n">
        <f aca="false">AG358+AI358+AJ358+AK358</f>
        <v>91493.326</v>
      </c>
      <c r="AM358" s="20" t="n">
        <f aca="false">IF(L358&gt;0,AL358/L358,0)</f>
        <v>0.275725983720433</v>
      </c>
      <c r="AN358" s="16" t="n">
        <f aca="false">L358*INDEX(Parametros!$G$2:$G$9,MATCH($E358,Parametros!$A$2:$A$9,0))</f>
        <v>593970.33</v>
      </c>
      <c r="AO358" s="17" t="n">
        <f aca="false">AN358-AC358-AL358</f>
        <v>116943.954</v>
      </c>
      <c r="AP358" s="15" t="n">
        <f aca="false">IF(AN358&gt;0,AO358/AN358,0)</f>
        <v>0.196885177749535</v>
      </c>
      <c r="AQ358" s="16" t="n">
        <f aca="false">INDEX(Parametros!$I$2:$I$9,MATCH($E358,Parametros!$A$2:$A$9,0))</f>
        <v>33200000</v>
      </c>
      <c r="AR358" s="19" t="n">
        <f aca="false">IF(AQ358&gt;0,AO358/AQ358,0)</f>
        <v>0.00352240825301205</v>
      </c>
    </row>
    <row r="359" customFormat="false" ht="15" hidden="false" customHeight="false" outlineLevel="0" collapsed="false">
      <c r="A359" s="5" t="s">
        <v>494</v>
      </c>
      <c r="B359" s="9" t="n">
        <v>45859</v>
      </c>
      <c r="C359" s="2" t="str">
        <f aca="false">TEXT(B359,"yyyy")</f>
        <v>2025</v>
      </c>
      <c r="D359" s="2" t="n">
        <f aca="false">WEEKNUM(B359,2)</f>
        <v>30</v>
      </c>
      <c r="E359" s="5" t="s">
        <v>140</v>
      </c>
      <c r="F359" s="6" t="str">
        <f aca="false">INDEX(Parametros!$B$2:$B$9,MATCH($E359,Parametros!$A$2:$A$9,0))</f>
        <v>Crema de cacahuate</v>
      </c>
      <c r="G359" s="10" t="n">
        <v>109.4</v>
      </c>
      <c r="H359" s="10" t="n">
        <v>8.4</v>
      </c>
      <c r="I359" s="11" t="n">
        <f aca="false">SUMIFS(Eventos_Paro!$J$2:$J$2186,Eventos_Paro!$D$2:$D$2186,$E359,Eventos_Paro!$B$2:$B$2186,$B359)</f>
        <v>0.433333333333333</v>
      </c>
      <c r="J359" s="12" t="n">
        <f aca="false">G359-H359-I359</f>
        <v>100.566666666667</v>
      </c>
      <c r="K359" s="13" t="n">
        <v>352703</v>
      </c>
      <c r="L359" s="13" t="n">
        <v>361535</v>
      </c>
      <c r="M359" s="13" t="n">
        <v>12605</v>
      </c>
      <c r="N359" s="14" t="n">
        <f aca="false">L359+M359</f>
        <v>374140</v>
      </c>
      <c r="O359" s="11" t="n">
        <f aca="false">INDEX(Parametros!$D$2:$D$9,MATCH($E359,Parametros!$A$2:$A$9,0))</f>
        <v>4200</v>
      </c>
      <c r="P359" s="15" t="n">
        <f aca="false">IF((G359-H359)&gt;0,J359/(G359-H359),0)</f>
        <v>0.995709570957096</v>
      </c>
      <c r="Q359" s="15" t="n">
        <f aca="false">IF(J359*O359&gt;0,N359/(O359*J359),0)</f>
        <v>0.88579004687722</v>
      </c>
      <c r="R359" s="15" t="n">
        <f aca="false">IF(N359&gt;0,L359/N359,0)</f>
        <v>0.966309402897311</v>
      </c>
      <c r="S359" s="15" t="n">
        <f aca="false">P359*Q359*R359</f>
        <v>0.852274870344177</v>
      </c>
      <c r="T359" s="15" t="n">
        <f aca="false">IF(K359&gt;0,L359/K359,0)</f>
        <v>1.02504089843296</v>
      </c>
      <c r="U359" s="10" t="n">
        <v>1281.9</v>
      </c>
      <c r="V359" s="5" t="n">
        <v>11</v>
      </c>
      <c r="W359" s="10" t="n">
        <v>78.5</v>
      </c>
      <c r="X359" s="15" t="n">
        <f aca="false">IF(U359&gt;0,W359/U359,0)</f>
        <v>0.0612372259926671</v>
      </c>
      <c r="Y359" s="12" t="n">
        <f aca="false">IF(U359&gt;0,L359/U359,0)</f>
        <v>282.030579608394</v>
      </c>
      <c r="Z359" s="16" t="n">
        <f aca="false">L359*INDEX(Parametros!$E$2:$E$9,MATCH($E359,Parametros!$A$2:$A$9,0))</f>
        <v>350688.95</v>
      </c>
      <c r="AA359" s="16" t="n">
        <f aca="false">Z359*INDEX(Parametros!$F$2:$F$9,MATCH($E359,Parametros!$A$2:$A$9,0))</f>
        <v>7715.1569</v>
      </c>
      <c r="AB359" s="17" t="n">
        <f aca="false">Z359+AA359</f>
        <v>358404.1069</v>
      </c>
      <c r="AC359" s="18" t="n">
        <v>366122.14</v>
      </c>
      <c r="AD359" s="17" t="n">
        <f aca="false">AC359-AB359</f>
        <v>7718.0331</v>
      </c>
      <c r="AE359" s="17" t="n">
        <f aca="false">AA359+AD359</f>
        <v>15433.19</v>
      </c>
      <c r="AF359" s="19" t="n">
        <f aca="false">IF(Z359&gt;0,AE359/Z359,0)</f>
        <v>0.0440082015700808</v>
      </c>
      <c r="AG359" s="16" t="n">
        <f aca="false">(U359-W359)*INDEX(Parametros!$H$2:$H$9,MATCH($E359,Parametros!$A$2:$A$9,0))+W359*INDEX(Parametros!$H$2:$H$9,MATCH($E359,Parametros!$A$2:$A$9,0))*Parametros!$N$3</f>
        <v>41616.225</v>
      </c>
      <c r="AH359" s="13" t="n">
        <v>19590</v>
      </c>
      <c r="AI359" s="16" t="n">
        <f aca="false">AH359*Parametros!$N$2</f>
        <v>1802.28</v>
      </c>
      <c r="AJ359" s="18" t="n">
        <v>12297</v>
      </c>
      <c r="AK359" s="18" t="n">
        <v>321</v>
      </c>
      <c r="AL359" s="17" t="n">
        <f aca="false">AG359+AI359+AJ359+AK359</f>
        <v>56036.505</v>
      </c>
      <c r="AM359" s="20" t="n">
        <f aca="false">IF(L359&gt;0,AL359/L359,0)</f>
        <v>0.15499607230282</v>
      </c>
      <c r="AN359" s="16" t="n">
        <f aca="false">L359*INDEX(Parametros!$G$2:$G$9,MATCH($E359,Parametros!$A$2:$A$9,0))</f>
        <v>585686.7</v>
      </c>
      <c r="AO359" s="17" t="n">
        <f aca="false">AN359-AC359-AL359</f>
        <v>163528.055</v>
      </c>
      <c r="AP359" s="15" t="n">
        <f aca="false">IF(AN359&gt;0,AO359/AN359,0)</f>
        <v>0.279207390230989</v>
      </c>
      <c r="AQ359" s="16" t="n">
        <f aca="false">INDEX(Parametros!$I$2:$I$9,MATCH($E359,Parametros!$A$2:$A$9,0))</f>
        <v>28000000</v>
      </c>
      <c r="AR359" s="19" t="n">
        <f aca="false">IF(AQ359&gt;0,AO359/AQ359,0)</f>
        <v>0.00584028767857143</v>
      </c>
    </row>
    <row r="360" customFormat="false" ht="15" hidden="false" customHeight="false" outlineLevel="0" collapsed="false">
      <c r="A360" s="5" t="s">
        <v>495</v>
      </c>
      <c r="B360" s="9" t="n">
        <v>45859</v>
      </c>
      <c r="C360" s="2" t="str">
        <f aca="false">TEXT(B360,"yyyy")</f>
        <v>2025</v>
      </c>
      <c r="D360" s="2" t="n">
        <f aca="false">WEEKNUM(B360,2)</f>
        <v>30</v>
      </c>
      <c r="E360" s="5" t="s">
        <v>142</v>
      </c>
      <c r="F360" s="6" t="str">
        <f aca="false">INDEX(Parametros!$B$2:$B$9,MATCH($E360,Parametros!$A$2:$A$9,0))</f>
        <v>Porciones single serve</v>
      </c>
      <c r="G360" s="10" t="n">
        <v>136.9</v>
      </c>
      <c r="H360" s="10" t="n">
        <v>8</v>
      </c>
      <c r="I360" s="11" t="n">
        <f aca="false">SUMIFS(Eventos_Paro!$J$2:$J$2186,Eventos_Paro!$D$2:$D$2186,$E360,Eventos_Paro!$B$2:$B$2186,$B360)</f>
        <v>2.76666666666667</v>
      </c>
      <c r="J360" s="12" t="n">
        <f aca="false">G360-H360-I360</f>
        <v>126.133333333333</v>
      </c>
      <c r="K360" s="13" t="n">
        <v>278653</v>
      </c>
      <c r="L360" s="13" t="n">
        <v>244088</v>
      </c>
      <c r="M360" s="13" t="n">
        <v>12579</v>
      </c>
      <c r="N360" s="14" t="n">
        <f aca="false">L360+M360</f>
        <v>256667</v>
      </c>
      <c r="O360" s="11" t="n">
        <f aca="false">INDEX(Parametros!$D$2:$D$9,MATCH($E360,Parametros!$A$2:$A$9,0))</f>
        <v>2600</v>
      </c>
      <c r="P360" s="15" t="n">
        <f aca="false">IF((G360-H360)&gt;0,J360/(G360-H360),0)</f>
        <v>0.978536333074735</v>
      </c>
      <c r="Q360" s="15" t="n">
        <f aca="false">IF(J360*O360&gt;0,N360/(O360*J360),0)</f>
        <v>0.782648601398601</v>
      </c>
      <c r="R360" s="15" t="n">
        <f aca="false">IF(N360&gt;0,L360/N360,0)</f>
        <v>0.950990972738997</v>
      </c>
      <c r="S360" s="15" t="n">
        <f aca="false">P360*Q360*R360</f>
        <v>0.728316524437549</v>
      </c>
      <c r="T360" s="15" t="n">
        <f aca="false">IF(K360&gt;0,L360/K360,0)</f>
        <v>0.87595683520364</v>
      </c>
      <c r="U360" s="10" t="n">
        <v>2076.8</v>
      </c>
      <c r="V360" s="5" t="n">
        <v>15</v>
      </c>
      <c r="W360" s="10" t="n">
        <v>23.3</v>
      </c>
      <c r="X360" s="15" t="n">
        <f aca="false">IF(U360&gt;0,W360/U360,0)</f>
        <v>0.0112191833590139</v>
      </c>
      <c r="Y360" s="12" t="n">
        <f aca="false">IF(U360&gt;0,L360/U360,0)</f>
        <v>117.530816640986</v>
      </c>
      <c r="Z360" s="16" t="n">
        <f aca="false">L360*INDEX(Parametros!$E$2:$E$9,MATCH($E360,Parametros!$A$2:$A$9,0))</f>
        <v>180625.12</v>
      </c>
      <c r="AA360" s="16" t="n">
        <f aca="false">Z360*INDEX(Parametros!$F$2:$F$9,MATCH($E360,Parametros!$A$2:$A$9,0))</f>
        <v>8128.1304</v>
      </c>
      <c r="AB360" s="17" t="n">
        <f aca="false">Z360+AA360</f>
        <v>188753.2504</v>
      </c>
      <c r="AC360" s="18" t="n">
        <v>184763.28</v>
      </c>
      <c r="AD360" s="17" t="n">
        <f aca="false">AC360-AB360</f>
        <v>-3989.97039999999</v>
      </c>
      <c r="AE360" s="17" t="n">
        <f aca="false">AA360+AD360</f>
        <v>4138.16000000001</v>
      </c>
      <c r="AF360" s="19" t="n">
        <f aca="false">IF(Z360&gt;0,AE360/Z360,0)</f>
        <v>0.0229102131530764</v>
      </c>
      <c r="AG360" s="16" t="n">
        <f aca="false">(U360-W360)*INDEX(Parametros!$H$2:$H$9,MATCH($E360,Parametros!$A$2:$A$9,0))+W360*INDEX(Parametros!$H$2:$H$9,MATCH($E360,Parametros!$A$2:$A$9,0))*Parametros!$N$3</f>
        <v>62653.5</v>
      </c>
      <c r="AH360" s="13" t="n">
        <v>13486</v>
      </c>
      <c r="AI360" s="16" t="n">
        <f aca="false">AH360*Parametros!$N$2</f>
        <v>1240.712</v>
      </c>
      <c r="AJ360" s="18" t="n">
        <v>10842</v>
      </c>
      <c r="AK360" s="18" t="n">
        <v>2310</v>
      </c>
      <c r="AL360" s="17" t="n">
        <f aca="false">AG360+AI360+AJ360+AK360</f>
        <v>77046.212</v>
      </c>
      <c r="AM360" s="20" t="n">
        <f aca="false">IF(L360&gt;0,AL360/L360,0)</f>
        <v>0.315649323194913</v>
      </c>
      <c r="AN360" s="16" t="n">
        <f aca="false">L360*INDEX(Parametros!$G$2:$G$9,MATCH($E360,Parametros!$A$2:$A$9,0))</f>
        <v>419831.36</v>
      </c>
      <c r="AO360" s="17" t="n">
        <f aca="false">AN360-AC360-AL360</f>
        <v>158021.868</v>
      </c>
      <c r="AP360" s="15" t="n">
        <f aca="false">IF(AN360&gt;0,AO360/AN360,0)</f>
        <v>0.376393673878959</v>
      </c>
      <c r="AQ360" s="16" t="n">
        <f aca="false">INDEX(Parametros!$I$2:$I$9,MATCH($E360,Parametros!$A$2:$A$9,0))</f>
        <v>15900000</v>
      </c>
      <c r="AR360" s="19" t="n">
        <f aca="false">IF(AQ360&gt;0,AO360/AQ360,0)</f>
        <v>0.00993848226415094</v>
      </c>
    </row>
    <row r="361" customFormat="false" ht="15" hidden="false" customHeight="false" outlineLevel="0" collapsed="false">
      <c r="A361" s="5" t="s">
        <v>496</v>
      </c>
      <c r="B361" s="9" t="n">
        <v>45859</v>
      </c>
      <c r="C361" s="2" t="str">
        <f aca="false">TEXT(B361,"yyyy")</f>
        <v>2025</v>
      </c>
      <c r="D361" s="2" t="n">
        <f aca="false">WEEKNUM(B361,2)</f>
        <v>30</v>
      </c>
      <c r="E361" s="5" t="s">
        <v>144</v>
      </c>
      <c r="F361" s="6" t="str">
        <f aca="false">INDEX(Parametros!$B$2:$B$9,MATCH($E361,Parametros!$A$2:$A$9,0))</f>
        <v>Salsas picantes</v>
      </c>
      <c r="G361" s="10" t="n">
        <v>98.1</v>
      </c>
      <c r="H361" s="10" t="n">
        <v>7.7</v>
      </c>
      <c r="I361" s="11" t="n">
        <f aca="false">SUMIFS(Eventos_Paro!$J$2:$J$2186,Eventos_Paro!$D$2:$D$2186,$E361,Eventos_Paro!$B$2:$B$2186,$B361)</f>
        <v>0</v>
      </c>
      <c r="J361" s="12" t="n">
        <f aca="false">G361-H361-I361</f>
        <v>90.4</v>
      </c>
      <c r="K361" s="13" t="n">
        <v>211089</v>
      </c>
      <c r="L361" s="13" t="n">
        <v>234221</v>
      </c>
      <c r="M361" s="13" t="n">
        <v>5174</v>
      </c>
      <c r="N361" s="14" t="n">
        <f aca="false">L361+M361</f>
        <v>239395</v>
      </c>
      <c r="O361" s="11" t="n">
        <f aca="false">INDEX(Parametros!$D$2:$D$9,MATCH($E361,Parametros!$A$2:$A$9,0))</f>
        <v>3100</v>
      </c>
      <c r="P361" s="15" t="n">
        <f aca="false">IF((G361-H361)&gt;0,J361/(G361-H361),0)</f>
        <v>1</v>
      </c>
      <c r="Q361" s="15" t="n">
        <f aca="false">IF(J361*O361&gt;0,N361/(O361*J361),0)</f>
        <v>0.854249928632601</v>
      </c>
      <c r="R361" s="15" t="n">
        <f aca="false">IF(N361&gt;0,L361/N361,0)</f>
        <v>0.978387184360576</v>
      </c>
      <c r="S361" s="15" t="n">
        <f aca="false">P361*Q361*R361</f>
        <v>0.835787182415073</v>
      </c>
      <c r="T361" s="15" t="n">
        <f aca="false">IF(K361&gt;0,L361/K361,0)</f>
        <v>1.10958410907248</v>
      </c>
      <c r="U361" s="10" t="n">
        <v>937.9</v>
      </c>
      <c r="V361" s="5" t="n">
        <v>9</v>
      </c>
      <c r="W361" s="10" t="n">
        <v>55</v>
      </c>
      <c r="X361" s="15" t="n">
        <f aca="false">IF(U361&gt;0,W361/U361,0)</f>
        <v>0.0586416462309415</v>
      </c>
      <c r="Y361" s="12" t="n">
        <f aca="false">IF(U361&gt;0,L361/U361,0)</f>
        <v>249.729182215588</v>
      </c>
      <c r="Z361" s="16" t="n">
        <f aca="false">L361*INDEX(Parametros!$E$2:$E$9,MATCH($E361,Parametros!$A$2:$A$9,0))</f>
        <v>154585.86</v>
      </c>
      <c r="AA361" s="16" t="n">
        <f aca="false">Z361*INDEX(Parametros!$F$2:$F$9,MATCH($E361,Parametros!$A$2:$A$9,0))</f>
        <v>4019.23236</v>
      </c>
      <c r="AB361" s="17" t="n">
        <f aca="false">Z361+AA361</f>
        <v>158605.09236</v>
      </c>
      <c r="AC361" s="18" t="n">
        <v>157389.17</v>
      </c>
      <c r="AD361" s="17" t="n">
        <f aca="false">AC361-AB361</f>
        <v>-1215.92236</v>
      </c>
      <c r="AE361" s="17" t="n">
        <f aca="false">AA361+AD361</f>
        <v>2803.31</v>
      </c>
      <c r="AF361" s="19" t="n">
        <f aca="false">IF(Z361&gt;0,AE361/Z361,0)</f>
        <v>0.018134323540329</v>
      </c>
      <c r="AG361" s="16" t="n">
        <f aca="false">(U361-W361)*INDEX(Parametros!$H$2:$H$9,MATCH($E361,Parametros!$A$2:$A$9,0))+W361*INDEX(Parametros!$H$2:$H$9,MATCH($E361,Parametros!$A$2:$A$9,0))*Parametros!$N$3</f>
        <v>30410.1</v>
      </c>
      <c r="AH361" s="13" t="n">
        <v>12349</v>
      </c>
      <c r="AI361" s="16" t="n">
        <f aca="false">AH361*Parametros!$N$2</f>
        <v>1136.108</v>
      </c>
      <c r="AJ361" s="18" t="n">
        <v>6330</v>
      </c>
      <c r="AK361" s="18" t="n">
        <v>0</v>
      </c>
      <c r="AL361" s="17" t="n">
        <f aca="false">AG361+AI361+AJ361+AK361</f>
        <v>37876.208</v>
      </c>
      <c r="AM361" s="20" t="n">
        <f aca="false">IF(L361&gt;0,AL361/L361,0)</f>
        <v>0.161711409310011</v>
      </c>
      <c r="AN361" s="16" t="n">
        <f aca="false">L361*INDEX(Parametros!$G$2:$G$9,MATCH($E361,Parametros!$A$2:$A$9,0))</f>
        <v>292776.25</v>
      </c>
      <c r="AO361" s="17" t="n">
        <f aca="false">AN361-AC361-AL361</f>
        <v>97510.872</v>
      </c>
      <c r="AP361" s="15" t="n">
        <f aca="false">IF(AN361&gt;0,AO361/AN361,0)</f>
        <v>0.333055949722698</v>
      </c>
      <c r="AQ361" s="16" t="n">
        <f aca="false">INDEX(Parametros!$I$2:$I$9,MATCH($E361,Parametros!$A$2:$A$9,0))</f>
        <v>13300000</v>
      </c>
      <c r="AR361" s="19" t="n">
        <f aca="false">IF(AQ361&gt;0,AO361/AQ361,0)</f>
        <v>0.00733164451127819</v>
      </c>
    </row>
    <row r="362" customFormat="false" ht="15" hidden="false" customHeight="false" outlineLevel="0" collapsed="false">
      <c r="A362" s="5" t="s">
        <v>497</v>
      </c>
      <c r="B362" s="9" t="n">
        <v>45866</v>
      </c>
      <c r="C362" s="2" t="str">
        <f aca="false">TEXT(B362,"yyyy")</f>
        <v>2025</v>
      </c>
      <c r="D362" s="2" t="n">
        <f aca="false">WEEKNUM(B362,2)</f>
        <v>31</v>
      </c>
      <c r="E362" s="5" t="s">
        <v>130</v>
      </c>
      <c r="F362" s="6" t="str">
        <f aca="false">INDEX(Parametros!$B$2:$B$9,MATCH($E362,Parametros!$A$2:$A$9,0))</f>
        <v>Ketchup botella</v>
      </c>
      <c r="G362" s="10" t="n">
        <v>122.8</v>
      </c>
      <c r="H362" s="10" t="n">
        <v>7.8</v>
      </c>
      <c r="I362" s="11" t="n">
        <f aca="false">SUMIFS(Eventos_Paro!$J$2:$J$2186,Eventos_Paro!$D$2:$D$2186,$E362,Eventos_Paro!$B$2:$B$2186,$B362)</f>
        <v>5.1</v>
      </c>
      <c r="J362" s="12" t="n">
        <f aca="false">G362-H362-I362</f>
        <v>109.9</v>
      </c>
      <c r="K362" s="13" t="n">
        <v>859586</v>
      </c>
      <c r="L362" s="13" t="n">
        <v>819067</v>
      </c>
      <c r="M362" s="13" t="n">
        <v>27310</v>
      </c>
      <c r="N362" s="14" t="n">
        <f aca="false">L362+M362</f>
        <v>846377</v>
      </c>
      <c r="O362" s="11" t="n">
        <f aca="false">INDEX(Parametros!$D$2:$D$9,MATCH($E362,Parametros!$A$2:$A$9,0))</f>
        <v>9000</v>
      </c>
      <c r="P362" s="15" t="n">
        <f aca="false">IF((G362-H362)&gt;0,J362/(G362-H362),0)</f>
        <v>0.955652173913044</v>
      </c>
      <c r="Q362" s="15" t="n">
        <f aca="false">IF(J362*O362&gt;0,N362/(O362*J362),0)</f>
        <v>0.855704175513093</v>
      </c>
      <c r="R362" s="15" t="n">
        <f aca="false">IF(N362&gt;0,L362/N362,0)</f>
        <v>0.967733055127916</v>
      </c>
      <c r="S362" s="15" t="n">
        <f aca="false">P362*Q362*R362</f>
        <v>0.791369082125604</v>
      </c>
      <c r="T362" s="15" t="n">
        <f aca="false">IF(K362&gt;0,L362/K362,0)</f>
        <v>0.952862191799308</v>
      </c>
      <c r="U362" s="10" t="n">
        <v>1944.2</v>
      </c>
      <c r="V362" s="5" t="n">
        <v>15</v>
      </c>
      <c r="W362" s="10" t="n">
        <v>102.2</v>
      </c>
      <c r="X362" s="15" t="n">
        <f aca="false">IF(U362&gt;0,W362/U362,0)</f>
        <v>0.0525666083736241</v>
      </c>
      <c r="Y362" s="12" t="n">
        <f aca="false">IF(U362&gt;0,L362/U362,0)</f>
        <v>421.287418989816</v>
      </c>
      <c r="Z362" s="16" t="n">
        <f aca="false">L362*INDEX(Parametros!$E$2:$E$9,MATCH($E362,Parametros!$A$2:$A$9,0))</f>
        <v>344008.14</v>
      </c>
      <c r="AA362" s="16" t="n">
        <f aca="false">Z362*INDEX(Parametros!$F$2:$F$9,MATCH($E362,Parametros!$A$2:$A$9,0))</f>
        <v>6880.1628</v>
      </c>
      <c r="AB362" s="17" t="n">
        <f aca="false">Z362+AA362</f>
        <v>350888.3028</v>
      </c>
      <c r="AC362" s="18" t="n">
        <v>347592.2</v>
      </c>
      <c r="AD362" s="17" t="n">
        <f aca="false">AC362-AB362</f>
        <v>-3296.10279999999</v>
      </c>
      <c r="AE362" s="17" t="n">
        <f aca="false">AA362+AD362</f>
        <v>3584.06000000001</v>
      </c>
      <c r="AF362" s="19" t="n">
        <f aca="false">IF(Z362&gt;0,AE362/Z362,0)</f>
        <v>0.0104185325382126</v>
      </c>
      <c r="AG362" s="16" t="n">
        <f aca="false">(U362-W362)*INDEX(Parametros!$H$2:$H$9,MATCH($E362,Parametros!$A$2:$A$9,0))+W362*INDEX(Parametros!$H$2:$H$9,MATCH($E362,Parametros!$A$2:$A$9,0))*Parametros!$N$3</f>
        <v>62851.95</v>
      </c>
      <c r="AH362" s="13" t="n">
        <v>39389</v>
      </c>
      <c r="AI362" s="16" t="n">
        <f aca="false">AH362*Parametros!$N$2</f>
        <v>3623.788</v>
      </c>
      <c r="AJ362" s="18" t="n">
        <v>17196</v>
      </c>
      <c r="AK362" s="18" t="n">
        <v>4361</v>
      </c>
      <c r="AL362" s="17" t="n">
        <f aca="false">AG362+AI362+AJ362+AK362</f>
        <v>88032.738</v>
      </c>
      <c r="AM362" s="20" t="n">
        <f aca="false">IF(L362&gt;0,AL362/L362,0)</f>
        <v>0.107479288019173</v>
      </c>
      <c r="AN362" s="16" t="n">
        <f aca="false">L362*INDEX(Parametros!$G$2:$G$9,MATCH($E362,Parametros!$A$2:$A$9,0))</f>
        <v>581537.57</v>
      </c>
      <c r="AO362" s="17" t="n">
        <f aca="false">AN362-AC362-AL362</f>
        <v>145912.632</v>
      </c>
      <c r="AP362" s="15" t="n">
        <f aca="false">IF(AN362&gt;0,AO362/AN362,0)</f>
        <v>0.250908349739123</v>
      </c>
      <c r="AQ362" s="16" t="n">
        <f aca="false">INDEX(Parametros!$I$2:$I$9,MATCH($E362,Parametros!$A$2:$A$9,0))</f>
        <v>29300000</v>
      </c>
      <c r="AR362" s="19" t="n">
        <f aca="false">IF(AQ362&gt;0,AO362/AQ362,0)</f>
        <v>0.0049799533105802</v>
      </c>
    </row>
    <row r="363" customFormat="false" ht="15" hidden="false" customHeight="false" outlineLevel="0" collapsed="false">
      <c r="A363" s="5" t="s">
        <v>498</v>
      </c>
      <c r="B363" s="9" t="n">
        <v>45866</v>
      </c>
      <c r="C363" s="2" t="str">
        <f aca="false">TEXT(B363,"yyyy")</f>
        <v>2025</v>
      </c>
      <c r="D363" s="2" t="n">
        <f aca="false">WEEKNUM(B363,2)</f>
        <v>31</v>
      </c>
      <c r="E363" s="5" t="s">
        <v>132</v>
      </c>
      <c r="F363" s="6" t="str">
        <f aca="false">INDEX(Parametros!$B$2:$B$9,MATCH($E363,Parametros!$A$2:$A$9,0))</f>
        <v>Mayonesa frasco</v>
      </c>
      <c r="G363" s="10" t="n">
        <v>113.6</v>
      </c>
      <c r="H363" s="10" t="n">
        <v>7.5</v>
      </c>
      <c r="I363" s="11" t="n">
        <f aca="false">SUMIFS(Eventos_Paro!$J$2:$J$2186,Eventos_Paro!$D$2:$D$2186,$E363,Eventos_Paro!$B$2:$B$2186,$B363)</f>
        <v>3.68333333333333</v>
      </c>
      <c r="J363" s="12" t="n">
        <f aca="false">G363-H363-I363</f>
        <v>102.416666666667</v>
      </c>
      <c r="K363" s="13" t="n">
        <v>572767</v>
      </c>
      <c r="L363" s="13" t="n">
        <v>559117</v>
      </c>
      <c r="M363" s="13" t="n">
        <v>13577</v>
      </c>
      <c r="N363" s="14" t="n">
        <f aca="false">L363+M363</f>
        <v>572694</v>
      </c>
      <c r="O363" s="11" t="n">
        <f aca="false">INDEX(Parametros!$D$2:$D$9,MATCH($E363,Parametros!$A$2:$A$9,0))</f>
        <v>6500</v>
      </c>
      <c r="P363" s="15" t="n">
        <f aca="false">IF((G363-H363)&gt;0,J363/(G363-H363),0)</f>
        <v>0.965284322965756</v>
      </c>
      <c r="Q363" s="15" t="n">
        <f aca="false">IF(J363*O363&gt;0,N363/(O363*J363),0)</f>
        <v>0.860277649120611</v>
      </c>
      <c r="R363" s="15" t="n">
        <f aca="false">IF(N363&gt;0,L363/N363,0)</f>
        <v>0.976292749705777</v>
      </c>
      <c r="S363" s="15" t="n">
        <f aca="false">P363*Q363*R363</f>
        <v>0.810725730442978</v>
      </c>
      <c r="T363" s="15" t="n">
        <f aca="false">IF(K363&gt;0,L363/K363,0)</f>
        <v>0.976168319753058</v>
      </c>
      <c r="U363" s="10" t="n">
        <v>1601.1</v>
      </c>
      <c r="V363" s="5" t="n">
        <v>14</v>
      </c>
      <c r="W363" s="10" t="n">
        <v>10.7</v>
      </c>
      <c r="X363" s="15" t="n">
        <f aca="false">IF(U363&gt;0,W363/U363,0)</f>
        <v>0.00668290550246705</v>
      </c>
      <c r="Y363" s="12" t="n">
        <f aca="false">IF(U363&gt;0,L363/U363,0)</f>
        <v>349.208044469427</v>
      </c>
      <c r="Z363" s="16" t="n">
        <f aca="false">L363*INDEX(Parametros!$E$2:$E$9,MATCH($E363,Parametros!$A$2:$A$9,0))</f>
        <v>341061.37</v>
      </c>
      <c r="AA363" s="16" t="n">
        <f aca="false">Z363*INDEX(Parametros!$F$2:$F$9,MATCH($E363,Parametros!$A$2:$A$9,0))</f>
        <v>8526.53425</v>
      </c>
      <c r="AB363" s="17" t="n">
        <f aca="false">Z363+AA363</f>
        <v>349587.90425</v>
      </c>
      <c r="AC363" s="18" t="n">
        <v>341794.02</v>
      </c>
      <c r="AD363" s="17" t="n">
        <f aca="false">AC363-AB363</f>
        <v>-7793.88425</v>
      </c>
      <c r="AE363" s="17" t="n">
        <f aca="false">AA363+AD363</f>
        <v>732.649999999998</v>
      </c>
      <c r="AF363" s="19" t="n">
        <f aca="false">IF(Z363&gt;0,AE363/Z363,0)</f>
        <v>0.00214814712085393</v>
      </c>
      <c r="AG363" s="16" t="n">
        <f aca="false">(U363-W363)*INDEX(Parametros!$H$2:$H$9,MATCH($E363,Parametros!$A$2:$A$9,0))+W363*INDEX(Parametros!$H$2:$H$9,MATCH($E363,Parametros!$A$2:$A$9,0))*Parametros!$N$3</f>
        <v>50603.175</v>
      </c>
      <c r="AH363" s="13" t="n">
        <v>31642</v>
      </c>
      <c r="AI363" s="16" t="n">
        <f aca="false">AH363*Parametros!$N$2</f>
        <v>2911.064</v>
      </c>
      <c r="AJ363" s="18" t="n">
        <v>16287</v>
      </c>
      <c r="AK363" s="18" t="n">
        <v>3541</v>
      </c>
      <c r="AL363" s="17" t="n">
        <f aca="false">AG363+AI363+AJ363+AK363</f>
        <v>73342.239</v>
      </c>
      <c r="AM363" s="20" t="n">
        <f aca="false">IF(L363&gt;0,AL363/L363,0)</f>
        <v>0.131175118982252</v>
      </c>
      <c r="AN363" s="16" t="n">
        <f aca="false">L363*INDEX(Parametros!$G$2:$G$9,MATCH($E363,Parametros!$A$2:$A$9,0))</f>
        <v>536752.32</v>
      </c>
      <c r="AO363" s="17" t="n">
        <f aca="false">AN363-AC363-AL363</f>
        <v>121616.061</v>
      </c>
      <c r="AP363" s="15" t="n">
        <f aca="false">IF(AN363&gt;0,AO363/AN363,0)</f>
        <v>0.226577615910444</v>
      </c>
      <c r="AQ363" s="16" t="n">
        <f aca="false">INDEX(Parametros!$I$2:$I$9,MATCH($E363,Parametros!$A$2:$A$9,0))</f>
        <v>29700000</v>
      </c>
      <c r="AR363" s="19" t="n">
        <f aca="false">IF(AQ363&gt;0,AO363/AQ363,0)</f>
        <v>0.00409481686868687</v>
      </c>
    </row>
    <row r="364" customFormat="false" ht="15" hidden="false" customHeight="false" outlineLevel="0" collapsed="false">
      <c r="A364" s="5" t="s">
        <v>499</v>
      </c>
      <c r="B364" s="9" t="n">
        <v>45866</v>
      </c>
      <c r="C364" s="2" t="str">
        <f aca="false">TEXT(B364,"yyyy")</f>
        <v>2025</v>
      </c>
      <c r="D364" s="2" t="n">
        <f aca="false">WEEKNUM(B364,2)</f>
        <v>31</v>
      </c>
      <c r="E364" s="5" t="s">
        <v>134</v>
      </c>
      <c r="F364" s="6" t="str">
        <f aca="false">INDEX(Parametros!$B$2:$B$9,MATCH($E364,Parametros!$A$2:$A$9,0))</f>
        <v>Aderezos vertibles</v>
      </c>
      <c r="G364" s="10" t="n">
        <v>101.9</v>
      </c>
      <c r="H364" s="10" t="n">
        <v>5</v>
      </c>
      <c r="I364" s="11" t="n">
        <f aca="false">SUMIFS(Eventos_Paro!$J$2:$J$2186,Eventos_Paro!$D$2:$D$2186,$E364,Eventos_Paro!$B$2:$B$2186,$B364)</f>
        <v>3.23333333333333</v>
      </c>
      <c r="J364" s="12" t="n">
        <f aca="false">G364-H364-I364</f>
        <v>93.6666666666667</v>
      </c>
      <c r="K364" s="13" t="n">
        <v>418481</v>
      </c>
      <c r="L364" s="13" t="n">
        <v>395831</v>
      </c>
      <c r="M364" s="13" t="n">
        <v>11618</v>
      </c>
      <c r="N364" s="14" t="n">
        <f aca="false">L364+M364</f>
        <v>407449</v>
      </c>
      <c r="O364" s="11" t="n">
        <f aca="false">INDEX(Parametros!$D$2:$D$9,MATCH($E364,Parametros!$A$2:$A$9,0))</f>
        <v>5200</v>
      </c>
      <c r="P364" s="15" t="n">
        <f aca="false">IF((G364-H364)&gt;0,J364/(G364-H364),0)</f>
        <v>0.966632266941864</v>
      </c>
      <c r="Q364" s="15" t="n">
        <f aca="false">IF(J364*O364&gt;0,N364/(O364*J364),0)</f>
        <v>0.836536408431426</v>
      </c>
      <c r="R364" s="15" t="n">
        <f aca="false">IF(N364&gt;0,L364/N364,0)</f>
        <v>0.971486001929076</v>
      </c>
      <c r="S364" s="15" t="n">
        <f aca="false">P364*Q364*R364</f>
        <v>0.78556600777963</v>
      </c>
      <c r="T364" s="15" t="n">
        <f aca="false">IF(K364&gt;0,L364/K364,0)</f>
        <v>0.945875678943608</v>
      </c>
      <c r="U364" s="10" t="n">
        <v>1420.9</v>
      </c>
      <c r="V364" s="5" t="n">
        <v>13</v>
      </c>
      <c r="W364" s="10" t="n">
        <v>96.2</v>
      </c>
      <c r="X364" s="15" t="n">
        <f aca="false">IF(U364&gt;0,W364/U364,0)</f>
        <v>0.0677035681610247</v>
      </c>
      <c r="Y364" s="12" t="n">
        <f aca="false">IF(U364&gt;0,L364/U364,0)</f>
        <v>278.577662045183</v>
      </c>
      <c r="Z364" s="16" t="n">
        <f aca="false">L364*INDEX(Parametros!$E$2:$E$9,MATCH($E364,Parametros!$A$2:$A$9,0))</f>
        <v>217707.05</v>
      </c>
      <c r="AA364" s="16" t="n">
        <f aca="false">Z364*INDEX(Parametros!$F$2:$F$9,MATCH($E364,Parametros!$A$2:$A$9,0))</f>
        <v>6531.2115</v>
      </c>
      <c r="AB364" s="17" t="n">
        <f aca="false">Z364+AA364</f>
        <v>224238.2615</v>
      </c>
      <c r="AC364" s="18" t="n">
        <v>221386.22</v>
      </c>
      <c r="AD364" s="17" t="n">
        <f aca="false">AC364-AB364</f>
        <v>-2852.04150000002</v>
      </c>
      <c r="AE364" s="17" t="n">
        <f aca="false">AA364+AD364</f>
        <v>3679.16999999998</v>
      </c>
      <c r="AF364" s="19" t="n">
        <f aca="false">IF(Z364&gt;0,AE364/Z364,0)</f>
        <v>0.0168996364610148</v>
      </c>
      <c r="AG364" s="16" t="n">
        <f aca="false">(U364-W364)*INDEX(Parametros!$H$2:$H$9,MATCH($E364,Parametros!$A$2:$A$9,0))+W364*INDEX(Parametros!$H$2:$H$9,MATCH($E364,Parametros!$A$2:$A$9,0))*Parametros!$N$3</f>
        <v>46273.5</v>
      </c>
      <c r="AH364" s="13" t="n">
        <v>19809</v>
      </c>
      <c r="AI364" s="16" t="n">
        <f aca="false">AH364*Parametros!$N$2</f>
        <v>1822.428</v>
      </c>
      <c r="AJ364" s="18" t="n">
        <v>8738</v>
      </c>
      <c r="AK364" s="18" t="n">
        <v>3430</v>
      </c>
      <c r="AL364" s="17" t="n">
        <f aca="false">AG364+AI364+AJ364+AK364</f>
        <v>60263.928</v>
      </c>
      <c r="AM364" s="20" t="n">
        <f aca="false">IF(L364&gt;0,AL364/L364,0)</f>
        <v>0.152246610295808</v>
      </c>
      <c r="AN364" s="16" t="n">
        <f aca="false">L364*INDEX(Parametros!$G$2:$G$9,MATCH($E364,Parametros!$A$2:$A$9,0))</f>
        <v>403747.62</v>
      </c>
      <c r="AO364" s="17" t="n">
        <f aca="false">AN364-AC364-AL364</f>
        <v>122097.472</v>
      </c>
      <c r="AP364" s="15" t="n">
        <f aca="false">IF(AN364&gt;0,AO364/AN364,0)</f>
        <v>0.302410382010425</v>
      </c>
      <c r="AQ364" s="16" t="n">
        <f aca="false">INDEX(Parametros!$I$2:$I$9,MATCH($E364,Parametros!$A$2:$A$9,0))</f>
        <v>19300000</v>
      </c>
      <c r="AR364" s="19" t="n">
        <f aca="false">IF(AQ364&gt;0,AO364/AQ364,0)</f>
        <v>0.00632629388601036</v>
      </c>
    </row>
    <row r="365" customFormat="false" ht="15" hidden="false" customHeight="false" outlineLevel="0" collapsed="false">
      <c r="A365" s="5" t="s">
        <v>500</v>
      </c>
      <c r="B365" s="9" t="n">
        <v>45866</v>
      </c>
      <c r="C365" s="2" t="str">
        <f aca="false">TEXT(B365,"yyyy")</f>
        <v>2025</v>
      </c>
      <c r="D365" s="2" t="n">
        <f aca="false">WEEKNUM(B365,2)</f>
        <v>31</v>
      </c>
      <c r="E365" s="5" t="s">
        <v>136</v>
      </c>
      <c r="F365" s="6" t="str">
        <f aca="false">INDEX(Parametros!$B$2:$B$9,MATCH($E365,Parametros!$A$2:$A$9,0))</f>
        <v>Salsa BBQ</v>
      </c>
      <c r="G365" s="10" t="n">
        <v>118.1</v>
      </c>
      <c r="H365" s="10" t="n">
        <v>5.9</v>
      </c>
      <c r="I365" s="11" t="n">
        <f aca="false">SUMIFS(Eventos_Paro!$J$2:$J$2186,Eventos_Paro!$D$2:$D$2186,$E365,Eventos_Paro!$B$2:$B$2186,$B365)</f>
        <v>2.3</v>
      </c>
      <c r="J365" s="12" t="n">
        <f aca="false">G365-H365-I365</f>
        <v>109.9</v>
      </c>
      <c r="K365" s="13" t="n">
        <v>504808</v>
      </c>
      <c r="L365" s="13" t="n">
        <v>435198</v>
      </c>
      <c r="M365" s="13" t="n">
        <v>12830</v>
      </c>
      <c r="N365" s="14" t="n">
        <f aca="false">L365+M365</f>
        <v>448028</v>
      </c>
      <c r="O365" s="11" t="n">
        <f aca="false">INDEX(Parametros!$D$2:$D$9,MATCH($E365,Parametros!$A$2:$A$9,0))</f>
        <v>4800</v>
      </c>
      <c r="P365" s="15" t="n">
        <f aca="false">IF((G365-H365)&gt;0,J365/(G365-H365),0)</f>
        <v>0.979500891265597</v>
      </c>
      <c r="Q365" s="15" t="n">
        <f aca="false">IF(J365*O365&gt;0,N365/(O365*J365),0)</f>
        <v>0.849309978768578</v>
      </c>
      <c r="R365" s="15" t="n">
        <f aca="false">IF(N365&gt;0,L365/N365,0)</f>
        <v>0.971363396930549</v>
      </c>
      <c r="S365" s="15" t="n">
        <f aca="false">P365*Q365*R365</f>
        <v>0.808077094474153</v>
      </c>
      <c r="T365" s="15" t="n">
        <f aca="false">IF(K365&gt;0,L365/K365,0)</f>
        <v>0.862105988811588</v>
      </c>
      <c r="U365" s="10" t="n">
        <v>1419.4</v>
      </c>
      <c r="V365" s="5" t="n">
        <v>11</v>
      </c>
      <c r="W365" s="10" t="n">
        <v>120.3</v>
      </c>
      <c r="X365" s="15" t="n">
        <f aca="false">IF(U365&gt;0,W365/U365,0)</f>
        <v>0.0847541214597717</v>
      </c>
      <c r="Y365" s="12" t="n">
        <f aca="false">IF(U365&gt;0,L365/U365,0)</f>
        <v>306.607017049458</v>
      </c>
      <c r="Z365" s="16" t="n">
        <f aca="false">L365*INDEX(Parametros!$E$2:$E$9,MATCH($E365,Parametros!$A$2:$A$9,0))</f>
        <v>252414.84</v>
      </c>
      <c r="AA365" s="16" t="n">
        <f aca="false">Z365*INDEX(Parametros!$F$2:$F$9,MATCH($E365,Parametros!$A$2:$A$9,0))</f>
        <v>7067.61552</v>
      </c>
      <c r="AB365" s="17" t="n">
        <f aca="false">Z365+AA365</f>
        <v>259482.45552</v>
      </c>
      <c r="AC365" s="18" t="n">
        <v>256638.76</v>
      </c>
      <c r="AD365" s="17" t="n">
        <f aca="false">AC365-AB365</f>
        <v>-2843.69551999998</v>
      </c>
      <c r="AE365" s="17" t="n">
        <f aca="false">AA365+AD365</f>
        <v>4223.92000000002</v>
      </c>
      <c r="AF365" s="19" t="n">
        <f aca="false">IF(Z365&gt;0,AE365/Z365,0)</f>
        <v>0.0167340398845013</v>
      </c>
      <c r="AG365" s="16" t="n">
        <f aca="false">(U365-W365)*INDEX(Parametros!$H$2:$H$9,MATCH($E365,Parametros!$A$2:$A$9,0))+W365*INDEX(Parametros!$H$2:$H$9,MATCH($E365,Parametros!$A$2:$A$9,0))*Parametros!$N$3</f>
        <v>46605.825</v>
      </c>
      <c r="AH365" s="13" t="n">
        <v>22512</v>
      </c>
      <c r="AI365" s="16" t="n">
        <f aca="false">AH365*Parametros!$N$2</f>
        <v>2071.104</v>
      </c>
      <c r="AJ365" s="18" t="n">
        <v>7626</v>
      </c>
      <c r="AK365" s="18" t="n">
        <v>1921</v>
      </c>
      <c r="AL365" s="17" t="n">
        <f aca="false">AG365+AI365+AJ365+AK365</f>
        <v>58223.929</v>
      </c>
      <c r="AM365" s="20" t="n">
        <f aca="false">IF(L365&gt;0,AL365/L365,0)</f>
        <v>0.133787216393458</v>
      </c>
      <c r="AN365" s="16" t="n">
        <f aca="false">L365*INDEX(Parametros!$G$2:$G$9,MATCH($E365,Parametros!$A$2:$A$9,0))</f>
        <v>426494.04</v>
      </c>
      <c r="AO365" s="17" t="n">
        <f aca="false">AN365-AC365-AL365</f>
        <v>111631.351</v>
      </c>
      <c r="AP365" s="15" t="n">
        <f aca="false">IF(AN365&gt;0,AO365/AN365,0)</f>
        <v>0.261741878034216</v>
      </c>
      <c r="AQ365" s="16" t="n">
        <f aca="false">INDEX(Parametros!$I$2:$I$9,MATCH($E365,Parametros!$A$2:$A$9,0))</f>
        <v>17000000</v>
      </c>
      <c r="AR365" s="19" t="n">
        <f aca="false">IF(AQ365&gt;0,AO365/AQ365,0)</f>
        <v>0.00656655005882353</v>
      </c>
    </row>
    <row r="366" customFormat="false" ht="15" hidden="false" customHeight="false" outlineLevel="0" collapsed="false">
      <c r="A366" s="5" t="s">
        <v>501</v>
      </c>
      <c r="B366" s="9" t="n">
        <v>45866</v>
      </c>
      <c r="C366" s="2" t="str">
        <f aca="false">TEXT(B366,"yyyy")</f>
        <v>2025</v>
      </c>
      <c r="D366" s="2" t="n">
        <f aca="false">WEEKNUM(B366,2)</f>
        <v>31</v>
      </c>
      <c r="E366" s="5" t="s">
        <v>138</v>
      </c>
      <c r="F366" s="6" t="str">
        <f aca="false">INDEX(Parametros!$B$2:$B$9,MATCH($E366,Parametros!$A$2:$A$9,0))</f>
        <v>Queso crema</v>
      </c>
      <c r="G366" s="10" t="n">
        <v>120.5</v>
      </c>
      <c r="H366" s="10" t="n">
        <v>5.5</v>
      </c>
      <c r="I366" s="11" t="n">
        <f aca="false">SUMIFS(Eventos_Paro!$J$2:$J$2186,Eventos_Paro!$D$2:$D$2186,$E366,Eventos_Paro!$B$2:$B$2186,$B366)</f>
        <v>3.63333333333333</v>
      </c>
      <c r="J366" s="12" t="n">
        <f aca="false">G366-H366-I366</f>
        <v>111.366666666667</v>
      </c>
      <c r="K366" s="13" t="n">
        <v>362936</v>
      </c>
      <c r="L366" s="13" t="n">
        <v>353782</v>
      </c>
      <c r="M366" s="13" t="n">
        <v>15527</v>
      </c>
      <c r="N366" s="14" t="n">
        <f aca="false">L366+M366</f>
        <v>369309</v>
      </c>
      <c r="O366" s="11" t="n">
        <f aca="false">INDEX(Parametros!$D$2:$D$9,MATCH($E366,Parametros!$A$2:$A$9,0))</f>
        <v>3800</v>
      </c>
      <c r="P366" s="15" t="n">
        <f aca="false">IF((G366-H366)&gt;0,J366/(G366-H366),0)</f>
        <v>0.968405797101449</v>
      </c>
      <c r="Q366" s="15" t="n">
        <f aca="false">IF(J366*O366&gt;0,N366/(O366*J366),0)</f>
        <v>0.872672064777328</v>
      </c>
      <c r="R366" s="15" t="n">
        <f aca="false">IF(N366&gt;0,L366/N366,0)</f>
        <v>0.95795661627526</v>
      </c>
      <c r="S366" s="15" t="n">
        <f aca="false">P366*Q366*R366</f>
        <v>0.809569794050343</v>
      </c>
      <c r="T366" s="15" t="n">
        <f aca="false">IF(K366&gt;0,L366/K366,0)</f>
        <v>0.974777922278308</v>
      </c>
      <c r="U366" s="10" t="n">
        <v>2281.1</v>
      </c>
      <c r="V366" s="5" t="n">
        <v>17</v>
      </c>
      <c r="W366" s="10" t="n">
        <v>232.6</v>
      </c>
      <c r="X366" s="15" t="n">
        <f aca="false">IF(U366&gt;0,W366/U366,0)</f>
        <v>0.101968348603744</v>
      </c>
      <c r="Y366" s="12" t="n">
        <f aca="false">IF(U366&gt;0,L366/U366,0)</f>
        <v>155.092718425321</v>
      </c>
      <c r="Z366" s="16" t="n">
        <f aca="false">L366*INDEX(Parametros!$E$2:$E$9,MATCH($E366,Parametros!$A$2:$A$9,0))</f>
        <v>396235.84</v>
      </c>
      <c r="AA366" s="16" t="n">
        <f aca="false">Z366*INDEX(Parametros!$F$2:$F$9,MATCH($E366,Parametros!$A$2:$A$9,0))</f>
        <v>13868.2544</v>
      </c>
      <c r="AB366" s="17" t="n">
        <f aca="false">Z366+AA366</f>
        <v>410104.0944</v>
      </c>
      <c r="AC366" s="18" t="n">
        <v>402359.93</v>
      </c>
      <c r="AD366" s="17" t="n">
        <f aca="false">AC366-AB366</f>
        <v>-7744.16440000001</v>
      </c>
      <c r="AE366" s="17" t="n">
        <f aca="false">AA366+AD366</f>
        <v>6124.08999999999</v>
      </c>
      <c r="AF366" s="19" t="n">
        <f aca="false">IF(Z366&gt;0,AE366/Z366,0)</f>
        <v>0.0154556690278194</v>
      </c>
      <c r="AG366" s="16" t="n">
        <f aca="false">(U366-W366)*INDEX(Parametros!$H$2:$H$9,MATCH($E366,Parametros!$A$2:$A$9,0))+W366*INDEX(Parametros!$H$2:$H$9,MATCH($E366,Parametros!$A$2:$A$9,0))*Parametros!$N$3</f>
        <v>79114.2</v>
      </c>
      <c r="AH366" s="13" t="n">
        <v>18476</v>
      </c>
      <c r="AI366" s="16" t="n">
        <f aca="false">AH366*Parametros!$N$2</f>
        <v>1699.792</v>
      </c>
      <c r="AJ366" s="18" t="n">
        <v>20357</v>
      </c>
      <c r="AK366" s="18" t="n">
        <v>2400</v>
      </c>
      <c r="AL366" s="17" t="n">
        <f aca="false">AG366+AI366+AJ366+AK366</f>
        <v>103570.992</v>
      </c>
      <c r="AM366" s="20" t="n">
        <f aca="false">IF(L366&gt;0,AL366/L366,0)</f>
        <v>0.292753707085154</v>
      </c>
      <c r="AN366" s="16" t="n">
        <f aca="false">L366*INDEX(Parametros!$G$2:$G$9,MATCH($E366,Parametros!$A$2:$A$9,0))</f>
        <v>633269.78</v>
      </c>
      <c r="AO366" s="17" t="n">
        <f aca="false">AN366-AC366-AL366</f>
        <v>127338.858</v>
      </c>
      <c r="AP366" s="15" t="n">
        <f aca="false">IF(AN366&gt;0,AO366/AN366,0)</f>
        <v>0.201081532739491</v>
      </c>
      <c r="AQ366" s="16" t="n">
        <f aca="false">INDEX(Parametros!$I$2:$I$9,MATCH($E366,Parametros!$A$2:$A$9,0))</f>
        <v>33200000</v>
      </c>
      <c r="AR366" s="19" t="n">
        <f aca="false">IF(AQ366&gt;0,AO366/AQ366,0)</f>
        <v>0.00383550777108434</v>
      </c>
    </row>
    <row r="367" customFormat="false" ht="15" hidden="false" customHeight="false" outlineLevel="0" collapsed="false">
      <c r="A367" s="5" t="s">
        <v>502</v>
      </c>
      <c r="B367" s="9" t="n">
        <v>45866</v>
      </c>
      <c r="C367" s="2" t="str">
        <f aca="false">TEXT(B367,"yyyy")</f>
        <v>2025</v>
      </c>
      <c r="D367" s="2" t="n">
        <f aca="false">WEEKNUM(B367,2)</f>
        <v>31</v>
      </c>
      <c r="E367" s="5" t="s">
        <v>140</v>
      </c>
      <c r="F367" s="6" t="str">
        <f aca="false">INDEX(Parametros!$B$2:$B$9,MATCH($E367,Parametros!$A$2:$A$9,0))</f>
        <v>Crema de cacahuate</v>
      </c>
      <c r="G367" s="10" t="n">
        <v>121.7</v>
      </c>
      <c r="H367" s="10" t="n">
        <v>5.6</v>
      </c>
      <c r="I367" s="11" t="n">
        <f aca="false">SUMIFS(Eventos_Paro!$J$2:$J$2186,Eventos_Paro!$D$2:$D$2186,$E367,Eventos_Paro!$B$2:$B$2186,$B367)</f>
        <v>1.8</v>
      </c>
      <c r="J367" s="12" t="n">
        <f aca="false">G367-H367-I367</f>
        <v>114.3</v>
      </c>
      <c r="K367" s="13" t="n">
        <v>404977</v>
      </c>
      <c r="L367" s="13" t="n">
        <v>410107</v>
      </c>
      <c r="M367" s="13" t="n">
        <v>13608</v>
      </c>
      <c r="N367" s="14" t="n">
        <f aca="false">L367+M367</f>
        <v>423715</v>
      </c>
      <c r="O367" s="11" t="n">
        <f aca="false">INDEX(Parametros!$D$2:$D$9,MATCH($E367,Parametros!$A$2:$A$9,0))</f>
        <v>4200</v>
      </c>
      <c r="P367" s="15" t="n">
        <f aca="false">IF((G367-H367)&gt;0,J367/(G367-H367),0)</f>
        <v>0.984496124031008</v>
      </c>
      <c r="Q367" s="15" t="n">
        <f aca="false">IF(J367*O367&gt;0,N367/(O367*J367),0)</f>
        <v>0.882629254676499</v>
      </c>
      <c r="R367" s="15" t="n">
        <f aca="false">IF(N367&gt;0,L367/N367,0)</f>
        <v>0.967884073020781</v>
      </c>
      <c r="S367" s="15" t="n">
        <f aca="false">P367*Q367*R367</f>
        <v>0.841038103441204</v>
      </c>
      <c r="T367" s="15" t="n">
        <f aca="false">IF(K367&gt;0,L367/K367,0)</f>
        <v>1.01266738604908</v>
      </c>
      <c r="U367" s="10" t="n">
        <v>1464.1</v>
      </c>
      <c r="V367" s="5" t="n">
        <v>11</v>
      </c>
      <c r="W367" s="10" t="n">
        <v>125.4</v>
      </c>
      <c r="X367" s="15" t="n">
        <f aca="false">IF(U367&gt;0,W367/U367,0)</f>
        <v>0.0856498873027799</v>
      </c>
      <c r="Y367" s="12" t="n">
        <f aca="false">IF(U367&gt;0,L367/U367,0)</f>
        <v>280.108599139403</v>
      </c>
      <c r="Z367" s="16" t="n">
        <f aca="false">L367*INDEX(Parametros!$E$2:$E$9,MATCH($E367,Parametros!$A$2:$A$9,0))</f>
        <v>397803.79</v>
      </c>
      <c r="AA367" s="16" t="n">
        <f aca="false">Z367*INDEX(Parametros!$F$2:$F$9,MATCH($E367,Parametros!$A$2:$A$9,0))</f>
        <v>8751.68338</v>
      </c>
      <c r="AB367" s="17" t="n">
        <f aca="false">Z367+AA367</f>
        <v>406555.47338</v>
      </c>
      <c r="AC367" s="18" t="n">
        <v>408157.48</v>
      </c>
      <c r="AD367" s="17" t="n">
        <f aca="false">AC367-AB367</f>
        <v>1602.00662</v>
      </c>
      <c r="AE367" s="17" t="n">
        <f aca="false">AA367+AD367</f>
        <v>10353.69</v>
      </c>
      <c r="AF367" s="19" t="n">
        <f aca="false">IF(Z367&gt;0,AE367/Z367,0)</f>
        <v>0.0260271275947371</v>
      </c>
      <c r="AG367" s="16" t="n">
        <f aca="false">(U367-W367)*INDEX(Parametros!$H$2:$H$9,MATCH($E367,Parametros!$A$2:$A$9,0))+W367*INDEX(Parametros!$H$2:$H$9,MATCH($E367,Parametros!$A$2:$A$9,0))*Parametros!$N$3</f>
        <v>48094.2</v>
      </c>
      <c r="AH367" s="13" t="n">
        <v>19984</v>
      </c>
      <c r="AI367" s="16" t="n">
        <f aca="false">AH367*Parametros!$N$2</f>
        <v>1838.528</v>
      </c>
      <c r="AJ367" s="18" t="n">
        <v>10680</v>
      </c>
      <c r="AK367" s="18" t="n">
        <v>1749</v>
      </c>
      <c r="AL367" s="17" t="n">
        <f aca="false">AG367+AI367+AJ367+AK367</f>
        <v>62361.728</v>
      </c>
      <c r="AM367" s="20" t="n">
        <f aca="false">IF(L367&gt;0,AL367/L367,0)</f>
        <v>0.152062091112807</v>
      </c>
      <c r="AN367" s="16" t="n">
        <f aca="false">L367*INDEX(Parametros!$G$2:$G$9,MATCH($E367,Parametros!$A$2:$A$9,0))</f>
        <v>664373.34</v>
      </c>
      <c r="AO367" s="17" t="n">
        <f aca="false">AN367-AC367-AL367</f>
        <v>193854.132</v>
      </c>
      <c r="AP367" s="15" t="n">
        <f aca="false">IF(AN367&gt;0,AO367/AN367,0)</f>
        <v>0.291784935259443</v>
      </c>
      <c r="AQ367" s="16" t="n">
        <f aca="false">INDEX(Parametros!$I$2:$I$9,MATCH($E367,Parametros!$A$2:$A$9,0))</f>
        <v>28000000</v>
      </c>
      <c r="AR367" s="19" t="n">
        <f aca="false">IF(AQ367&gt;0,AO367/AQ367,0)</f>
        <v>0.00692336185714286</v>
      </c>
    </row>
    <row r="368" customFormat="false" ht="15" hidden="false" customHeight="false" outlineLevel="0" collapsed="false">
      <c r="A368" s="5" t="s">
        <v>503</v>
      </c>
      <c r="B368" s="9" t="n">
        <v>45866</v>
      </c>
      <c r="C368" s="2" t="str">
        <f aca="false">TEXT(B368,"yyyy")</f>
        <v>2025</v>
      </c>
      <c r="D368" s="2" t="n">
        <f aca="false">WEEKNUM(B368,2)</f>
        <v>31</v>
      </c>
      <c r="E368" s="5" t="s">
        <v>142</v>
      </c>
      <c r="F368" s="6" t="str">
        <f aca="false">INDEX(Parametros!$B$2:$B$9,MATCH($E368,Parametros!$A$2:$A$9,0))</f>
        <v>Porciones single serve</v>
      </c>
      <c r="G368" s="10" t="n">
        <v>109.1</v>
      </c>
      <c r="H368" s="10" t="n">
        <v>5.4</v>
      </c>
      <c r="I368" s="11" t="n">
        <f aca="false">SUMIFS(Eventos_Paro!$J$2:$J$2186,Eventos_Paro!$D$2:$D$2186,$E368,Eventos_Paro!$B$2:$B$2186,$B368)</f>
        <v>8.73333333333333</v>
      </c>
      <c r="J368" s="12" t="n">
        <f aca="false">G368-H368-I368</f>
        <v>94.9666666666667</v>
      </c>
      <c r="K368" s="13" t="n">
        <v>223924</v>
      </c>
      <c r="L368" s="13" t="n">
        <v>188194</v>
      </c>
      <c r="M368" s="13" t="n">
        <v>10524</v>
      </c>
      <c r="N368" s="14" t="n">
        <f aca="false">L368+M368</f>
        <v>198718</v>
      </c>
      <c r="O368" s="11" t="n">
        <f aca="false">INDEX(Parametros!$D$2:$D$9,MATCH($E368,Parametros!$A$2:$A$9,0))</f>
        <v>2600</v>
      </c>
      <c r="P368" s="15" t="n">
        <f aca="false">IF((G368-H368)&gt;0,J368/(G368-H368),0)</f>
        <v>0.915782706525233</v>
      </c>
      <c r="Q368" s="15" t="n">
        <f aca="false">IF(J368*O368&gt;0,N368/(O368*J368),0)</f>
        <v>0.804808704808705</v>
      </c>
      <c r="R368" s="15" t="n">
        <f aca="false">IF(N368&gt;0,L368/N368,0)</f>
        <v>0.947040529795992</v>
      </c>
      <c r="S368" s="15" t="n">
        <f aca="false">P368*Q368*R368</f>
        <v>0.697997181218011</v>
      </c>
      <c r="T368" s="15" t="n">
        <f aca="false">IF(K368&gt;0,L368/K368,0)</f>
        <v>0.840436933959736</v>
      </c>
      <c r="U368" s="10" t="n">
        <v>1751</v>
      </c>
      <c r="V368" s="5" t="n">
        <v>15</v>
      </c>
      <c r="W368" s="10" t="n">
        <v>114.5</v>
      </c>
      <c r="X368" s="15" t="n">
        <f aca="false">IF(U368&gt;0,W368/U368,0)</f>
        <v>0.0653912050256996</v>
      </c>
      <c r="Y368" s="12" t="n">
        <f aca="false">IF(U368&gt;0,L368/U368,0)</f>
        <v>107.478012564249</v>
      </c>
      <c r="Z368" s="16" t="n">
        <f aca="false">L368*INDEX(Parametros!$E$2:$E$9,MATCH($E368,Parametros!$A$2:$A$9,0))</f>
        <v>139263.56</v>
      </c>
      <c r="AA368" s="16" t="n">
        <f aca="false">Z368*INDEX(Parametros!$F$2:$F$9,MATCH($E368,Parametros!$A$2:$A$9,0))</f>
        <v>6266.8602</v>
      </c>
      <c r="AB368" s="17" t="n">
        <f aca="false">Z368+AA368</f>
        <v>145530.4202</v>
      </c>
      <c r="AC368" s="18" t="n">
        <v>145897.67</v>
      </c>
      <c r="AD368" s="17" t="n">
        <f aca="false">AC368-AB368</f>
        <v>367.24980000002</v>
      </c>
      <c r="AE368" s="17" t="n">
        <f aca="false">AA368+AD368</f>
        <v>6634.11000000002</v>
      </c>
      <c r="AF368" s="19" t="n">
        <f aca="false">IF(Z368&gt;0,AE368/Z368,0)</f>
        <v>0.0476370846759915</v>
      </c>
      <c r="AG368" s="16" t="n">
        <f aca="false">(U368-W368)*INDEX(Parametros!$H$2:$H$9,MATCH($E368,Parametros!$A$2:$A$9,0))+W368*INDEX(Parametros!$H$2:$H$9,MATCH($E368,Parametros!$A$2:$A$9,0))*Parametros!$N$3</f>
        <v>54247.5</v>
      </c>
      <c r="AH368" s="13" t="n">
        <v>10419</v>
      </c>
      <c r="AI368" s="16" t="n">
        <f aca="false">AH368*Parametros!$N$2</f>
        <v>958.548</v>
      </c>
      <c r="AJ368" s="18" t="n">
        <v>9717</v>
      </c>
      <c r="AK368" s="18" t="n">
        <v>9677</v>
      </c>
      <c r="AL368" s="17" t="n">
        <f aca="false">AG368+AI368+AJ368+AK368</f>
        <v>74600.048</v>
      </c>
      <c r="AM368" s="20" t="n">
        <f aca="false">IF(L368&gt;0,AL368/L368,0)</f>
        <v>0.396399715187519</v>
      </c>
      <c r="AN368" s="16" t="n">
        <f aca="false">L368*INDEX(Parametros!$G$2:$G$9,MATCH($E368,Parametros!$A$2:$A$9,0))</f>
        <v>323693.68</v>
      </c>
      <c r="AO368" s="17" t="n">
        <f aca="false">AN368-AC368-AL368</f>
        <v>103195.962</v>
      </c>
      <c r="AP368" s="15" t="n">
        <f aca="false">IF(AN368&gt;0,AO368/AN368,0)</f>
        <v>0.318807466367585</v>
      </c>
      <c r="AQ368" s="16" t="n">
        <f aca="false">INDEX(Parametros!$I$2:$I$9,MATCH($E368,Parametros!$A$2:$A$9,0))</f>
        <v>15900000</v>
      </c>
      <c r="AR368" s="19" t="n">
        <f aca="false">IF(AQ368&gt;0,AO368/AQ368,0)</f>
        <v>0.0064903120754717</v>
      </c>
    </row>
    <row r="369" customFormat="false" ht="15" hidden="false" customHeight="false" outlineLevel="0" collapsed="false">
      <c r="A369" s="5" t="s">
        <v>504</v>
      </c>
      <c r="B369" s="9" t="n">
        <v>45866</v>
      </c>
      <c r="C369" s="2" t="str">
        <f aca="false">TEXT(B369,"yyyy")</f>
        <v>2025</v>
      </c>
      <c r="D369" s="2" t="n">
        <f aca="false">WEEKNUM(B369,2)</f>
        <v>31</v>
      </c>
      <c r="E369" s="5" t="s">
        <v>144</v>
      </c>
      <c r="F369" s="6" t="str">
        <f aca="false">INDEX(Parametros!$B$2:$B$9,MATCH($E369,Parametros!$A$2:$A$9,0))</f>
        <v>Salsas picantes</v>
      </c>
      <c r="G369" s="10" t="n">
        <v>82.7</v>
      </c>
      <c r="H369" s="10" t="n">
        <v>6.4</v>
      </c>
      <c r="I369" s="11" t="n">
        <f aca="false">SUMIFS(Eventos_Paro!$J$2:$J$2186,Eventos_Paro!$D$2:$D$2186,$E369,Eventos_Paro!$B$2:$B$2186,$B369)</f>
        <v>2</v>
      </c>
      <c r="J369" s="12" t="n">
        <f aca="false">G369-H369-I369</f>
        <v>74.3</v>
      </c>
      <c r="K369" s="13" t="n">
        <v>178553</v>
      </c>
      <c r="L369" s="13" t="n">
        <v>195862</v>
      </c>
      <c r="M369" s="13" t="n">
        <v>7547</v>
      </c>
      <c r="N369" s="14" t="n">
        <f aca="false">L369+M369</f>
        <v>203409</v>
      </c>
      <c r="O369" s="11" t="n">
        <f aca="false">INDEX(Parametros!$D$2:$D$9,MATCH($E369,Parametros!$A$2:$A$9,0))</f>
        <v>3100</v>
      </c>
      <c r="P369" s="15" t="n">
        <f aca="false">IF((G369-H369)&gt;0,J369/(G369-H369),0)</f>
        <v>0.973787680209699</v>
      </c>
      <c r="Q369" s="15" t="n">
        <f aca="false">IF(J369*O369&gt;0,N369/(O369*J369),0)</f>
        <v>0.883119871488734</v>
      </c>
      <c r="R369" s="15" t="n">
        <f aca="false">IF(N369&gt;0,L369/N369,0)</f>
        <v>0.962897413585436</v>
      </c>
      <c r="S369" s="15" t="n">
        <f aca="false">P369*Q369*R369</f>
        <v>0.828064093349681</v>
      </c>
      <c r="T369" s="15" t="n">
        <f aca="false">IF(K369&gt;0,L369/K369,0)</f>
        <v>1.09694040424972</v>
      </c>
      <c r="U369" s="10" t="n">
        <v>609.6</v>
      </c>
      <c r="V369" s="5" t="n">
        <v>7</v>
      </c>
      <c r="W369" s="10" t="n">
        <v>30.7</v>
      </c>
      <c r="X369" s="15" t="n">
        <f aca="false">IF(U369&gt;0,W369/U369,0)</f>
        <v>0.0503608923884514</v>
      </c>
      <c r="Y369" s="12" t="n">
        <f aca="false">IF(U369&gt;0,L369/U369,0)</f>
        <v>321.29593175853</v>
      </c>
      <c r="Z369" s="16" t="n">
        <f aca="false">L369*INDEX(Parametros!$E$2:$E$9,MATCH($E369,Parametros!$A$2:$A$9,0))</f>
        <v>129268.92</v>
      </c>
      <c r="AA369" s="16" t="n">
        <f aca="false">Z369*INDEX(Parametros!$F$2:$F$9,MATCH($E369,Parametros!$A$2:$A$9,0))</f>
        <v>3360.99192</v>
      </c>
      <c r="AB369" s="17" t="n">
        <f aca="false">Z369+AA369</f>
        <v>132629.91192</v>
      </c>
      <c r="AC369" s="18" t="n">
        <v>131575.68</v>
      </c>
      <c r="AD369" s="17" t="n">
        <f aca="false">AC369-AB369</f>
        <v>-1054.23192000002</v>
      </c>
      <c r="AE369" s="17" t="n">
        <f aca="false">AA369+AD369</f>
        <v>2306.75999999998</v>
      </c>
      <c r="AF369" s="19" t="n">
        <f aca="false">IF(Z369&gt;0,AE369/Z369,0)</f>
        <v>0.0178446605727036</v>
      </c>
      <c r="AG369" s="16" t="n">
        <f aca="false">(U369-W369)*INDEX(Parametros!$H$2:$H$9,MATCH($E369,Parametros!$A$2:$A$9,0))+W369*INDEX(Parametros!$H$2:$H$9,MATCH($E369,Parametros!$A$2:$A$9,0))*Parametros!$N$3</f>
        <v>19685.925</v>
      </c>
      <c r="AH369" s="13" t="n">
        <v>9945</v>
      </c>
      <c r="AI369" s="16" t="n">
        <f aca="false">AH369*Parametros!$N$2</f>
        <v>914.94</v>
      </c>
      <c r="AJ369" s="18" t="n">
        <v>5925</v>
      </c>
      <c r="AK369" s="18" t="n">
        <v>2091</v>
      </c>
      <c r="AL369" s="17" t="n">
        <f aca="false">AG369+AI369+AJ369+AK369</f>
        <v>28616.865</v>
      </c>
      <c r="AM369" s="20" t="n">
        <f aca="false">IF(L369&gt;0,AL369/L369,0)</f>
        <v>0.146107284720875</v>
      </c>
      <c r="AN369" s="16" t="n">
        <f aca="false">L369*INDEX(Parametros!$G$2:$G$9,MATCH($E369,Parametros!$A$2:$A$9,0))</f>
        <v>244827.5</v>
      </c>
      <c r="AO369" s="17" t="n">
        <f aca="false">AN369-AC369-AL369</f>
        <v>84634.955</v>
      </c>
      <c r="AP369" s="15" t="n">
        <f aca="false">IF(AN369&gt;0,AO369/AN369,0)</f>
        <v>0.345692191440913</v>
      </c>
      <c r="AQ369" s="16" t="n">
        <f aca="false">INDEX(Parametros!$I$2:$I$9,MATCH($E369,Parametros!$A$2:$A$9,0))</f>
        <v>13300000</v>
      </c>
      <c r="AR369" s="19" t="n">
        <f aca="false">IF(AQ369&gt;0,AO369/AQ369,0)</f>
        <v>0.00636353045112782</v>
      </c>
    </row>
    <row r="370" customFormat="false" ht="15" hidden="false" customHeight="false" outlineLevel="0" collapsed="false">
      <c r="A370" s="5" t="s">
        <v>505</v>
      </c>
      <c r="B370" s="9" t="n">
        <v>45873</v>
      </c>
      <c r="C370" s="2" t="str">
        <f aca="false">TEXT(B370,"yyyy")</f>
        <v>2025</v>
      </c>
      <c r="D370" s="2" t="n">
        <f aca="false">WEEKNUM(B370,2)</f>
        <v>32</v>
      </c>
      <c r="E370" s="5" t="s">
        <v>130</v>
      </c>
      <c r="F370" s="6" t="str">
        <f aca="false">INDEX(Parametros!$B$2:$B$9,MATCH($E370,Parametros!$A$2:$A$9,0))</f>
        <v>Ketchup botella</v>
      </c>
      <c r="G370" s="10" t="n">
        <v>123.4</v>
      </c>
      <c r="H370" s="10" t="n">
        <v>8.7</v>
      </c>
      <c r="I370" s="11" t="n">
        <f aca="false">SUMIFS(Eventos_Paro!$J$2:$J$2186,Eventos_Paro!$D$2:$D$2186,$E370,Eventos_Paro!$B$2:$B$2186,$B370)</f>
        <v>4.93333333333333</v>
      </c>
      <c r="J370" s="12" t="n">
        <f aca="false">G370-H370-I370</f>
        <v>109.766666666667</v>
      </c>
      <c r="K370" s="13" t="n">
        <v>855921</v>
      </c>
      <c r="L370" s="13" t="n">
        <v>819549</v>
      </c>
      <c r="M370" s="13" t="n">
        <v>22144</v>
      </c>
      <c r="N370" s="14" t="n">
        <f aca="false">L370+M370</f>
        <v>841693</v>
      </c>
      <c r="O370" s="11" t="n">
        <f aca="false">INDEX(Parametros!$D$2:$D$9,MATCH($E370,Parametros!$A$2:$A$9,0))</f>
        <v>9000</v>
      </c>
      <c r="P370" s="15" t="n">
        <f aca="false">IF((G370-H370)&gt;0,J370/(G370-H370),0)</f>
        <v>0.956989247311828</v>
      </c>
      <c r="Q370" s="15" t="n">
        <f aca="false">IF(J370*O370&gt;0,N370/(O370*J370),0)</f>
        <v>0.852002226946047</v>
      </c>
      <c r="R370" s="15" t="n">
        <f aca="false">IF(N370&gt;0,L370/N370,0)</f>
        <v>0.973691120159013</v>
      </c>
      <c r="S370" s="15" t="n">
        <f aca="false">P370*Q370*R370</f>
        <v>0.793905841325196</v>
      </c>
      <c r="T370" s="15" t="n">
        <f aca="false">IF(K370&gt;0,L370/K370,0)</f>
        <v>0.957505423981886</v>
      </c>
      <c r="U370" s="10" t="n">
        <v>1789.1</v>
      </c>
      <c r="V370" s="5" t="n">
        <v>14</v>
      </c>
      <c r="W370" s="10" t="n">
        <v>61.5</v>
      </c>
      <c r="X370" s="15" t="n">
        <f aca="false">IF(U370&gt;0,W370/U370,0)</f>
        <v>0.0343748253311721</v>
      </c>
      <c r="Y370" s="12" t="n">
        <f aca="false">IF(U370&gt;0,L370/U370,0)</f>
        <v>458.078922363199</v>
      </c>
      <c r="Z370" s="16" t="n">
        <f aca="false">L370*INDEX(Parametros!$E$2:$E$9,MATCH($E370,Parametros!$A$2:$A$9,0))</f>
        <v>344210.58</v>
      </c>
      <c r="AA370" s="16" t="n">
        <f aca="false">Z370*INDEX(Parametros!$F$2:$F$9,MATCH($E370,Parametros!$A$2:$A$9,0))</f>
        <v>6884.2116</v>
      </c>
      <c r="AB370" s="17" t="n">
        <f aca="false">Z370+AA370</f>
        <v>351094.7916</v>
      </c>
      <c r="AC370" s="18" t="n">
        <v>347742.88</v>
      </c>
      <c r="AD370" s="17" t="n">
        <f aca="false">AC370-AB370</f>
        <v>-3351.91159999999</v>
      </c>
      <c r="AE370" s="17" t="n">
        <f aca="false">AA370+AD370</f>
        <v>3532.30000000001</v>
      </c>
      <c r="AF370" s="19" t="n">
        <f aca="false">IF(Z370&gt;0,AE370/Z370,0)</f>
        <v>0.0102620320386433</v>
      </c>
      <c r="AG370" s="16" t="n">
        <f aca="false">(U370-W370)*INDEX(Parametros!$H$2:$H$9,MATCH($E370,Parametros!$A$2:$A$9,0))+W370*INDEX(Parametros!$H$2:$H$9,MATCH($E370,Parametros!$A$2:$A$9,0))*Parametros!$N$3</f>
        <v>57325.275</v>
      </c>
      <c r="AH370" s="13" t="n">
        <v>45261</v>
      </c>
      <c r="AI370" s="16" t="n">
        <f aca="false">AH370*Parametros!$N$2</f>
        <v>4164.012</v>
      </c>
      <c r="AJ370" s="18" t="n">
        <v>15982</v>
      </c>
      <c r="AK370" s="18" t="n">
        <v>5546</v>
      </c>
      <c r="AL370" s="17" t="n">
        <f aca="false">AG370+AI370+AJ370+AK370</f>
        <v>83017.287</v>
      </c>
      <c r="AM370" s="20" t="n">
        <f aca="false">IF(L370&gt;0,AL370/L370,0)</f>
        <v>0.101296306871218</v>
      </c>
      <c r="AN370" s="16" t="n">
        <f aca="false">L370*INDEX(Parametros!$G$2:$G$9,MATCH($E370,Parametros!$A$2:$A$9,0))</f>
        <v>581879.79</v>
      </c>
      <c r="AO370" s="17" t="n">
        <f aca="false">AN370-AC370-AL370</f>
        <v>151119.623</v>
      </c>
      <c r="AP370" s="15" t="n">
        <f aca="false">IF(AN370&gt;0,AO370/AN370,0)</f>
        <v>0.259709351651481</v>
      </c>
      <c r="AQ370" s="16" t="n">
        <f aca="false">INDEX(Parametros!$I$2:$I$9,MATCH($E370,Parametros!$A$2:$A$9,0))</f>
        <v>29300000</v>
      </c>
      <c r="AR370" s="19" t="n">
        <f aca="false">IF(AQ370&gt;0,AO370/AQ370,0)</f>
        <v>0.00515766631399317</v>
      </c>
    </row>
    <row r="371" customFormat="false" ht="15" hidden="false" customHeight="false" outlineLevel="0" collapsed="false">
      <c r="A371" s="5" t="s">
        <v>506</v>
      </c>
      <c r="B371" s="9" t="n">
        <v>45873</v>
      </c>
      <c r="C371" s="2" t="str">
        <f aca="false">TEXT(B371,"yyyy")</f>
        <v>2025</v>
      </c>
      <c r="D371" s="2" t="n">
        <f aca="false">WEEKNUM(B371,2)</f>
        <v>32</v>
      </c>
      <c r="E371" s="5" t="s">
        <v>132</v>
      </c>
      <c r="F371" s="6" t="str">
        <f aca="false">INDEX(Parametros!$B$2:$B$9,MATCH($E371,Parametros!$A$2:$A$9,0))</f>
        <v>Mayonesa frasco</v>
      </c>
      <c r="G371" s="10" t="n">
        <v>127.2</v>
      </c>
      <c r="H371" s="10" t="n">
        <v>6.1</v>
      </c>
      <c r="I371" s="11" t="n">
        <f aca="false">SUMIFS(Eventos_Paro!$J$2:$J$2186,Eventos_Paro!$D$2:$D$2186,$E371,Eventos_Paro!$B$2:$B$2186,$B371)</f>
        <v>3.45</v>
      </c>
      <c r="J371" s="12" t="n">
        <f aca="false">G371-H371-I371</f>
        <v>117.65</v>
      </c>
      <c r="K371" s="13" t="n">
        <v>652657</v>
      </c>
      <c r="L371" s="13" t="n">
        <v>655818</v>
      </c>
      <c r="M371" s="13" t="n">
        <v>9107</v>
      </c>
      <c r="N371" s="14" t="n">
        <f aca="false">L371+M371</f>
        <v>664925</v>
      </c>
      <c r="O371" s="11" t="n">
        <f aca="false">INDEX(Parametros!$D$2:$D$9,MATCH($E371,Parametros!$A$2:$A$9,0))</f>
        <v>6500</v>
      </c>
      <c r="P371" s="15" t="n">
        <f aca="false">IF((G371-H371)&gt;0,J371/(G371-H371),0)</f>
        <v>0.971511147811726</v>
      </c>
      <c r="Q371" s="15" t="n">
        <f aca="false">IF(J371*O371&gt;0,N371/(O371*J371),0)</f>
        <v>0.86949557030305</v>
      </c>
      <c r="R371" s="15" t="n">
        <f aca="false">IF(N371&gt;0,L371/N371,0)</f>
        <v>0.986303718464489</v>
      </c>
      <c r="S371" s="15" t="n">
        <f aca="false">P371*Q371*R371</f>
        <v>0.833155053039446</v>
      </c>
      <c r="T371" s="15" t="n">
        <f aca="false">IF(K371&gt;0,L371/K371,0)</f>
        <v>1.0048432790884</v>
      </c>
      <c r="U371" s="10" t="n">
        <v>1707.4</v>
      </c>
      <c r="V371" s="5" t="n">
        <v>13</v>
      </c>
      <c r="W371" s="10" t="n">
        <v>53.8</v>
      </c>
      <c r="X371" s="15" t="n">
        <f aca="false">IF(U371&gt;0,W371/U371,0)</f>
        <v>0.0315098980906642</v>
      </c>
      <c r="Y371" s="12" t="n">
        <f aca="false">IF(U371&gt;0,L371/U371,0)</f>
        <v>384.103314981844</v>
      </c>
      <c r="Z371" s="16" t="n">
        <f aca="false">L371*INDEX(Parametros!$E$2:$E$9,MATCH($E371,Parametros!$A$2:$A$9,0))</f>
        <v>400048.98</v>
      </c>
      <c r="AA371" s="16" t="n">
        <f aca="false">Z371*INDEX(Parametros!$F$2:$F$9,MATCH($E371,Parametros!$A$2:$A$9,0))</f>
        <v>10001.2245</v>
      </c>
      <c r="AB371" s="17" t="n">
        <f aca="false">Z371+AA371</f>
        <v>410050.2045</v>
      </c>
      <c r="AC371" s="18" t="n">
        <v>410072.79</v>
      </c>
      <c r="AD371" s="17" t="n">
        <f aca="false">AC371-AB371</f>
        <v>22.5854999999865</v>
      </c>
      <c r="AE371" s="17" t="n">
        <f aca="false">AA371+AD371</f>
        <v>10023.81</v>
      </c>
      <c r="AF371" s="19" t="n">
        <f aca="false">IF(Z371&gt;0,AE371/Z371,0)</f>
        <v>0.0250564568368603</v>
      </c>
      <c r="AG371" s="16" t="n">
        <f aca="false">(U371-W371)*INDEX(Parametros!$H$2:$H$9,MATCH($E371,Parametros!$A$2:$A$9,0))+W371*INDEX(Parametros!$H$2:$H$9,MATCH($E371,Parametros!$A$2:$A$9,0))*Parametros!$N$3</f>
        <v>54630.45</v>
      </c>
      <c r="AH371" s="13" t="n">
        <v>32313</v>
      </c>
      <c r="AI371" s="16" t="n">
        <f aca="false">AH371*Parametros!$N$2</f>
        <v>2972.796</v>
      </c>
      <c r="AJ371" s="18" t="n">
        <v>16041</v>
      </c>
      <c r="AK371" s="18" t="n">
        <v>3012</v>
      </c>
      <c r="AL371" s="17" t="n">
        <f aca="false">AG371+AI371+AJ371+AK371</f>
        <v>76656.246</v>
      </c>
      <c r="AM371" s="20" t="n">
        <f aca="false">IF(L371&gt;0,AL371/L371,0)</f>
        <v>0.116886462402679</v>
      </c>
      <c r="AN371" s="16" t="n">
        <f aca="false">L371*INDEX(Parametros!$G$2:$G$9,MATCH($E371,Parametros!$A$2:$A$9,0))</f>
        <v>629585.28</v>
      </c>
      <c r="AO371" s="17" t="n">
        <f aca="false">AN371-AC371-AL371</f>
        <v>142856.244</v>
      </c>
      <c r="AP371" s="15" t="n">
        <f aca="false">IF(AN371&gt;0,AO371/AN371,0)</f>
        <v>0.226905311382121</v>
      </c>
      <c r="AQ371" s="16" t="n">
        <f aca="false">INDEX(Parametros!$I$2:$I$9,MATCH($E371,Parametros!$A$2:$A$9,0))</f>
        <v>29700000</v>
      </c>
      <c r="AR371" s="19" t="n">
        <f aca="false">IF(AQ371&gt;0,AO371/AQ371,0)</f>
        <v>0.00480997454545455</v>
      </c>
    </row>
    <row r="372" customFormat="false" ht="15" hidden="false" customHeight="false" outlineLevel="0" collapsed="false">
      <c r="A372" s="5" t="s">
        <v>507</v>
      </c>
      <c r="B372" s="9" t="n">
        <v>45873</v>
      </c>
      <c r="C372" s="2" t="str">
        <f aca="false">TEXT(B372,"yyyy")</f>
        <v>2025</v>
      </c>
      <c r="D372" s="2" t="n">
        <f aca="false">WEEKNUM(B372,2)</f>
        <v>32</v>
      </c>
      <c r="E372" s="5" t="s">
        <v>134</v>
      </c>
      <c r="F372" s="6" t="str">
        <f aca="false">INDEX(Parametros!$B$2:$B$9,MATCH($E372,Parametros!$A$2:$A$9,0))</f>
        <v>Aderezos vertibles</v>
      </c>
      <c r="G372" s="10" t="n">
        <v>118.8</v>
      </c>
      <c r="H372" s="10" t="n">
        <v>8</v>
      </c>
      <c r="I372" s="11" t="n">
        <f aca="false">SUMIFS(Eventos_Paro!$J$2:$J$2186,Eventos_Paro!$D$2:$D$2186,$E372,Eventos_Paro!$B$2:$B$2186,$B372)</f>
        <v>1.56666666666667</v>
      </c>
      <c r="J372" s="12" t="n">
        <f aca="false">G372-H372-I372</f>
        <v>109.233333333333</v>
      </c>
      <c r="K372" s="13" t="n">
        <v>477717</v>
      </c>
      <c r="L372" s="13" t="n">
        <v>482013</v>
      </c>
      <c r="M372" s="13" t="n">
        <v>13663</v>
      </c>
      <c r="N372" s="14" t="n">
        <f aca="false">L372+M372</f>
        <v>495676</v>
      </c>
      <c r="O372" s="11" t="n">
        <f aca="false">INDEX(Parametros!$D$2:$D$9,MATCH($E372,Parametros!$A$2:$A$9,0))</f>
        <v>5200</v>
      </c>
      <c r="P372" s="15" t="n">
        <f aca="false">IF((G372-H372)&gt;0,J372/(G372-H372),0)</f>
        <v>0.985860409145608</v>
      </c>
      <c r="Q372" s="15" t="n">
        <f aca="false">IF(J372*O372&gt;0,N372/(O372*J372),0)</f>
        <v>0.872648529377245</v>
      </c>
      <c r="R372" s="15" t="n">
        <f aca="false">IF(N372&gt;0,L372/N372,0)</f>
        <v>0.972435623270039</v>
      </c>
      <c r="S372" s="15" t="n">
        <f aca="false">P372*Q372*R372</f>
        <v>0.836595737295196</v>
      </c>
      <c r="T372" s="15" t="n">
        <f aca="false">IF(K372&gt;0,L372/K372,0)</f>
        <v>1.00899277187121</v>
      </c>
      <c r="U372" s="10" t="n">
        <v>1706.6</v>
      </c>
      <c r="V372" s="5" t="n">
        <v>13</v>
      </c>
      <c r="W372" s="10" t="n">
        <v>162.2</v>
      </c>
      <c r="X372" s="15" t="n">
        <f aca="false">IF(U372&gt;0,W372/U372,0)</f>
        <v>0.0950427751084027</v>
      </c>
      <c r="Y372" s="12" t="n">
        <f aca="false">IF(U372&gt;0,L372/U372,0)</f>
        <v>282.440525020509</v>
      </c>
      <c r="Z372" s="16" t="n">
        <f aca="false">L372*INDEX(Parametros!$E$2:$E$9,MATCH($E372,Parametros!$A$2:$A$9,0))</f>
        <v>265107.15</v>
      </c>
      <c r="AA372" s="16" t="n">
        <f aca="false">Z372*INDEX(Parametros!$F$2:$F$9,MATCH($E372,Parametros!$A$2:$A$9,0))</f>
        <v>7953.2145</v>
      </c>
      <c r="AB372" s="17" t="n">
        <f aca="false">Z372+AA372</f>
        <v>273060.3645</v>
      </c>
      <c r="AC372" s="18" t="n">
        <v>270426</v>
      </c>
      <c r="AD372" s="17" t="n">
        <f aca="false">AC372-AB372</f>
        <v>-2634.36450000003</v>
      </c>
      <c r="AE372" s="17" t="n">
        <f aca="false">AA372+AD372</f>
        <v>5318.84999999998</v>
      </c>
      <c r="AF372" s="19" t="n">
        <f aca="false">IF(Z372&gt;0,AE372/Z372,0)</f>
        <v>0.020063019801616</v>
      </c>
      <c r="AG372" s="16" t="n">
        <f aca="false">(U372-W372)*INDEX(Parametros!$H$2:$H$9,MATCH($E372,Parametros!$A$2:$A$9,0))+W372*INDEX(Parametros!$H$2:$H$9,MATCH($E372,Parametros!$A$2:$A$9,0))*Parametros!$N$3</f>
        <v>56312.55</v>
      </c>
      <c r="AH372" s="13" t="n">
        <v>23245</v>
      </c>
      <c r="AI372" s="16" t="n">
        <f aca="false">AH372*Parametros!$N$2</f>
        <v>2138.54</v>
      </c>
      <c r="AJ372" s="18" t="n">
        <v>10161</v>
      </c>
      <c r="AK372" s="18" t="n">
        <v>954</v>
      </c>
      <c r="AL372" s="17" t="n">
        <f aca="false">AG372+AI372+AJ372+AK372</f>
        <v>69566.09</v>
      </c>
      <c r="AM372" s="20" t="n">
        <f aca="false">IF(L372&gt;0,AL372/L372,0)</f>
        <v>0.144324094993289</v>
      </c>
      <c r="AN372" s="16" t="n">
        <f aca="false">L372*INDEX(Parametros!$G$2:$G$9,MATCH($E372,Parametros!$A$2:$A$9,0))</f>
        <v>491653.26</v>
      </c>
      <c r="AO372" s="17" t="n">
        <f aca="false">AN372-AC372-AL372</f>
        <v>151661.17</v>
      </c>
      <c r="AP372" s="15" t="n">
        <f aca="false">IF(AN372&gt;0,AO372/AN372,0)</f>
        <v>0.308471807956689</v>
      </c>
      <c r="AQ372" s="16" t="n">
        <f aca="false">INDEX(Parametros!$I$2:$I$9,MATCH($E372,Parametros!$A$2:$A$9,0))</f>
        <v>19300000</v>
      </c>
      <c r="AR372" s="19" t="n">
        <f aca="false">IF(AQ372&gt;0,AO372/AQ372,0)</f>
        <v>0.00785809170984456</v>
      </c>
    </row>
    <row r="373" customFormat="false" ht="15" hidden="false" customHeight="false" outlineLevel="0" collapsed="false">
      <c r="A373" s="5" t="s">
        <v>508</v>
      </c>
      <c r="B373" s="9" t="n">
        <v>45873</v>
      </c>
      <c r="C373" s="2" t="str">
        <f aca="false">TEXT(B373,"yyyy")</f>
        <v>2025</v>
      </c>
      <c r="D373" s="2" t="n">
        <f aca="false">WEEKNUM(B373,2)</f>
        <v>32</v>
      </c>
      <c r="E373" s="5" t="s">
        <v>136</v>
      </c>
      <c r="F373" s="6" t="str">
        <f aca="false">INDEX(Parametros!$B$2:$B$9,MATCH($E373,Parametros!$A$2:$A$9,0))</f>
        <v>Salsa BBQ</v>
      </c>
      <c r="G373" s="10" t="n">
        <v>123.4</v>
      </c>
      <c r="H373" s="10" t="n">
        <v>7.1</v>
      </c>
      <c r="I373" s="11" t="n">
        <f aca="false">SUMIFS(Eventos_Paro!$J$2:$J$2186,Eventos_Paro!$D$2:$D$2186,$E373,Eventos_Paro!$B$2:$B$2186,$B373)</f>
        <v>3.93333333333333</v>
      </c>
      <c r="J373" s="12" t="n">
        <f aca="false">G373-H373-I373</f>
        <v>112.366666666667</v>
      </c>
      <c r="K373" s="13" t="n">
        <v>519792</v>
      </c>
      <c r="L373" s="13" t="n">
        <v>441171</v>
      </c>
      <c r="M373" s="13" t="n">
        <v>17250</v>
      </c>
      <c r="N373" s="14" t="n">
        <f aca="false">L373+M373</f>
        <v>458421</v>
      </c>
      <c r="O373" s="11" t="n">
        <f aca="false">INDEX(Parametros!$D$2:$D$9,MATCH($E373,Parametros!$A$2:$A$9,0))</f>
        <v>4800</v>
      </c>
      <c r="P373" s="15" t="n">
        <f aca="false">IF((G373-H373)&gt;0,J373/(G373-H373),0)</f>
        <v>0.966179421037547</v>
      </c>
      <c r="Q373" s="15" t="n">
        <f aca="false">IF(J373*O373&gt;0,N373/(O373*J373),0)</f>
        <v>0.849935108276476</v>
      </c>
      <c r="R373" s="15" t="n">
        <f aca="false">IF(N373&gt;0,L373/N373,0)</f>
        <v>0.962370833796881</v>
      </c>
      <c r="S373" s="15" t="n">
        <f aca="false">P373*Q373*R373</f>
        <v>0.790289122957868</v>
      </c>
      <c r="T373" s="15" t="n">
        <f aca="false">IF(K373&gt;0,L373/K373,0)</f>
        <v>0.848745267337704</v>
      </c>
      <c r="U373" s="10" t="n">
        <v>1502.5</v>
      </c>
      <c r="V373" s="5" t="n">
        <v>11</v>
      </c>
      <c r="W373" s="10" t="n">
        <v>145.1</v>
      </c>
      <c r="X373" s="15" t="n">
        <f aca="false">IF(U373&gt;0,W373/U373,0)</f>
        <v>0.0965723793677205</v>
      </c>
      <c r="Y373" s="12" t="n">
        <f aca="false">IF(U373&gt;0,L373/U373,0)</f>
        <v>293.62462562396</v>
      </c>
      <c r="Z373" s="16" t="n">
        <f aca="false">L373*INDEX(Parametros!$E$2:$E$9,MATCH($E373,Parametros!$A$2:$A$9,0))</f>
        <v>255879.18</v>
      </c>
      <c r="AA373" s="16" t="n">
        <f aca="false">Z373*INDEX(Parametros!$F$2:$F$9,MATCH($E373,Parametros!$A$2:$A$9,0))</f>
        <v>7164.61704</v>
      </c>
      <c r="AB373" s="17" t="n">
        <f aca="false">Z373+AA373</f>
        <v>263043.79704</v>
      </c>
      <c r="AC373" s="18" t="n">
        <v>264533.68</v>
      </c>
      <c r="AD373" s="17" t="n">
        <f aca="false">AC373-AB373</f>
        <v>1489.88296000002</v>
      </c>
      <c r="AE373" s="17" t="n">
        <f aca="false">AA373+AD373</f>
        <v>8654.50000000002</v>
      </c>
      <c r="AF373" s="19" t="n">
        <f aca="false">IF(Z373&gt;0,AE373/Z373,0)</f>
        <v>0.0338226033083271</v>
      </c>
      <c r="AG373" s="16" t="n">
        <f aca="false">(U373-W373)*INDEX(Parametros!$H$2:$H$9,MATCH($E373,Parametros!$A$2:$A$9,0))+W373*INDEX(Parametros!$H$2:$H$9,MATCH($E373,Parametros!$A$2:$A$9,0))*Parametros!$N$3</f>
        <v>49614.075</v>
      </c>
      <c r="AH373" s="13" t="n">
        <v>23704</v>
      </c>
      <c r="AI373" s="16" t="n">
        <f aca="false">AH373*Parametros!$N$2</f>
        <v>2180.768</v>
      </c>
      <c r="AJ373" s="18" t="n">
        <v>10572</v>
      </c>
      <c r="AK373" s="18" t="n">
        <v>3289</v>
      </c>
      <c r="AL373" s="17" t="n">
        <f aca="false">AG373+AI373+AJ373+AK373</f>
        <v>65655.843</v>
      </c>
      <c r="AM373" s="20" t="n">
        <f aca="false">IF(L373&gt;0,AL373/L373,0)</f>
        <v>0.148821756189777</v>
      </c>
      <c r="AN373" s="16" t="n">
        <f aca="false">L373*INDEX(Parametros!$G$2:$G$9,MATCH($E373,Parametros!$A$2:$A$9,0))</f>
        <v>432347.58</v>
      </c>
      <c r="AO373" s="17" t="n">
        <f aca="false">AN373-AC373-AL373</f>
        <v>102158.057</v>
      </c>
      <c r="AP373" s="15" t="n">
        <f aca="false">IF(AN373&gt;0,AO373/AN373,0)</f>
        <v>0.236286871317749</v>
      </c>
      <c r="AQ373" s="16" t="n">
        <f aca="false">INDEX(Parametros!$I$2:$I$9,MATCH($E373,Parametros!$A$2:$A$9,0))</f>
        <v>17000000</v>
      </c>
      <c r="AR373" s="19" t="n">
        <f aca="false">IF(AQ373&gt;0,AO373/AQ373,0)</f>
        <v>0.00600929747058824</v>
      </c>
    </row>
    <row r="374" customFormat="false" ht="15" hidden="false" customHeight="false" outlineLevel="0" collapsed="false">
      <c r="A374" s="5" t="s">
        <v>509</v>
      </c>
      <c r="B374" s="9" t="n">
        <v>45873</v>
      </c>
      <c r="C374" s="2" t="str">
        <f aca="false">TEXT(B374,"yyyy")</f>
        <v>2025</v>
      </c>
      <c r="D374" s="2" t="n">
        <f aca="false">WEEKNUM(B374,2)</f>
        <v>32</v>
      </c>
      <c r="E374" s="5" t="s">
        <v>138</v>
      </c>
      <c r="F374" s="6" t="str">
        <f aca="false">INDEX(Parametros!$B$2:$B$9,MATCH($E374,Parametros!$A$2:$A$9,0))</f>
        <v>Queso crema</v>
      </c>
      <c r="G374" s="10" t="n">
        <v>131.7</v>
      </c>
      <c r="H374" s="10" t="n">
        <v>7.9</v>
      </c>
      <c r="I374" s="11" t="n">
        <f aca="false">SUMIFS(Eventos_Paro!$J$2:$J$2186,Eventos_Paro!$D$2:$D$2186,$E374,Eventos_Paro!$B$2:$B$2186,$B374)</f>
        <v>5.7</v>
      </c>
      <c r="J374" s="12" t="n">
        <f aca="false">G374-H374-I374</f>
        <v>118.1</v>
      </c>
      <c r="K374" s="13" t="n">
        <v>390060</v>
      </c>
      <c r="L374" s="13" t="n">
        <v>353977</v>
      </c>
      <c r="M374" s="13" t="n">
        <v>12444</v>
      </c>
      <c r="N374" s="14" t="n">
        <f aca="false">L374+M374</f>
        <v>366421</v>
      </c>
      <c r="O374" s="11" t="n">
        <f aca="false">INDEX(Parametros!$D$2:$D$9,MATCH($E374,Parametros!$A$2:$A$9,0))</f>
        <v>3800</v>
      </c>
      <c r="P374" s="15" t="n">
        <f aca="false">IF((G374-H374)&gt;0,J374/(G374-H374),0)</f>
        <v>0.953957996768982</v>
      </c>
      <c r="Q374" s="15" t="n">
        <f aca="false">IF(J374*O374&gt;0,N374/(O374*J374),0)</f>
        <v>0.816482463567895</v>
      </c>
      <c r="R374" s="15" t="n">
        <f aca="false">IF(N374&gt;0,L374/N374,0)</f>
        <v>0.966039064354936</v>
      </c>
      <c r="S374" s="15" t="n">
        <f aca="false">P374*Q374*R374</f>
        <v>0.75243814301505</v>
      </c>
      <c r="T374" s="15" t="n">
        <f aca="false">IF(K374&gt;0,L374/K374,0)</f>
        <v>0.907493718915039</v>
      </c>
      <c r="U374" s="10" t="n">
        <v>2028</v>
      </c>
      <c r="V374" s="5" t="n">
        <v>15</v>
      </c>
      <c r="W374" s="10" t="n">
        <v>52.5</v>
      </c>
      <c r="X374" s="15" t="n">
        <f aca="false">IF(U374&gt;0,W374/U374,0)</f>
        <v>0.025887573964497</v>
      </c>
      <c r="Y374" s="12" t="n">
        <f aca="false">IF(U374&gt;0,L374/U374,0)</f>
        <v>174.544871794872</v>
      </c>
      <c r="Z374" s="16" t="n">
        <f aca="false">L374*INDEX(Parametros!$E$2:$E$9,MATCH($E374,Parametros!$A$2:$A$9,0))</f>
        <v>396454.24</v>
      </c>
      <c r="AA374" s="16" t="n">
        <f aca="false">Z374*INDEX(Parametros!$F$2:$F$9,MATCH($E374,Parametros!$A$2:$A$9,0))</f>
        <v>13875.8984</v>
      </c>
      <c r="AB374" s="17" t="n">
        <f aca="false">Z374+AA374</f>
        <v>410330.1384</v>
      </c>
      <c r="AC374" s="18" t="n">
        <v>415708.11</v>
      </c>
      <c r="AD374" s="17" t="n">
        <f aca="false">AC374-AB374</f>
        <v>5377.97159999993</v>
      </c>
      <c r="AE374" s="17" t="n">
        <f aca="false">AA374+AD374</f>
        <v>19253.8699999999</v>
      </c>
      <c r="AF374" s="19" t="n">
        <f aca="false">IF(Z374&gt;0,AE374/Z374,0)</f>
        <v>0.0485651761474412</v>
      </c>
      <c r="AG374" s="16" t="n">
        <f aca="false">(U374-W374)*INDEX(Parametros!$H$2:$H$9,MATCH($E374,Parametros!$A$2:$A$9,0))+W374*INDEX(Parametros!$H$2:$H$9,MATCH($E374,Parametros!$A$2:$A$9,0))*Parametros!$N$3</f>
        <v>67790.25</v>
      </c>
      <c r="AH374" s="13" t="n">
        <v>18404</v>
      </c>
      <c r="AI374" s="16" t="n">
        <f aca="false">AH374*Parametros!$N$2</f>
        <v>1693.168</v>
      </c>
      <c r="AJ374" s="18" t="n">
        <v>15461</v>
      </c>
      <c r="AK374" s="18" t="n">
        <v>2919</v>
      </c>
      <c r="AL374" s="17" t="n">
        <f aca="false">AG374+AI374+AJ374+AK374</f>
        <v>87863.418</v>
      </c>
      <c r="AM374" s="20" t="n">
        <f aca="false">IF(L374&gt;0,AL374/L374,0)</f>
        <v>0.248217872912647</v>
      </c>
      <c r="AN374" s="16" t="n">
        <f aca="false">L374*INDEX(Parametros!$G$2:$G$9,MATCH($E374,Parametros!$A$2:$A$9,0))</f>
        <v>633618.83</v>
      </c>
      <c r="AO374" s="17" t="n">
        <f aca="false">AN374-AC374-AL374</f>
        <v>130047.302</v>
      </c>
      <c r="AP374" s="15" t="n">
        <f aca="false">IF(AN374&gt;0,AO374/AN374,0)</f>
        <v>0.205245323911854</v>
      </c>
      <c r="AQ374" s="16" t="n">
        <f aca="false">INDEX(Parametros!$I$2:$I$9,MATCH($E374,Parametros!$A$2:$A$9,0))</f>
        <v>33200000</v>
      </c>
      <c r="AR374" s="19" t="n">
        <f aca="false">IF(AQ374&gt;0,AO374/AQ374,0)</f>
        <v>0.00391708740963855</v>
      </c>
    </row>
    <row r="375" customFormat="false" ht="15" hidden="false" customHeight="false" outlineLevel="0" collapsed="false">
      <c r="A375" s="5" t="s">
        <v>510</v>
      </c>
      <c r="B375" s="9" t="n">
        <v>45873</v>
      </c>
      <c r="C375" s="2" t="str">
        <f aca="false">TEXT(B375,"yyyy")</f>
        <v>2025</v>
      </c>
      <c r="D375" s="2" t="n">
        <f aca="false">WEEKNUM(B375,2)</f>
        <v>32</v>
      </c>
      <c r="E375" s="5" t="s">
        <v>140</v>
      </c>
      <c r="F375" s="6" t="str">
        <f aca="false">INDEX(Parametros!$B$2:$B$9,MATCH($E375,Parametros!$A$2:$A$9,0))</f>
        <v>Crema de cacahuate</v>
      </c>
      <c r="G375" s="10" t="n">
        <v>115.4</v>
      </c>
      <c r="H375" s="10" t="n">
        <v>8.5</v>
      </c>
      <c r="I375" s="11" t="n">
        <f aca="false">SUMIFS(Eventos_Paro!$J$2:$J$2186,Eventos_Paro!$D$2:$D$2186,$E375,Eventos_Paro!$B$2:$B$2186,$B375)</f>
        <v>1.01666666666667</v>
      </c>
      <c r="J375" s="12" t="n">
        <f aca="false">G375-H375-I375</f>
        <v>105.883333333333</v>
      </c>
      <c r="K375" s="13" t="n">
        <v>372267</v>
      </c>
      <c r="L375" s="13" t="n">
        <v>379728</v>
      </c>
      <c r="M375" s="13" t="n">
        <v>9055</v>
      </c>
      <c r="N375" s="14" t="n">
        <f aca="false">L375+M375</f>
        <v>388783</v>
      </c>
      <c r="O375" s="11" t="n">
        <f aca="false">INDEX(Parametros!$D$2:$D$9,MATCH($E375,Parametros!$A$2:$A$9,0))</f>
        <v>4200</v>
      </c>
      <c r="P375" s="15" t="n">
        <f aca="false">IF((G375-H375)&gt;0,J375/(G375-H375),0)</f>
        <v>0.990489554100405</v>
      </c>
      <c r="Q375" s="15" t="n">
        <f aca="false">IF(J375*O375&gt;0,N375/(O375*J375),0)</f>
        <v>0.874239391963302</v>
      </c>
      <c r="R375" s="15" t="n">
        <f aca="false">IF(N375&gt;0,L375/N375,0)</f>
        <v>0.976709372580591</v>
      </c>
      <c r="S375" s="15" t="n">
        <f aca="false">P375*Q375*R375</f>
        <v>0.845757049311773</v>
      </c>
      <c r="T375" s="15" t="n">
        <f aca="false">IF(K375&gt;0,L375/K375,0)</f>
        <v>1.02004206658124</v>
      </c>
      <c r="U375" s="10" t="n">
        <v>1455</v>
      </c>
      <c r="V375" s="5" t="n">
        <v>12</v>
      </c>
      <c r="W375" s="10" t="n">
        <v>70.2</v>
      </c>
      <c r="X375" s="15" t="n">
        <f aca="false">IF(U375&gt;0,W375/U375,0)</f>
        <v>0.0482474226804124</v>
      </c>
      <c r="Y375" s="12" t="n">
        <f aca="false">IF(U375&gt;0,L375/U375,0)</f>
        <v>260.981443298969</v>
      </c>
      <c r="Z375" s="16" t="n">
        <f aca="false">L375*INDEX(Parametros!$E$2:$E$9,MATCH($E375,Parametros!$A$2:$A$9,0))</f>
        <v>368336.16</v>
      </c>
      <c r="AA375" s="16" t="n">
        <f aca="false">Z375*INDEX(Parametros!$F$2:$F$9,MATCH($E375,Parametros!$A$2:$A$9,0))</f>
        <v>8103.39552</v>
      </c>
      <c r="AB375" s="17" t="n">
        <f aca="false">Z375+AA375</f>
        <v>376439.55552</v>
      </c>
      <c r="AC375" s="18" t="n">
        <v>372603.16</v>
      </c>
      <c r="AD375" s="17" t="n">
        <f aca="false">AC375-AB375</f>
        <v>-3836.39552000002</v>
      </c>
      <c r="AE375" s="17" t="n">
        <f aca="false">AA375+AD375</f>
        <v>4266.99999999998</v>
      </c>
      <c r="AF375" s="19" t="n">
        <f aca="false">IF(Z375&gt;0,AE375/Z375,0)</f>
        <v>0.0115845264825478</v>
      </c>
      <c r="AG375" s="16" t="n">
        <f aca="false">(U375-W375)*INDEX(Parametros!$H$2:$H$9,MATCH($E375,Parametros!$A$2:$A$9,0))+W375*INDEX(Parametros!$H$2:$H$9,MATCH($E375,Parametros!$A$2:$A$9,0))*Parametros!$N$3</f>
        <v>46938.15</v>
      </c>
      <c r="AH375" s="13" t="n">
        <v>20114</v>
      </c>
      <c r="AI375" s="16" t="n">
        <f aca="false">AH375*Parametros!$N$2</f>
        <v>1850.488</v>
      </c>
      <c r="AJ375" s="18" t="n">
        <v>13391</v>
      </c>
      <c r="AK375" s="18" t="n">
        <v>808</v>
      </c>
      <c r="AL375" s="17" t="n">
        <f aca="false">AG375+AI375+AJ375+AK375</f>
        <v>62987.638</v>
      </c>
      <c r="AM375" s="20" t="n">
        <f aca="false">IF(L375&gt;0,AL375/L375,0)</f>
        <v>0.165875674166772</v>
      </c>
      <c r="AN375" s="16" t="n">
        <f aca="false">L375*INDEX(Parametros!$G$2:$G$9,MATCH($E375,Parametros!$A$2:$A$9,0))</f>
        <v>615159.36</v>
      </c>
      <c r="AO375" s="17" t="n">
        <f aca="false">AN375-AC375-AL375</f>
        <v>179568.562</v>
      </c>
      <c r="AP375" s="15" t="n">
        <f aca="false">IF(AN375&gt;0,AO375/AN375,0)</f>
        <v>0.291905762435282</v>
      </c>
      <c r="AQ375" s="16" t="n">
        <f aca="false">INDEX(Parametros!$I$2:$I$9,MATCH($E375,Parametros!$A$2:$A$9,0))</f>
        <v>28000000</v>
      </c>
      <c r="AR375" s="19" t="n">
        <f aca="false">IF(AQ375&gt;0,AO375/AQ375,0)</f>
        <v>0.00641316292857143</v>
      </c>
    </row>
    <row r="376" customFormat="false" ht="15" hidden="false" customHeight="false" outlineLevel="0" collapsed="false">
      <c r="A376" s="5" t="s">
        <v>511</v>
      </c>
      <c r="B376" s="9" t="n">
        <v>45873</v>
      </c>
      <c r="C376" s="2" t="str">
        <f aca="false">TEXT(B376,"yyyy")</f>
        <v>2025</v>
      </c>
      <c r="D376" s="2" t="n">
        <f aca="false">WEEKNUM(B376,2)</f>
        <v>32</v>
      </c>
      <c r="E376" s="5" t="s">
        <v>142</v>
      </c>
      <c r="F376" s="6" t="str">
        <f aca="false">INDEX(Parametros!$B$2:$B$9,MATCH($E376,Parametros!$A$2:$A$9,0))</f>
        <v>Porciones single serve</v>
      </c>
      <c r="G376" s="10" t="n">
        <v>120</v>
      </c>
      <c r="H376" s="10" t="n">
        <v>7.8</v>
      </c>
      <c r="I376" s="11" t="n">
        <f aca="false">SUMIFS(Eventos_Paro!$J$2:$J$2186,Eventos_Paro!$D$2:$D$2186,$E376,Eventos_Paro!$B$2:$B$2186,$B376)</f>
        <v>3.41666666666667</v>
      </c>
      <c r="J376" s="12" t="n">
        <f aca="false">G376-H376-I376</f>
        <v>108.783333333333</v>
      </c>
      <c r="K376" s="13" t="n">
        <v>241877</v>
      </c>
      <c r="L376" s="13" t="n">
        <v>215748</v>
      </c>
      <c r="M376" s="13" t="n">
        <v>11415</v>
      </c>
      <c r="N376" s="14" t="n">
        <f aca="false">L376+M376</f>
        <v>227163</v>
      </c>
      <c r="O376" s="11" t="n">
        <f aca="false">INDEX(Parametros!$D$2:$D$9,MATCH($E376,Parametros!$A$2:$A$9,0))</f>
        <v>2600</v>
      </c>
      <c r="P376" s="15" t="n">
        <f aca="false">IF((G376-H376)&gt;0,J376/(G376-H376),0)</f>
        <v>0.969548425430778</v>
      </c>
      <c r="Q376" s="15" t="n">
        <f aca="false">IF(J376*O376&gt;0,N376/(O376*J376),0)</f>
        <v>0.803159656338759</v>
      </c>
      <c r="R376" s="15" t="n">
        <f aca="false">IF(N376&gt;0,L376/N376,0)</f>
        <v>0.949749739174073</v>
      </c>
      <c r="S376" s="15" t="n">
        <f aca="false">P376*Q376*R376</f>
        <v>0.739572192513369</v>
      </c>
      <c r="T376" s="15" t="n">
        <f aca="false">IF(K376&gt;0,L376/K376,0)</f>
        <v>0.891974019853066</v>
      </c>
      <c r="U376" s="10" t="n">
        <v>2190</v>
      </c>
      <c r="V376" s="5" t="n">
        <v>17</v>
      </c>
      <c r="W376" s="10" t="n">
        <v>150</v>
      </c>
      <c r="X376" s="15" t="n">
        <f aca="false">IF(U376&gt;0,W376/U376,0)</f>
        <v>0.0684931506849315</v>
      </c>
      <c r="Y376" s="12" t="n">
        <f aca="false">IF(U376&gt;0,L376/U376,0)</f>
        <v>98.5150684931507</v>
      </c>
      <c r="Z376" s="16" t="n">
        <f aca="false">L376*INDEX(Parametros!$E$2:$E$9,MATCH($E376,Parametros!$A$2:$A$9,0))</f>
        <v>159653.52</v>
      </c>
      <c r="AA376" s="16" t="n">
        <f aca="false">Z376*INDEX(Parametros!$F$2:$F$9,MATCH($E376,Parametros!$A$2:$A$9,0))</f>
        <v>7184.4084</v>
      </c>
      <c r="AB376" s="17" t="n">
        <f aca="false">Z376+AA376</f>
        <v>166837.9284</v>
      </c>
      <c r="AC376" s="18" t="n">
        <v>168188.59</v>
      </c>
      <c r="AD376" s="17" t="n">
        <f aca="false">AC376-AB376</f>
        <v>1350.66160000002</v>
      </c>
      <c r="AE376" s="17" t="n">
        <f aca="false">AA376+AD376</f>
        <v>8535.07000000002</v>
      </c>
      <c r="AF376" s="19" t="n">
        <f aca="false">IF(Z376&gt;0,AE376/Z376,0)</f>
        <v>0.0534599550326233</v>
      </c>
      <c r="AG376" s="16" t="n">
        <f aca="false">(U376-W376)*INDEX(Parametros!$H$2:$H$9,MATCH($E376,Parametros!$A$2:$A$9,0))+W376*INDEX(Parametros!$H$2:$H$9,MATCH($E376,Parametros!$A$2:$A$9,0))*Parametros!$N$3</f>
        <v>67950</v>
      </c>
      <c r="AH376" s="13" t="n">
        <v>11168</v>
      </c>
      <c r="AI376" s="16" t="n">
        <f aca="false">AH376*Parametros!$N$2</f>
        <v>1027.456</v>
      </c>
      <c r="AJ376" s="18" t="n">
        <v>14776</v>
      </c>
      <c r="AK376" s="18" t="n">
        <v>2384</v>
      </c>
      <c r="AL376" s="17" t="n">
        <f aca="false">AG376+AI376+AJ376+AK376</f>
        <v>86137.456</v>
      </c>
      <c r="AM376" s="20" t="n">
        <f aca="false">IF(L376&gt;0,AL376/L376,0)</f>
        <v>0.399250310547491</v>
      </c>
      <c r="AN376" s="16" t="n">
        <f aca="false">L376*INDEX(Parametros!$G$2:$G$9,MATCH($E376,Parametros!$A$2:$A$9,0))</f>
        <v>371086.56</v>
      </c>
      <c r="AO376" s="17" t="n">
        <f aca="false">AN376-AC376-AL376</f>
        <v>116760.514</v>
      </c>
      <c r="AP376" s="15" t="n">
        <f aca="false">IF(AN376&gt;0,AO376/AN376,0)</f>
        <v>0.314644955074633</v>
      </c>
      <c r="AQ376" s="16" t="n">
        <f aca="false">INDEX(Parametros!$I$2:$I$9,MATCH($E376,Parametros!$A$2:$A$9,0))</f>
        <v>15900000</v>
      </c>
      <c r="AR376" s="19" t="n">
        <f aca="false">IF(AQ376&gt;0,AO376/AQ376,0)</f>
        <v>0.00734342855345912</v>
      </c>
    </row>
    <row r="377" customFormat="false" ht="15" hidden="false" customHeight="false" outlineLevel="0" collapsed="false">
      <c r="A377" s="5" t="s">
        <v>512</v>
      </c>
      <c r="B377" s="9" t="n">
        <v>45873</v>
      </c>
      <c r="C377" s="2" t="str">
        <f aca="false">TEXT(B377,"yyyy")</f>
        <v>2025</v>
      </c>
      <c r="D377" s="2" t="n">
        <f aca="false">WEEKNUM(B377,2)</f>
        <v>32</v>
      </c>
      <c r="E377" s="5" t="s">
        <v>144</v>
      </c>
      <c r="F377" s="6" t="str">
        <f aca="false">INDEX(Parametros!$B$2:$B$9,MATCH($E377,Parametros!$A$2:$A$9,0))</f>
        <v>Salsas picantes</v>
      </c>
      <c r="G377" s="10" t="n">
        <v>100</v>
      </c>
      <c r="H377" s="10" t="n">
        <v>7.7</v>
      </c>
      <c r="I377" s="11" t="n">
        <f aca="false">SUMIFS(Eventos_Paro!$J$2:$J$2186,Eventos_Paro!$D$2:$D$2186,$E377,Eventos_Paro!$B$2:$B$2186,$B377)</f>
        <v>6.38333333333333</v>
      </c>
      <c r="J377" s="12" t="n">
        <f aca="false">G377-H377-I377</f>
        <v>85.9166666666667</v>
      </c>
      <c r="K377" s="13" t="n">
        <v>216653</v>
      </c>
      <c r="L377" s="13" t="n">
        <v>219099</v>
      </c>
      <c r="M377" s="13" t="n">
        <v>6316</v>
      </c>
      <c r="N377" s="14" t="n">
        <f aca="false">L377+M377</f>
        <v>225415</v>
      </c>
      <c r="O377" s="11" t="n">
        <f aca="false">INDEX(Parametros!$D$2:$D$9,MATCH($E377,Parametros!$A$2:$A$9,0))</f>
        <v>3100</v>
      </c>
      <c r="P377" s="15" t="n">
        <f aca="false">IF((G377-H377)&gt;0,J377/(G377-H377),0)</f>
        <v>0.930841459010473</v>
      </c>
      <c r="Q377" s="15" t="n">
        <f aca="false">IF(J377*O377&gt;0,N377/(O377*J377),0)</f>
        <v>0.846337724101249</v>
      </c>
      <c r="R377" s="15" t="n">
        <f aca="false">IF(N377&gt;0,L377/N377,0)</f>
        <v>0.971980569172415</v>
      </c>
      <c r="S377" s="15" t="n">
        <f aca="false">P377*Q377*R377</f>
        <v>0.765732359417048</v>
      </c>
      <c r="T377" s="15" t="n">
        <f aca="false">IF(K377&gt;0,L377/K377,0)</f>
        <v>1.01128994290409</v>
      </c>
      <c r="U377" s="10" t="n">
        <v>885.3</v>
      </c>
      <c r="V377" s="5" t="n">
        <v>8</v>
      </c>
      <c r="W377" s="10" t="n">
        <v>85.3</v>
      </c>
      <c r="X377" s="15" t="n">
        <f aca="false">IF(U377&gt;0,W377/U377,0)</f>
        <v>0.0963515192590082</v>
      </c>
      <c r="Y377" s="12" t="n">
        <f aca="false">IF(U377&gt;0,L377/U377,0)</f>
        <v>247.485598102338</v>
      </c>
      <c r="Z377" s="16" t="n">
        <f aca="false">L377*INDEX(Parametros!$E$2:$E$9,MATCH($E377,Parametros!$A$2:$A$9,0))</f>
        <v>144605.34</v>
      </c>
      <c r="AA377" s="16" t="n">
        <f aca="false">Z377*INDEX(Parametros!$F$2:$F$9,MATCH($E377,Parametros!$A$2:$A$9,0))</f>
        <v>3759.73884</v>
      </c>
      <c r="AB377" s="17" t="n">
        <f aca="false">Z377+AA377</f>
        <v>148365.07884</v>
      </c>
      <c r="AC377" s="18" t="n">
        <v>149398.09</v>
      </c>
      <c r="AD377" s="17" t="n">
        <f aca="false">AC377-AB377</f>
        <v>1033.01115999999</v>
      </c>
      <c r="AE377" s="17" t="n">
        <f aca="false">AA377+AD377</f>
        <v>4792.74999999999</v>
      </c>
      <c r="AF377" s="19" t="n">
        <f aca="false">IF(Z377&gt;0,AE377/Z377,0)</f>
        <v>0.033143658456873</v>
      </c>
      <c r="AG377" s="16" t="n">
        <f aca="false">(U377-W377)*INDEX(Parametros!$H$2:$H$9,MATCH($E377,Parametros!$A$2:$A$9,0))+W377*INDEX(Parametros!$H$2:$H$9,MATCH($E377,Parametros!$A$2:$A$9,0))*Parametros!$N$3</f>
        <v>29230.425</v>
      </c>
      <c r="AH377" s="13" t="n">
        <v>12177</v>
      </c>
      <c r="AI377" s="16" t="n">
        <f aca="false">AH377*Parametros!$N$2</f>
        <v>1120.284</v>
      </c>
      <c r="AJ377" s="18" t="n">
        <v>7500</v>
      </c>
      <c r="AK377" s="18" t="n">
        <v>2640</v>
      </c>
      <c r="AL377" s="17" t="n">
        <f aca="false">AG377+AI377+AJ377+AK377</f>
        <v>40490.709</v>
      </c>
      <c r="AM377" s="20" t="n">
        <f aca="false">IF(L377&gt;0,AL377/L377,0)</f>
        <v>0.184805539961387</v>
      </c>
      <c r="AN377" s="16" t="n">
        <f aca="false">L377*INDEX(Parametros!$G$2:$G$9,MATCH($E377,Parametros!$A$2:$A$9,0))</f>
        <v>273873.75</v>
      </c>
      <c r="AO377" s="17" t="n">
        <f aca="false">AN377-AC377-AL377</f>
        <v>83984.951</v>
      </c>
      <c r="AP377" s="15" t="n">
        <f aca="false">IF(AN377&gt;0,AO377/AN377,0)</f>
        <v>0.306655716365661</v>
      </c>
      <c r="AQ377" s="16" t="n">
        <f aca="false">INDEX(Parametros!$I$2:$I$9,MATCH($E377,Parametros!$A$2:$A$9,0))</f>
        <v>13300000</v>
      </c>
      <c r="AR377" s="19" t="n">
        <f aca="false">IF(AQ377&gt;0,AO377/AQ377,0)</f>
        <v>0.00631465796992481</v>
      </c>
    </row>
    <row r="378" customFormat="false" ht="15" hidden="false" customHeight="false" outlineLevel="0" collapsed="false">
      <c r="A378" s="5" t="s">
        <v>513</v>
      </c>
      <c r="B378" s="9" t="n">
        <v>45880</v>
      </c>
      <c r="C378" s="2" t="str">
        <f aca="false">TEXT(B378,"yyyy")</f>
        <v>2025</v>
      </c>
      <c r="D378" s="2" t="n">
        <f aca="false">WEEKNUM(B378,2)</f>
        <v>33</v>
      </c>
      <c r="E378" s="5" t="s">
        <v>130</v>
      </c>
      <c r="F378" s="6" t="str">
        <f aca="false">INDEX(Parametros!$B$2:$B$9,MATCH($E378,Parametros!$A$2:$A$9,0))</f>
        <v>Ketchup botella</v>
      </c>
      <c r="G378" s="10" t="n">
        <v>134.3</v>
      </c>
      <c r="H378" s="10" t="n">
        <v>8.2</v>
      </c>
      <c r="I378" s="11" t="n">
        <f aca="false">SUMIFS(Eventos_Paro!$J$2:$J$2186,Eventos_Paro!$D$2:$D$2186,$E378,Eventos_Paro!$B$2:$B$2186,$B378)</f>
        <v>3.95</v>
      </c>
      <c r="J378" s="12" t="n">
        <f aca="false">G378-H378-I378</f>
        <v>122.15</v>
      </c>
      <c r="K378" s="13" t="n">
        <v>938946</v>
      </c>
      <c r="L378" s="13" t="n">
        <v>945886</v>
      </c>
      <c r="M378" s="13" t="n">
        <v>20995</v>
      </c>
      <c r="N378" s="14" t="n">
        <f aca="false">L378+M378</f>
        <v>966881</v>
      </c>
      <c r="O378" s="11" t="n">
        <f aca="false">INDEX(Parametros!$D$2:$D$9,MATCH($E378,Parametros!$A$2:$A$9,0))</f>
        <v>9000</v>
      </c>
      <c r="P378" s="15" t="n">
        <f aca="false">IF((G378-H378)&gt;0,J378/(G378-H378),0)</f>
        <v>0.968675654242665</v>
      </c>
      <c r="Q378" s="15" t="n">
        <f aca="false">IF(J378*O378&gt;0,N378/(O378*J378),0)</f>
        <v>0.879502433256015</v>
      </c>
      <c r="R378" s="15" t="n">
        <f aca="false">IF(N378&gt;0,L378/N378,0)</f>
        <v>0.978285849034162</v>
      </c>
      <c r="S378" s="15" t="n">
        <f aca="false">P378*Q378*R378</f>
        <v>0.833453167679972</v>
      </c>
      <c r="T378" s="15" t="n">
        <f aca="false">IF(K378&gt;0,L378/K378,0)</f>
        <v>1.00739126637741</v>
      </c>
      <c r="U378" s="10" t="n">
        <v>1848.3</v>
      </c>
      <c r="V378" s="5" t="n">
        <v>13</v>
      </c>
      <c r="W378" s="10" t="n">
        <v>102.4</v>
      </c>
      <c r="X378" s="15" t="n">
        <f aca="false">IF(U378&gt;0,W378/U378,0)</f>
        <v>0.0554022615376292</v>
      </c>
      <c r="Y378" s="12" t="n">
        <f aca="false">IF(U378&gt;0,L378/U378,0)</f>
        <v>511.759995671698</v>
      </c>
      <c r="Z378" s="16" t="n">
        <f aca="false">L378*INDEX(Parametros!$E$2:$E$9,MATCH($E378,Parametros!$A$2:$A$9,0))</f>
        <v>397272.12</v>
      </c>
      <c r="AA378" s="16" t="n">
        <f aca="false">Z378*INDEX(Parametros!$F$2:$F$9,MATCH($E378,Parametros!$A$2:$A$9,0))</f>
        <v>7945.4424</v>
      </c>
      <c r="AB378" s="17" t="n">
        <f aca="false">Z378+AA378</f>
        <v>405217.5624</v>
      </c>
      <c r="AC378" s="18" t="n">
        <v>405800.16</v>
      </c>
      <c r="AD378" s="17" t="n">
        <f aca="false">AC378-AB378</f>
        <v>582.597599999979</v>
      </c>
      <c r="AE378" s="17" t="n">
        <f aca="false">AA378+AD378</f>
        <v>8528.03999999998</v>
      </c>
      <c r="AF378" s="19" t="n">
        <f aca="false">IF(Z378&gt;0,AE378/Z378,0)</f>
        <v>0.0214664950563356</v>
      </c>
      <c r="AG378" s="16" t="n">
        <f aca="false">(U378-W378)*INDEX(Parametros!$H$2:$H$9,MATCH($E378,Parametros!$A$2:$A$9,0))+W378*INDEX(Parametros!$H$2:$H$9,MATCH($E378,Parametros!$A$2:$A$9,0))*Parametros!$N$3</f>
        <v>59834.25</v>
      </c>
      <c r="AH378" s="13" t="n">
        <v>47792</v>
      </c>
      <c r="AI378" s="16" t="n">
        <f aca="false">AH378*Parametros!$N$2</f>
        <v>4396.864</v>
      </c>
      <c r="AJ378" s="18" t="n">
        <v>14532</v>
      </c>
      <c r="AK378" s="18" t="n">
        <v>2882</v>
      </c>
      <c r="AL378" s="17" t="n">
        <f aca="false">AG378+AI378+AJ378+AK378</f>
        <v>81645.114</v>
      </c>
      <c r="AM378" s="20" t="n">
        <f aca="false">IF(L378&gt;0,AL378/L378,0)</f>
        <v>0.0863160190551504</v>
      </c>
      <c r="AN378" s="16" t="n">
        <f aca="false">L378*INDEX(Parametros!$G$2:$G$9,MATCH($E378,Parametros!$A$2:$A$9,0))</f>
        <v>671579.06</v>
      </c>
      <c r="AO378" s="17" t="n">
        <f aca="false">AN378-AC378-AL378</f>
        <v>184133.786</v>
      </c>
      <c r="AP378" s="15" t="n">
        <f aca="false">IF(AN378&gt;0,AO378/AN378,0)</f>
        <v>0.274180356367871</v>
      </c>
      <c r="AQ378" s="16" t="n">
        <f aca="false">INDEX(Parametros!$I$2:$I$9,MATCH($E378,Parametros!$A$2:$A$9,0))</f>
        <v>29300000</v>
      </c>
      <c r="AR378" s="19" t="n">
        <f aca="false">IF(AQ378&gt;0,AO378/AQ378,0)</f>
        <v>0.00628442955631399</v>
      </c>
    </row>
    <row r="379" customFormat="false" ht="15" hidden="false" customHeight="false" outlineLevel="0" collapsed="false">
      <c r="A379" s="5" t="s">
        <v>514</v>
      </c>
      <c r="B379" s="9" t="n">
        <v>45880</v>
      </c>
      <c r="C379" s="2" t="str">
        <f aca="false">TEXT(B379,"yyyy")</f>
        <v>2025</v>
      </c>
      <c r="D379" s="2" t="n">
        <f aca="false">WEEKNUM(B379,2)</f>
        <v>33</v>
      </c>
      <c r="E379" s="5" t="s">
        <v>132</v>
      </c>
      <c r="F379" s="6" t="str">
        <f aca="false">INDEX(Parametros!$B$2:$B$9,MATCH($E379,Parametros!$A$2:$A$9,0))</f>
        <v>Mayonesa frasco</v>
      </c>
      <c r="G379" s="10" t="n">
        <v>119.8</v>
      </c>
      <c r="H379" s="10" t="n">
        <v>7.2</v>
      </c>
      <c r="I379" s="11" t="n">
        <f aca="false">SUMIFS(Eventos_Paro!$J$2:$J$2186,Eventos_Paro!$D$2:$D$2186,$E379,Eventos_Paro!$B$2:$B$2186,$B379)</f>
        <v>0.816666666666667</v>
      </c>
      <c r="J379" s="12" t="n">
        <f aca="false">G379-H379-I379</f>
        <v>111.783333333333</v>
      </c>
      <c r="K379" s="13" t="n">
        <v>605529</v>
      </c>
      <c r="L379" s="13" t="n">
        <v>596350</v>
      </c>
      <c r="M379" s="13" t="n">
        <v>18862</v>
      </c>
      <c r="N379" s="14" t="n">
        <f aca="false">L379+M379</f>
        <v>615212</v>
      </c>
      <c r="O379" s="11" t="n">
        <f aca="false">INDEX(Parametros!$D$2:$D$9,MATCH($E379,Parametros!$A$2:$A$9,0))</f>
        <v>6500</v>
      </c>
      <c r="P379" s="15" t="n">
        <f aca="false">IF((G379-H379)&gt;0,J379/(G379-H379),0)</f>
        <v>0.992747187685021</v>
      </c>
      <c r="Q379" s="15" t="n">
        <f aca="false">IF(J379*O379&gt;0,N379/(O379*J379),0)</f>
        <v>0.846709408081109</v>
      </c>
      <c r="R379" s="15" t="n">
        <f aca="false">IF(N379&gt;0,L379/N379,0)</f>
        <v>0.96934065005234</v>
      </c>
      <c r="S379" s="15" t="n">
        <f aca="false">P379*Q379*R379</f>
        <v>0.81479710342943</v>
      </c>
      <c r="T379" s="15" t="n">
        <f aca="false">IF(K379&gt;0,L379/K379,0)</f>
        <v>0.984841353593304</v>
      </c>
      <c r="U379" s="10" t="n">
        <v>1739.6</v>
      </c>
      <c r="V379" s="5" t="n">
        <v>13</v>
      </c>
      <c r="W379" s="10" t="n">
        <v>182.2</v>
      </c>
      <c r="X379" s="15" t="n">
        <f aca="false">IF(U379&gt;0,W379/U379,0)</f>
        <v>0.104736721085307</v>
      </c>
      <c r="Y379" s="12" t="n">
        <f aca="false">IF(U379&gt;0,L379/U379,0)</f>
        <v>342.808691653254</v>
      </c>
      <c r="Z379" s="16" t="n">
        <f aca="false">L379*INDEX(Parametros!$E$2:$E$9,MATCH($E379,Parametros!$A$2:$A$9,0))</f>
        <v>363773.5</v>
      </c>
      <c r="AA379" s="16" t="n">
        <f aca="false">Z379*INDEX(Parametros!$F$2:$F$9,MATCH($E379,Parametros!$A$2:$A$9,0))</f>
        <v>9094.3375</v>
      </c>
      <c r="AB379" s="17" t="n">
        <f aca="false">Z379+AA379</f>
        <v>372867.8375</v>
      </c>
      <c r="AC379" s="18" t="n">
        <v>377433.68</v>
      </c>
      <c r="AD379" s="17" t="n">
        <f aca="false">AC379-AB379</f>
        <v>4565.84249999997</v>
      </c>
      <c r="AE379" s="17" t="n">
        <f aca="false">AA379+AD379</f>
        <v>13660.18</v>
      </c>
      <c r="AF379" s="19" t="n">
        <f aca="false">IF(Z379&gt;0,AE379/Z379,0)</f>
        <v>0.0375513334533713</v>
      </c>
      <c r="AG379" s="16" t="n">
        <f aca="false">(U379-W379)*INDEX(Parametros!$H$2:$H$9,MATCH($E379,Parametros!$A$2:$A$9,0))+W379*INDEX(Parametros!$H$2:$H$9,MATCH($E379,Parametros!$A$2:$A$9,0))*Parametros!$N$3</f>
        <v>57667.05</v>
      </c>
      <c r="AH379" s="13" t="n">
        <v>30637</v>
      </c>
      <c r="AI379" s="16" t="n">
        <f aca="false">AH379*Parametros!$N$2</f>
        <v>2818.604</v>
      </c>
      <c r="AJ379" s="18" t="n">
        <v>14814</v>
      </c>
      <c r="AK379" s="18" t="n">
        <v>852</v>
      </c>
      <c r="AL379" s="17" t="n">
        <f aca="false">AG379+AI379+AJ379+AK379</f>
        <v>76151.654</v>
      </c>
      <c r="AM379" s="20" t="n">
        <f aca="false">IF(L379&gt;0,AL379/L379,0)</f>
        <v>0.127696242139683</v>
      </c>
      <c r="AN379" s="16" t="n">
        <f aca="false">L379*INDEX(Parametros!$G$2:$G$9,MATCH($E379,Parametros!$A$2:$A$9,0))</f>
        <v>572496</v>
      </c>
      <c r="AO379" s="17" t="n">
        <f aca="false">AN379-AC379-AL379</f>
        <v>118910.666</v>
      </c>
      <c r="AP379" s="15" t="n">
        <f aca="false">IF(AN379&gt;0,AO379/AN379,0)</f>
        <v>0.207705671306</v>
      </c>
      <c r="AQ379" s="16" t="n">
        <f aca="false">INDEX(Parametros!$I$2:$I$9,MATCH($E379,Parametros!$A$2:$A$9,0))</f>
        <v>29700000</v>
      </c>
      <c r="AR379" s="19" t="n">
        <f aca="false">IF(AQ379&gt;0,AO379/AQ379,0)</f>
        <v>0.00400372612794613</v>
      </c>
    </row>
    <row r="380" customFormat="false" ht="15" hidden="false" customHeight="false" outlineLevel="0" collapsed="false">
      <c r="A380" s="5" t="s">
        <v>515</v>
      </c>
      <c r="B380" s="9" t="n">
        <v>45880</v>
      </c>
      <c r="C380" s="2" t="str">
        <f aca="false">TEXT(B380,"yyyy")</f>
        <v>2025</v>
      </c>
      <c r="D380" s="2" t="n">
        <f aca="false">WEEKNUM(B380,2)</f>
        <v>33</v>
      </c>
      <c r="E380" s="5" t="s">
        <v>134</v>
      </c>
      <c r="F380" s="6" t="str">
        <f aca="false">INDEX(Parametros!$B$2:$B$9,MATCH($E380,Parametros!$A$2:$A$9,0))</f>
        <v>Aderezos vertibles</v>
      </c>
      <c r="G380" s="10" t="n">
        <v>110.6</v>
      </c>
      <c r="H380" s="10" t="n">
        <v>7.9</v>
      </c>
      <c r="I380" s="11" t="n">
        <f aca="false">SUMIFS(Eventos_Paro!$J$2:$J$2186,Eventos_Paro!$D$2:$D$2186,$E380,Eventos_Paro!$B$2:$B$2186,$B380)</f>
        <v>0.583333333333333</v>
      </c>
      <c r="J380" s="12" t="n">
        <f aca="false">G380-H380-I380</f>
        <v>102.116666666667</v>
      </c>
      <c r="K380" s="13" t="n">
        <v>441832</v>
      </c>
      <c r="L380" s="13" t="n">
        <v>450658</v>
      </c>
      <c r="M380" s="13" t="n">
        <v>11795</v>
      </c>
      <c r="N380" s="14" t="n">
        <f aca="false">L380+M380</f>
        <v>462453</v>
      </c>
      <c r="O380" s="11" t="n">
        <f aca="false">INDEX(Parametros!$D$2:$D$9,MATCH($E380,Parametros!$A$2:$A$9,0))</f>
        <v>5200</v>
      </c>
      <c r="P380" s="15" t="n">
        <f aca="false">IF((G380-H380)&gt;0,J380/(G380-H380),0)</f>
        <v>0.994320025965596</v>
      </c>
      <c r="Q380" s="15" t="n">
        <f aca="false">IF(J380*O380&gt;0,N380/(O380*J380),0)</f>
        <v>0.870898670449838</v>
      </c>
      <c r="R380" s="15" t="n">
        <f aca="false">IF(N380&gt;0,L380/N380,0)</f>
        <v>0.974494705407901</v>
      </c>
      <c r="S380" s="15" t="n">
        <f aca="false">P380*Q380*R380</f>
        <v>0.843865628042843</v>
      </c>
      <c r="T380" s="15" t="n">
        <f aca="false">IF(K380&gt;0,L380/K380,0)</f>
        <v>1.01997591844864</v>
      </c>
      <c r="U380" s="10" t="n">
        <v>1238.1</v>
      </c>
      <c r="V380" s="5" t="n">
        <v>11</v>
      </c>
      <c r="W380" s="10" t="n">
        <v>21.5</v>
      </c>
      <c r="X380" s="15" t="n">
        <f aca="false">IF(U380&gt;0,W380/U380,0)</f>
        <v>0.0173653178257007</v>
      </c>
      <c r="Y380" s="12" t="n">
        <f aca="false">IF(U380&gt;0,L380/U380,0)</f>
        <v>363.991600032308</v>
      </c>
      <c r="Z380" s="16" t="n">
        <f aca="false">L380*INDEX(Parametros!$E$2:$E$9,MATCH($E380,Parametros!$A$2:$A$9,0))</f>
        <v>247861.9</v>
      </c>
      <c r="AA380" s="16" t="n">
        <f aca="false">Z380*INDEX(Parametros!$F$2:$F$9,MATCH($E380,Parametros!$A$2:$A$9,0))</f>
        <v>7435.857</v>
      </c>
      <c r="AB380" s="17" t="n">
        <f aca="false">Z380+AA380</f>
        <v>255297.757</v>
      </c>
      <c r="AC380" s="18" t="n">
        <v>254641.31</v>
      </c>
      <c r="AD380" s="17" t="n">
        <f aca="false">AC380-AB380</f>
        <v>-656.447000000015</v>
      </c>
      <c r="AE380" s="17" t="n">
        <f aca="false">AA380+AD380</f>
        <v>6779.40999999999</v>
      </c>
      <c r="AF380" s="19" t="n">
        <f aca="false">IF(Z380&gt;0,AE380/Z380,0)</f>
        <v>0.0273515614945257</v>
      </c>
      <c r="AG380" s="16" t="n">
        <f aca="false">(U380-W380)*INDEX(Parametros!$H$2:$H$9,MATCH($E380,Parametros!$A$2:$A$9,0))+W380*INDEX(Parametros!$H$2:$H$9,MATCH($E380,Parametros!$A$2:$A$9,0))*Parametros!$N$3</f>
        <v>39338.775</v>
      </c>
      <c r="AH380" s="13" t="n">
        <v>22506</v>
      </c>
      <c r="AI380" s="16" t="n">
        <f aca="false">AH380*Parametros!$N$2</f>
        <v>2070.552</v>
      </c>
      <c r="AJ380" s="18" t="n">
        <v>9968</v>
      </c>
      <c r="AK380" s="18" t="n">
        <v>469</v>
      </c>
      <c r="AL380" s="17" t="n">
        <f aca="false">AG380+AI380+AJ380+AK380</f>
        <v>51846.327</v>
      </c>
      <c r="AM380" s="20" t="n">
        <f aca="false">IF(L380&gt;0,AL380/L380,0)</f>
        <v>0.11504583741995</v>
      </c>
      <c r="AN380" s="16" t="n">
        <f aca="false">L380*INDEX(Parametros!$G$2:$G$9,MATCH($E380,Parametros!$A$2:$A$9,0))</f>
        <v>459671.16</v>
      </c>
      <c r="AO380" s="17" t="n">
        <f aca="false">AN380-AC380-AL380</f>
        <v>153183.523</v>
      </c>
      <c r="AP380" s="15" t="n">
        <f aca="false">IF(AN380&gt;0,AO380/AN380,0)</f>
        <v>0.333245886037314</v>
      </c>
      <c r="AQ380" s="16" t="n">
        <f aca="false">INDEX(Parametros!$I$2:$I$9,MATCH($E380,Parametros!$A$2:$A$9,0))</f>
        <v>19300000</v>
      </c>
      <c r="AR380" s="19" t="n">
        <f aca="false">IF(AQ380&gt;0,AO380/AQ380,0)</f>
        <v>0.00793697010362695</v>
      </c>
    </row>
    <row r="381" customFormat="false" ht="15" hidden="false" customHeight="false" outlineLevel="0" collapsed="false">
      <c r="A381" s="5" t="s">
        <v>516</v>
      </c>
      <c r="B381" s="9" t="n">
        <v>45880</v>
      </c>
      <c r="C381" s="2" t="str">
        <f aca="false">TEXT(B381,"yyyy")</f>
        <v>2025</v>
      </c>
      <c r="D381" s="2" t="n">
        <f aca="false">WEEKNUM(B381,2)</f>
        <v>33</v>
      </c>
      <c r="E381" s="5" t="s">
        <v>136</v>
      </c>
      <c r="F381" s="6" t="str">
        <f aca="false">INDEX(Parametros!$B$2:$B$9,MATCH($E381,Parametros!$A$2:$A$9,0))</f>
        <v>Salsa BBQ</v>
      </c>
      <c r="G381" s="10" t="n">
        <v>115.3</v>
      </c>
      <c r="H381" s="10" t="n">
        <v>8.2</v>
      </c>
      <c r="I381" s="11" t="n">
        <f aca="false">SUMIFS(Eventos_Paro!$J$2:$J$2186,Eventos_Paro!$D$2:$D$2186,$E381,Eventos_Paro!$B$2:$B$2186,$B381)</f>
        <v>2.15</v>
      </c>
      <c r="J381" s="12" t="n">
        <f aca="false">G381-H381-I381</f>
        <v>104.95</v>
      </c>
      <c r="K381" s="13" t="n">
        <v>474507</v>
      </c>
      <c r="L381" s="13" t="n">
        <v>406541</v>
      </c>
      <c r="M381" s="13" t="n">
        <v>17661</v>
      </c>
      <c r="N381" s="14" t="n">
        <f aca="false">L381+M381</f>
        <v>424202</v>
      </c>
      <c r="O381" s="11" t="n">
        <f aca="false">INDEX(Parametros!$D$2:$D$9,MATCH($E381,Parametros!$A$2:$A$9,0))</f>
        <v>4800</v>
      </c>
      <c r="P381" s="15" t="n">
        <f aca="false">IF((G381-H381)&gt;0,J381/(G381-H381),0)</f>
        <v>0.979925303454715</v>
      </c>
      <c r="Q381" s="15" t="n">
        <f aca="false">IF(J381*O381&gt;0,N381/(O381*J381),0)</f>
        <v>0.842071621407019</v>
      </c>
      <c r="R381" s="15" t="n">
        <f aca="false">IF(N381&gt;0,L381/N381,0)</f>
        <v>0.958366532925352</v>
      </c>
      <c r="S381" s="15" t="n">
        <f aca="false">P381*Q381*R381</f>
        <v>0.790812713974479</v>
      </c>
      <c r="T381" s="15" t="n">
        <f aca="false">IF(K381&gt;0,L381/K381,0)</f>
        <v>0.856765021380085</v>
      </c>
      <c r="U381" s="10" t="n">
        <v>1383.5</v>
      </c>
      <c r="V381" s="5" t="n">
        <v>11</v>
      </c>
      <c r="W381" s="10" t="n">
        <v>115.2</v>
      </c>
      <c r="X381" s="15" t="n">
        <f aca="false">IF(U381&gt;0,W381/U381,0)</f>
        <v>0.0832670762558728</v>
      </c>
      <c r="Y381" s="12" t="n">
        <f aca="false">IF(U381&gt;0,L381/U381,0)</f>
        <v>293.849656667871</v>
      </c>
      <c r="Z381" s="16" t="n">
        <f aca="false">L381*INDEX(Parametros!$E$2:$E$9,MATCH($E381,Parametros!$A$2:$A$9,0))</f>
        <v>235793.78</v>
      </c>
      <c r="AA381" s="16" t="n">
        <f aca="false">Z381*INDEX(Parametros!$F$2:$F$9,MATCH($E381,Parametros!$A$2:$A$9,0))</f>
        <v>6602.22584</v>
      </c>
      <c r="AB381" s="17" t="n">
        <f aca="false">Z381+AA381</f>
        <v>242396.00584</v>
      </c>
      <c r="AC381" s="18" t="n">
        <v>243567.86</v>
      </c>
      <c r="AD381" s="17" t="n">
        <f aca="false">AC381-AB381</f>
        <v>1171.85416000002</v>
      </c>
      <c r="AE381" s="17" t="n">
        <f aca="false">AA381+AD381</f>
        <v>7774.08000000002</v>
      </c>
      <c r="AF381" s="19" t="n">
        <f aca="false">IF(Z381&gt;0,AE381/Z381,0)</f>
        <v>0.0329698264305361</v>
      </c>
      <c r="AG381" s="16" t="n">
        <f aca="false">(U381-W381)*INDEX(Parametros!$H$2:$H$9,MATCH($E381,Parametros!$A$2:$A$9,0))+W381*INDEX(Parametros!$H$2:$H$9,MATCH($E381,Parametros!$A$2:$A$9,0))*Parametros!$N$3</f>
        <v>45394.65</v>
      </c>
      <c r="AH381" s="13" t="n">
        <v>21807</v>
      </c>
      <c r="AI381" s="16" t="n">
        <f aca="false">AH381*Parametros!$N$2</f>
        <v>2006.244</v>
      </c>
      <c r="AJ381" s="18" t="n">
        <v>7212</v>
      </c>
      <c r="AK381" s="18" t="n">
        <v>2358</v>
      </c>
      <c r="AL381" s="17" t="n">
        <f aca="false">AG381+AI381+AJ381+AK381</f>
        <v>56970.894</v>
      </c>
      <c r="AM381" s="20" t="n">
        <f aca="false">IF(L381&gt;0,AL381/L381,0)</f>
        <v>0.140135666513341</v>
      </c>
      <c r="AN381" s="16" t="n">
        <f aca="false">L381*INDEX(Parametros!$G$2:$G$9,MATCH($E381,Parametros!$A$2:$A$9,0))</f>
        <v>398410.18</v>
      </c>
      <c r="AO381" s="17" t="n">
        <f aca="false">AN381-AC381-AL381</f>
        <v>97871.426</v>
      </c>
      <c r="AP381" s="15" t="n">
        <f aca="false">IF(AN381&gt;0,AO381/AN381,0)</f>
        <v>0.245654932813213</v>
      </c>
      <c r="AQ381" s="16" t="n">
        <f aca="false">INDEX(Parametros!$I$2:$I$9,MATCH($E381,Parametros!$A$2:$A$9,0))</f>
        <v>17000000</v>
      </c>
      <c r="AR381" s="19" t="n">
        <f aca="false">IF(AQ381&gt;0,AO381/AQ381,0)</f>
        <v>0.00575714270588235</v>
      </c>
    </row>
    <row r="382" customFormat="false" ht="15" hidden="false" customHeight="false" outlineLevel="0" collapsed="false">
      <c r="A382" s="5" t="s">
        <v>517</v>
      </c>
      <c r="B382" s="9" t="n">
        <v>45880</v>
      </c>
      <c r="C382" s="2" t="str">
        <f aca="false">TEXT(B382,"yyyy")</f>
        <v>2025</v>
      </c>
      <c r="D382" s="2" t="n">
        <f aca="false">WEEKNUM(B382,2)</f>
        <v>33</v>
      </c>
      <c r="E382" s="5" t="s">
        <v>138</v>
      </c>
      <c r="F382" s="6" t="str">
        <f aca="false">INDEX(Parametros!$B$2:$B$9,MATCH($E382,Parametros!$A$2:$A$9,0))</f>
        <v>Queso crema</v>
      </c>
      <c r="G382" s="10" t="n">
        <v>116.6</v>
      </c>
      <c r="H382" s="10" t="n">
        <v>7.7</v>
      </c>
      <c r="I382" s="11" t="n">
        <f aca="false">SUMIFS(Eventos_Paro!$J$2:$J$2186,Eventos_Paro!$D$2:$D$2186,$E382,Eventos_Paro!$B$2:$B$2186,$B382)</f>
        <v>5.5</v>
      </c>
      <c r="J382" s="12" t="n">
        <f aca="false">G382-H382-I382</f>
        <v>103.4</v>
      </c>
      <c r="K382" s="13" t="n">
        <v>342369</v>
      </c>
      <c r="L382" s="13" t="n">
        <v>283748</v>
      </c>
      <c r="M382" s="13" t="n">
        <v>9538</v>
      </c>
      <c r="N382" s="14" t="n">
        <f aca="false">L382+M382</f>
        <v>293286</v>
      </c>
      <c r="O382" s="11" t="n">
        <f aca="false">INDEX(Parametros!$D$2:$D$9,MATCH($E382,Parametros!$A$2:$A$9,0))</f>
        <v>3800</v>
      </c>
      <c r="P382" s="15" t="n">
        <f aca="false">IF((G382-H382)&gt;0,J382/(G382-H382),0)</f>
        <v>0.94949494949495</v>
      </c>
      <c r="Q382" s="15" t="n">
        <f aca="false">IF(J382*O382&gt;0,N382/(O382*J382),0)</f>
        <v>0.746426753537616</v>
      </c>
      <c r="R382" s="15" t="n">
        <f aca="false">IF(N382&gt;0,L382/N382,0)</f>
        <v>0.967478843176967</v>
      </c>
      <c r="S382" s="15" t="n">
        <f aca="false">P382*Q382*R382</f>
        <v>0.685679764148664</v>
      </c>
      <c r="T382" s="15" t="n">
        <f aca="false">IF(K382&gt;0,L382/K382,0)</f>
        <v>0.828778306447138</v>
      </c>
      <c r="U382" s="10" t="n">
        <v>1796.9</v>
      </c>
      <c r="V382" s="5" t="n">
        <v>15</v>
      </c>
      <c r="W382" s="10" t="n">
        <v>47.9</v>
      </c>
      <c r="X382" s="15" t="n">
        <f aca="false">IF(U382&gt;0,W382/U382,0)</f>
        <v>0.0266570204240637</v>
      </c>
      <c r="Y382" s="12" t="n">
        <f aca="false">IF(U382&gt;0,L382/U382,0)</f>
        <v>157.909733429796</v>
      </c>
      <c r="Z382" s="16" t="n">
        <f aca="false">L382*INDEX(Parametros!$E$2:$E$9,MATCH($E382,Parametros!$A$2:$A$9,0))</f>
        <v>317797.76</v>
      </c>
      <c r="AA382" s="16" t="n">
        <f aca="false">Z382*INDEX(Parametros!$F$2:$F$9,MATCH($E382,Parametros!$A$2:$A$9,0))</f>
        <v>11122.9216</v>
      </c>
      <c r="AB382" s="17" t="n">
        <f aca="false">Z382+AA382</f>
        <v>328920.6816</v>
      </c>
      <c r="AC382" s="18" t="n">
        <v>329282.18</v>
      </c>
      <c r="AD382" s="17" t="n">
        <f aca="false">AC382-AB382</f>
        <v>361.498399999982</v>
      </c>
      <c r="AE382" s="17" t="n">
        <f aca="false">AA382+AD382</f>
        <v>11484.42</v>
      </c>
      <c r="AF382" s="19" t="n">
        <f aca="false">IF(Z382&gt;0,AE382/Z382,0)</f>
        <v>0.0361375108496674</v>
      </c>
      <c r="AG382" s="16" t="n">
        <f aca="false">(U382-W382)*INDEX(Parametros!$H$2:$H$9,MATCH($E382,Parametros!$A$2:$A$9,0))+W382*INDEX(Parametros!$H$2:$H$9,MATCH($E382,Parametros!$A$2:$A$9,0))*Parametros!$N$3</f>
        <v>60088.05</v>
      </c>
      <c r="AH382" s="13" t="n">
        <v>15406</v>
      </c>
      <c r="AI382" s="16" t="n">
        <f aca="false">AH382*Parametros!$N$2</f>
        <v>1417.352</v>
      </c>
      <c r="AJ382" s="18" t="n">
        <v>17199</v>
      </c>
      <c r="AK382" s="18" t="n">
        <v>3382</v>
      </c>
      <c r="AL382" s="17" t="n">
        <f aca="false">AG382+AI382+AJ382+AK382</f>
        <v>82086.402</v>
      </c>
      <c r="AM382" s="20" t="n">
        <f aca="false">IF(L382&gt;0,AL382/L382,0)</f>
        <v>0.289293323653383</v>
      </c>
      <c r="AN382" s="16" t="n">
        <f aca="false">L382*INDEX(Parametros!$G$2:$G$9,MATCH($E382,Parametros!$A$2:$A$9,0))</f>
        <v>507908.92</v>
      </c>
      <c r="AO382" s="17" t="n">
        <f aca="false">AN382-AC382-AL382</f>
        <v>96540.338</v>
      </c>
      <c r="AP382" s="15" t="n">
        <f aca="false">IF(AN382&gt;0,AO382/AN382,0)</f>
        <v>0.190074114075413</v>
      </c>
      <c r="AQ382" s="16" t="n">
        <f aca="false">INDEX(Parametros!$I$2:$I$9,MATCH($E382,Parametros!$A$2:$A$9,0))</f>
        <v>33200000</v>
      </c>
      <c r="AR382" s="19" t="n">
        <f aca="false">IF(AQ382&gt;0,AO382/AQ382,0)</f>
        <v>0.0029078415060241</v>
      </c>
    </row>
    <row r="383" customFormat="false" ht="15" hidden="false" customHeight="false" outlineLevel="0" collapsed="false">
      <c r="A383" s="5" t="s">
        <v>518</v>
      </c>
      <c r="B383" s="9" t="n">
        <v>45880</v>
      </c>
      <c r="C383" s="2" t="str">
        <f aca="false">TEXT(B383,"yyyy")</f>
        <v>2025</v>
      </c>
      <c r="D383" s="2" t="n">
        <f aca="false">WEEKNUM(B383,2)</f>
        <v>33</v>
      </c>
      <c r="E383" s="5" t="s">
        <v>140</v>
      </c>
      <c r="F383" s="6" t="str">
        <f aca="false">INDEX(Parametros!$B$2:$B$9,MATCH($E383,Parametros!$A$2:$A$9,0))</f>
        <v>Crema de cacahuate</v>
      </c>
      <c r="G383" s="10" t="n">
        <v>117.7</v>
      </c>
      <c r="H383" s="10" t="n">
        <v>8.6</v>
      </c>
      <c r="I383" s="11" t="n">
        <f aca="false">SUMIFS(Eventos_Paro!$J$2:$J$2186,Eventos_Paro!$D$2:$D$2186,$E383,Eventos_Paro!$B$2:$B$2186,$B383)</f>
        <v>0</v>
      </c>
      <c r="J383" s="12" t="n">
        <f aca="false">G383-H383-I383</f>
        <v>109.1</v>
      </c>
      <c r="K383" s="13" t="n">
        <v>379103</v>
      </c>
      <c r="L383" s="13" t="n">
        <v>389269</v>
      </c>
      <c r="M383" s="13" t="n">
        <v>9893</v>
      </c>
      <c r="N383" s="14" t="n">
        <f aca="false">L383+M383</f>
        <v>399162</v>
      </c>
      <c r="O383" s="11" t="n">
        <f aca="false">INDEX(Parametros!$D$2:$D$9,MATCH($E383,Parametros!$A$2:$A$9,0))</f>
        <v>4200</v>
      </c>
      <c r="P383" s="15" t="n">
        <f aca="false">IF((G383-H383)&gt;0,J383/(G383-H383),0)</f>
        <v>1</v>
      </c>
      <c r="Q383" s="15" t="n">
        <f aca="false">IF(J383*O383&gt;0,N383/(O383*J383),0)</f>
        <v>0.87111431190258</v>
      </c>
      <c r="R383" s="15" t="n">
        <f aca="false">IF(N383&gt;0,L383/N383,0)</f>
        <v>0.975215576633046</v>
      </c>
      <c r="S383" s="15" t="n">
        <f aca="false">P383*Q383*R383</f>
        <v>0.849524245995373</v>
      </c>
      <c r="T383" s="15" t="n">
        <f aca="false">IF(K383&gt;0,L383/K383,0)</f>
        <v>1.02681593129044</v>
      </c>
      <c r="U383" s="10" t="n">
        <v>1508.8</v>
      </c>
      <c r="V383" s="5" t="n">
        <v>12</v>
      </c>
      <c r="W383" s="10" t="n">
        <v>96.4</v>
      </c>
      <c r="X383" s="15" t="n">
        <f aca="false">IF(U383&gt;0,W383/U383,0)</f>
        <v>0.0638918345705196</v>
      </c>
      <c r="Y383" s="12" t="n">
        <f aca="false">IF(U383&gt;0,L383/U383,0)</f>
        <v>257.999072110286</v>
      </c>
      <c r="Z383" s="16" t="n">
        <f aca="false">L383*INDEX(Parametros!$E$2:$E$9,MATCH($E383,Parametros!$A$2:$A$9,0))</f>
        <v>377590.93</v>
      </c>
      <c r="AA383" s="16" t="n">
        <f aca="false">Z383*INDEX(Parametros!$F$2:$F$9,MATCH($E383,Parametros!$A$2:$A$9,0))</f>
        <v>8307.00046</v>
      </c>
      <c r="AB383" s="17" t="n">
        <f aca="false">Z383+AA383</f>
        <v>385897.93046</v>
      </c>
      <c r="AC383" s="18" t="n">
        <v>398013.93</v>
      </c>
      <c r="AD383" s="17" t="n">
        <f aca="false">AC383-AB383</f>
        <v>12115.99954</v>
      </c>
      <c r="AE383" s="17" t="n">
        <f aca="false">AA383+AD383</f>
        <v>20423</v>
      </c>
      <c r="AF383" s="19" t="n">
        <f aca="false">IF(Z383&gt;0,AE383/Z383,0)</f>
        <v>0.0540876339376054</v>
      </c>
      <c r="AG383" s="16" t="n">
        <f aca="false">(U383-W383)*INDEX(Parametros!$H$2:$H$9,MATCH($E383,Parametros!$A$2:$A$9,0))+W383*INDEX(Parametros!$H$2:$H$9,MATCH($E383,Parametros!$A$2:$A$9,0))*Parametros!$N$3</f>
        <v>49045.5</v>
      </c>
      <c r="AH383" s="13" t="n">
        <v>20597</v>
      </c>
      <c r="AI383" s="16" t="n">
        <f aca="false">AH383*Parametros!$N$2</f>
        <v>1894.924</v>
      </c>
      <c r="AJ383" s="18" t="n">
        <v>13564</v>
      </c>
      <c r="AK383" s="18" t="n">
        <v>0</v>
      </c>
      <c r="AL383" s="17" t="n">
        <f aca="false">AG383+AI383+AJ383+AK383</f>
        <v>64504.424</v>
      </c>
      <c r="AM383" s="20" t="n">
        <f aca="false">IF(L383&gt;0,AL383/L383,0)</f>
        <v>0.165706552538219</v>
      </c>
      <c r="AN383" s="16" t="n">
        <f aca="false">L383*INDEX(Parametros!$G$2:$G$9,MATCH($E383,Parametros!$A$2:$A$9,0))</f>
        <v>630615.78</v>
      </c>
      <c r="AO383" s="17" t="n">
        <f aca="false">AN383-AC383-AL383</f>
        <v>168097.426</v>
      </c>
      <c r="AP383" s="15" t="n">
        <f aca="false">IF(AN383&gt;0,AO383/AN383,0)</f>
        <v>0.266560767001422</v>
      </c>
      <c r="AQ383" s="16" t="n">
        <f aca="false">INDEX(Parametros!$I$2:$I$9,MATCH($E383,Parametros!$A$2:$A$9,0))</f>
        <v>28000000</v>
      </c>
      <c r="AR383" s="19" t="n">
        <f aca="false">IF(AQ383&gt;0,AO383/AQ383,0)</f>
        <v>0.0060034795</v>
      </c>
    </row>
    <row r="384" customFormat="false" ht="15" hidden="false" customHeight="false" outlineLevel="0" collapsed="false">
      <c r="A384" s="5" t="s">
        <v>519</v>
      </c>
      <c r="B384" s="9" t="n">
        <v>45880</v>
      </c>
      <c r="C384" s="2" t="str">
        <f aca="false">TEXT(B384,"yyyy")</f>
        <v>2025</v>
      </c>
      <c r="D384" s="2" t="n">
        <f aca="false">WEEKNUM(B384,2)</f>
        <v>33</v>
      </c>
      <c r="E384" s="5" t="s">
        <v>142</v>
      </c>
      <c r="F384" s="6" t="str">
        <f aca="false">INDEX(Parametros!$B$2:$B$9,MATCH($E384,Parametros!$A$2:$A$9,0))</f>
        <v>Porciones single serve</v>
      </c>
      <c r="G384" s="10" t="n">
        <v>128.1</v>
      </c>
      <c r="H384" s="10" t="n">
        <v>8.9</v>
      </c>
      <c r="I384" s="11" t="n">
        <f aca="false">SUMIFS(Eventos_Paro!$J$2:$J$2186,Eventos_Paro!$D$2:$D$2186,$E384,Eventos_Paro!$B$2:$B$2186,$B384)</f>
        <v>1.53333333333333</v>
      </c>
      <c r="J384" s="12" t="n">
        <f aca="false">G384-H384-I384</f>
        <v>117.666666666667</v>
      </c>
      <c r="K384" s="13" t="n">
        <v>256409</v>
      </c>
      <c r="L384" s="13" t="n">
        <v>247389</v>
      </c>
      <c r="M384" s="13" t="n">
        <v>13529</v>
      </c>
      <c r="N384" s="14" t="n">
        <f aca="false">L384+M384</f>
        <v>260918</v>
      </c>
      <c r="O384" s="11" t="n">
        <f aca="false">INDEX(Parametros!$D$2:$D$9,MATCH($E384,Parametros!$A$2:$A$9,0))</f>
        <v>2600</v>
      </c>
      <c r="P384" s="15" t="n">
        <f aca="false">IF((G384-H384)&gt;0,J384/(G384-H384),0)</f>
        <v>0.987136465324385</v>
      </c>
      <c r="Q384" s="15" t="n">
        <f aca="false">IF(J384*O384&gt;0,N384/(O384*J384),0)</f>
        <v>0.852859010677708</v>
      </c>
      <c r="R384" s="15" t="n">
        <f aca="false">IF(N384&gt;0,L384/N384,0)</f>
        <v>0.948148460435846</v>
      </c>
      <c r="S384" s="15" t="n">
        <f aca="false">P384*Q384*R384</f>
        <v>0.798235028394424</v>
      </c>
      <c r="T384" s="15" t="n">
        <f aca="false">IF(K384&gt;0,L384/K384,0)</f>
        <v>0.964821827626955</v>
      </c>
      <c r="U384" s="10" t="n">
        <v>2071.3</v>
      </c>
      <c r="V384" s="5" t="n">
        <v>15</v>
      </c>
      <c r="W384" s="10" t="n">
        <v>149.8</v>
      </c>
      <c r="X384" s="15" t="n">
        <f aca="false">IF(U384&gt;0,W384/U384,0)</f>
        <v>0.0723217303142954</v>
      </c>
      <c r="Y384" s="12" t="n">
        <f aca="false">IF(U384&gt;0,L384/U384,0)</f>
        <v>119.436585719114</v>
      </c>
      <c r="Z384" s="16" t="n">
        <f aca="false">L384*INDEX(Parametros!$E$2:$E$9,MATCH($E384,Parametros!$A$2:$A$9,0))</f>
        <v>183067.86</v>
      </c>
      <c r="AA384" s="16" t="n">
        <f aca="false">Z384*INDEX(Parametros!$F$2:$F$9,MATCH($E384,Parametros!$A$2:$A$9,0))</f>
        <v>8238.0537</v>
      </c>
      <c r="AB384" s="17" t="n">
        <f aca="false">Z384+AA384</f>
        <v>191305.9137</v>
      </c>
      <c r="AC384" s="18" t="n">
        <v>193719.17</v>
      </c>
      <c r="AD384" s="17" t="n">
        <f aca="false">AC384-AB384</f>
        <v>2413.25630000004</v>
      </c>
      <c r="AE384" s="17" t="n">
        <f aca="false">AA384+AD384</f>
        <v>10651.31</v>
      </c>
      <c r="AF384" s="19" t="n">
        <f aca="false">IF(Z384&gt;0,AE384/Z384,0)</f>
        <v>0.0581823046382912</v>
      </c>
      <c r="AG384" s="16" t="n">
        <f aca="false">(U384-W384)*INDEX(Parametros!$H$2:$H$9,MATCH($E384,Parametros!$A$2:$A$9,0))+W384*INDEX(Parametros!$H$2:$H$9,MATCH($E384,Parametros!$A$2:$A$9,0))*Parametros!$N$3</f>
        <v>64386</v>
      </c>
      <c r="AH384" s="13" t="n">
        <v>13126</v>
      </c>
      <c r="AI384" s="16" t="n">
        <f aca="false">AH384*Parametros!$N$2</f>
        <v>1207.592</v>
      </c>
      <c r="AJ384" s="18" t="n">
        <v>11400</v>
      </c>
      <c r="AK384" s="18" t="n">
        <v>1365</v>
      </c>
      <c r="AL384" s="17" t="n">
        <f aca="false">AG384+AI384+AJ384+AK384</f>
        <v>78358.592</v>
      </c>
      <c r="AM384" s="20" t="n">
        <f aca="false">IF(L384&gt;0,AL384/L384,0)</f>
        <v>0.316742425896058</v>
      </c>
      <c r="AN384" s="16" t="n">
        <f aca="false">L384*INDEX(Parametros!$G$2:$G$9,MATCH($E384,Parametros!$A$2:$A$9,0))</f>
        <v>425509.08</v>
      </c>
      <c r="AO384" s="17" t="n">
        <f aca="false">AN384-AC384-AL384</f>
        <v>153431.318</v>
      </c>
      <c r="AP384" s="15" t="n">
        <f aca="false">IF(AN384&gt;0,AO384/AN384,0)</f>
        <v>0.360582946902097</v>
      </c>
      <c r="AQ384" s="16" t="n">
        <f aca="false">INDEX(Parametros!$I$2:$I$9,MATCH($E384,Parametros!$A$2:$A$9,0))</f>
        <v>15900000</v>
      </c>
      <c r="AR384" s="19" t="n">
        <f aca="false">IF(AQ384&gt;0,AO384/AQ384,0)</f>
        <v>0.00964976842767296</v>
      </c>
    </row>
    <row r="385" customFormat="false" ht="15" hidden="false" customHeight="false" outlineLevel="0" collapsed="false">
      <c r="A385" s="5" t="s">
        <v>520</v>
      </c>
      <c r="B385" s="9" t="n">
        <v>45880</v>
      </c>
      <c r="C385" s="2" t="str">
        <f aca="false">TEXT(B385,"yyyy")</f>
        <v>2025</v>
      </c>
      <c r="D385" s="2" t="n">
        <f aca="false">WEEKNUM(B385,2)</f>
        <v>33</v>
      </c>
      <c r="E385" s="5" t="s">
        <v>144</v>
      </c>
      <c r="F385" s="6" t="str">
        <f aca="false">INDEX(Parametros!$B$2:$B$9,MATCH($E385,Parametros!$A$2:$A$9,0))</f>
        <v>Salsas picantes</v>
      </c>
      <c r="G385" s="10" t="n">
        <v>79.3</v>
      </c>
      <c r="H385" s="10" t="n">
        <v>5.2</v>
      </c>
      <c r="I385" s="11" t="n">
        <f aca="false">SUMIFS(Eventos_Paro!$J$2:$J$2186,Eventos_Paro!$D$2:$D$2186,$E385,Eventos_Paro!$B$2:$B$2186,$B385)</f>
        <v>0.9</v>
      </c>
      <c r="J385" s="12" t="n">
        <f aca="false">G385-H385-I385</f>
        <v>73.2</v>
      </c>
      <c r="K385" s="13" t="n">
        <v>174603</v>
      </c>
      <c r="L385" s="13" t="n">
        <v>188747</v>
      </c>
      <c r="M385" s="13" t="n">
        <v>5174</v>
      </c>
      <c r="N385" s="14" t="n">
        <f aca="false">L385+M385</f>
        <v>193921</v>
      </c>
      <c r="O385" s="11" t="n">
        <f aca="false">INDEX(Parametros!$D$2:$D$9,MATCH($E385,Parametros!$A$2:$A$9,0))</f>
        <v>3100</v>
      </c>
      <c r="P385" s="15" t="n">
        <f aca="false">IF((G385-H385)&gt;0,J385/(G385-H385),0)</f>
        <v>0.987854251012146</v>
      </c>
      <c r="Q385" s="15" t="n">
        <f aca="false">IF(J385*O385&gt;0,N385/(O385*J385),0)</f>
        <v>0.854578706151948</v>
      </c>
      <c r="R385" s="15" t="n">
        <f aca="false">IF(N385&gt;0,L385/N385,0)</f>
        <v>0.973319031976939</v>
      </c>
      <c r="S385" s="15" t="n">
        <f aca="false">P385*Q385*R385</f>
        <v>0.821675155631013</v>
      </c>
      <c r="T385" s="15" t="n">
        <f aca="false">IF(K385&gt;0,L385/K385,0)</f>
        <v>1.08100662646117</v>
      </c>
      <c r="U385" s="10" t="n">
        <v>765</v>
      </c>
      <c r="V385" s="5" t="n">
        <v>9</v>
      </c>
      <c r="W385" s="10" t="n">
        <v>51.3</v>
      </c>
      <c r="X385" s="15" t="n">
        <f aca="false">IF(U385&gt;0,W385/U385,0)</f>
        <v>0.0670588235294118</v>
      </c>
      <c r="Y385" s="12" t="n">
        <f aca="false">IF(U385&gt;0,L385/U385,0)</f>
        <v>246.728104575163</v>
      </c>
      <c r="Z385" s="16" t="n">
        <f aca="false">L385*INDEX(Parametros!$E$2:$E$9,MATCH($E385,Parametros!$A$2:$A$9,0))</f>
        <v>124573.02</v>
      </c>
      <c r="AA385" s="16" t="n">
        <f aca="false">Z385*INDEX(Parametros!$F$2:$F$9,MATCH($E385,Parametros!$A$2:$A$9,0))</f>
        <v>3238.89852</v>
      </c>
      <c r="AB385" s="17" t="n">
        <f aca="false">Z385+AA385</f>
        <v>127811.91852</v>
      </c>
      <c r="AC385" s="18" t="n">
        <v>125794.86</v>
      </c>
      <c r="AD385" s="17" t="n">
        <f aca="false">AC385-AB385</f>
        <v>-2017.05852000001</v>
      </c>
      <c r="AE385" s="17" t="n">
        <f aca="false">AA385+AD385</f>
        <v>1221.83999999999</v>
      </c>
      <c r="AF385" s="19" t="n">
        <f aca="false">IF(Z385&gt;0,AE385/Z385,0)</f>
        <v>0.00980822332155064</v>
      </c>
      <c r="AG385" s="16" t="n">
        <f aca="false">(U385-W385)*INDEX(Parametros!$H$2:$H$9,MATCH($E385,Parametros!$A$2:$A$9,0))+W385*INDEX(Parametros!$H$2:$H$9,MATCH($E385,Parametros!$A$2:$A$9,0))*Parametros!$N$3</f>
        <v>24905.475</v>
      </c>
      <c r="AH385" s="13" t="n">
        <v>9335</v>
      </c>
      <c r="AI385" s="16" t="n">
        <f aca="false">AH385*Parametros!$N$2</f>
        <v>858.82</v>
      </c>
      <c r="AJ385" s="18" t="n">
        <v>4971</v>
      </c>
      <c r="AK385" s="18" t="n">
        <v>777</v>
      </c>
      <c r="AL385" s="17" t="n">
        <f aca="false">AG385+AI385+AJ385+AK385</f>
        <v>31512.295</v>
      </c>
      <c r="AM385" s="20" t="n">
        <f aca="false">IF(L385&gt;0,AL385/L385,0)</f>
        <v>0.166955209884131</v>
      </c>
      <c r="AN385" s="16" t="n">
        <f aca="false">L385*INDEX(Parametros!$G$2:$G$9,MATCH($E385,Parametros!$A$2:$A$9,0))</f>
        <v>235933.75</v>
      </c>
      <c r="AO385" s="17" t="n">
        <f aca="false">AN385-AC385-AL385</f>
        <v>78626.595</v>
      </c>
      <c r="AP385" s="15" t="n">
        <f aca="false">IF(AN385&gt;0,AO385/AN385,0)</f>
        <v>0.333257090178917</v>
      </c>
      <c r="AQ385" s="16" t="n">
        <f aca="false">INDEX(Parametros!$I$2:$I$9,MATCH($E385,Parametros!$A$2:$A$9,0))</f>
        <v>13300000</v>
      </c>
      <c r="AR385" s="19" t="n">
        <f aca="false">IF(AQ385&gt;0,AO385/AQ385,0)</f>
        <v>0.00591177406015038</v>
      </c>
    </row>
    <row r="386" customFormat="false" ht="15" hidden="false" customHeight="false" outlineLevel="0" collapsed="false">
      <c r="A386" s="5" t="s">
        <v>521</v>
      </c>
      <c r="B386" s="9" t="n">
        <v>45887</v>
      </c>
      <c r="C386" s="2" t="str">
        <f aca="false">TEXT(B386,"yyyy")</f>
        <v>2025</v>
      </c>
      <c r="D386" s="2" t="n">
        <f aca="false">WEEKNUM(B386,2)</f>
        <v>34</v>
      </c>
      <c r="E386" s="5" t="s">
        <v>130</v>
      </c>
      <c r="F386" s="6" t="str">
        <f aca="false">INDEX(Parametros!$B$2:$B$9,MATCH($E386,Parametros!$A$2:$A$9,0))</f>
        <v>Ketchup botella</v>
      </c>
      <c r="G386" s="10" t="n">
        <v>116.7</v>
      </c>
      <c r="H386" s="10" t="n">
        <v>5</v>
      </c>
      <c r="I386" s="11" t="n">
        <f aca="false">SUMIFS(Eventos_Paro!$J$2:$J$2186,Eventos_Paro!$D$2:$D$2186,$E386,Eventos_Paro!$B$2:$B$2186,$B386)</f>
        <v>8.15</v>
      </c>
      <c r="J386" s="12" t="n">
        <f aca="false">G386-H386-I386</f>
        <v>103.55</v>
      </c>
      <c r="K386" s="13" t="n">
        <v>829514</v>
      </c>
      <c r="L386" s="13" t="n">
        <v>764304</v>
      </c>
      <c r="M386" s="13" t="n">
        <v>19419</v>
      </c>
      <c r="N386" s="14" t="n">
        <f aca="false">L386+M386</f>
        <v>783723</v>
      </c>
      <c r="O386" s="11" t="n">
        <f aca="false">INDEX(Parametros!$D$2:$D$9,MATCH($E386,Parametros!$A$2:$A$9,0))</f>
        <v>9000</v>
      </c>
      <c r="P386" s="15" t="n">
        <f aca="false">IF((G386-H386)&gt;0,J386/(G386-H386),0)</f>
        <v>0.927036705461056</v>
      </c>
      <c r="Q386" s="15" t="n">
        <f aca="false">IF(J386*O386&gt;0,N386/(O386*J386),0)</f>
        <v>0.840949621760824</v>
      </c>
      <c r="R386" s="15" t="n">
        <f aca="false">IF(N386&gt;0,L386/N386,0)</f>
        <v>0.975222112914895</v>
      </c>
      <c r="S386" s="15" t="n">
        <f aca="false">P386*Q386*R386</f>
        <v>0.760274544911967</v>
      </c>
      <c r="T386" s="15" t="n">
        <f aca="false">IF(K386&gt;0,L386/K386,0)</f>
        <v>0.921387704125548</v>
      </c>
      <c r="U386" s="10" t="n">
        <v>1602.8</v>
      </c>
      <c r="V386" s="5" t="n">
        <v>13</v>
      </c>
      <c r="W386" s="10" t="n">
        <v>85.7</v>
      </c>
      <c r="X386" s="15" t="n">
        <f aca="false">IF(U386&gt;0,W386/U386,0)</f>
        <v>0.0534689293735962</v>
      </c>
      <c r="Y386" s="12" t="n">
        <f aca="false">IF(U386&gt;0,L386/U386,0)</f>
        <v>476.855502869978</v>
      </c>
      <c r="Z386" s="16" t="n">
        <f aca="false">L386*INDEX(Parametros!$E$2:$E$9,MATCH($E386,Parametros!$A$2:$A$9,0))</f>
        <v>321007.68</v>
      </c>
      <c r="AA386" s="16" t="n">
        <f aca="false">Z386*INDEX(Parametros!$F$2:$F$9,MATCH($E386,Parametros!$A$2:$A$9,0))</f>
        <v>6420.1536</v>
      </c>
      <c r="AB386" s="17" t="n">
        <f aca="false">Z386+AA386</f>
        <v>327427.8336</v>
      </c>
      <c r="AC386" s="18" t="n">
        <v>329271</v>
      </c>
      <c r="AD386" s="17" t="n">
        <f aca="false">AC386-AB386</f>
        <v>1843.16639999999</v>
      </c>
      <c r="AE386" s="17" t="n">
        <f aca="false">AA386+AD386</f>
        <v>8263.31999999999</v>
      </c>
      <c r="AF386" s="19" t="n">
        <f aca="false">IF(Z386&gt;0,AE386/Z386,0)</f>
        <v>0.025741814027627</v>
      </c>
      <c r="AG386" s="16" t="n">
        <f aca="false">(U386-W386)*INDEX(Parametros!$H$2:$H$9,MATCH($E386,Parametros!$A$2:$A$9,0))+W386*INDEX(Parametros!$H$2:$H$9,MATCH($E386,Parametros!$A$2:$A$9,0))*Parametros!$N$3</f>
        <v>51837.975</v>
      </c>
      <c r="AH386" s="13" t="n">
        <v>40984</v>
      </c>
      <c r="AI386" s="16" t="n">
        <f aca="false">AH386*Parametros!$N$2</f>
        <v>3770.528</v>
      </c>
      <c r="AJ386" s="18" t="n">
        <v>18015</v>
      </c>
      <c r="AK386" s="18" t="n">
        <v>8507</v>
      </c>
      <c r="AL386" s="17" t="n">
        <f aca="false">AG386+AI386+AJ386+AK386</f>
        <v>82130.503</v>
      </c>
      <c r="AM386" s="20" t="n">
        <f aca="false">IF(L386&gt;0,AL386/L386,0)</f>
        <v>0.107457900259583</v>
      </c>
      <c r="AN386" s="16" t="n">
        <f aca="false">L386*INDEX(Parametros!$G$2:$G$9,MATCH($E386,Parametros!$A$2:$A$9,0))</f>
        <v>542655.84</v>
      </c>
      <c r="AO386" s="17" t="n">
        <f aca="false">AN386-AC386-AL386</f>
        <v>131254.337</v>
      </c>
      <c r="AP386" s="15" t="n">
        <f aca="false">IF(AN386&gt;0,AO386/AN386,0)</f>
        <v>0.241873996970161</v>
      </c>
      <c r="AQ386" s="16" t="n">
        <f aca="false">INDEX(Parametros!$I$2:$I$9,MATCH($E386,Parametros!$A$2:$A$9,0))</f>
        <v>29300000</v>
      </c>
      <c r="AR386" s="19" t="n">
        <f aca="false">IF(AQ386&gt;0,AO386/AQ386,0)</f>
        <v>0.00447967020477816</v>
      </c>
    </row>
    <row r="387" customFormat="false" ht="15" hidden="false" customHeight="false" outlineLevel="0" collapsed="false">
      <c r="A387" s="5" t="s">
        <v>522</v>
      </c>
      <c r="B387" s="9" t="n">
        <v>45887</v>
      </c>
      <c r="C387" s="2" t="str">
        <f aca="false">TEXT(B387,"yyyy")</f>
        <v>2025</v>
      </c>
      <c r="D387" s="2" t="n">
        <f aca="false">WEEKNUM(B387,2)</f>
        <v>34</v>
      </c>
      <c r="E387" s="5" t="s">
        <v>132</v>
      </c>
      <c r="F387" s="6" t="str">
        <f aca="false">INDEX(Parametros!$B$2:$B$9,MATCH($E387,Parametros!$A$2:$A$9,0))</f>
        <v>Mayonesa frasco</v>
      </c>
      <c r="G387" s="10" t="n">
        <v>122.9</v>
      </c>
      <c r="H387" s="10" t="n">
        <v>6.9</v>
      </c>
      <c r="I387" s="11" t="n">
        <f aca="false">SUMIFS(Eventos_Paro!$J$2:$J$2186,Eventos_Paro!$D$2:$D$2186,$E387,Eventos_Paro!$B$2:$B$2186,$B387)</f>
        <v>1.7</v>
      </c>
      <c r="J387" s="12" t="n">
        <f aca="false">G387-H387-I387</f>
        <v>114.3</v>
      </c>
      <c r="K387" s="13" t="n">
        <v>622156</v>
      </c>
      <c r="L387" s="13" t="n">
        <v>613865</v>
      </c>
      <c r="M387" s="13" t="n">
        <v>24205</v>
      </c>
      <c r="N387" s="14" t="n">
        <f aca="false">L387+M387</f>
        <v>638070</v>
      </c>
      <c r="O387" s="11" t="n">
        <f aca="false">INDEX(Parametros!$D$2:$D$9,MATCH($E387,Parametros!$A$2:$A$9,0))</f>
        <v>6500</v>
      </c>
      <c r="P387" s="15" t="n">
        <f aca="false">IF((G387-H387)&gt;0,J387/(G387-H387),0)</f>
        <v>0.985344827586207</v>
      </c>
      <c r="Q387" s="15" t="n">
        <f aca="false">IF(J387*O387&gt;0,N387/(O387*J387),0)</f>
        <v>0.858833030486574</v>
      </c>
      <c r="R387" s="15" t="n">
        <f aca="false">IF(N387&gt;0,L387/N387,0)</f>
        <v>0.962065290642093</v>
      </c>
      <c r="S387" s="15" t="n">
        <f aca="false">P387*Q387*R387</f>
        <v>0.814144562334218</v>
      </c>
      <c r="T387" s="15" t="n">
        <f aca="false">IF(K387&gt;0,L387/K387,0)</f>
        <v>0.986673760278773</v>
      </c>
      <c r="U387" s="10" t="n">
        <v>1597.1</v>
      </c>
      <c r="V387" s="5" t="n">
        <v>12</v>
      </c>
      <c r="W387" s="10" t="n">
        <v>122.3</v>
      </c>
      <c r="X387" s="15" t="n">
        <f aca="false">IF(U387&gt;0,W387/U387,0)</f>
        <v>0.0765762945338426</v>
      </c>
      <c r="Y387" s="12" t="n">
        <f aca="false">IF(U387&gt;0,L387/U387,0)</f>
        <v>384.362281635464</v>
      </c>
      <c r="Z387" s="16" t="n">
        <f aca="false">L387*INDEX(Parametros!$E$2:$E$9,MATCH($E387,Parametros!$A$2:$A$9,0))</f>
        <v>374457.65</v>
      </c>
      <c r="AA387" s="16" t="n">
        <f aca="false">Z387*INDEX(Parametros!$F$2:$F$9,MATCH($E387,Parametros!$A$2:$A$9,0))</f>
        <v>9361.44125</v>
      </c>
      <c r="AB387" s="17" t="n">
        <f aca="false">Z387+AA387</f>
        <v>383819.09125</v>
      </c>
      <c r="AC387" s="18" t="n">
        <v>383137.31</v>
      </c>
      <c r="AD387" s="17" t="n">
        <f aca="false">AC387-AB387</f>
        <v>-681.781249999942</v>
      </c>
      <c r="AE387" s="17" t="n">
        <f aca="false">AA387+AD387</f>
        <v>8679.66000000006</v>
      </c>
      <c r="AF387" s="19" t="n">
        <f aca="false">IF(Z387&gt;0,AE387/Z387,0)</f>
        <v>0.0231792834249749</v>
      </c>
      <c r="AG387" s="16" t="n">
        <f aca="false">(U387-W387)*INDEX(Parametros!$H$2:$H$9,MATCH($E387,Parametros!$A$2:$A$9,0))+W387*INDEX(Parametros!$H$2:$H$9,MATCH($E387,Parametros!$A$2:$A$9,0))*Parametros!$N$3</f>
        <v>52234.875</v>
      </c>
      <c r="AH387" s="13" t="n">
        <v>32081</v>
      </c>
      <c r="AI387" s="16" t="n">
        <f aca="false">AH387*Parametros!$N$2</f>
        <v>2951.452</v>
      </c>
      <c r="AJ387" s="18" t="n">
        <v>12386</v>
      </c>
      <c r="AK387" s="18" t="n">
        <v>1389</v>
      </c>
      <c r="AL387" s="17" t="n">
        <f aca="false">AG387+AI387+AJ387+AK387</f>
        <v>68961.327</v>
      </c>
      <c r="AM387" s="20" t="n">
        <f aca="false">IF(L387&gt;0,AL387/L387,0)</f>
        <v>0.112339564888045</v>
      </c>
      <c r="AN387" s="16" t="n">
        <f aca="false">L387*INDEX(Parametros!$G$2:$G$9,MATCH($E387,Parametros!$A$2:$A$9,0))</f>
        <v>589310.4</v>
      </c>
      <c r="AO387" s="17" t="n">
        <f aca="false">AN387-AC387-AL387</f>
        <v>137211.763</v>
      </c>
      <c r="AP387" s="15" t="n">
        <f aca="false">IF(AN387&gt;0,AO387/AN387,0)</f>
        <v>0.232834450232</v>
      </c>
      <c r="AQ387" s="16" t="n">
        <f aca="false">INDEX(Parametros!$I$2:$I$9,MATCH($E387,Parametros!$A$2:$A$9,0))</f>
        <v>29700000</v>
      </c>
      <c r="AR387" s="19" t="n">
        <f aca="false">IF(AQ387&gt;0,AO387/AQ387,0)</f>
        <v>0.00461992468013468</v>
      </c>
    </row>
    <row r="388" customFormat="false" ht="15" hidden="false" customHeight="false" outlineLevel="0" collapsed="false">
      <c r="A388" s="5" t="s">
        <v>523</v>
      </c>
      <c r="B388" s="9" t="n">
        <v>45887</v>
      </c>
      <c r="C388" s="2" t="str">
        <f aca="false">TEXT(B388,"yyyy")</f>
        <v>2025</v>
      </c>
      <c r="D388" s="2" t="n">
        <f aca="false">WEEKNUM(B388,2)</f>
        <v>34</v>
      </c>
      <c r="E388" s="5" t="s">
        <v>134</v>
      </c>
      <c r="F388" s="6" t="str">
        <f aca="false">INDEX(Parametros!$B$2:$B$9,MATCH($E388,Parametros!$A$2:$A$9,0))</f>
        <v>Aderezos vertibles</v>
      </c>
      <c r="G388" s="10" t="n">
        <v>117.9</v>
      </c>
      <c r="H388" s="10" t="n">
        <v>5.7</v>
      </c>
      <c r="I388" s="11" t="n">
        <f aca="false">SUMIFS(Eventos_Paro!$J$2:$J$2186,Eventos_Paro!$D$2:$D$2186,$E388,Eventos_Paro!$B$2:$B$2186,$B388)</f>
        <v>6.1</v>
      </c>
      <c r="J388" s="12" t="n">
        <f aca="false">G388-H388-I388</f>
        <v>106.1</v>
      </c>
      <c r="K388" s="13" t="n">
        <v>481420</v>
      </c>
      <c r="L388" s="13" t="n">
        <v>471711</v>
      </c>
      <c r="M388" s="13" t="n">
        <v>18721</v>
      </c>
      <c r="N388" s="14" t="n">
        <f aca="false">L388+M388</f>
        <v>490432</v>
      </c>
      <c r="O388" s="11" t="n">
        <f aca="false">INDEX(Parametros!$D$2:$D$9,MATCH($E388,Parametros!$A$2:$A$9,0))</f>
        <v>5200</v>
      </c>
      <c r="P388" s="15" t="n">
        <f aca="false">IF((G388-H388)&gt;0,J388/(G388-H388),0)</f>
        <v>0.945632798573975</v>
      </c>
      <c r="Q388" s="15" t="n">
        <f aca="false">IF(J388*O388&gt;0,N388/(O388*J388),0)</f>
        <v>0.888914666860001</v>
      </c>
      <c r="R388" s="15" t="n">
        <f aca="false">IF(N388&gt;0,L388/N388,0)</f>
        <v>0.96182753164557</v>
      </c>
      <c r="S388" s="15" t="n">
        <f aca="false">P388*Q388*R388</f>
        <v>0.808499588646648</v>
      </c>
      <c r="T388" s="15" t="n">
        <f aca="false">IF(K388&gt;0,L388/K388,0)</f>
        <v>0.979832578621578</v>
      </c>
      <c r="U388" s="10" t="n">
        <v>1369.1</v>
      </c>
      <c r="V388" s="5" t="n">
        <v>11</v>
      </c>
      <c r="W388" s="10" t="n">
        <v>72.2</v>
      </c>
      <c r="X388" s="15" t="n">
        <f aca="false">IF(U388&gt;0,W388/U388,0)</f>
        <v>0.0527353736030969</v>
      </c>
      <c r="Y388" s="12" t="n">
        <f aca="false">IF(U388&gt;0,L388/U388,0)</f>
        <v>344.540939303192</v>
      </c>
      <c r="Z388" s="16" t="n">
        <f aca="false">L388*INDEX(Parametros!$E$2:$E$9,MATCH($E388,Parametros!$A$2:$A$9,0))</f>
        <v>259441.05</v>
      </c>
      <c r="AA388" s="16" t="n">
        <f aca="false">Z388*INDEX(Parametros!$F$2:$F$9,MATCH($E388,Parametros!$A$2:$A$9,0))</f>
        <v>7783.2315</v>
      </c>
      <c r="AB388" s="17" t="n">
        <f aca="false">Z388+AA388</f>
        <v>267224.2815</v>
      </c>
      <c r="AC388" s="18" t="n">
        <v>261007.32</v>
      </c>
      <c r="AD388" s="17" t="n">
        <f aca="false">AC388-AB388</f>
        <v>-6216.96150000003</v>
      </c>
      <c r="AE388" s="17" t="n">
        <f aca="false">AA388+AD388</f>
        <v>1566.26999999997</v>
      </c>
      <c r="AF388" s="19" t="n">
        <f aca="false">IF(Z388&gt;0,AE388/Z388,0)</f>
        <v>0.00603709397568336</v>
      </c>
      <c r="AG388" s="16" t="n">
        <f aca="false">(U388-W388)*INDEX(Parametros!$H$2:$H$9,MATCH($E388,Parametros!$A$2:$A$9,0))+W388*INDEX(Parametros!$H$2:$H$9,MATCH($E388,Parametros!$A$2:$A$9,0))*Parametros!$N$3</f>
        <v>44263.8</v>
      </c>
      <c r="AH388" s="13" t="n">
        <v>23662</v>
      </c>
      <c r="AI388" s="16" t="n">
        <f aca="false">AH388*Parametros!$N$2</f>
        <v>2176.904</v>
      </c>
      <c r="AJ388" s="18" t="n">
        <v>11030</v>
      </c>
      <c r="AK388" s="18" t="n">
        <v>5869</v>
      </c>
      <c r="AL388" s="17" t="n">
        <f aca="false">AG388+AI388+AJ388+AK388</f>
        <v>63339.704</v>
      </c>
      <c r="AM388" s="20" t="n">
        <f aca="false">IF(L388&gt;0,AL388/L388,0)</f>
        <v>0.134276504045909</v>
      </c>
      <c r="AN388" s="16" t="n">
        <f aca="false">L388*INDEX(Parametros!$G$2:$G$9,MATCH($E388,Parametros!$A$2:$A$9,0))</f>
        <v>481145.22</v>
      </c>
      <c r="AO388" s="17" t="n">
        <f aca="false">AN388-AC388-AL388</f>
        <v>156798.196</v>
      </c>
      <c r="AP388" s="15" t="n">
        <f aca="false">IF(AN388&gt;0,AO388/AN388,0)</f>
        <v>0.32588538653673</v>
      </c>
      <c r="AQ388" s="16" t="n">
        <f aca="false">INDEX(Parametros!$I$2:$I$9,MATCH($E388,Parametros!$A$2:$A$9,0))</f>
        <v>19300000</v>
      </c>
      <c r="AR388" s="19" t="n">
        <f aca="false">IF(AQ388&gt;0,AO388/AQ388,0)</f>
        <v>0.00812425886010363</v>
      </c>
    </row>
    <row r="389" customFormat="false" ht="15" hidden="false" customHeight="false" outlineLevel="0" collapsed="false">
      <c r="A389" s="5" t="s">
        <v>524</v>
      </c>
      <c r="B389" s="9" t="n">
        <v>45887</v>
      </c>
      <c r="C389" s="2" t="str">
        <f aca="false">TEXT(B389,"yyyy")</f>
        <v>2025</v>
      </c>
      <c r="D389" s="2" t="n">
        <f aca="false">WEEKNUM(B389,2)</f>
        <v>34</v>
      </c>
      <c r="E389" s="5" t="s">
        <v>136</v>
      </c>
      <c r="F389" s="6" t="str">
        <f aca="false">INDEX(Parametros!$B$2:$B$9,MATCH($E389,Parametros!$A$2:$A$9,0))</f>
        <v>Salsa BBQ</v>
      </c>
      <c r="G389" s="10" t="n">
        <v>109.1</v>
      </c>
      <c r="H389" s="10" t="n">
        <v>8.8</v>
      </c>
      <c r="I389" s="11" t="n">
        <f aca="false">SUMIFS(Eventos_Paro!$J$2:$J$2186,Eventos_Paro!$D$2:$D$2186,$E389,Eventos_Paro!$B$2:$B$2186,$B389)</f>
        <v>9.23333333333333</v>
      </c>
      <c r="J389" s="12" t="n">
        <f aca="false">G389-H389-I389</f>
        <v>91.0666666666667</v>
      </c>
      <c r="K389" s="13" t="n">
        <v>439619</v>
      </c>
      <c r="L389" s="13" t="n">
        <v>355199</v>
      </c>
      <c r="M389" s="13" t="n">
        <v>5701</v>
      </c>
      <c r="N389" s="14" t="n">
        <f aca="false">L389+M389</f>
        <v>360900</v>
      </c>
      <c r="O389" s="11" t="n">
        <f aca="false">INDEX(Parametros!$D$2:$D$9,MATCH($E389,Parametros!$A$2:$A$9,0))</f>
        <v>4800</v>
      </c>
      <c r="P389" s="15" t="n">
        <f aca="false">IF((G389-H389)&gt;0,J389/(G389-H389),0)</f>
        <v>0.90794283815221</v>
      </c>
      <c r="Q389" s="15" t="n">
        <f aca="false">IF(J389*O389&gt;0,N389/(O389*J389),0)</f>
        <v>0.82563140556369</v>
      </c>
      <c r="R389" s="15" t="n">
        <f aca="false">IF(N389&gt;0,L389/N389,0)</f>
        <v>0.984203380437794</v>
      </c>
      <c r="S389" s="15" t="n">
        <f aca="false">P389*Q389*R389</f>
        <v>0.737784562977733</v>
      </c>
      <c r="T389" s="15" t="n">
        <f aca="false">IF(K389&gt;0,L389/K389,0)</f>
        <v>0.807970083185668</v>
      </c>
      <c r="U389" s="10" t="n">
        <v>1368.9</v>
      </c>
      <c r="V389" s="5" t="n">
        <v>12</v>
      </c>
      <c r="W389" s="10" t="n">
        <v>59.7</v>
      </c>
      <c r="X389" s="15" t="n">
        <f aca="false">IF(U389&gt;0,W389/U389,0)</f>
        <v>0.0436116589962744</v>
      </c>
      <c r="Y389" s="12" t="n">
        <f aca="false">IF(U389&gt;0,L389/U389,0)</f>
        <v>259.477682811016</v>
      </c>
      <c r="Z389" s="16" t="n">
        <f aca="false">L389*INDEX(Parametros!$E$2:$E$9,MATCH($E389,Parametros!$A$2:$A$9,0))</f>
        <v>206015.42</v>
      </c>
      <c r="AA389" s="16" t="n">
        <f aca="false">Z389*INDEX(Parametros!$F$2:$F$9,MATCH($E389,Parametros!$A$2:$A$9,0))</f>
        <v>5768.43176</v>
      </c>
      <c r="AB389" s="17" t="n">
        <f aca="false">Z389+AA389</f>
        <v>211783.85176</v>
      </c>
      <c r="AC389" s="18" t="n">
        <v>209036.48</v>
      </c>
      <c r="AD389" s="17" t="n">
        <f aca="false">AC389-AB389</f>
        <v>-2747.37175999998</v>
      </c>
      <c r="AE389" s="17" t="n">
        <f aca="false">AA389+AD389</f>
        <v>3021.06000000002</v>
      </c>
      <c r="AF389" s="19" t="n">
        <f aca="false">IF(Z389&gt;0,AE389/Z389,0)</f>
        <v>0.0146642421232353</v>
      </c>
      <c r="AG389" s="16" t="n">
        <f aca="false">(U389-W389)*INDEX(Parametros!$H$2:$H$9,MATCH($E389,Parametros!$A$2:$A$9,0))+W389*INDEX(Parametros!$H$2:$H$9,MATCH($E389,Parametros!$A$2:$A$9,0))*Parametros!$N$3</f>
        <v>44060.625</v>
      </c>
      <c r="AH389" s="13" t="n">
        <v>18648</v>
      </c>
      <c r="AI389" s="16" t="n">
        <f aca="false">AH389*Parametros!$N$2</f>
        <v>1715.616</v>
      </c>
      <c r="AJ389" s="18" t="n">
        <v>8409</v>
      </c>
      <c r="AK389" s="18" t="n">
        <v>8684</v>
      </c>
      <c r="AL389" s="17" t="n">
        <f aca="false">AG389+AI389+AJ389+AK389</f>
        <v>62869.241</v>
      </c>
      <c r="AM389" s="20" t="n">
        <f aca="false">IF(L389&gt;0,AL389/L389,0)</f>
        <v>0.176997235352577</v>
      </c>
      <c r="AN389" s="16" t="n">
        <f aca="false">L389*INDEX(Parametros!$G$2:$G$9,MATCH($E389,Parametros!$A$2:$A$9,0))</f>
        <v>348095.02</v>
      </c>
      <c r="AO389" s="17" t="n">
        <f aca="false">AN389-AC389-AL389</f>
        <v>76189.299</v>
      </c>
      <c r="AP389" s="15" t="n">
        <f aca="false">IF(AN389&gt;0,AO389/AN389,0)</f>
        <v>0.218875004301986</v>
      </c>
      <c r="AQ389" s="16" t="n">
        <f aca="false">INDEX(Parametros!$I$2:$I$9,MATCH($E389,Parametros!$A$2:$A$9,0))</f>
        <v>17000000</v>
      </c>
      <c r="AR389" s="19" t="n">
        <f aca="false">IF(AQ389&gt;0,AO389/AQ389,0)</f>
        <v>0.00448172347058824</v>
      </c>
    </row>
    <row r="390" customFormat="false" ht="15" hidden="false" customHeight="false" outlineLevel="0" collapsed="false">
      <c r="A390" s="5" t="s">
        <v>525</v>
      </c>
      <c r="B390" s="9" t="n">
        <v>45887</v>
      </c>
      <c r="C390" s="2" t="str">
        <f aca="false">TEXT(B390,"yyyy")</f>
        <v>2025</v>
      </c>
      <c r="D390" s="2" t="n">
        <f aca="false">WEEKNUM(B390,2)</f>
        <v>34</v>
      </c>
      <c r="E390" s="5" t="s">
        <v>138</v>
      </c>
      <c r="F390" s="6" t="str">
        <f aca="false">INDEX(Parametros!$B$2:$B$9,MATCH($E390,Parametros!$A$2:$A$9,0))</f>
        <v>Queso crema</v>
      </c>
      <c r="G390" s="10" t="n">
        <v>105.4</v>
      </c>
      <c r="H390" s="10" t="n">
        <v>8.6</v>
      </c>
      <c r="I390" s="11" t="n">
        <f aca="false">SUMIFS(Eventos_Paro!$J$2:$J$2186,Eventos_Paro!$D$2:$D$2186,$E390,Eventos_Paro!$B$2:$B$2186,$B390)</f>
        <v>1.1</v>
      </c>
      <c r="J390" s="12" t="n">
        <f aca="false">G390-H390-I390</f>
        <v>95.7</v>
      </c>
      <c r="K390" s="13" t="n">
        <v>303520</v>
      </c>
      <c r="L390" s="13" t="n">
        <v>283338</v>
      </c>
      <c r="M390" s="13" t="n">
        <v>11377</v>
      </c>
      <c r="N390" s="14" t="n">
        <f aca="false">L390+M390</f>
        <v>294715</v>
      </c>
      <c r="O390" s="11" t="n">
        <f aca="false">INDEX(Parametros!$D$2:$D$9,MATCH($E390,Parametros!$A$2:$A$9,0))</f>
        <v>3800</v>
      </c>
      <c r="P390" s="15" t="n">
        <f aca="false">IF((G390-H390)&gt;0,J390/(G390-H390),0)</f>
        <v>0.988636363636364</v>
      </c>
      <c r="Q390" s="15" t="n">
        <f aca="false">IF(J390*O390&gt;0,N390/(O390*J390),0)</f>
        <v>0.810413573117747</v>
      </c>
      <c r="R390" s="15" t="n">
        <f aca="false">IF(N390&gt;0,L390/N390,0)</f>
        <v>0.961396603498295</v>
      </c>
      <c r="S390" s="15" t="n">
        <f aca="false">P390*Q390*R390</f>
        <v>0.770275119617225</v>
      </c>
      <c r="T390" s="15" t="n">
        <f aca="false">IF(K390&gt;0,L390/K390,0)</f>
        <v>0.933506852925672</v>
      </c>
      <c r="U390" s="10" t="n">
        <v>1594.6</v>
      </c>
      <c r="V390" s="5" t="n">
        <v>15</v>
      </c>
      <c r="W390" s="10" t="n">
        <v>13.6</v>
      </c>
      <c r="X390" s="15" t="n">
        <f aca="false">IF(U390&gt;0,W390/U390,0)</f>
        <v>0.00852878464818763</v>
      </c>
      <c r="Y390" s="12" t="n">
        <f aca="false">IF(U390&gt;0,L390/U390,0)</f>
        <v>177.685940047661</v>
      </c>
      <c r="Z390" s="16" t="n">
        <f aca="false">L390*INDEX(Parametros!$E$2:$E$9,MATCH($E390,Parametros!$A$2:$A$9,0))</f>
        <v>317338.56</v>
      </c>
      <c r="AA390" s="16" t="n">
        <f aca="false">Z390*INDEX(Parametros!$F$2:$F$9,MATCH($E390,Parametros!$A$2:$A$9,0))</f>
        <v>11106.8496</v>
      </c>
      <c r="AB390" s="17" t="n">
        <f aca="false">Z390+AA390</f>
        <v>328445.4096</v>
      </c>
      <c r="AC390" s="18" t="n">
        <v>330605.84</v>
      </c>
      <c r="AD390" s="17" t="n">
        <f aca="false">AC390-AB390</f>
        <v>2160.43039999995</v>
      </c>
      <c r="AE390" s="17" t="n">
        <f aca="false">AA390+AD390</f>
        <v>13267.28</v>
      </c>
      <c r="AF390" s="19" t="n">
        <f aca="false">IF(Z390&gt;0,AE390/Z390,0)</f>
        <v>0.0418079668603776</v>
      </c>
      <c r="AG390" s="16" t="n">
        <f aca="false">(U390-W390)*INDEX(Parametros!$H$2:$H$9,MATCH($E390,Parametros!$A$2:$A$9,0))+W390*INDEX(Parametros!$H$2:$H$9,MATCH($E390,Parametros!$A$2:$A$9,0))*Parametros!$N$3</f>
        <v>52846.2</v>
      </c>
      <c r="AH390" s="13" t="n">
        <v>15586</v>
      </c>
      <c r="AI390" s="16" t="n">
        <f aca="false">AH390*Parametros!$N$2</f>
        <v>1433.912</v>
      </c>
      <c r="AJ390" s="18" t="n">
        <v>18128</v>
      </c>
      <c r="AK390" s="18" t="n">
        <v>1335</v>
      </c>
      <c r="AL390" s="17" t="n">
        <f aca="false">AG390+AI390+AJ390+AK390</f>
        <v>73743.112</v>
      </c>
      <c r="AM390" s="20" t="n">
        <f aca="false">IF(L390&gt;0,AL390/L390,0)</f>
        <v>0.260265520332606</v>
      </c>
      <c r="AN390" s="16" t="n">
        <f aca="false">L390*INDEX(Parametros!$G$2:$G$9,MATCH($E390,Parametros!$A$2:$A$9,0))</f>
        <v>507175.02</v>
      </c>
      <c r="AO390" s="17" t="n">
        <f aca="false">AN390-AC390-AL390</f>
        <v>102826.068</v>
      </c>
      <c r="AP390" s="15" t="n">
        <f aca="false">IF(AN390&gt;0,AO390/AN390,0)</f>
        <v>0.202742769152944</v>
      </c>
      <c r="AQ390" s="16" t="n">
        <f aca="false">INDEX(Parametros!$I$2:$I$9,MATCH($E390,Parametros!$A$2:$A$9,0))</f>
        <v>33200000</v>
      </c>
      <c r="AR390" s="19" t="n">
        <f aca="false">IF(AQ390&gt;0,AO390/AQ390,0)</f>
        <v>0.00309717072289157</v>
      </c>
    </row>
    <row r="391" customFormat="false" ht="15" hidden="false" customHeight="false" outlineLevel="0" collapsed="false">
      <c r="A391" s="5" t="s">
        <v>526</v>
      </c>
      <c r="B391" s="9" t="n">
        <v>45887</v>
      </c>
      <c r="C391" s="2" t="str">
        <f aca="false">TEXT(B391,"yyyy")</f>
        <v>2025</v>
      </c>
      <c r="D391" s="2" t="n">
        <f aca="false">WEEKNUM(B391,2)</f>
        <v>34</v>
      </c>
      <c r="E391" s="5" t="s">
        <v>140</v>
      </c>
      <c r="F391" s="6" t="str">
        <f aca="false">INDEX(Parametros!$B$2:$B$9,MATCH($E391,Parametros!$A$2:$A$9,0))</f>
        <v>Crema de cacahuate</v>
      </c>
      <c r="G391" s="10" t="n">
        <v>114.2</v>
      </c>
      <c r="H391" s="10" t="n">
        <v>6.2</v>
      </c>
      <c r="I391" s="11" t="n">
        <f aca="false">SUMIFS(Eventos_Paro!$J$2:$J$2186,Eventos_Paro!$D$2:$D$2186,$E391,Eventos_Paro!$B$2:$B$2186,$B391)</f>
        <v>2.51666666666667</v>
      </c>
      <c r="J391" s="12" t="n">
        <f aca="false">G391-H391-I391</f>
        <v>105.483333333333</v>
      </c>
      <c r="K391" s="13" t="n">
        <v>374284</v>
      </c>
      <c r="L391" s="13" t="n">
        <v>379073</v>
      </c>
      <c r="M391" s="13" t="n">
        <v>4882</v>
      </c>
      <c r="N391" s="14" t="n">
        <f aca="false">L391+M391</f>
        <v>383955</v>
      </c>
      <c r="O391" s="11" t="n">
        <f aca="false">INDEX(Parametros!$D$2:$D$9,MATCH($E391,Parametros!$A$2:$A$9,0))</f>
        <v>4200</v>
      </c>
      <c r="P391" s="15" t="n">
        <f aca="false">IF((G391-H391)&gt;0,J391/(G391-H391),0)</f>
        <v>0.976697530864198</v>
      </c>
      <c r="Q391" s="15" t="n">
        <f aca="false">IF(J391*O391&gt;0,N391/(O391*J391),0)</f>
        <v>0.866656885538225</v>
      </c>
      <c r="R391" s="15" t="n">
        <f aca="false">IF(N391&gt;0,L391/N391,0)</f>
        <v>0.987284968290555</v>
      </c>
      <c r="S391" s="15" t="n">
        <f aca="false">P391*Q391*R391</f>
        <v>0.83569885361552</v>
      </c>
      <c r="T391" s="15" t="n">
        <f aca="false">IF(K391&gt;0,L391/K391,0)</f>
        <v>1.01279509677144</v>
      </c>
      <c r="U391" s="10" t="n">
        <v>1463.8</v>
      </c>
      <c r="V391" s="5" t="n">
        <v>12</v>
      </c>
      <c r="W391" s="10" t="n">
        <v>93.4</v>
      </c>
      <c r="X391" s="15" t="n">
        <f aca="false">IF(U391&gt;0,W391/U391,0)</f>
        <v>0.0638065309468507</v>
      </c>
      <c r="Y391" s="12" t="n">
        <f aca="false">IF(U391&gt;0,L391/U391,0)</f>
        <v>258.965022544063</v>
      </c>
      <c r="Z391" s="16" t="n">
        <f aca="false">L391*INDEX(Parametros!$E$2:$E$9,MATCH($E391,Parametros!$A$2:$A$9,0))</f>
        <v>367700.81</v>
      </c>
      <c r="AA391" s="16" t="n">
        <f aca="false">Z391*INDEX(Parametros!$F$2:$F$9,MATCH($E391,Parametros!$A$2:$A$9,0))</f>
        <v>8089.41782</v>
      </c>
      <c r="AB391" s="17" t="n">
        <f aca="false">Z391+AA391</f>
        <v>375790.22782</v>
      </c>
      <c r="AC391" s="18" t="n">
        <v>371677.2</v>
      </c>
      <c r="AD391" s="17" t="n">
        <f aca="false">AC391-AB391</f>
        <v>-4113.02781999996</v>
      </c>
      <c r="AE391" s="17" t="n">
        <f aca="false">AA391+AD391</f>
        <v>3976.39000000004</v>
      </c>
      <c r="AF391" s="19" t="n">
        <f aca="false">IF(Z391&gt;0,AE391/Z391,0)</f>
        <v>0.0108141997293942</v>
      </c>
      <c r="AG391" s="16" t="n">
        <f aca="false">(U391-W391)*INDEX(Parametros!$H$2:$H$9,MATCH($E391,Parametros!$A$2:$A$9,0))+W391*INDEX(Parametros!$H$2:$H$9,MATCH($E391,Parametros!$A$2:$A$9,0))*Parametros!$N$3</f>
        <v>47580.75</v>
      </c>
      <c r="AH391" s="13" t="n">
        <v>20550</v>
      </c>
      <c r="AI391" s="16" t="n">
        <f aca="false">AH391*Parametros!$N$2</f>
        <v>1890.6</v>
      </c>
      <c r="AJ391" s="18" t="n">
        <v>12275</v>
      </c>
      <c r="AK391" s="18" t="n">
        <v>2278</v>
      </c>
      <c r="AL391" s="17" t="n">
        <f aca="false">AG391+AI391+AJ391+AK391</f>
        <v>64024.35</v>
      </c>
      <c r="AM391" s="20" t="n">
        <f aca="false">IF(L391&gt;0,AL391/L391,0)</f>
        <v>0.168897151735945</v>
      </c>
      <c r="AN391" s="16" t="n">
        <f aca="false">L391*INDEX(Parametros!$G$2:$G$9,MATCH($E391,Parametros!$A$2:$A$9,0))</f>
        <v>614098.26</v>
      </c>
      <c r="AO391" s="17" t="n">
        <f aca="false">AN391-AC391-AL391</f>
        <v>178396.71</v>
      </c>
      <c r="AP391" s="15" t="n">
        <f aca="false">IF(AN391&gt;0,AO391/AN391,0)</f>
        <v>0.29050189785589</v>
      </c>
      <c r="AQ391" s="16" t="n">
        <f aca="false">INDEX(Parametros!$I$2:$I$9,MATCH($E391,Parametros!$A$2:$A$9,0))</f>
        <v>28000000</v>
      </c>
      <c r="AR391" s="19" t="n">
        <f aca="false">IF(AQ391&gt;0,AO391/AQ391,0)</f>
        <v>0.00637131107142857</v>
      </c>
    </row>
    <row r="392" customFormat="false" ht="15" hidden="false" customHeight="false" outlineLevel="0" collapsed="false">
      <c r="A392" s="5" t="s">
        <v>527</v>
      </c>
      <c r="B392" s="9" t="n">
        <v>45887</v>
      </c>
      <c r="C392" s="2" t="str">
        <f aca="false">TEXT(B392,"yyyy")</f>
        <v>2025</v>
      </c>
      <c r="D392" s="2" t="n">
        <f aca="false">WEEKNUM(B392,2)</f>
        <v>34</v>
      </c>
      <c r="E392" s="5" t="s">
        <v>142</v>
      </c>
      <c r="F392" s="6" t="str">
        <f aca="false">INDEX(Parametros!$B$2:$B$9,MATCH($E392,Parametros!$A$2:$A$9,0))</f>
        <v>Porciones single serve</v>
      </c>
      <c r="G392" s="10" t="n">
        <v>135.4</v>
      </c>
      <c r="H392" s="10" t="n">
        <v>6.7</v>
      </c>
      <c r="I392" s="11" t="n">
        <f aca="false">SUMIFS(Eventos_Paro!$J$2:$J$2186,Eventos_Paro!$D$2:$D$2186,$E392,Eventos_Paro!$B$2:$B$2186,$B392)</f>
        <v>6.76666666666667</v>
      </c>
      <c r="J392" s="12" t="n">
        <f aca="false">G392-H392-I392</f>
        <v>121.933333333333</v>
      </c>
      <c r="K392" s="13" t="n">
        <v>276109</v>
      </c>
      <c r="L392" s="13" t="n">
        <v>257093</v>
      </c>
      <c r="M392" s="13" t="n">
        <v>9155</v>
      </c>
      <c r="N392" s="14" t="n">
        <f aca="false">L392+M392</f>
        <v>266248</v>
      </c>
      <c r="O392" s="11" t="n">
        <f aca="false">INDEX(Parametros!$D$2:$D$9,MATCH($E392,Parametros!$A$2:$A$9,0))</f>
        <v>2600</v>
      </c>
      <c r="P392" s="15" t="n">
        <f aca="false">IF((G392-H392)&gt;0,J392/(G392-H392),0)</f>
        <v>0.947422947422947</v>
      </c>
      <c r="Q392" s="15" t="n">
        <f aca="false">IF(J392*O392&gt;0,N392/(O392*J392),0)</f>
        <v>0.839828405602052</v>
      </c>
      <c r="R392" s="15" t="n">
        <f aca="false">IF(N392&gt;0,L392/N392,0)</f>
        <v>0.965614765181335</v>
      </c>
      <c r="S392" s="15" t="n">
        <f aca="false">P392*Q392*R392</f>
        <v>0.768313310621003</v>
      </c>
      <c r="T392" s="15" t="n">
        <f aca="false">IF(K392&gt;0,L392/K392,0)</f>
        <v>0.93112864846854</v>
      </c>
      <c r="U392" s="10" t="n">
        <v>2252.3</v>
      </c>
      <c r="V392" s="5" t="n">
        <v>16</v>
      </c>
      <c r="W392" s="10" t="n">
        <v>85.9</v>
      </c>
      <c r="X392" s="15" t="n">
        <f aca="false">IF(U392&gt;0,W392/U392,0)</f>
        <v>0.0381387914576211</v>
      </c>
      <c r="Y392" s="12" t="n">
        <f aca="false">IF(U392&gt;0,L392/U392,0)</f>
        <v>114.146872086312</v>
      </c>
      <c r="Z392" s="16" t="n">
        <f aca="false">L392*INDEX(Parametros!$E$2:$E$9,MATCH($E392,Parametros!$A$2:$A$9,0))</f>
        <v>190248.82</v>
      </c>
      <c r="AA392" s="16" t="n">
        <f aca="false">Z392*INDEX(Parametros!$F$2:$F$9,MATCH($E392,Parametros!$A$2:$A$9,0))</f>
        <v>8561.1969</v>
      </c>
      <c r="AB392" s="17" t="n">
        <f aca="false">Z392+AA392</f>
        <v>198810.0169</v>
      </c>
      <c r="AC392" s="18" t="n">
        <v>199643.5</v>
      </c>
      <c r="AD392" s="17" t="n">
        <f aca="false">AC392-AB392</f>
        <v>833.483099999983</v>
      </c>
      <c r="AE392" s="17" t="n">
        <f aca="false">AA392+AD392</f>
        <v>9394.67999999998</v>
      </c>
      <c r="AF392" s="19" t="n">
        <f aca="false">IF(Z392&gt;0,AE392/Z392,0)</f>
        <v>0.0493810158717409</v>
      </c>
      <c r="AG392" s="16" t="n">
        <f aca="false">(U392-W392)*INDEX(Parametros!$H$2:$H$9,MATCH($E392,Parametros!$A$2:$A$9,0))+W392*INDEX(Parametros!$H$2:$H$9,MATCH($E392,Parametros!$A$2:$A$9,0))*Parametros!$N$3</f>
        <v>68857.5</v>
      </c>
      <c r="AH392" s="13" t="n">
        <v>13588</v>
      </c>
      <c r="AI392" s="16" t="n">
        <f aca="false">AH392*Parametros!$N$2</f>
        <v>1250.096</v>
      </c>
      <c r="AJ392" s="18" t="n">
        <v>10861</v>
      </c>
      <c r="AK392" s="18" t="n">
        <v>7339</v>
      </c>
      <c r="AL392" s="17" t="n">
        <f aca="false">AG392+AI392+AJ392+AK392</f>
        <v>88307.596</v>
      </c>
      <c r="AM392" s="20" t="n">
        <f aca="false">IF(L392&gt;0,AL392/L392,0)</f>
        <v>0.343485026819089</v>
      </c>
      <c r="AN392" s="16" t="n">
        <f aca="false">L392*INDEX(Parametros!$G$2:$G$9,MATCH($E392,Parametros!$A$2:$A$9,0))</f>
        <v>442199.96</v>
      </c>
      <c r="AO392" s="17" t="n">
        <f aca="false">AN392-AC392-AL392</f>
        <v>154248.864</v>
      </c>
      <c r="AP392" s="15" t="n">
        <f aca="false">IF(AN392&gt;0,AO392/AN392,0)</f>
        <v>0.348821524090595</v>
      </c>
      <c r="AQ392" s="16" t="n">
        <f aca="false">INDEX(Parametros!$I$2:$I$9,MATCH($E392,Parametros!$A$2:$A$9,0))</f>
        <v>15900000</v>
      </c>
      <c r="AR392" s="19" t="n">
        <f aca="false">IF(AQ392&gt;0,AO392/AQ392,0)</f>
        <v>0.00970118641509434</v>
      </c>
    </row>
    <row r="393" customFormat="false" ht="15" hidden="false" customHeight="false" outlineLevel="0" collapsed="false">
      <c r="A393" s="5" t="s">
        <v>528</v>
      </c>
      <c r="B393" s="9" t="n">
        <v>45887</v>
      </c>
      <c r="C393" s="2" t="str">
        <f aca="false">TEXT(B393,"yyyy")</f>
        <v>2025</v>
      </c>
      <c r="D393" s="2" t="n">
        <f aca="false">WEEKNUM(B393,2)</f>
        <v>34</v>
      </c>
      <c r="E393" s="5" t="s">
        <v>144</v>
      </c>
      <c r="F393" s="6" t="str">
        <f aca="false">INDEX(Parametros!$B$2:$B$9,MATCH($E393,Parametros!$A$2:$A$9,0))</f>
        <v>Salsas picantes</v>
      </c>
      <c r="G393" s="10" t="n">
        <v>96.2</v>
      </c>
      <c r="H393" s="10" t="n">
        <v>7.6</v>
      </c>
      <c r="I393" s="11" t="n">
        <f aca="false">SUMIFS(Eventos_Paro!$J$2:$J$2186,Eventos_Paro!$D$2:$D$2186,$E393,Eventos_Paro!$B$2:$B$2186,$B393)</f>
        <v>0</v>
      </c>
      <c r="J393" s="12" t="n">
        <f aca="false">G393-H393-I393</f>
        <v>88.6</v>
      </c>
      <c r="K393" s="13" t="n">
        <v>209731</v>
      </c>
      <c r="L393" s="13" t="n">
        <v>238444</v>
      </c>
      <c r="M393" s="13" t="n">
        <v>3475</v>
      </c>
      <c r="N393" s="14" t="n">
        <f aca="false">L393+M393</f>
        <v>241919</v>
      </c>
      <c r="O393" s="11" t="n">
        <f aca="false">INDEX(Parametros!$D$2:$D$9,MATCH($E393,Parametros!$A$2:$A$9,0))</f>
        <v>3100</v>
      </c>
      <c r="P393" s="15" t="n">
        <f aca="false">IF((G393-H393)&gt;0,J393/(G393-H393),0)</f>
        <v>1</v>
      </c>
      <c r="Q393" s="15" t="n">
        <f aca="false">IF(J393*O393&gt;0,N393/(O393*J393),0)</f>
        <v>0.880794436758174</v>
      </c>
      <c r="R393" s="15" t="n">
        <f aca="false">IF(N393&gt;0,L393/N393,0)</f>
        <v>0.985635687978208</v>
      </c>
      <c r="S393" s="15" t="n">
        <f aca="false">P393*Q393*R393</f>
        <v>0.86814243064152</v>
      </c>
      <c r="T393" s="15" t="n">
        <f aca="false">IF(K393&gt;0,L393/K393,0)</f>
        <v>1.13690393885501</v>
      </c>
      <c r="U393" s="10" t="n">
        <v>1283.9</v>
      </c>
      <c r="V393" s="5" t="n">
        <v>12</v>
      </c>
      <c r="W393" s="10" t="n">
        <v>129.5</v>
      </c>
      <c r="X393" s="15" t="n">
        <f aca="false">IF(U393&gt;0,W393/U393,0)</f>
        <v>0.100864553314121</v>
      </c>
      <c r="Y393" s="12" t="n">
        <f aca="false">IF(U393&gt;0,L393/U393,0)</f>
        <v>185.718513902952</v>
      </c>
      <c r="Z393" s="16" t="n">
        <f aca="false">L393*INDEX(Parametros!$E$2:$E$9,MATCH($E393,Parametros!$A$2:$A$9,0))</f>
        <v>157373.04</v>
      </c>
      <c r="AA393" s="16" t="n">
        <f aca="false">Z393*INDEX(Parametros!$F$2:$F$9,MATCH($E393,Parametros!$A$2:$A$9,0))</f>
        <v>4091.69904</v>
      </c>
      <c r="AB393" s="17" t="n">
        <f aca="false">Z393+AA393</f>
        <v>161464.73904</v>
      </c>
      <c r="AC393" s="18" t="n">
        <v>160899.72</v>
      </c>
      <c r="AD393" s="17" t="n">
        <f aca="false">AC393-AB393</f>
        <v>-565.019040000014</v>
      </c>
      <c r="AE393" s="17" t="n">
        <f aca="false">AA393+AD393</f>
        <v>3526.67999999999</v>
      </c>
      <c r="AF393" s="19" t="n">
        <f aca="false">IF(Z393&gt;0,AE393/Z393,0)</f>
        <v>0.0224096833866842</v>
      </c>
      <c r="AG393" s="16" t="n">
        <f aca="false">(U393-W393)*INDEX(Parametros!$H$2:$H$9,MATCH($E393,Parametros!$A$2:$A$9,0))+W393*INDEX(Parametros!$H$2:$H$9,MATCH($E393,Parametros!$A$2:$A$9,0))*Parametros!$N$3</f>
        <v>42482.475</v>
      </c>
      <c r="AH393" s="13" t="n">
        <v>11885</v>
      </c>
      <c r="AI393" s="16" t="n">
        <f aca="false">AH393*Parametros!$N$2</f>
        <v>1093.42</v>
      </c>
      <c r="AJ393" s="18" t="n">
        <v>8125</v>
      </c>
      <c r="AK393" s="18" t="n">
        <v>0</v>
      </c>
      <c r="AL393" s="17" t="n">
        <f aca="false">AG393+AI393+AJ393+AK393</f>
        <v>51700.895</v>
      </c>
      <c r="AM393" s="20" t="n">
        <f aca="false">IF(L393&gt;0,AL393/L393,0)</f>
        <v>0.216826152052474</v>
      </c>
      <c r="AN393" s="16" t="n">
        <f aca="false">L393*INDEX(Parametros!$G$2:$G$9,MATCH($E393,Parametros!$A$2:$A$9,0))</f>
        <v>298055</v>
      </c>
      <c r="AO393" s="17" t="n">
        <f aca="false">AN393-AC393-AL393</f>
        <v>85454.385</v>
      </c>
      <c r="AP393" s="15" t="n">
        <f aca="false">IF(AN393&gt;0,AO393/AN393,0)</f>
        <v>0.286706765529852</v>
      </c>
      <c r="AQ393" s="16" t="n">
        <f aca="false">INDEX(Parametros!$I$2:$I$9,MATCH($E393,Parametros!$A$2:$A$9,0))</f>
        <v>13300000</v>
      </c>
      <c r="AR393" s="19" t="n">
        <f aca="false">IF(AQ393&gt;0,AO393/AQ393,0)</f>
        <v>0.00642514172932331</v>
      </c>
    </row>
    <row r="394" customFormat="false" ht="15" hidden="false" customHeight="false" outlineLevel="0" collapsed="false">
      <c r="A394" s="5" t="s">
        <v>529</v>
      </c>
      <c r="B394" s="9" t="n">
        <v>45894</v>
      </c>
      <c r="C394" s="2" t="str">
        <f aca="false">TEXT(B394,"yyyy")</f>
        <v>2025</v>
      </c>
      <c r="D394" s="2" t="n">
        <f aca="false">WEEKNUM(B394,2)</f>
        <v>35</v>
      </c>
      <c r="E394" s="5" t="s">
        <v>130</v>
      </c>
      <c r="F394" s="6" t="str">
        <f aca="false">INDEX(Parametros!$B$2:$B$9,MATCH($E394,Parametros!$A$2:$A$9,0))</f>
        <v>Ketchup botella</v>
      </c>
      <c r="G394" s="10" t="n">
        <v>129.9</v>
      </c>
      <c r="H394" s="10" t="n">
        <v>8</v>
      </c>
      <c r="I394" s="11" t="n">
        <f aca="false">SUMIFS(Eventos_Paro!$J$2:$J$2186,Eventos_Paro!$D$2:$D$2186,$E394,Eventos_Paro!$B$2:$B$2186,$B394)</f>
        <v>1.16666666666667</v>
      </c>
      <c r="J394" s="12" t="n">
        <f aca="false">G394-H394-I394</f>
        <v>120.733333333333</v>
      </c>
      <c r="K394" s="13" t="n">
        <v>902451</v>
      </c>
      <c r="L394" s="13" t="n">
        <v>904694</v>
      </c>
      <c r="M394" s="13" t="n">
        <v>22203</v>
      </c>
      <c r="N394" s="14" t="n">
        <f aca="false">L394+M394</f>
        <v>926897</v>
      </c>
      <c r="O394" s="11" t="n">
        <f aca="false">INDEX(Parametros!$D$2:$D$9,MATCH($E394,Parametros!$A$2:$A$9,0))</f>
        <v>9000</v>
      </c>
      <c r="P394" s="15" t="n">
        <f aca="false">IF((G394-H394)&gt;0,J394/(G394-H394),0)</f>
        <v>0.990429313645064</v>
      </c>
      <c r="Q394" s="15" t="n">
        <f aca="false">IF(J394*O394&gt;0,N394/(O394*J394),0)</f>
        <v>0.853025032210565</v>
      </c>
      <c r="R394" s="15" t="n">
        <f aca="false">IF(N394&gt;0,L394/N394,0)</f>
        <v>0.976045882120667</v>
      </c>
      <c r="S394" s="15" t="n">
        <f aca="false">P394*Q394*R394</f>
        <v>0.824623097256403</v>
      </c>
      <c r="T394" s="15" t="n">
        <f aca="false">IF(K394&gt;0,L394/K394,0)</f>
        <v>1.00248545350385</v>
      </c>
      <c r="U394" s="10" t="n">
        <v>2011.3</v>
      </c>
      <c r="V394" s="5" t="n">
        <v>15</v>
      </c>
      <c r="W394" s="10" t="n">
        <v>62.8</v>
      </c>
      <c r="X394" s="15" t="n">
        <f aca="false">IF(U394&gt;0,W394/U394,0)</f>
        <v>0.0312235867349475</v>
      </c>
      <c r="Y394" s="12" t="n">
        <f aca="false">IF(U394&gt;0,L394/U394,0)</f>
        <v>449.805598369214</v>
      </c>
      <c r="Z394" s="16" t="n">
        <f aca="false">L394*INDEX(Parametros!$E$2:$E$9,MATCH($E394,Parametros!$A$2:$A$9,0))</f>
        <v>379971.48</v>
      </c>
      <c r="AA394" s="16" t="n">
        <f aca="false">Z394*INDEX(Parametros!$F$2:$F$9,MATCH($E394,Parametros!$A$2:$A$9,0))</f>
        <v>7599.4296</v>
      </c>
      <c r="AB394" s="17" t="n">
        <f aca="false">Z394+AA394</f>
        <v>387570.9096</v>
      </c>
      <c r="AC394" s="18" t="n">
        <v>386367.17</v>
      </c>
      <c r="AD394" s="17" t="n">
        <f aca="false">AC394-AB394</f>
        <v>-1203.73959999997</v>
      </c>
      <c r="AE394" s="17" t="n">
        <f aca="false">AA394+AD394</f>
        <v>6395.69000000003</v>
      </c>
      <c r="AF394" s="19" t="n">
        <f aca="false">IF(Z394&gt;0,AE394/Z394,0)</f>
        <v>0.0168320264457744</v>
      </c>
      <c r="AG394" s="16" t="n">
        <f aca="false">(U394-W394)*INDEX(Parametros!$H$2:$H$9,MATCH($E394,Parametros!$A$2:$A$9,0))+W394*INDEX(Parametros!$H$2:$H$9,MATCH($E394,Parametros!$A$2:$A$9,0))*Parametros!$N$3</f>
        <v>64345.05</v>
      </c>
      <c r="AH394" s="13" t="n">
        <v>44955</v>
      </c>
      <c r="AI394" s="16" t="n">
        <f aca="false">AH394*Parametros!$N$2</f>
        <v>4135.86</v>
      </c>
      <c r="AJ394" s="18" t="n">
        <v>13815</v>
      </c>
      <c r="AK394" s="18" t="n">
        <v>532</v>
      </c>
      <c r="AL394" s="17" t="n">
        <f aca="false">AG394+AI394+AJ394+AK394</f>
        <v>82827.91</v>
      </c>
      <c r="AM394" s="20" t="n">
        <f aca="false">IF(L394&gt;0,AL394/L394,0)</f>
        <v>0.0915535087001793</v>
      </c>
      <c r="AN394" s="16" t="n">
        <f aca="false">L394*INDEX(Parametros!$G$2:$G$9,MATCH($E394,Parametros!$A$2:$A$9,0))</f>
        <v>642332.74</v>
      </c>
      <c r="AO394" s="17" t="n">
        <f aca="false">AN394-AC394-AL394</f>
        <v>173137.66</v>
      </c>
      <c r="AP394" s="15" t="n">
        <f aca="false">IF(AN394&gt;0,AO394/AN394,0)</f>
        <v>0.269545127031825</v>
      </c>
      <c r="AQ394" s="16" t="n">
        <f aca="false">INDEX(Parametros!$I$2:$I$9,MATCH($E394,Parametros!$A$2:$A$9,0))</f>
        <v>29300000</v>
      </c>
      <c r="AR394" s="19" t="n">
        <f aca="false">IF(AQ394&gt;0,AO394/AQ394,0)</f>
        <v>0.00590913515358362</v>
      </c>
    </row>
    <row r="395" customFormat="false" ht="15" hidden="false" customHeight="false" outlineLevel="0" collapsed="false">
      <c r="A395" s="5" t="s">
        <v>530</v>
      </c>
      <c r="B395" s="9" t="n">
        <v>45894</v>
      </c>
      <c r="C395" s="2" t="str">
        <f aca="false">TEXT(B395,"yyyy")</f>
        <v>2025</v>
      </c>
      <c r="D395" s="2" t="n">
        <f aca="false">WEEKNUM(B395,2)</f>
        <v>35</v>
      </c>
      <c r="E395" s="5" t="s">
        <v>132</v>
      </c>
      <c r="F395" s="6" t="str">
        <f aca="false">INDEX(Parametros!$B$2:$B$9,MATCH($E395,Parametros!$A$2:$A$9,0))</f>
        <v>Mayonesa frasco</v>
      </c>
      <c r="G395" s="10" t="n">
        <v>112.4</v>
      </c>
      <c r="H395" s="10" t="n">
        <v>5.4</v>
      </c>
      <c r="I395" s="11" t="n">
        <f aca="false">SUMIFS(Eventos_Paro!$J$2:$J$2186,Eventos_Paro!$D$2:$D$2186,$E395,Eventos_Paro!$B$2:$B$2186,$B395)</f>
        <v>2.7</v>
      </c>
      <c r="J395" s="12" t="n">
        <f aca="false">G395-H395-I395</f>
        <v>104.3</v>
      </c>
      <c r="K395" s="13" t="n">
        <v>572103</v>
      </c>
      <c r="L395" s="13" t="n">
        <v>551624</v>
      </c>
      <c r="M395" s="13" t="n">
        <v>9616</v>
      </c>
      <c r="N395" s="14" t="n">
        <f aca="false">L395+M395</f>
        <v>561240</v>
      </c>
      <c r="O395" s="11" t="n">
        <f aca="false">INDEX(Parametros!$D$2:$D$9,MATCH($E395,Parametros!$A$2:$A$9,0))</f>
        <v>6500</v>
      </c>
      <c r="P395" s="15" t="n">
        <f aca="false">IF((G395-H395)&gt;0,J395/(G395-H395),0)</f>
        <v>0.974766355140187</v>
      </c>
      <c r="Q395" s="15" t="n">
        <f aca="false">IF(J395*O395&gt;0,N395/(O395*J395),0)</f>
        <v>0.827848661405708</v>
      </c>
      <c r="R395" s="15" t="n">
        <f aca="false">IF(N395&gt;0,L395/N395,0)</f>
        <v>0.982866509871</v>
      </c>
      <c r="S395" s="15" t="n">
        <f aca="false">P395*Q395*R395</f>
        <v>0.793132997843278</v>
      </c>
      <c r="T395" s="15" t="n">
        <f aca="false">IF(K395&gt;0,L395/K395,0)</f>
        <v>0.964203998231088</v>
      </c>
      <c r="U395" s="10" t="n">
        <v>1434.5</v>
      </c>
      <c r="V395" s="5" t="n">
        <v>12</v>
      </c>
      <c r="W395" s="10" t="n">
        <v>85.7</v>
      </c>
      <c r="X395" s="15" t="n">
        <f aca="false">IF(U395&gt;0,W395/U395,0)</f>
        <v>0.0597420704078076</v>
      </c>
      <c r="Y395" s="12" t="n">
        <f aca="false">IF(U395&gt;0,L395/U395,0)</f>
        <v>384.540955036598</v>
      </c>
      <c r="Z395" s="16" t="n">
        <f aca="false">L395*INDEX(Parametros!$E$2:$E$9,MATCH($E395,Parametros!$A$2:$A$9,0))</f>
        <v>336490.64</v>
      </c>
      <c r="AA395" s="16" t="n">
        <f aca="false">Z395*INDEX(Parametros!$F$2:$F$9,MATCH($E395,Parametros!$A$2:$A$9,0))</f>
        <v>8412.266</v>
      </c>
      <c r="AB395" s="17" t="n">
        <f aca="false">Z395+AA395</f>
        <v>344902.906</v>
      </c>
      <c r="AC395" s="18" t="n">
        <v>348162.63</v>
      </c>
      <c r="AD395" s="17" t="n">
        <f aca="false">AC395-AB395</f>
        <v>3259.72399999999</v>
      </c>
      <c r="AE395" s="17" t="n">
        <f aca="false">AA395+AD395</f>
        <v>11671.99</v>
      </c>
      <c r="AF395" s="19" t="n">
        <f aca="false">IF(Z395&gt;0,AE395/Z395,0)</f>
        <v>0.034687413593436</v>
      </c>
      <c r="AG395" s="16" t="n">
        <f aca="false">(U395-W395)*INDEX(Parametros!$H$2:$H$9,MATCH($E395,Parametros!$A$2:$A$9,0))+W395*INDEX(Parametros!$H$2:$H$9,MATCH($E395,Parametros!$A$2:$A$9,0))*Parametros!$N$3</f>
        <v>46536.525</v>
      </c>
      <c r="AH395" s="13" t="n">
        <v>27718</v>
      </c>
      <c r="AI395" s="16" t="n">
        <f aca="false">AH395*Parametros!$N$2</f>
        <v>2550.056</v>
      </c>
      <c r="AJ395" s="18" t="n">
        <v>16422</v>
      </c>
      <c r="AK395" s="18" t="n">
        <v>2279</v>
      </c>
      <c r="AL395" s="17" t="n">
        <f aca="false">AG395+AI395+AJ395+AK395</f>
        <v>67787.581</v>
      </c>
      <c r="AM395" s="20" t="n">
        <f aca="false">IF(L395&gt;0,AL395/L395,0)</f>
        <v>0.122887294606471</v>
      </c>
      <c r="AN395" s="16" t="n">
        <f aca="false">L395*INDEX(Parametros!$G$2:$G$9,MATCH($E395,Parametros!$A$2:$A$9,0))</f>
        <v>529559.04</v>
      </c>
      <c r="AO395" s="17" t="n">
        <f aca="false">AN395-AC395-AL395</f>
        <v>113608.829</v>
      </c>
      <c r="AP395" s="15" t="n">
        <f aca="false">IF(AN395&gt;0,AO395/AN395,0)</f>
        <v>0.214534774064097</v>
      </c>
      <c r="AQ395" s="16" t="n">
        <f aca="false">INDEX(Parametros!$I$2:$I$9,MATCH($E395,Parametros!$A$2:$A$9,0))</f>
        <v>29700000</v>
      </c>
      <c r="AR395" s="19" t="n">
        <f aca="false">IF(AQ395&gt;0,AO395/AQ395,0)</f>
        <v>0.0038252130976431</v>
      </c>
    </row>
    <row r="396" customFormat="false" ht="15" hidden="false" customHeight="false" outlineLevel="0" collapsed="false">
      <c r="A396" s="5" t="s">
        <v>531</v>
      </c>
      <c r="B396" s="9" t="n">
        <v>45894</v>
      </c>
      <c r="C396" s="2" t="str">
        <f aca="false">TEXT(B396,"yyyy")</f>
        <v>2025</v>
      </c>
      <c r="D396" s="2" t="n">
        <f aca="false">WEEKNUM(B396,2)</f>
        <v>35</v>
      </c>
      <c r="E396" s="5" t="s">
        <v>134</v>
      </c>
      <c r="F396" s="6" t="str">
        <f aca="false">INDEX(Parametros!$B$2:$B$9,MATCH($E396,Parametros!$A$2:$A$9,0))</f>
        <v>Aderezos vertibles</v>
      </c>
      <c r="G396" s="10" t="n">
        <v>107.4</v>
      </c>
      <c r="H396" s="10" t="n">
        <v>6.3</v>
      </c>
      <c r="I396" s="11" t="n">
        <f aca="false">SUMIFS(Eventos_Paro!$J$2:$J$2186,Eventos_Paro!$D$2:$D$2186,$E396,Eventos_Paro!$B$2:$B$2186,$B396)</f>
        <v>4.16666666666667</v>
      </c>
      <c r="J396" s="12" t="n">
        <f aca="false">G396-H396-I396</f>
        <v>96.9333333333333</v>
      </c>
      <c r="K396" s="13" t="n">
        <v>432446</v>
      </c>
      <c r="L396" s="13" t="n">
        <v>385246</v>
      </c>
      <c r="M396" s="13" t="n">
        <v>17715</v>
      </c>
      <c r="N396" s="14" t="n">
        <f aca="false">L396+M396</f>
        <v>402961</v>
      </c>
      <c r="O396" s="11" t="n">
        <f aca="false">INDEX(Parametros!$D$2:$D$9,MATCH($E396,Parametros!$A$2:$A$9,0))</f>
        <v>5200</v>
      </c>
      <c r="P396" s="15" t="n">
        <f aca="false">IF((G396-H396)&gt;0,J396/(G396-H396),0)</f>
        <v>0.958786679854929</v>
      </c>
      <c r="Q396" s="15" t="n">
        <f aca="false">IF(J396*O396&gt;0,N396/(O396*J396),0)</f>
        <v>0.799441196698762</v>
      </c>
      <c r="R396" s="15" t="n">
        <f aca="false">IF(N396&gt;0,L396/N396,0)</f>
        <v>0.956037929228883</v>
      </c>
      <c r="S396" s="15" t="n">
        <f aca="false">P396*Q396*R396</f>
        <v>0.732796926120368</v>
      </c>
      <c r="T396" s="15" t="n">
        <f aca="false">IF(K396&gt;0,L396/K396,0)</f>
        <v>0.890853424473807</v>
      </c>
      <c r="U396" s="10" t="n">
        <v>1423.2</v>
      </c>
      <c r="V396" s="5" t="n">
        <v>13</v>
      </c>
      <c r="W396" s="10" t="n">
        <v>27</v>
      </c>
      <c r="X396" s="15" t="n">
        <f aca="false">IF(U396&gt;0,W396/U396,0)</f>
        <v>0.0189713322091062</v>
      </c>
      <c r="Y396" s="12" t="n">
        <f aca="false">IF(U396&gt;0,L396/U396,0)</f>
        <v>270.689994378865</v>
      </c>
      <c r="Z396" s="16" t="n">
        <f aca="false">L396*INDEX(Parametros!$E$2:$E$9,MATCH($E396,Parametros!$A$2:$A$9,0))</f>
        <v>211885.3</v>
      </c>
      <c r="AA396" s="16" t="n">
        <f aca="false">Z396*INDEX(Parametros!$F$2:$F$9,MATCH($E396,Parametros!$A$2:$A$9,0))</f>
        <v>6356.559</v>
      </c>
      <c r="AB396" s="17" t="n">
        <f aca="false">Z396+AA396</f>
        <v>218241.859</v>
      </c>
      <c r="AC396" s="18" t="n">
        <v>222313.22</v>
      </c>
      <c r="AD396" s="17" t="n">
        <f aca="false">AC396-AB396</f>
        <v>4071.36099999998</v>
      </c>
      <c r="AE396" s="17" t="n">
        <f aca="false">AA396+AD396</f>
        <v>10427.92</v>
      </c>
      <c r="AF396" s="19" t="n">
        <f aca="false">IF(Z396&gt;0,AE396/Z396,0)</f>
        <v>0.0492149290205596</v>
      </c>
      <c r="AG396" s="16" t="n">
        <f aca="false">(U396-W396)*INDEX(Parametros!$H$2:$H$9,MATCH($E396,Parametros!$A$2:$A$9,0))+W396*INDEX(Parametros!$H$2:$H$9,MATCH($E396,Parametros!$A$2:$A$9,0))*Parametros!$N$3</f>
        <v>45256.05</v>
      </c>
      <c r="AH396" s="13" t="n">
        <v>20359</v>
      </c>
      <c r="AI396" s="16" t="n">
        <f aca="false">AH396*Parametros!$N$2</f>
        <v>1873.028</v>
      </c>
      <c r="AJ396" s="18" t="n">
        <v>11556</v>
      </c>
      <c r="AK396" s="18" t="n">
        <v>2720</v>
      </c>
      <c r="AL396" s="17" t="n">
        <f aca="false">AG396+AI396+AJ396+AK396</f>
        <v>61405.078</v>
      </c>
      <c r="AM396" s="20" t="n">
        <f aca="false">IF(L396&gt;0,AL396/L396,0)</f>
        <v>0.15939186389995</v>
      </c>
      <c r="AN396" s="16" t="n">
        <f aca="false">L396*INDEX(Parametros!$G$2:$G$9,MATCH($E396,Parametros!$A$2:$A$9,0))</f>
        <v>392950.92</v>
      </c>
      <c r="AO396" s="17" t="n">
        <f aca="false">AN396-AC396-AL396</f>
        <v>109232.622</v>
      </c>
      <c r="AP396" s="15" t="n">
        <f aca="false">IF(AN396&gt;0,AO396/AN396,0)</f>
        <v>0.277980318763473</v>
      </c>
      <c r="AQ396" s="16" t="n">
        <f aca="false">INDEX(Parametros!$I$2:$I$9,MATCH($E396,Parametros!$A$2:$A$9,0))</f>
        <v>19300000</v>
      </c>
      <c r="AR396" s="19" t="n">
        <f aca="false">IF(AQ396&gt;0,AO396/AQ396,0)</f>
        <v>0.00565972134715026</v>
      </c>
    </row>
    <row r="397" customFormat="false" ht="15" hidden="false" customHeight="false" outlineLevel="0" collapsed="false">
      <c r="A397" s="5" t="s">
        <v>532</v>
      </c>
      <c r="B397" s="9" t="n">
        <v>45894</v>
      </c>
      <c r="C397" s="2" t="str">
        <f aca="false">TEXT(B397,"yyyy")</f>
        <v>2025</v>
      </c>
      <c r="D397" s="2" t="n">
        <f aca="false">WEEKNUM(B397,2)</f>
        <v>35</v>
      </c>
      <c r="E397" s="5" t="s">
        <v>136</v>
      </c>
      <c r="F397" s="6" t="str">
        <f aca="false">INDEX(Parametros!$B$2:$B$9,MATCH($E397,Parametros!$A$2:$A$9,0))</f>
        <v>Salsa BBQ</v>
      </c>
      <c r="G397" s="10" t="n">
        <v>119.8</v>
      </c>
      <c r="H397" s="10" t="n">
        <v>8.6</v>
      </c>
      <c r="I397" s="11" t="n">
        <f aca="false">SUMIFS(Eventos_Paro!$J$2:$J$2186,Eventos_Paro!$D$2:$D$2186,$E397,Eventos_Paro!$B$2:$B$2186,$B397)</f>
        <v>0</v>
      </c>
      <c r="J397" s="12" t="n">
        <f aca="false">G397-H397-I397</f>
        <v>111.2</v>
      </c>
      <c r="K397" s="13" t="n">
        <v>481240</v>
      </c>
      <c r="L397" s="13" t="n">
        <v>444781</v>
      </c>
      <c r="M397" s="13" t="n">
        <v>13989</v>
      </c>
      <c r="N397" s="14" t="n">
        <f aca="false">L397+M397</f>
        <v>458770</v>
      </c>
      <c r="O397" s="11" t="n">
        <f aca="false">INDEX(Parametros!$D$2:$D$9,MATCH($E397,Parametros!$A$2:$A$9,0))</f>
        <v>4800</v>
      </c>
      <c r="P397" s="15" t="n">
        <f aca="false">IF((G397-H397)&gt;0,J397/(G397-H397),0)</f>
        <v>1</v>
      </c>
      <c r="Q397" s="15" t="n">
        <f aca="false">IF(J397*O397&gt;0,N397/(O397*J397),0)</f>
        <v>0.859506145083933</v>
      </c>
      <c r="R397" s="15" t="n">
        <f aca="false">IF(N397&gt;0,L397/N397,0)</f>
        <v>0.969507596399067</v>
      </c>
      <c r="S397" s="15" t="n">
        <f aca="false">P397*Q397*R397</f>
        <v>0.833297736810552</v>
      </c>
      <c r="T397" s="15" t="n">
        <f aca="false">IF(K397&gt;0,L397/K397,0)</f>
        <v>0.92423946471615</v>
      </c>
      <c r="U397" s="10" t="n">
        <v>1444.4</v>
      </c>
      <c r="V397" s="5" t="n">
        <v>12</v>
      </c>
      <c r="W397" s="10" t="n">
        <v>6.8</v>
      </c>
      <c r="X397" s="15" t="n">
        <f aca="false">IF(U397&gt;0,W397/U397,0)</f>
        <v>0.00470783716422044</v>
      </c>
      <c r="Y397" s="12" t="n">
        <f aca="false">IF(U397&gt;0,L397/U397,0)</f>
        <v>307.934782608696</v>
      </c>
      <c r="Z397" s="16" t="n">
        <f aca="false">L397*INDEX(Parametros!$E$2:$E$9,MATCH($E397,Parametros!$A$2:$A$9,0))</f>
        <v>257972.98</v>
      </c>
      <c r="AA397" s="16" t="n">
        <f aca="false">Z397*INDEX(Parametros!$F$2:$F$9,MATCH($E397,Parametros!$A$2:$A$9,0))</f>
        <v>7223.24344</v>
      </c>
      <c r="AB397" s="17" t="n">
        <f aca="false">Z397+AA397</f>
        <v>265196.22344</v>
      </c>
      <c r="AC397" s="18" t="n">
        <v>264948.25</v>
      </c>
      <c r="AD397" s="17" t="n">
        <f aca="false">AC397-AB397</f>
        <v>-247.973439999972</v>
      </c>
      <c r="AE397" s="17" t="n">
        <f aca="false">AA397+AD397</f>
        <v>6975.27000000003</v>
      </c>
      <c r="AF397" s="19" t="n">
        <f aca="false">IF(Z397&gt;0,AE397/Z397,0)</f>
        <v>0.0270387619664665</v>
      </c>
      <c r="AG397" s="16" t="n">
        <f aca="false">(U397-W397)*INDEX(Parametros!$H$2:$H$9,MATCH($E397,Parametros!$A$2:$A$9,0))+W397*INDEX(Parametros!$H$2:$H$9,MATCH($E397,Parametros!$A$2:$A$9,0))*Parametros!$N$3</f>
        <v>45605.7</v>
      </c>
      <c r="AH397" s="13" t="n">
        <v>23001</v>
      </c>
      <c r="AI397" s="16" t="n">
        <f aca="false">AH397*Parametros!$N$2</f>
        <v>2116.092</v>
      </c>
      <c r="AJ397" s="18" t="n">
        <v>10492</v>
      </c>
      <c r="AK397" s="18" t="n">
        <v>0</v>
      </c>
      <c r="AL397" s="17" t="n">
        <f aca="false">AG397+AI397+AJ397+AK397</f>
        <v>58213.792</v>
      </c>
      <c r="AM397" s="20" t="n">
        <f aca="false">IF(L397&gt;0,AL397/L397,0)</f>
        <v>0.130881921664819</v>
      </c>
      <c r="AN397" s="16" t="n">
        <f aca="false">L397*INDEX(Parametros!$G$2:$G$9,MATCH($E397,Parametros!$A$2:$A$9,0))</f>
        <v>435885.38</v>
      </c>
      <c r="AO397" s="17" t="n">
        <f aca="false">AN397-AC397-AL397</f>
        <v>112723.338</v>
      </c>
      <c r="AP397" s="15" t="n">
        <f aca="false">IF(AN397&gt;0,AO397/AN397,0)</f>
        <v>0.258607751423092</v>
      </c>
      <c r="AQ397" s="16" t="n">
        <f aca="false">INDEX(Parametros!$I$2:$I$9,MATCH($E397,Parametros!$A$2:$A$9,0))</f>
        <v>17000000</v>
      </c>
      <c r="AR397" s="19" t="n">
        <f aca="false">IF(AQ397&gt;0,AO397/AQ397,0)</f>
        <v>0.00663078458823529</v>
      </c>
    </row>
    <row r="398" customFormat="false" ht="15" hidden="false" customHeight="false" outlineLevel="0" collapsed="false">
      <c r="A398" s="5" t="s">
        <v>533</v>
      </c>
      <c r="B398" s="9" t="n">
        <v>45894</v>
      </c>
      <c r="C398" s="2" t="str">
        <f aca="false">TEXT(B398,"yyyy")</f>
        <v>2025</v>
      </c>
      <c r="D398" s="2" t="n">
        <f aca="false">WEEKNUM(B398,2)</f>
        <v>35</v>
      </c>
      <c r="E398" s="5" t="s">
        <v>138</v>
      </c>
      <c r="F398" s="6" t="str">
        <f aca="false">INDEX(Parametros!$B$2:$B$9,MATCH($E398,Parametros!$A$2:$A$9,0))</f>
        <v>Queso crema</v>
      </c>
      <c r="G398" s="10" t="n">
        <v>115.4</v>
      </c>
      <c r="H398" s="10" t="n">
        <v>5.3</v>
      </c>
      <c r="I398" s="11" t="n">
        <f aca="false">SUMIFS(Eventos_Paro!$J$2:$J$2186,Eventos_Paro!$D$2:$D$2186,$E398,Eventos_Paro!$B$2:$B$2186,$B398)</f>
        <v>1.33333333333333</v>
      </c>
      <c r="J398" s="12" t="n">
        <f aca="false">G398-H398-I398</f>
        <v>108.766666666667</v>
      </c>
      <c r="K398" s="13" t="n">
        <v>344150</v>
      </c>
      <c r="L398" s="13" t="n">
        <v>322838</v>
      </c>
      <c r="M398" s="13" t="n">
        <v>14134</v>
      </c>
      <c r="N398" s="14" t="n">
        <f aca="false">L398+M398</f>
        <v>336972</v>
      </c>
      <c r="O398" s="11" t="n">
        <f aca="false">INDEX(Parametros!$D$2:$D$9,MATCH($E398,Parametros!$A$2:$A$9,0))</f>
        <v>3800</v>
      </c>
      <c r="P398" s="15" t="n">
        <f aca="false">IF((G398-H398)&gt;0,J398/(G398-H398),0)</f>
        <v>0.987889797154102</v>
      </c>
      <c r="Q398" s="15" t="n">
        <f aca="false">IF(J398*O398&gt;0,N398/(O398*J398),0)</f>
        <v>0.815294288433311</v>
      </c>
      <c r="R398" s="15" t="n">
        <f aca="false">IF(N398&gt;0,L398/N398,0)</f>
        <v>0.958055862208136</v>
      </c>
      <c r="S398" s="15" t="n">
        <f aca="false">P398*Q398*R398</f>
        <v>0.771638223624456</v>
      </c>
      <c r="T398" s="15" t="n">
        <f aca="false">IF(K398&gt;0,L398/K398,0)</f>
        <v>0.938073514455906</v>
      </c>
      <c r="U398" s="10" t="n">
        <v>1880</v>
      </c>
      <c r="V398" s="5" t="n">
        <v>16</v>
      </c>
      <c r="W398" s="10" t="n">
        <v>33.6</v>
      </c>
      <c r="X398" s="15" t="n">
        <f aca="false">IF(U398&gt;0,W398/U398,0)</f>
        <v>0.0178723404255319</v>
      </c>
      <c r="Y398" s="12" t="n">
        <f aca="false">IF(U398&gt;0,L398/U398,0)</f>
        <v>171.722340425532</v>
      </c>
      <c r="Z398" s="16" t="n">
        <f aca="false">L398*INDEX(Parametros!$E$2:$E$9,MATCH($E398,Parametros!$A$2:$A$9,0))</f>
        <v>361578.56</v>
      </c>
      <c r="AA398" s="16" t="n">
        <f aca="false">Z398*INDEX(Parametros!$F$2:$F$9,MATCH($E398,Parametros!$A$2:$A$9,0))</f>
        <v>12655.2496</v>
      </c>
      <c r="AB398" s="17" t="n">
        <f aca="false">Z398+AA398</f>
        <v>374233.8096</v>
      </c>
      <c r="AC398" s="18" t="n">
        <v>376437.24</v>
      </c>
      <c r="AD398" s="17" t="n">
        <f aca="false">AC398-AB398</f>
        <v>2203.43039999995</v>
      </c>
      <c r="AE398" s="17" t="n">
        <f aca="false">AA398+AD398</f>
        <v>14858.68</v>
      </c>
      <c r="AF398" s="19" t="n">
        <f aca="false">IF(Z398&gt;0,AE398/Z398,0)</f>
        <v>0.0410939188429755</v>
      </c>
      <c r="AG398" s="16" t="n">
        <f aca="false">(U398-W398)*INDEX(Parametros!$H$2:$H$9,MATCH($E398,Parametros!$A$2:$A$9,0))+W398*INDEX(Parametros!$H$2:$H$9,MATCH($E398,Parametros!$A$2:$A$9,0))*Parametros!$N$3</f>
        <v>62594.4</v>
      </c>
      <c r="AH398" s="13" t="n">
        <v>17128</v>
      </c>
      <c r="AI398" s="16" t="n">
        <f aca="false">AH398*Parametros!$N$2</f>
        <v>1575.776</v>
      </c>
      <c r="AJ398" s="18" t="n">
        <v>17402</v>
      </c>
      <c r="AK398" s="18" t="n">
        <v>1423</v>
      </c>
      <c r="AL398" s="17" t="n">
        <f aca="false">AG398+AI398+AJ398+AK398</f>
        <v>82995.176</v>
      </c>
      <c r="AM398" s="20" t="n">
        <f aca="false">IF(L398&gt;0,AL398/L398,0)</f>
        <v>0.257079947218109</v>
      </c>
      <c r="AN398" s="16" t="n">
        <f aca="false">L398*INDEX(Parametros!$G$2:$G$9,MATCH($E398,Parametros!$A$2:$A$9,0))</f>
        <v>577880.02</v>
      </c>
      <c r="AO398" s="17" t="n">
        <f aca="false">AN398-AC398-AL398</f>
        <v>118447.604</v>
      </c>
      <c r="AP398" s="15" t="n">
        <f aca="false">IF(AN398&gt;0,AO398/AN398,0)</f>
        <v>0.20496919758534</v>
      </c>
      <c r="AQ398" s="16" t="n">
        <f aca="false">INDEX(Parametros!$I$2:$I$9,MATCH($E398,Parametros!$A$2:$A$9,0))</f>
        <v>33200000</v>
      </c>
      <c r="AR398" s="19" t="n">
        <f aca="false">IF(AQ398&gt;0,AO398/AQ398,0)</f>
        <v>0.00356769891566265</v>
      </c>
    </row>
    <row r="399" customFormat="false" ht="15" hidden="false" customHeight="false" outlineLevel="0" collapsed="false">
      <c r="A399" s="5" t="s">
        <v>534</v>
      </c>
      <c r="B399" s="9" t="n">
        <v>45894</v>
      </c>
      <c r="C399" s="2" t="str">
        <f aca="false">TEXT(B399,"yyyy")</f>
        <v>2025</v>
      </c>
      <c r="D399" s="2" t="n">
        <f aca="false">WEEKNUM(B399,2)</f>
        <v>35</v>
      </c>
      <c r="E399" s="5" t="s">
        <v>140</v>
      </c>
      <c r="F399" s="6" t="str">
        <f aca="false">INDEX(Parametros!$B$2:$B$9,MATCH($E399,Parametros!$A$2:$A$9,0))</f>
        <v>Crema de cacahuate</v>
      </c>
      <c r="G399" s="10" t="n">
        <v>111.8</v>
      </c>
      <c r="H399" s="10" t="n">
        <v>6.7</v>
      </c>
      <c r="I399" s="11" t="n">
        <f aca="false">SUMIFS(Eventos_Paro!$J$2:$J$2186,Eventos_Paro!$D$2:$D$2186,$E399,Eventos_Paro!$B$2:$B$2186,$B399)</f>
        <v>0.466666666666667</v>
      </c>
      <c r="J399" s="12" t="n">
        <f aca="false">G399-H399-I399</f>
        <v>104.633333333333</v>
      </c>
      <c r="K399" s="13" t="n">
        <v>363103</v>
      </c>
      <c r="L399" s="13" t="n">
        <v>378517</v>
      </c>
      <c r="M399" s="13" t="n">
        <v>8072</v>
      </c>
      <c r="N399" s="14" t="n">
        <f aca="false">L399+M399</f>
        <v>386589</v>
      </c>
      <c r="O399" s="11" t="n">
        <f aca="false">INDEX(Parametros!$D$2:$D$9,MATCH($E399,Parametros!$A$2:$A$9,0))</f>
        <v>4200</v>
      </c>
      <c r="P399" s="15" t="n">
        <f aca="false">IF((G399-H399)&gt;0,J399/(G399-H399),0)</f>
        <v>0.995559784332382</v>
      </c>
      <c r="Q399" s="15" t="n">
        <f aca="false">IF(J399*O399&gt;0,N399/(O399*J399),0)</f>
        <v>0.879690984389933</v>
      </c>
      <c r="R399" s="15" t="n">
        <f aca="false">IF(N399&gt;0,L399/N399,0)</f>
        <v>0.97911994391977</v>
      </c>
      <c r="S399" s="15" t="n">
        <f aca="false">P399*Q399*R399</f>
        <v>0.857498527479498</v>
      </c>
      <c r="T399" s="15" t="n">
        <f aca="false">IF(K399&gt;0,L399/K399,0)</f>
        <v>1.04245076465906</v>
      </c>
      <c r="U399" s="10" t="n">
        <v>1377.9</v>
      </c>
      <c r="V399" s="5" t="n">
        <v>12</v>
      </c>
      <c r="W399" s="10" t="n">
        <v>36.3</v>
      </c>
      <c r="X399" s="15" t="n">
        <f aca="false">IF(U399&gt;0,W399/U399,0)</f>
        <v>0.0263444371870237</v>
      </c>
      <c r="Y399" s="12" t="n">
        <f aca="false">IF(U399&gt;0,L399/U399,0)</f>
        <v>274.705711590101</v>
      </c>
      <c r="Z399" s="16" t="n">
        <f aca="false">L399*INDEX(Parametros!$E$2:$E$9,MATCH($E399,Parametros!$A$2:$A$9,0))</f>
        <v>367161.49</v>
      </c>
      <c r="AA399" s="16" t="n">
        <f aca="false">Z399*INDEX(Parametros!$F$2:$F$9,MATCH($E399,Parametros!$A$2:$A$9,0))</f>
        <v>8077.55278</v>
      </c>
      <c r="AB399" s="17" t="n">
        <f aca="false">Z399+AA399</f>
        <v>375239.04278</v>
      </c>
      <c r="AC399" s="18" t="n">
        <v>376307.22</v>
      </c>
      <c r="AD399" s="17" t="n">
        <f aca="false">AC399-AB399</f>
        <v>1068.17721999995</v>
      </c>
      <c r="AE399" s="17" t="n">
        <f aca="false">AA399+AD399</f>
        <v>9145.72999999995</v>
      </c>
      <c r="AF399" s="19" t="n">
        <f aca="false">IF(Z399&gt;0,AE399/Z399,0)</f>
        <v>0.0249092844677146</v>
      </c>
      <c r="AG399" s="16" t="n">
        <f aca="false">(U399-W399)*INDEX(Parametros!$H$2:$H$9,MATCH($E399,Parametros!$A$2:$A$9,0))+W399*INDEX(Parametros!$H$2:$H$9,MATCH($E399,Parametros!$A$2:$A$9,0))*Parametros!$N$3</f>
        <v>43975.575</v>
      </c>
      <c r="AH399" s="13" t="n">
        <v>18870</v>
      </c>
      <c r="AI399" s="16" t="n">
        <f aca="false">AH399*Parametros!$N$2</f>
        <v>1736.04</v>
      </c>
      <c r="AJ399" s="18" t="n">
        <v>10965</v>
      </c>
      <c r="AK399" s="18" t="n">
        <v>186</v>
      </c>
      <c r="AL399" s="17" t="n">
        <f aca="false">AG399+AI399+AJ399+AK399</f>
        <v>56862.615</v>
      </c>
      <c r="AM399" s="20" t="n">
        <f aca="false">IF(L399&gt;0,AL399/L399,0)</f>
        <v>0.15022473231057</v>
      </c>
      <c r="AN399" s="16" t="n">
        <f aca="false">L399*INDEX(Parametros!$G$2:$G$9,MATCH($E399,Parametros!$A$2:$A$9,0))</f>
        <v>613197.54</v>
      </c>
      <c r="AO399" s="17" t="n">
        <f aca="false">AN399-AC399-AL399</f>
        <v>180027.705</v>
      </c>
      <c r="AP399" s="15" t="n">
        <f aca="false">IF(AN399&gt;0,AO399/AN399,0)</f>
        <v>0.29358843318256</v>
      </c>
      <c r="AQ399" s="16" t="n">
        <f aca="false">INDEX(Parametros!$I$2:$I$9,MATCH($E399,Parametros!$A$2:$A$9,0))</f>
        <v>28000000</v>
      </c>
      <c r="AR399" s="19" t="n">
        <f aca="false">IF(AQ399&gt;0,AO399/AQ399,0)</f>
        <v>0.00642956089285715</v>
      </c>
    </row>
    <row r="400" customFormat="false" ht="15" hidden="false" customHeight="false" outlineLevel="0" collapsed="false">
      <c r="A400" s="5" t="s">
        <v>535</v>
      </c>
      <c r="B400" s="9" t="n">
        <v>45894</v>
      </c>
      <c r="C400" s="2" t="str">
        <f aca="false">TEXT(B400,"yyyy")</f>
        <v>2025</v>
      </c>
      <c r="D400" s="2" t="n">
        <f aca="false">WEEKNUM(B400,2)</f>
        <v>35</v>
      </c>
      <c r="E400" s="5" t="s">
        <v>142</v>
      </c>
      <c r="F400" s="6" t="str">
        <f aca="false">INDEX(Parametros!$B$2:$B$9,MATCH($E400,Parametros!$A$2:$A$9,0))</f>
        <v>Porciones single serve</v>
      </c>
      <c r="G400" s="10" t="n">
        <v>150</v>
      </c>
      <c r="H400" s="10" t="n">
        <v>8</v>
      </c>
      <c r="I400" s="11" t="n">
        <f aca="false">SUMIFS(Eventos_Paro!$J$2:$J$2186,Eventos_Paro!$D$2:$D$2186,$E400,Eventos_Paro!$B$2:$B$2186,$B400)</f>
        <v>4.4</v>
      </c>
      <c r="J400" s="12" t="n">
        <f aca="false">G400-H400-I400</f>
        <v>137.6</v>
      </c>
      <c r="K400" s="13" t="n">
        <v>303696</v>
      </c>
      <c r="L400" s="13" t="n">
        <v>299995</v>
      </c>
      <c r="M400" s="13" t="n">
        <v>14967</v>
      </c>
      <c r="N400" s="14" t="n">
        <f aca="false">L400+M400</f>
        <v>314962</v>
      </c>
      <c r="O400" s="11" t="n">
        <f aca="false">INDEX(Parametros!$D$2:$D$9,MATCH($E400,Parametros!$A$2:$A$9,0))</f>
        <v>2600</v>
      </c>
      <c r="P400" s="15" t="n">
        <f aca="false">IF((G400-H400)&gt;0,J400/(G400-H400),0)</f>
        <v>0.969014084507042</v>
      </c>
      <c r="Q400" s="15" t="n">
        <f aca="false">IF(J400*O400&gt;0,N400/(O400*J400),0)</f>
        <v>0.880372316636852</v>
      </c>
      <c r="R400" s="15" t="n">
        <f aca="false">IF(N400&gt;0,L400/N400,0)</f>
        <v>0.95247998171208</v>
      </c>
      <c r="S400" s="15" t="n">
        <f aca="false">P400*Q400*R400</f>
        <v>0.812554171180932</v>
      </c>
      <c r="T400" s="15" t="n">
        <f aca="false">IF(K400&gt;0,L400/K400,0)</f>
        <v>0.987813471366103</v>
      </c>
      <c r="U400" s="10" t="n">
        <v>2603</v>
      </c>
      <c r="V400" s="5" t="n">
        <v>17</v>
      </c>
      <c r="W400" s="10" t="n">
        <v>53</v>
      </c>
      <c r="X400" s="15" t="n">
        <f aca="false">IF(U400&gt;0,W400/U400,0)</f>
        <v>0.0203611217825586</v>
      </c>
      <c r="Y400" s="12" t="n">
        <f aca="false">IF(U400&gt;0,L400/U400,0)</f>
        <v>115.249711870918</v>
      </c>
      <c r="Z400" s="16" t="n">
        <f aca="false">L400*INDEX(Parametros!$E$2:$E$9,MATCH($E400,Parametros!$A$2:$A$9,0))</f>
        <v>221996.3</v>
      </c>
      <c r="AA400" s="16" t="n">
        <f aca="false">Z400*INDEX(Parametros!$F$2:$F$9,MATCH($E400,Parametros!$A$2:$A$9,0))</f>
        <v>9989.8335</v>
      </c>
      <c r="AB400" s="17" t="n">
        <f aca="false">Z400+AA400</f>
        <v>231986.1335</v>
      </c>
      <c r="AC400" s="18" t="n">
        <v>230731.43</v>
      </c>
      <c r="AD400" s="17" t="n">
        <f aca="false">AC400-AB400</f>
        <v>-1254.7035</v>
      </c>
      <c r="AE400" s="17" t="n">
        <f aca="false">AA400+AD400</f>
        <v>8735.13</v>
      </c>
      <c r="AF400" s="19" t="n">
        <f aca="false">IF(Z400&gt;0,AE400/Z400,0)</f>
        <v>0.039348088233903</v>
      </c>
      <c r="AG400" s="16" t="n">
        <f aca="false">(U400-W400)*INDEX(Parametros!$H$2:$H$9,MATCH($E400,Parametros!$A$2:$A$9,0))+W400*INDEX(Parametros!$H$2:$H$9,MATCH($E400,Parametros!$A$2:$A$9,0))*Parametros!$N$3</f>
        <v>78885</v>
      </c>
      <c r="AH400" s="13" t="n">
        <v>16922</v>
      </c>
      <c r="AI400" s="16" t="n">
        <f aca="false">AH400*Parametros!$N$2</f>
        <v>1556.824</v>
      </c>
      <c r="AJ400" s="18" t="n">
        <v>10594</v>
      </c>
      <c r="AK400" s="18" t="n">
        <v>4219</v>
      </c>
      <c r="AL400" s="17" t="n">
        <f aca="false">AG400+AI400+AJ400+AK400</f>
        <v>95254.824</v>
      </c>
      <c r="AM400" s="20" t="n">
        <f aca="false">IF(L400&gt;0,AL400/L400,0)</f>
        <v>0.317521372022867</v>
      </c>
      <c r="AN400" s="16" t="n">
        <f aca="false">L400*INDEX(Parametros!$G$2:$G$9,MATCH($E400,Parametros!$A$2:$A$9,0))</f>
        <v>515991.4</v>
      </c>
      <c r="AO400" s="17" t="n">
        <f aca="false">AN400-AC400-AL400</f>
        <v>190005.146</v>
      </c>
      <c r="AP400" s="15" t="n">
        <f aca="false">IF(AN400&gt;0,AO400/AN400,0)</f>
        <v>0.368233164351189</v>
      </c>
      <c r="AQ400" s="16" t="n">
        <f aca="false">INDEX(Parametros!$I$2:$I$9,MATCH($E400,Parametros!$A$2:$A$9,0))</f>
        <v>15900000</v>
      </c>
      <c r="AR400" s="19" t="n">
        <f aca="false">IF(AQ400&gt;0,AO400/AQ400,0)</f>
        <v>0.0119500091823899</v>
      </c>
    </row>
    <row r="401" customFormat="false" ht="15" hidden="false" customHeight="false" outlineLevel="0" collapsed="false">
      <c r="A401" s="5" t="s">
        <v>536</v>
      </c>
      <c r="B401" s="9" t="n">
        <v>45894</v>
      </c>
      <c r="C401" s="2" t="str">
        <f aca="false">TEXT(B401,"yyyy")</f>
        <v>2025</v>
      </c>
      <c r="D401" s="2" t="n">
        <f aca="false">WEEKNUM(B401,2)</f>
        <v>35</v>
      </c>
      <c r="E401" s="5" t="s">
        <v>144</v>
      </c>
      <c r="F401" s="6" t="str">
        <f aca="false">INDEX(Parametros!$B$2:$B$9,MATCH($E401,Parametros!$A$2:$A$9,0))</f>
        <v>Salsas picantes</v>
      </c>
      <c r="G401" s="10" t="n">
        <v>97.6</v>
      </c>
      <c r="H401" s="10" t="n">
        <v>6.5</v>
      </c>
      <c r="I401" s="11" t="n">
        <f aca="false">SUMIFS(Eventos_Paro!$J$2:$J$2186,Eventos_Paro!$D$2:$D$2186,$E401,Eventos_Paro!$B$2:$B$2186,$B401)</f>
        <v>4.91666666666667</v>
      </c>
      <c r="J401" s="12" t="n">
        <f aca="false">G401-H401-I401</f>
        <v>86.1833333333333</v>
      </c>
      <c r="K401" s="13" t="n">
        <v>216785</v>
      </c>
      <c r="L401" s="13" t="n">
        <v>216143</v>
      </c>
      <c r="M401" s="13" t="n">
        <v>6866</v>
      </c>
      <c r="N401" s="14" t="n">
        <f aca="false">L401+M401</f>
        <v>223009</v>
      </c>
      <c r="O401" s="11" t="n">
        <f aca="false">INDEX(Parametros!$D$2:$D$9,MATCH($E401,Parametros!$A$2:$A$9,0))</f>
        <v>3100</v>
      </c>
      <c r="P401" s="15" t="n">
        <f aca="false">IF((G401-H401)&gt;0,J401/(G401-H401),0)</f>
        <v>0.946030003658983</v>
      </c>
      <c r="Q401" s="15" t="n">
        <f aca="false">IF(J401*O401&gt;0,N401/(O401*J401),0)</f>
        <v>0.834713445330971</v>
      </c>
      <c r="R401" s="15" t="n">
        <f aca="false">IF(N401&gt;0,L401/N401,0)</f>
        <v>0.969212004896663</v>
      </c>
      <c r="S401" s="15" t="n">
        <f aca="false">P401*Q401*R401</f>
        <v>0.765351793491732</v>
      </c>
      <c r="T401" s="15" t="n">
        <f aca="false">IF(K401&gt;0,L401/K401,0)</f>
        <v>0.997038540489425</v>
      </c>
      <c r="U401" s="10" t="n">
        <v>801.6</v>
      </c>
      <c r="V401" s="5" t="n">
        <v>8</v>
      </c>
      <c r="W401" s="10" t="n">
        <v>20.8</v>
      </c>
      <c r="X401" s="15" t="n">
        <f aca="false">IF(U401&gt;0,W401/U401,0)</f>
        <v>0.0259481037924152</v>
      </c>
      <c r="Y401" s="12" t="n">
        <f aca="false">IF(U401&gt;0,L401/U401,0)</f>
        <v>269.639471057884</v>
      </c>
      <c r="Z401" s="16" t="n">
        <f aca="false">L401*INDEX(Parametros!$E$2:$E$9,MATCH($E401,Parametros!$A$2:$A$9,0))</f>
        <v>142654.38</v>
      </c>
      <c r="AA401" s="16" t="n">
        <f aca="false">Z401*INDEX(Parametros!$F$2:$F$9,MATCH($E401,Parametros!$A$2:$A$9,0))</f>
        <v>3709.01388</v>
      </c>
      <c r="AB401" s="17" t="n">
        <f aca="false">Z401+AA401</f>
        <v>146363.39388</v>
      </c>
      <c r="AC401" s="18" t="n">
        <v>148811.94</v>
      </c>
      <c r="AD401" s="17" t="n">
        <f aca="false">AC401-AB401</f>
        <v>2448.54611999998</v>
      </c>
      <c r="AE401" s="17" t="n">
        <f aca="false">AA401+AD401</f>
        <v>6157.55999999999</v>
      </c>
      <c r="AF401" s="19" t="n">
        <f aca="false">IF(Z401&gt;0,AE401/Z401,0)</f>
        <v>0.0431641846538465</v>
      </c>
      <c r="AG401" s="16" t="n">
        <f aca="false">(U401-W401)*INDEX(Parametros!$H$2:$H$9,MATCH($E401,Parametros!$A$2:$A$9,0))+W401*INDEX(Parametros!$H$2:$H$9,MATCH($E401,Parametros!$A$2:$A$9,0))*Parametros!$N$3</f>
        <v>25578</v>
      </c>
      <c r="AH401" s="13" t="n">
        <v>11438</v>
      </c>
      <c r="AI401" s="16" t="n">
        <f aca="false">AH401*Parametros!$N$2</f>
        <v>1052.296</v>
      </c>
      <c r="AJ401" s="18" t="n">
        <v>5947</v>
      </c>
      <c r="AK401" s="18" t="n">
        <v>4741</v>
      </c>
      <c r="AL401" s="17" t="n">
        <f aca="false">AG401+AI401+AJ401+AK401</f>
        <v>37318.296</v>
      </c>
      <c r="AM401" s="20" t="n">
        <f aca="false">IF(L401&gt;0,AL401/L401,0)</f>
        <v>0.1726555844973</v>
      </c>
      <c r="AN401" s="16" t="n">
        <f aca="false">L401*INDEX(Parametros!$G$2:$G$9,MATCH($E401,Parametros!$A$2:$A$9,0))</f>
        <v>270178.75</v>
      </c>
      <c r="AO401" s="17" t="n">
        <f aca="false">AN401-AC401-AL401</f>
        <v>84048.514</v>
      </c>
      <c r="AP401" s="15" t="n">
        <f aca="false">IF(AN401&gt;0,AO401/AN401,0)</f>
        <v>0.311084842904929</v>
      </c>
      <c r="AQ401" s="16" t="n">
        <f aca="false">INDEX(Parametros!$I$2:$I$9,MATCH($E401,Parametros!$A$2:$A$9,0))</f>
        <v>13300000</v>
      </c>
      <c r="AR401" s="19" t="n">
        <f aca="false">IF(AQ401&gt;0,AO401/AQ401,0)</f>
        <v>0.00631943714285714</v>
      </c>
    </row>
    <row r="402" customFormat="false" ht="15" hidden="false" customHeight="false" outlineLevel="0" collapsed="false">
      <c r="A402" s="5" t="s">
        <v>537</v>
      </c>
      <c r="B402" s="9" t="n">
        <v>45901</v>
      </c>
      <c r="C402" s="2" t="str">
        <f aca="false">TEXT(B402,"yyyy")</f>
        <v>2025</v>
      </c>
      <c r="D402" s="2" t="n">
        <f aca="false">WEEKNUM(B402,2)</f>
        <v>36</v>
      </c>
      <c r="E402" s="5" t="s">
        <v>130</v>
      </c>
      <c r="F402" s="6" t="str">
        <f aca="false">INDEX(Parametros!$B$2:$B$9,MATCH($E402,Parametros!$A$2:$A$9,0))</f>
        <v>Ketchup botella</v>
      </c>
      <c r="G402" s="10" t="n">
        <v>129.8</v>
      </c>
      <c r="H402" s="10" t="n">
        <v>7.7</v>
      </c>
      <c r="I402" s="11" t="n">
        <f aca="false">SUMIFS(Eventos_Paro!$J$2:$J$2186,Eventos_Paro!$D$2:$D$2186,$E402,Eventos_Paro!$B$2:$B$2186,$B402)</f>
        <v>2.5</v>
      </c>
      <c r="J402" s="12" t="n">
        <f aca="false">G402-H402-I402</f>
        <v>119.6</v>
      </c>
      <c r="K402" s="13" t="n">
        <v>900756</v>
      </c>
      <c r="L402" s="13" t="n">
        <v>914824</v>
      </c>
      <c r="M402" s="13" t="n">
        <v>22711</v>
      </c>
      <c r="N402" s="14" t="n">
        <f aca="false">L402+M402</f>
        <v>937535</v>
      </c>
      <c r="O402" s="11" t="n">
        <f aca="false">INDEX(Parametros!$D$2:$D$9,MATCH($E402,Parametros!$A$2:$A$9,0))</f>
        <v>9000</v>
      </c>
      <c r="P402" s="15" t="n">
        <f aca="false">IF((G402-H402)&gt;0,J402/(G402-H402),0)</f>
        <v>0.97952497952498</v>
      </c>
      <c r="Q402" s="15" t="n">
        <f aca="false">IF(J402*O402&gt;0,N402/(O402*J402),0)</f>
        <v>0.870991267186919</v>
      </c>
      <c r="R402" s="15" t="n">
        <f aca="false">IF(N402&gt;0,L402/N402,0)</f>
        <v>0.975775837702059</v>
      </c>
      <c r="S402" s="15" t="n">
        <f aca="false">P402*Q402*R402</f>
        <v>0.832490672490672</v>
      </c>
      <c r="T402" s="15" t="n">
        <f aca="false">IF(K402&gt;0,L402/K402,0)</f>
        <v>1.01561799199783</v>
      </c>
      <c r="U402" s="10" t="n">
        <v>2077.2</v>
      </c>
      <c r="V402" s="5" t="n">
        <v>16</v>
      </c>
      <c r="W402" s="10" t="n">
        <v>0.4</v>
      </c>
      <c r="X402" s="15" t="n">
        <f aca="false">IF(U402&gt;0,W402/U402,0)</f>
        <v>0.000192566917003659</v>
      </c>
      <c r="Y402" s="12" t="n">
        <f aca="false">IF(U402&gt;0,L402/U402,0)</f>
        <v>440.412093202388</v>
      </c>
      <c r="Z402" s="16" t="n">
        <f aca="false">L402*INDEX(Parametros!$E$2:$E$9,MATCH($E402,Parametros!$A$2:$A$9,0))</f>
        <v>384226.08</v>
      </c>
      <c r="AA402" s="16" t="n">
        <f aca="false">Z402*INDEX(Parametros!$F$2:$F$9,MATCH($E402,Parametros!$A$2:$A$9,0))</f>
        <v>7684.5216</v>
      </c>
      <c r="AB402" s="17" t="n">
        <f aca="false">Z402+AA402</f>
        <v>391910.6016</v>
      </c>
      <c r="AC402" s="18" t="n">
        <v>386590.36</v>
      </c>
      <c r="AD402" s="17" t="n">
        <f aca="false">AC402-AB402</f>
        <v>-5320.24159999995</v>
      </c>
      <c r="AE402" s="17" t="n">
        <f aca="false">AA402+AD402</f>
        <v>2364.28000000005</v>
      </c>
      <c r="AF402" s="19" t="n">
        <f aca="false">IF(Z402&gt;0,AE402/Z402,0)</f>
        <v>0.00615335637809919</v>
      </c>
      <c r="AG402" s="16" t="n">
        <f aca="false">(U402-W402)*INDEX(Parametros!$H$2:$H$9,MATCH($E402,Parametros!$A$2:$A$9,0))+W402*INDEX(Parametros!$H$2:$H$9,MATCH($E402,Parametros!$A$2:$A$9,0))*Parametros!$N$3</f>
        <v>65438.1</v>
      </c>
      <c r="AH402" s="13" t="n">
        <v>47341</v>
      </c>
      <c r="AI402" s="16" t="n">
        <f aca="false">AH402*Parametros!$N$2</f>
        <v>4355.372</v>
      </c>
      <c r="AJ402" s="18" t="n">
        <v>14161</v>
      </c>
      <c r="AK402" s="18" t="n">
        <v>2368</v>
      </c>
      <c r="AL402" s="17" t="n">
        <f aca="false">AG402+AI402+AJ402+AK402</f>
        <v>86322.472</v>
      </c>
      <c r="AM402" s="20" t="n">
        <f aca="false">IF(L402&gt;0,AL402/L402,0)</f>
        <v>0.0943596495063531</v>
      </c>
      <c r="AN402" s="16" t="n">
        <f aca="false">L402*INDEX(Parametros!$G$2:$G$9,MATCH($E402,Parametros!$A$2:$A$9,0))</f>
        <v>649525.04</v>
      </c>
      <c r="AO402" s="17" t="n">
        <f aca="false">AN402-AC402-AL402</f>
        <v>176612.208</v>
      </c>
      <c r="AP402" s="15" t="n">
        <f aca="false">IF(AN402&gt;0,AO402/AN402,0)</f>
        <v>0.271909775795557</v>
      </c>
      <c r="AQ402" s="16" t="n">
        <f aca="false">INDEX(Parametros!$I$2:$I$9,MATCH($E402,Parametros!$A$2:$A$9,0))</f>
        <v>29300000</v>
      </c>
      <c r="AR402" s="19" t="n">
        <f aca="false">IF(AQ402&gt;0,AO402/AQ402,0)</f>
        <v>0.00602772040955631</v>
      </c>
    </row>
    <row r="403" customFormat="false" ht="15" hidden="false" customHeight="false" outlineLevel="0" collapsed="false">
      <c r="A403" s="5" t="s">
        <v>538</v>
      </c>
      <c r="B403" s="9" t="n">
        <v>45901</v>
      </c>
      <c r="C403" s="2" t="str">
        <f aca="false">TEXT(B403,"yyyy")</f>
        <v>2025</v>
      </c>
      <c r="D403" s="2" t="n">
        <f aca="false">WEEKNUM(B403,2)</f>
        <v>36</v>
      </c>
      <c r="E403" s="5" t="s">
        <v>132</v>
      </c>
      <c r="F403" s="6" t="str">
        <f aca="false">INDEX(Parametros!$B$2:$B$9,MATCH($E403,Parametros!$A$2:$A$9,0))</f>
        <v>Mayonesa frasco</v>
      </c>
      <c r="G403" s="10" t="n">
        <v>124.9</v>
      </c>
      <c r="H403" s="10" t="n">
        <v>5.7</v>
      </c>
      <c r="I403" s="11" t="n">
        <f aca="false">SUMIFS(Eventos_Paro!$J$2:$J$2186,Eventos_Paro!$D$2:$D$2186,$E403,Eventos_Paro!$B$2:$B$2186,$B403)</f>
        <v>4.03333333333333</v>
      </c>
      <c r="J403" s="12" t="n">
        <f aca="false">G403-H403-I403</f>
        <v>115.166666666667</v>
      </c>
      <c r="K403" s="13" t="n">
        <v>635095</v>
      </c>
      <c r="L403" s="13" t="n">
        <v>638381</v>
      </c>
      <c r="M403" s="13" t="n">
        <v>14402</v>
      </c>
      <c r="N403" s="14" t="n">
        <f aca="false">L403+M403</f>
        <v>652783</v>
      </c>
      <c r="O403" s="11" t="n">
        <f aca="false">INDEX(Parametros!$D$2:$D$9,MATCH($E403,Parametros!$A$2:$A$9,0))</f>
        <v>6500</v>
      </c>
      <c r="P403" s="15" t="n">
        <f aca="false">IF((G403-H403)&gt;0,J403/(G403-H403),0)</f>
        <v>0.966163310961969</v>
      </c>
      <c r="Q403" s="15" t="n">
        <f aca="false">IF(J403*O403&gt;0,N403/(O403*J403),0)</f>
        <v>0.872024490704664</v>
      </c>
      <c r="R403" s="15" t="n">
        <f aca="false">IF(N403&gt;0,L403/N403,0)</f>
        <v>0.977937538201822</v>
      </c>
      <c r="S403" s="15" t="n">
        <f aca="false">P403*Q403*R403</f>
        <v>0.823930046463604</v>
      </c>
      <c r="T403" s="15" t="n">
        <f aca="false">IF(K403&gt;0,L403/K403,0)</f>
        <v>1.00517402908226</v>
      </c>
      <c r="U403" s="10" t="n">
        <v>1879.1</v>
      </c>
      <c r="V403" s="5" t="n">
        <v>14</v>
      </c>
      <c r="W403" s="10" t="n">
        <v>130.5</v>
      </c>
      <c r="X403" s="15" t="n">
        <f aca="false">IF(U403&gt;0,W403/U403,0)</f>
        <v>0.0694481400670534</v>
      </c>
      <c r="Y403" s="12" t="n">
        <f aca="false">IF(U403&gt;0,L403/U403,0)</f>
        <v>339.726996966633</v>
      </c>
      <c r="Z403" s="16" t="n">
        <f aca="false">L403*INDEX(Parametros!$E$2:$E$9,MATCH($E403,Parametros!$A$2:$A$9,0))</f>
        <v>389412.41</v>
      </c>
      <c r="AA403" s="16" t="n">
        <f aca="false">Z403*INDEX(Parametros!$F$2:$F$9,MATCH($E403,Parametros!$A$2:$A$9,0))</f>
        <v>9735.31025</v>
      </c>
      <c r="AB403" s="17" t="n">
        <f aca="false">Z403+AA403</f>
        <v>399147.72025</v>
      </c>
      <c r="AC403" s="18" t="n">
        <v>399717.92</v>
      </c>
      <c r="AD403" s="17" t="n">
        <f aca="false">AC403-AB403</f>
        <v>570.199750000029</v>
      </c>
      <c r="AE403" s="17" t="n">
        <f aca="false">AA403+AD403</f>
        <v>10305.51</v>
      </c>
      <c r="AF403" s="19" t="n">
        <f aca="false">IF(Z403&gt;0,AE403/Z403,0)</f>
        <v>0.0264642567503178</v>
      </c>
      <c r="AG403" s="16" t="n">
        <f aca="false">(U403-W403)*INDEX(Parametros!$H$2:$H$9,MATCH($E403,Parametros!$A$2:$A$9,0))+W403*INDEX(Parametros!$H$2:$H$9,MATCH($E403,Parametros!$A$2:$A$9,0))*Parametros!$N$3</f>
        <v>61247.025</v>
      </c>
      <c r="AH403" s="13" t="n">
        <v>34253</v>
      </c>
      <c r="AI403" s="16" t="n">
        <f aca="false">AH403*Parametros!$N$2</f>
        <v>3151.276</v>
      </c>
      <c r="AJ403" s="18" t="n">
        <v>14077</v>
      </c>
      <c r="AK403" s="18" t="n">
        <v>2467</v>
      </c>
      <c r="AL403" s="17" t="n">
        <f aca="false">AG403+AI403+AJ403+AK403</f>
        <v>80942.301</v>
      </c>
      <c r="AM403" s="20" t="n">
        <f aca="false">IF(L403&gt;0,AL403/L403,0)</f>
        <v>0.126793092212957</v>
      </c>
      <c r="AN403" s="16" t="n">
        <f aca="false">L403*INDEX(Parametros!$G$2:$G$9,MATCH($E403,Parametros!$A$2:$A$9,0))</f>
        <v>612845.76</v>
      </c>
      <c r="AO403" s="17" t="n">
        <f aca="false">AN403-AC403-AL403</f>
        <v>132185.539</v>
      </c>
      <c r="AP403" s="15" t="n">
        <f aca="false">IF(AN403&gt;0,AO403/AN403,0)</f>
        <v>0.215691365801405</v>
      </c>
      <c r="AQ403" s="16" t="n">
        <f aca="false">INDEX(Parametros!$I$2:$I$9,MATCH($E403,Parametros!$A$2:$A$9,0))</f>
        <v>29700000</v>
      </c>
      <c r="AR403" s="19" t="n">
        <f aca="false">IF(AQ403&gt;0,AO403/AQ403,0)</f>
        <v>0.00445069154882155</v>
      </c>
    </row>
    <row r="404" customFormat="false" ht="15" hidden="false" customHeight="false" outlineLevel="0" collapsed="false">
      <c r="A404" s="5" t="s">
        <v>539</v>
      </c>
      <c r="B404" s="9" t="n">
        <v>45901</v>
      </c>
      <c r="C404" s="2" t="str">
        <f aca="false">TEXT(B404,"yyyy")</f>
        <v>2025</v>
      </c>
      <c r="D404" s="2" t="n">
        <f aca="false">WEEKNUM(B404,2)</f>
        <v>36</v>
      </c>
      <c r="E404" s="5" t="s">
        <v>134</v>
      </c>
      <c r="F404" s="6" t="str">
        <f aca="false">INDEX(Parametros!$B$2:$B$9,MATCH($E404,Parametros!$A$2:$A$9,0))</f>
        <v>Aderezos vertibles</v>
      </c>
      <c r="G404" s="10" t="n">
        <v>126.5</v>
      </c>
      <c r="H404" s="10" t="n">
        <v>5.8</v>
      </c>
      <c r="I404" s="11" t="n">
        <f aca="false">SUMIFS(Eventos_Paro!$J$2:$J$2186,Eventos_Paro!$D$2:$D$2186,$E404,Eventos_Paro!$B$2:$B$2186,$B404)</f>
        <v>1.8</v>
      </c>
      <c r="J404" s="12" t="n">
        <f aca="false">G404-H404-I404</f>
        <v>118.9</v>
      </c>
      <c r="K404" s="13" t="n">
        <v>514470</v>
      </c>
      <c r="L404" s="13" t="n">
        <v>441323</v>
      </c>
      <c r="M404" s="13" t="n">
        <v>15660</v>
      </c>
      <c r="N404" s="14" t="n">
        <f aca="false">L404+M404</f>
        <v>456983</v>
      </c>
      <c r="O404" s="11" t="n">
        <f aca="false">INDEX(Parametros!$D$2:$D$9,MATCH($E404,Parametros!$A$2:$A$9,0))</f>
        <v>5200</v>
      </c>
      <c r="P404" s="15" t="n">
        <f aca="false">IF((G404-H404)&gt;0,J404/(G404-H404),0)</f>
        <v>0.985086992543496</v>
      </c>
      <c r="Q404" s="15" t="n">
        <f aca="false">IF(J404*O404&gt;0,N404/(O404*J404),0)</f>
        <v>0.739119816264476</v>
      </c>
      <c r="R404" s="15" t="n">
        <f aca="false">IF(N404&gt;0,L404/N404,0)</f>
        <v>0.965731766827212</v>
      </c>
      <c r="S404" s="15" t="n">
        <f aca="false">P404*Q404*R404</f>
        <v>0.703146708304123</v>
      </c>
      <c r="T404" s="15" t="n">
        <f aca="false">IF(K404&gt;0,L404/K404,0)</f>
        <v>0.857820669815538</v>
      </c>
      <c r="U404" s="10" t="n">
        <v>1610.3</v>
      </c>
      <c r="V404" s="5" t="n">
        <v>12</v>
      </c>
      <c r="W404" s="10" t="n">
        <v>92.3</v>
      </c>
      <c r="X404" s="15" t="n">
        <f aca="false">IF(U404&gt;0,W404/U404,0)</f>
        <v>0.0573185120784947</v>
      </c>
      <c r="Y404" s="12" t="n">
        <f aca="false">IF(U404&gt;0,L404/U404,0)</f>
        <v>274.062597031609</v>
      </c>
      <c r="Z404" s="16" t="n">
        <f aca="false">L404*INDEX(Parametros!$E$2:$E$9,MATCH($E404,Parametros!$A$2:$A$9,0))</f>
        <v>242727.65</v>
      </c>
      <c r="AA404" s="16" t="n">
        <f aca="false">Z404*INDEX(Parametros!$F$2:$F$9,MATCH($E404,Parametros!$A$2:$A$9,0))</f>
        <v>7281.8295</v>
      </c>
      <c r="AB404" s="17" t="n">
        <f aca="false">Z404+AA404</f>
        <v>250009.4795</v>
      </c>
      <c r="AC404" s="18" t="n">
        <v>248113.46</v>
      </c>
      <c r="AD404" s="17" t="n">
        <f aca="false">AC404-AB404</f>
        <v>-1896.01950000002</v>
      </c>
      <c r="AE404" s="17" t="n">
        <f aca="false">AA404+AD404</f>
        <v>5385.80999999998</v>
      </c>
      <c r="AF404" s="19" t="n">
        <f aca="false">IF(Z404&gt;0,AE404/Z404,0)</f>
        <v>0.0221886958490307</v>
      </c>
      <c r="AG404" s="16" t="n">
        <f aca="false">(U404-W404)*INDEX(Parametros!$H$2:$H$9,MATCH($E404,Parametros!$A$2:$A$9,0))+W404*INDEX(Parametros!$H$2:$H$9,MATCH($E404,Parametros!$A$2:$A$9,0))*Parametros!$N$3</f>
        <v>52178.175</v>
      </c>
      <c r="AH404" s="13" t="n">
        <v>23548</v>
      </c>
      <c r="AI404" s="16" t="n">
        <f aca="false">AH404*Parametros!$N$2</f>
        <v>2166.416</v>
      </c>
      <c r="AJ404" s="18" t="n">
        <v>10468</v>
      </c>
      <c r="AK404" s="18" t="n">
        <v>888</v>
      </c>
      <c r="AL404" s="17" t="n">
        <f aca="false">AG404+AI404+AJ404+AK404</f>
        <v>65700.591</v>
      </c>
      <c r="AM404" s="20" t="n">
        <f aca="false">IF(L404&gt;0,AL404/L404,0)</f>
        <v>0.148871894281513</v>
      </c>
      <c r="AN404" s="16" t="n">
        <f aca="false">L404*INDEX(Parametros!$G$2:$G$9,MATCH($E404,Parametros!$A$2:$A$9,0))</f>
        <v>450149.46</v>
      </c>
      <c r="AO404" s="17" t="n">
        <f aca="false">AN404-AC404-AL404</f>
        <v>136335.409</v>
      </c>
      <c r="AP404" s="15" t="n">
        <f aca="false">IF(AN404&gt;0,AO404/AN404,0)</f>
        <v>0.302866983334824</v>
      </c>
      <c r="AQ404" s="16" t="n">
        <f aca="false">INDEX(Parametros!$I$2:$I$9,MATCH($E404,Parametros!$A$2:$A$9,0))</f>
        <v>19300000</v>
      </c>
      <c r="AR404" s="19" t="n">
        <f aca="false">IF(AQ404&gt;0,AO404/AQ404,0)</f>
        <v>0.00706401082901555</v>
      </c>
    </row>
    <row r="405" customFormat="false" ht="15" hidden="false" customHeight="false" outlineLevel="0" collapsed="false">
      <c r="A405" s="5" t="s">
        <v>540</v>
      </c>
      <c r="B405" s="9" t="n">
        <v>45901</v>
      </c>
      <c r="C405" s="2" t="str">
        <f aca="false">TEXT(B405,"yyyy")</f>
        <v>2025</v>
      </c>
      <c r="D405" s="2" t="n">
        <f aca="false">WEEKNUM(B405,2)</f>
        <v>36</v>
      </c>
      <c r="E405" s="5" t="s">
        <v>136</v>
      </c>
      <c r="F405" s="6" t="str">
        <f aca="false">INDEX(Parametros!$B$2:$B$9,MATCH($E405,Parametros!$A$2:$A$9,0))</f>
        <v>Salsa BBQ</v>
      </c>
      <c r="G405" s="10" t="n">
        <v>100.2</v>
      </c>
      <c r="H405" s="10" t="n">
        <v>6.1</v>
      </c>
      <c r="I405" s="11" t="n">
        <f aca="false">SUMIFS(Eventos_Paro!$J$2:$J$2186,Eventos_Paro!$D$2:$D$2186,$E405,Eventos_Paro!$B$2:$B$2186,$B405)</f>
        <v>0</v>
      </c>
      <c r="J405" s="12" t="n">
        <f aca="false">G405-H405-I405</f>
        <v>94.1</v>
      </c>
      <c r="K405" s="13" t="n">
        <v>401363</v>
      </c>
      <c r="L405" s="13" t="n">
        <v>349334</v>
      </c>
      <c r="M405" s="13" t="n">
        <v>8293</v>
      </c>
      <c r="N405" s="14" t="n">
        <f aca="false">L405+M405</f>
        <v>357627</v>
      </c>
      <c r="O405" s="11" t="n">
        <f aca="false">INDEX(Parametros!$D$2:$D$9,MATCH($E405,Parametros!$A$2:$A$9,0))</f>
        <v>4800</v>
      </c>
      <c r="P405" s="15" t="n">
        <f aca="false">IF((G405-H405)&gt;0,J405/(G405-H405),0)</f>
        <v>1</v>
      </c>
      <c r="Q405" s="15" t="n">
        <f aca="false">IF(J405*O405&gt;0,N405/(O405*J405),0)</f>
        <v>0.791770722635494</v>
      </c>
      <c r="R405" s="15" t="n">
        <f aca="false">IF(N405&gt;0,L405/N405,0)</f>
        <v>0.976811034961007</v>
      </c>
      <c r="S405" s="15" t="n">
        <f aca="false">P405*Q405*R405</f>
        <v>0.773410379029401</v>
      </c>
      <c r="T405" s="15" t="n">
        <f aca="false">IF(K405&gt;0,L405/K405,0)</f>
        <v>0.870369216893436</v>
      </c>
      <c r="U405" s="10" t="n">
        <v>1212.4</v>
      </c>
      <c r="V405" s="5" t="n">
        <v>11</v>
      </c>
      <c r="W405" s="10" t="n">
        <v>110.2</v>
      </c>
      <c r="X405" s="15" t="n">
        <f aca="false">IF(U405&gt;0,W405/U405,0)</f>
        <v>0.0908940943582976</v>
      </c>
      <c r="Y405" s="12" t="n">
        <f aca="false">IF(U405&gt;0,L405/U405,0)</f>
        <v>288.134279115803</v>
      </c>
      <c r="Z405" s="16" t="n">
        <f aca="false">L405*INDEX(Parametros!$E$2:$E$9,MATCH($E405,Parametros!$A$2:$A$9,0))</f>
        <v>202613.72</v>
      </c>
      <c r="AA405" s="16" t="n">
        <f aca="false">Z405*INDEX(Parametros!$F$2:$F$9,MATCH($E405,Parametros!$A$2:$A$9,0))</f>
        <v>5673.18416</v>
      </c>
      <c r="AB405" s="17" t="n">
        <f aca="false">Z405+AA405</f>
        <v>208286.90416</v>
      </c>
      <c r="AC405" s="18" t="n">
        <v>204713.07</v>
      </c>
      <c r="AD405" s="17" t="n">
        <f aca="false">AC405-AB405</f>
        <v>-3573.83415999997</v>
      </c>
      <c r="AE405" s="17" t="n">
        <f aca="false">AA405+AD405</f>
        <v>2099.35000000003</v>
      </c>
      <c r="AF405" s="19" t="n">
        <f aca="false">IF(Z405&gt;0,AE405/Z405,0)</f>
        <v>0.0103613417689583</v>
      </c>
      <c r="AG405" s="16" t="n">
        <f aca="false">(U405-W405)*INDEX(Parametros!$H$2:$H$9,MATCH($E405,Parametros!$A$2:$A$9,0))+W405*INDEX(Parametros!$H$2:$H$9,MATCH($E405,Parametros!$A$2:$A$9,0))*Parametros!$N$3</f>
        <v>39926.25</v>
      </c>
      <c r="AH405" s="13" t="n">
        <v>18263</v>
      </c>
      <c r="AI405" s="16" t="n">
        <f aca="false">AH405*Parametros!$N$2</f>
        <v>1680.196</v>
      </c>
      <c r="AJ405" s="18" t="n">
        <v>8724</v>
      </c>
      <c r="AK405" s="18" t="n">
        <v>0</v>
      </c>
      <c r="AL405" s="17" t="n">
        <f aca="false">AG405+AI405+AJ405+AK405</f>
        <v>50330.446</v>
      </c>
      <c r="AM405" s="20" t="n">
        <f aca="false">IF(L405&gt;0,AL405/L405,0)</f>
        <v>0.144075429245364</v>
      </c>
      <c r="AN405" s="16" t="n">
        <f aca="false">L405*INDEX(Parametros!$G$2:$G$9,MATCH($E405,Parametros!$A$2:$A$9,0))</f>
        <v>342347.32</v>
      </c>
      <c r="AO405" s="17" t="n">
        <f aca="false">AN405-AC405-AL405</f>
        <v>87303.804</v>
      </c>
      <c r="AP405" s="15" t="n">
        <f aca="false">IF(AN405&gt;0,AO405/AN405,0)</f>
        <v>0.255015298498613</v>
      </c>
      <c r="AQ405" s="16" t="n">
        <f aca="false">INDEX(Parametros!$I$2:$I$9,MATCH($E405,Parametros!$A$2:$A$9,0))</f>
        <v>17000000</v>
      </c>
      <c r="AR405" s="19" t="n">
        <f aca="false">IF(AQ405&gt;0,AO405/AQ405,0)</f>
        <v>0.00513551788235294</v>
      </c>
    </row>
    <row r="406" customFormat="false" ht="15" hidden="false" customHeight="false" outlineLevel="0" collapsed="false">
      <c r="A406" s="5" t="s">
        <v>541</v>
      </c>
      <c r="B406" s="9" t="n">
        <v>45901</v>
      </c>
      <c r="C406" s="2" t="str">
        <f aca="false">TEXT(B406,"yyyy")</f>
        <v>2025</v>
      </c>
      <c r="D406" s="2" t="n">
        <f aca="false">WEEKNUM(B406,2)</f>
        <v>36</v>
      </c>
      <c r="E406" s="5" t="s">
        <v>138</v>
      </c>
      <c r="F406" s="6" t="str">
        <f aca="false">INDEX(Parametros!$B$2:$B$9,MATCH($E406,Parametros!$A$2:$A$9,0))</f>
        <v>Queso crema</v>
      </c>
      <c r="G406" s="10" t="n">
        <v>146.4</v>
      </c>
      <c r="H406" s="10" t="n">
        <v>6.7</v>
      </c>
      <c r="I406" s="11" t="n">
        <f aca="false">SUMIFS(Eventos_Paro!$J$2:$J$2186,Eventos_Paro!$D$2:$D$2186,$E406,Eventos_Paro!$B$2:$B$2186,$B406)</f>
        <v>2.8</v>
      </c>
      <c r="J406" s="12" t="n">
        <f aca="false">G406-H406-I406</f>
        <v>136.9</v>
      </c>
      <c r="K406" s="13" t="n">
        <v>435140</v>
      </c>
      <c r="L406" s="13" t="n">
        <v>436582</v>
      </c>
      <c r="M406" s="13" t="n">
        <v>19309</v>
      </c>
      <c r="N406" s="14" t="n">
        <f aca="false">L406+M406</f>
        <v>455891</v>
      </c>
      <c r="O406" s="11" t="n">
        <f aca="false">INDEX(Parametros!$D$2:$D$9,MATCH($E406,Parametros!$A$2:$A$9,0))</f>
        <v>3800</v>
      </c>
      <c r="P406" s="15" t="n">
        <f aca="false">IF((G406-H406)&gt;0,J406/(G406-H406),0)</f>
        <v>0.979957050823193</v>
      </c>
      <c r="Q406" s="15" t="n">
        <f aca="false">IF(J406*O406&gt;0,N406/(O406*J406),0)</f>
        <v>0.876342701164892</v>
      </c>
      <c r="R406" s="15" t="n">
        <f aca="false">IF(N406&gt;0,L406/N406,0)</f>
        <v>0.957645577561303</v>
      </c>
      <c r="S406" s="15" t="n">
        <f aca="false">P406*Q406*R406</f>
        <v>0.822405153901217</v>
      </c>
      <c r="T406" s="15" t="n">
        <f aca="false">IF(K406&gt;0,L406/K406,0)</f>
        <v>1.00331387599393</v>
      </c>
      <c r="U406" s="10" t="n">
        <v>2569.9</v>
      </c>
      <c r="V406" s="5" t="n">
        <v>16</v>
      </c>
      <c r="W406" s="10" t="n">
        <v>227.5</v>
      </c>
      <c r="X406" s="15" t="n">
        <f aca="false">IF(U406&gt;0,W406/U406,0)</f>
        <v>0.0885248453247208</v>
      </c>
      <c r="Y406" s="12" t="n">
        <f aca="false">IF(U406&gt;0,L406/U406,0)</f>
        <v>169.882874820032</v>
      </c>
      <c r="Z406" s="16" t="n">
        <f aca="false">L406*INDEX(Parametros!$E$2:$E$9,MATCH($E406,Parametros!$A$2:$A$9,0))</f>
        <v>488971.84</v>
      </c>
      <c r="AA406" s="16" t="n">
        <f aca="false">Z406*INDEX(Parametros!$F$2:$F$9,MATCH($E406,Parametros!$A$2:$A$9,0))</f>
        <v>17114.0144</v>
      </c>
      <c r="AB406" s="17" t="n">
        <f aca="false">Z406+AA406</f>
        <v>506085.8544</v>
      </c>
      <c r="AC406" s="18" t="n">
        <v>501810.43</v>
      </c>
      <c r="AD406" s="17" t="n">
        <f aca="false">AC406-AB406</f>
        <v>-4275.42440000002</v>
      </c>
      <c r="AE406" s="17" t="n">
        <f aca="false">AA406+AD406</f>
        <v>12838.59</v>
      </c>
      <c r="AF406" s="19" t="n">
        <f aca="false">IF(Z406&gt;0,AE406/Z406,0)</f>
        <v>0.0262562972951571</v>
      </c>
      <c r="AG406" s="16" t="n">
        <f aca="false">(U406-W406)*INDEX(Parametros!$H$2:$H$9,MATCH($E406,Parametros!$A$2:$A$9,0))+W406*INDEX(Parametros!$H$2:$H$9,MATCH($E406,Parametros!$A$2:$A$9,0))*Parametros!$N$3</f>
        <v>88560.45</v>
      </c>
      <c r="AH406" s="13" t="n">
        <v>23329</v>
      </c>
      <c r="AI406" s="16" t="n">
        <f aca="false">AH406*Parametros!$N$2</f>
        <v>2146.268</v>
      </c>
      <c r="AJ406" s="18" t="n">
        <v>17823</v>
      </c>
      <c r="AK406" s="18" t="n">
        <v>2886</v>
      </c>
      <c r="AL406" s="17" t="n">
        <f aca="false">AG406+AI406+AJ406+AK406</f>
        <v>111415.718</v>
      </c>
      <c r="AM406" s="20" t="n">
        <f aca="false">IF(L406&gt;0,AL406/L406,0)</f>
        <v>0.255199980759628</v>
      </c>
      <c r="AN406" s="16" t="n">
        <f aca="false">L406*INDEX(Parametros!$G$2:$G$9,MATCH($E406,Parametros!$A$2:$A$9,0))</f>
        <v>781481.78</v>
      </c>
      <c r="AO406" s="17" t="n">
        <f aca="false">AN406-AC406-AL406</f>
        <v>168255.632</v>
      </c>
      <c r="AP406" s="15" t="n">
        <f aca="false">IF(AN406&gt;0,AO406/AN406,0)</f>
        <v>0.215303333111618</v>
      </c>
      <c r="AQ406" s="16" t="n">
        <f aca="false">INDEX(Parametros!$I$2:$I$9,MATCH($E406,Parametros!$A$2:$A$9,0))</f>
        <v>33200000</v>
      </c>
      <c r="AR406" s="19" t="n">
        <f aca="false">IF(AQ406&gt;0,AO406/AQ406,0)</f>
        <v>0.00506794072289157</v>
      </c>
    </row>
    <row r="407" customFormat="false" ht="15" hidden="false" customHeight="false" outlineLevel="0" collapsed="false">
      <c r="A407" s="5" t="s">
        <v>542</v>
      </c>
      <c r="B407" s="9" t="n">
        <v>45901</v>
      </c>
      <c r="C407" s="2" t="str">
        <f aca="false">TEXT(B407,"yyyy")</f>
        <v>2025</v>
      </c>
      <c r="D407" s="2" t="n">
        <f aca="false">WEEKNUM(B407,2)</f>
        <v>36</v>
      </c>
      <c r="E407" s="5" t="s">
        <v>140</v>
      </c>
      <c r="F407" s="6" t="str">
        <f aca="false">INDEX(Parametros!$B$2:$B$9,MATCH($E407,Parametros!$A$2:$A$9,0))</f>
        <v>Crema de cacahuate</v>
      </c>
      <c r="G407" s="10" t="n">
        <v>105</v>
      </c>
      <c r="H407" s="10" t="n">
        <v>5.2</v>
      </c>
      <c r="I407" s="11" t="n">
        <f aca="false">SUMIFS(Eventos_Paro!$J$2:$J$2186,Eventos_Paro!$D$2:$D$2186,$E407,Eventos_Paro!$B$2:$B$2186,$B407)</f>
        <v>0</v>
      </c>
      <c r="J407" s="12" t="n">
        <f aca="false">G407-H407-I407</f>
        <v>99.8</v>
      </c>
      <c r="K407" s="13" t="n">
        <v>343581</v>
      </c>
      <c r="L407" s="13" t="n">
        <v>366089</v>
      </c>
      <c r="M407" s="13" t="n">
        <v>5772</v>
      </c>
      <c r="N407" s="14" t="n">
        <f aca="false">L407+M407</f>
        <v>371861</v>
      </c>
      <c r="O407" s="11" t="n">
        <f aca="false">INDEX(Parametros!$D$2:$D$9,MATCH($E407,Parametros!$A$2:$A$9,0))</f>
        <v>4200</v>
      </c>
      <c r="P407" s="15" t="n">
        <f aca="false">IF((G407-H407)&gt;0,J407/(G407-H407),0)</f>
        <v>1</v>
      </c>
      <c r="Q407" s="15" t="n">
        <f aca="false">IF(J407*O407&gt;0,N407/(O407*J407),0)</f>
        <v>0.887157648630595</v>
      </c>
      <c r="R407" s="15" t="n">
        <f aca="false">IF(N407&gt;0,L407/N407,0)</f>
        <v>0.984478071107215</v>
      </c>
      <c r="S407" s="15" t="n">
        <f aca="false">P407*Q407*R407</f>
        <v>0.87338725069186</v>
      </c>
      <c r="T407" s="15" t="n">
        <f aca="false">IF(K407&gt;0,L407/K407,0)</f>
        <v>1.06551002529243</v>
      </c>
      <c r="U407" s="10" t="n">
        <v>1406.9</v>
      </c>
      <c r="V407" s="5" t="n">
        <v>13</v>
      </c>
      <c r="W407" s="10" t="n">
        <v>41.9</v>
      </c>
      <c r="X407" s="15" t="n">
        <f aca="false">IF(U407&gt;0,W407/U407,0)</f>
        <v>0.0297817897505153</v>
      </c>
      <c r="Y407" s="12" t="n">
        <f aca="false">IF(U407&gt;0,L407/U407,0)</f>
        <v>260.209680858625</v>
      </c>
      <c r="Z407" s="16" t="n">
        <f aca="false">L407*INDEX(Parametros!$E$2:$E$9,MATCH($E407,Parametros!$A$2:$A$9,0))</f>
        <v>355106.33</v>
      </c>
      <c r="AA407" s="16" t="n">
        <f aca="false">Z407*INDEX(Parametros!$F$2:$F$9,MATCH($E407,Parametros!$A$2:$A$9,0))</f>
        <v>7812.33926</v>
      </c>
      <c r="AB407" s="17" t="n">
        <f aca="false">Z407+AA407</f>
        <v>362918.66926</v>
      </c>
      <c r="AC407" s="18" t="n">
        <v>365033.84</v>
      </c>
      <c r="AD407" s="17" t="n">
        <f aca="false">AC407-AB407</f>
        <v>2115.17074000003</v>
      </c>
      <c r="AE407" s="17" t="n">
        <f aca="false">AA407+AD407</f>
        <v>9927.51000000003</v>
      </c>
      <c r="AF407" s="19" t="n">
        <f aca="false">IF(Z407&gt;0,AE407/Z407,0)</f>
        <v>0.0279564433559943</v>
      </c>
      <c r="AG407" s="16" t="n">
        <f aca="false">(U407-W407)*INDEX(Parametros!$H$2:$H$9,MATCH($E407,Parametros!$A$2:$A$9,0))+W407*INDEX(Parametros!$H$2:$H$9,MATCH($E407,Parametros!$A$2:$A$9,0))*Parametros!$N$3</f>
        <v>44977.275</v>
      </c>
      <c r="AH407" s="13" t="n">
        <v>19380</v>
      </c>
      <c r="AI407" s="16" t="n">
        <f aca="false">AH407*Parametros!$N$2</f>
        <v>1782.96</v>
      </c>
      <c r="AJ407" s="18" t="n">
        <v>14318</v>
      </c>
      <c r="AK407" s="18" t="n">
        <v>0</v>
      </c>
      <c r="AL407" s="17" t="n">
        <f aca="false">AG407+AI407+AJ407+AK407</f>
        <v>61078.235</v>
      </c>
      <c r="AM407" s="20" t="n">
        <f aca="false">IF(L407&gt;0,AL407/L407,0)</f>
        <v>0.166839853150463</v>
      </c>
      <c r="AN407" s="16" t="n">
        <f aca="false">L407*INDEX(Parametros!$G$2:$G$9,MATCH($E407,Parametros!$A$2:$A$9,0))</f>
        <v>593064.18</v>
      </c>
      <c r="AO407" s="17" t="n">
        <f aca="false">AN407-AC407-AL407</f>
        <v>166952.105</v>
      </c>
      <c r="AP407" s="15" t="n">
        <f aca="false">IF(AN407&gt;0,AO407/AN407,0)</f>
        <v>0.281507652342113</v>
      </c>
      <c r="AQ407" s="16" t="n">
        <f aca="false">INDEX(Parametros!$I$2:$I$9,MATCH($E407,Parametros!$A$2:$A$9,0))</f>
        <v>28000000</v>
      </c>
      <c r="AR407" s="19" t="n">
        <f aca="false">IF(AQ407&gt;0,AO407/AQ407,0)</f>
        <v>0.00596257517857143</v>
      </c>
    </row>
    <row r="408" customFormat="false" ht="15" hidden="false" customHeight="false" outlineLevel="0" collapsed="false">
      <c r="A408" s="5" t="s">
        <v>543</v>
      </c>
      <c r="B408" s="9" t="n">
        <v>45901</v>
      </c>
      <c r="C408" s="2" t="str">
        <f aca="false">TEXT(B408,"yyyy")</f>
        <v>2025</v>
      </c>
      <c r="D408" s="2" t="n">
        <f aca="false">WEEKNUM(B408,2)</f>
        <v>36</v>
      </c>
      <c r="E408" s="5" t="s">
        <v>142</v>
      </c>
      <c r="F408" s="6" t="str">
        <f aca="false">INDEX(Parametros!$B$2:$B$9,MATCH($E408,Parametros!$A$2:$A$9,0))</f>
        <v>Porciones single serve</v>
      </c>
      <c r="G408" s="10" t="n">
        <v>106.8</v>
      </c>
      <c r="H408" s="10" t="n">
        <v>6.7</v>
      </c>
      <c r="I408" s="11" t="n">
        <f aca="false">SUMIFS(Eventos_Paro!$J$2:$J$2186,Eventos_Paro!$D$2:$D$2186,$E408,Eventos_Paro!$B$2:$B$2186,$B408)</f>
        <v>5.4</v>
      </c>
      <c r="J408" s="12" t="n">
        <f aca="false">G408-H408-I408</f>
        <v>94.7</v>
      </c>
      <c r="K408" s="13" t="n">
        <v>213332</v>
      </c>
      <c r="L408" s="13" t="n">
        <v>187271</v>
      </c>
      <c r="M408" s="13" t="n">
        <v>11631</v>
      </c>
      <c r="N408" s="14" t="n">
        <f aca="false">L408+M408</f>
        <v>198902</v>
      </c>
      <c r="O408" s="11" t="n">
        <f aca="false">INDEX(Parametros!$D$2:$D$9,MATCH($E408,Parametros!$A$2:$A$9,0))</f>
        <v>2600</v>
      </c>
      <c r="P408" s="15" t="n">
        <f aca="false">IF((G408-H408)&gt;0,J408/(G408-H408),0)</f>
        <v>0.946053946053946</v>
      </c>
      <c r="Q408" s="15" t="n">
        <f aca="false">IF(J408*O408&gt;0,N408/(O408*J408),0)</f>
        <v>0.807822272764195</v>
      </c>
      <c r="R408" s="15" t="n">
        <f aca="false">IF(N408&gt;0,L408/N408,0)</f>
        <v>0.941523966576505</v>
      </c>
      <c r="S408" s="15" t="n">
        <f aca="false">P408*Q408*R408</f>
        <v>0.719553523399677</v>
      </c>
      <c r="T408" s="15" t="n">
        <f aca="false">IF(K408&gt;0,L408/K408,0)</f>
        <v>0.877838298989369</v>
      </c>
      <c r="U408" s="10" t="n">
        <v>1875.5</v>
      </c>
      <c r="V408" s="5" t="n">
        <v>16</v>
      </c>
      <c r="W408" s="10" t="n">
        <v>166.7</v>
      </c>
      <c r="X408" s="15" t="n">
        <f aca="false">IF(U408&gt;0,W408/U408,0)</f>
        <v>0.0888829645427886</v>
      </c>
      <c r="Y408" s="12" t="n">
        <f aca="false">IF(U408&gt;0,L408/U408,0)</f>
        <v>99.8512396694215</v>
      </c>
      <c r="Z408" s="16" t="n">
        <f aca="false">L408*INDEX(Parametros!$E$2:$E$9,MATCH($E408,Parametros!$A$2:$A$9,0))</f>
        <v>138580.54</v>
      </c>
      <c r="AA408" s="16" t="n">
        <f aca="false">Z408*INDEX(Parametros!$F$2:$F$9,MATCH($E408,Parametros!$A$2:$A$9,0))</f>
        <v>6236.1243</v>
      </c>
      <c r="AB408" s="17" t="n">
        <f aca="false">Z408+AA408</f>
        <v>144816.6643</v>
      </c>
      <c r="AC408" s="18" t="n">
        <v>145555.89</v>
      </c>
      <c r="AD408" s="17" t="n">
        <f aca="false">AC408-AB408</f>
        <v>739.22570000001</v>
      </c>
      <c r="AE408" s="17" t="n">
        <f aca="false">AA408+AD408</f>
        <v>6975.35000000001</v>
      </c>
      <c r="AF408" s="19" t="n">
        <f aca="false">IF(Z408&gt;0,AE408/Z408,0)</f>
        <v>0.0503342677117582</v>
      </c>
      <c r="AG408" s="16" t="n">
        <f aca="false">(U408-W408)*INDEX(Parametros!$H$2:$H$9,MATCH($E408,Parametros!$A$2:$A$9,0))+W408*INDEX(Parametros!$H$2:$H$9,MATCH($E408,Parametros!$A$2:$A$9,0))*Parametros!$N$3</f>
        <v>58765.5</v>
      </c>
      <c r="AH408" s="13" t="n">
        <v>10441</v>
      </c>
      <c r="AI408" s="16" t="n">
        <f aca="false">AH408*Parametros!$N$2</f>
        <v>960.572</v>
      </c>
      <c r="AJ408" s="18" t="n">
        <v>11162</v>
      </c>
      <c r="AK408" s="18" t="n">
        <v>4326</v>
      </c>
      <c r="AL408" s="17" t="n">
        <f aca="false">AG408+AI408+AJ408+AK408</f>
        <v>75214.072</v>
      </c>
      <c r="AM408" s="20" t="n">
        <f aca="false">IF(L408&gt;0,AL408/L408,0)</f>
        <v>0.401632244180893</v>
      </c>
      <c r="AN408" s="16" t="n">
        <f aca="false">L408*INDEX(Parametros!$G$2:$G$9,MATCH($E408,Parametros!$A$2:$A$9,0))</f>
        <v>322106.12</v>
      </c>
      <c r="AO408" s="17" t="n">
        <f aca="false">AN408-AC408-AL408</f>
        <v>101336.158</v>
      </c>
      <c r="AP408" s="15" t="n">
        <f aca="false">IF(AN408&gt;0,AO408/AN408,0)</f>
        <v>0.314604882390934</v>
      </c>
      <c r="AQ408" s="16" t="n">
        <f aca="false">INDEX(Parametros!$I$2:$I$9,MATCH($E408,Parametros!$A$2:$A$9,0))</f>
        <v>15900000</v>
      </c>
      <c r="AR408" s="19" t="n">
        <f aca="false">IF(AQ408&gt;0,AO408/AQ408,0)</f>
        <v>0.00637334327044025</v>
      </c>
    </row>
    <row r="409" customFormat="false" ht="15" hidden="false" customHeight="false" outlineLevel="0" collapsed="false">
      <c r="A409" s="5" t="s">
        <v>544</v>
      </c>
      <c r="B409" s="9" t="n">
        <v>45901</v>
      </c>
      <c r="C409" s="2" t="str">
        <f aca="false">TEXT(B409,"yyyy")</f>
        <v>2025</v>
      </c>
      <c r="D409" s="2" t="n">
        <f aca="false">WEEKNUM(B409,2)</f>
        <v>36</v>
      </c>
      <c r="E409" s="5" t="s">
        <v>144</v>
      </c>
      <c r="F409" s="6" t="str">
        <f aca="false">INDEX(Parametros!$B$2:$B$9,MATCH($E409,Parametros!$A$2:$A$9,0))</f>
        <v>Salsas picantes</v>
      </c>
      <c r="G409" s="10" t="n">
        <v>92.3</v>
      </c>
      <c r="H409" s="10" t="n">
        <v>8.9</v>
      </c>
      <c r="I409" s="11" t="n">
        <f aca="false">SUMIFS(Eventos_Paro!$J$2:$J$2186,Eventos_Paro!$D$2:$D$2186,$E409,Eventos_Paro!$B$2:$B$2186,$B409)</f>
        <v>5.43333333333333</v>
      </c>
      <c r="J409" s="12" t="n">
        <f aca="false">G409-H409-I409</f>
        <v>77.9666666666667</v>
      </c>
      <c r="K409" s="13" t="n">
        <v>199624</v>
      </c>
      <c r="L409" s="13" t="n">
        <v>201694</v>
      </c>
      <c r="M409" s="13" t="n">
        <v>6664</v>
      </c>
      <c r="N409" s="14" t="n">
        <f aca="false">L409+M409</f>
        <v>208358</v>
      </c>
      <c r="O409" s="11" t="n">
        <f aca="false">INDEX(Parametros!$D$2:$D$9,MATCH($E409,Parametros!$A$2:$A$9,0))</f>
        <v>3100</v>
      </c>
      <c r="P409" s="15" t="n">
        <f aca="false">IF((G409-H409)&gt;0,J409/(G409-H409),0)</f>
        <v>0.934852118305356</v>
      </c>
      <c r="Q409" s="15" t="n">
        <f aca="false">IF(J409*O409&gt;0,N409/(O409*J409),0)</f>
        <v>0.862064019638942</v>
      </c>
      <c r="R409" s="15" t="n">
        <f aca="false">IF(N409&gt;0,L409/N409,0)</f>
        <v>0.968016586836119</v>
      </c>
      <c r="S409" s="15" t="n">
        <f aca="false">P409*Q409*R409</f>
        <v>0.780126866248936</v>
      </c>
      <c r="T409" s="15" t="n">
        <f aca="false">IF(K409&gt;0,L409/K409,0)</f>
        <v>1.01036949464994</v>
      </c>
      <c r="U409" s="10" t="n">
        <v>858.3</v>
      </c>
      <c r="V409" s="5" t="n">
        <v>9</v>
      </c>
      <c r="W409" s="10" t="n">
        <v>27.6</v>
      </c>
      <c r="X409" s="15" t="n">
        <f aca="false">IF(U409&gt;0,W409/U409,0)</f>
        <v>0.0321565886053827</v>
      </c>
      <c r="Y409" s="12" t="n">
        <f aca="false">IF(U409&gt;0,L409/U409,0)</f>
        <v>234.992426890365</v>
      </c>
      <c r="Z409" s="16" t="n">
        <f aca="false">L409*INDEX(Parametros!$E$2:$E$9,MATCH($E409,Parametros!$A$2:$A$9,0))</f>
        <v>133118.04</v>
      </c>
      <c r="AA409" s="16" t="n">
        <f aca="false">Z409*INDEX(Parametros!$F$2:$F$9,MATCH($E409,Parametros!$A$2:$A$9,0))</f>
        <v>3461.06904</v>
      </c>
      <c r="AB409" s="17" t="n">
        <f aca="false">Z409+AA409</f>
        <v>136579.10904</v>
      </c>
      <c r="AC409" s="18" t="n">
        <v>135756.97</v>
      </c>
      <c r="AD409" s="17" t="n">
        <f aca="false">AC409-AB409</f>
        <v>-822.139040000009</v>
      </c>
      <c r="AE409" s="17" t="n">
        <f aca="false">AA409+AD409</f>
        <v>2638.92999999999</v>
      </c>
      <c r="AF409" s="19" t="n">
        <f aca="false">IF(Z409&gt;0,AE409/Z409,0)</f>
        <v>0.0198239847882375</v>
      </c>
      <c r="AG409" s="16" t="n">
        <f aca="false">(U409-W409)*INDEX(Parametros!$H$2:$H$9,MATCH($E409,Parametros!$A$2:$A$9,0))+W409*INDEX(Parametros!$H$2:$H$9,MATCH($E409,Parametros!$A$2:$A$9,0))*Parametros!$N$3</f>
        <v>27471.15</v>
      </c>
      <c r="AH409" s="13" t="n">
        <v>9938</v>
      </c>
      <c r="AI409" s="16" t="n">
        <f aca="false">AH409*Parametros!$N$2</f>
        <v>914.296</v>
      </c>
      <c r="AJ409" s="18" t="n">
        <v>6427</v>
      </c>
      <c r="AK409" s="18" t="n">
        <v>3844</v>
      </c>
      <c r="AL409" s="17" t="n">
        <f aca="false">AG409+AI409+AJ409+AK409</f>
        <v>38656.446</v>
      </c>
      <c r="AM409" s="20" t="n">
        <f aca="false">IF(L409&gt;0,AL409/L409,0)</f>
        <v>0.191658879292393</v>
      </c>
      <c r="AN409" s="16" t="n">
        <f aca="false">L409*INDEX(Parametros!$G$2:$G$9,MATCH($E409,Parametros!$A$2:$A$9,0))</f>
        <v>252117.5</v>
      </c>
      <c r="AO409" s="17" t="n">
        <f aca="false">AN409-AC409-AL409</f>
        <v>77704.084</v>
      </c>
      <c r="AP409" s="15" t="n">
        <f aca="false">IF(AN409&gt;0,AO409/AN409,0)</f>
        <v>0.308205832597896</v>
      </c>
      <c r="AQ409" s="16" t="n">
        <f aca="false">INDEX(Parametros!$I$2:$I$9,MATCH($E409,Parametros!$A$2:$A$9,0))</f>
        <v>13300000</v>
      </c>
      <c r="AR409" s="19" t="n">
        <f aca="false">IF(AQ409&gt;0,AO409/AQ409,0)</f>
        <v>0.00584241233082707</v>
      </c>
    </row>
    <row r="410" customFormat="false" ht="15" hidden="false" customHeight="false" outlineLevel="0" collapsed="false">
      <c r="A410" s="5" t="s">
        <v>545</v>
      </c>
      <c r="B410" s="9" t="n">
        <v>45908</v>
      </c>
      <c r="C410" s="2" t="str">
        <f aca="false">TEXT(B410,"yyyy")</f>
        <v>2025</v>
      </c>
      <c r="D410" s="2" t="n">
        <f aca="false">WEEKNUM(B410,2)</f>
        <v>37</v>
      </c>
      <c r="E410" s="5" t="s">
        <v>130</v>
      </c>
      <c r="F410" s="6" t="str">
        <f aca="false">INDEX(Parametros!$B$2:$B$9,MATCH($E410,Parametros!$A$2:$A$9,0))</f>
        <v>Ketchup botella</v>
      </c>
      <c r="G410" s="10" t="n">
        <v>109.3</v>
      </c>
      <c r="H410" s="10" t="n">
        <v>8.4</v>
      </c>
      <c r="I410" s="11" t="n">
        <f aca="false">SUMIFS(Eventos_Paro!$J$2:$J$2186,Eventos_Paro!$D$2:$D$2186,$E410,Eventos_Paro!$B$2:$B$2186,$B410)</f>
        <v>3.86666666666667</v>
      </c>
      <c r="J410" s="12" t="n">
        <f aca="false">G410-H410-I410</f>
        <v>97.0333333333333</v>
      </c>
      <c r="K410" s="13" t="n">
        <v>741476</v>
      </c>
      <c r="L410" s="13" t="n">
        <v>739022</v>
      </c>
      <c r="M410" s="13" t="n">
        <v>21279</v>
      </c>
      <c r="N410" s="14" t="n">
        <f aca="false">L410+M410</f>
        <v>760301</v>
      </c>
      <c r="O410" s="11" t="n">
        <f aca="false">INDEX(Parametros!$D$2:$D$9,MATCH($E410,Parametros!$A$2:$A$9,0))</f>
        <v>9000</v>
      </c>
      <c r="P410" s="15" t="n">
        <f aca="false">IF((G410-H410)&gt;0,J410/(G410-H410),0)</f>
        <v>0.961678229269904</v>
      </c>
      <c r="Q410" s="15" t="n">
        <f aca="false">IF(J410*O410&gt;0,N410/(O410*J410),0)</f>
        <v>0.870606893392878</v>
      </c>
      <c r="R410" s="15" t="n">
        <f aca="false">IF(N410&gt;0,L410/N410,0)</f>
        <v>0.972012400351966</v>
      </c>
      <c r="S410" s="15" t="n">
        <f aca="false">P410*Q410*R410</f>
        <v>0.813811254267151</v>
      </c>
      <c r="T410" s="15" t="n">
        <f aca="false">IF(K410&gt;0,L410/K410,0)</f>
        <v>0.996690385123726</v>
      </c>
      <c r="U410" s="10" t="n">
        <v>1606.8</v>
      </c>
      <c r="V410" s="5" t="n">
        <v>14</v>
      </c>
      <c r="W410" s="10" t="n">
        <v>76.6</v>
      </c>
      <c r="X410" s="15" t="n">
        <f aca="false">IF(U410&gt;0,W410/U410,0)</f>
        <v>0.0476723923325865</v>
      </c>
      <c r="Y410" s="12" t="n">
        <f aca="false">IF(U410&gt;0,L410/U410,0)</f>
        <v>459.934030370924</v>
      </c>
      <c r="Z410" s="16" t="n">
        <f aca="false">L410*INDEX(Parametros!$E$2:$E$9,MATCH($E410,Parametros!$A$2:$A$9,0))</f>
        <v>310389.24</v>
      </c>
      <c r="AA410" s="16" t="n">
        <f aca="false">Z410*INDEX(Parametros!$F$2:$F$9,MATCH($E410,Parametros!$A$2:$A$9,0))</f>
        <v>6207.7848</v>
      </c>
      <c r="AB410" s="17" t="n">
        <f aca="false">Z410+AA410</f>
        <v>316597.0248</v>
      </c>
      <c r="AC410" s="18" t="n">
        <v>321510.44</v>
      </c>
      <c r="AD410" s="17" t="n">
        <f aca="false">AC410-AB410</f>
        <v>4913.41519999999</v>
      </c>
      <c r="AE410" s="17" t="n">
        <f aca="false">AA410+AD410</f>
        <v>11121.2</v>
      </c>
      <c r="AF410" s="19" t="n">
        <f aca="false">IF(Z410&gt;0,AE410/Z410,0)</f>
        <v>0.035829850287336</v>
      </c>
      <c r="AG410" s="16" t="n">
        <f aca="false">(U410-W410)*INDEX(Parametros!$H$2:$H$9,MATCH($E410,Parametros!$A$2:$A$9,0))+W410*INDEX(Parametros!$H$2:$H$9,MATCH($E410,Parametros!$A$2:$A$9,0))*Parametros!$N$3</f>
        <v>51820.65</v>
      </c>
      <c r="AH410" s="13" t="n">
        <v>38732</v>
      </c>
      <c r="AI410" s="16" t="n">
        <f aca="false">AH410*Parametros!$N$2</f>
        <v>3563.344</v>
      </c>
      <c r="AJ410" s="18" t="n">
        <v>15742</v>
      </c>
      <c r="AK410" s="18" t="n">
        <v>2653</v>
      </c>
      <c r="AL410" s="17" t="n">
        <f aca="false">AG410+AI410+AJ410+AK410</f>
        <v>73778.994</v>
      </c>
      <c r="AM410" s="20" t="n">
        <f aca="false">IF(L410&gt;0,AL410/L410,0)</f>
        <v>0.0998332850713511</v>
      </c>
      <c r="AN410" s="16" t="n">
        <f aca="false">L410*INDEX(Parametros!$G$2:$G$9,MATCH($E410,Parametros!$A$2:$A$9,0))</f>
        <v>524705.62</v>
      </c>
      <c r="AO410" s="17" t="n">
        <f aca="false">AN410-AC410-AL410</f>
        <v>129416.186</v>
      </c>
      <c r="AP410" s="15" t="n">
        <f aca="false">IF(AN410&gt;0,AO410/AN410,0)</f>
        <v>0.246645320856293</v>
      </c>
      <c r="AQ410" s="16" t="n">
        <f aca="false">INDEX(Parametros!$I$2:$I$9,MATCH($E410,Parametros!$A$2:$A$9,0))</f>
        <v>29300000</v>
      </c>
      <c r="AR410" s="19" t="n">
        <f aca="false">IF(AQ410&gt;0,AO410/AQ410,0)</f>
        <v>0.00441693467576792</v>
      </c>
    </row>
    <row r="411" customFormat="false" ht="15" hidden="false" customHeight="false" outlineLevel="0" collapsed="false">
      <c r="A411" s="5" t="s">
        <v>546</v>
      </c>
      <c r="B411" s="9" t="n">
        <v>45908</v>
      </c>
      <c r="C411" s="2" t="str">
        <f aca="false">TEXT(B411,"yyyy")</f>
        <v>2025</v>
      </c>
      <c r="D411" s="2" t="n">
        <f aca="false">WEEKNUM(B411,2)</f>
        <v>37</v>
      </c>
      <c r="E411" s="5" t="s">
        <v>132</v>
      </c>
      <c r="F411" s="6" t="str">
        <f aca="false">INDEX(Parametros!$B$2:$B$9,MATCH($E411,Parametros!$A$2:$A$9,0))</f>
        <v>Mayonesa frasco</v>
      </c>
      <c r="G411" s="10" t="n">
        <v>132</v>
      </c>
      <c r="H411" s="10" t="n">
        <v>7.6</v>
      </c>
      <c r="I411" s="11" t="n">
        <f aca="false">SUMIFS(Eventos_Paro!$J$2:$J$2186,Eventos_Paro!$D$2:$D$2186,$E411,Eventos_Paro!$B$2:$B$2186,$B411)</f>
        <v>4.06666666666667</v>
      </c>
      <c r="J411" s="12" t="n">
        <f aca="false">G411-H411-I411</f>
        <v>120.333333333333</v>
      </c>
      <c r="K411" s="13" t="n">
        <v>660233</v>
      </c>
      <c r="L411" s="13" t="n">
        <v>651271</v>
      </c>
      <c r="M411" s="13" t="n">
        <v>16778</v>
      </c>
      <c r="N411" s="14" t="n">
        <f aca="false">L411+M411</f>
        <v>668049</v>
      </c>
      <c r="O411" s="11" t="n">
        <f aca="false">INDEX(Parametros!$D$2:$D$9,MATCH($E411,Parametros!$A$2:$A$9,0))</f>
        <v>6500</v>
      </c>
      <c r="P411" s="15" t="n">
        <f aca="false">IF((G411-H411)&gt;0,J411/(G411-H411),0)</f>
        <v>0.967309753483387</v>
      </c>
      <c r="Q411" s="15" t="n">
        <f aca="false">IF(J411*O411&gt;0,N411/(O411*J411),0)</f>
        <v>0.854100575324952</v>
      </c>
      <c r="R411" s="15" t="n">
        <f aca="false">IF(N411&gt;0,L411/N411,0)</f>
        <v>0.974885075795338</v>
      </c>
      <c r="S411" s="15" t="n">
        <f aca="false">P411*Q411*R411</f>
        <v>0.805430373485036</v>
      </c>
      <c r="T411" s="15" t="n">
        <f aca="false">IF(K411&gt;0,L411/K411,0)</f>
        <v>0.986426004153079</v>
      </c>
      <c r="U411" s="10" t="n">
        <v>1729.2</v>
      </c>
      <c r="V411" s="5" t="n">
        <v>13</v>
      </c>
      <c r="W411" s="10" t="n">
        <v>13.2</v>
      </c>
      <c r="X411" s="15" t="n">
        <f aca="false">IF(U411&gt;0,W411/U411,0)</f>
        <v>0.00763358778625954</v>
      </c>
      <c r="Y411" s="12" t="n">
        <f aca="false">IF(U411&gt;0,L411/U411,0)</f>
        <v>376.63139023826</v>
      </c>
      <c r="Z411" s="16" t="n">
        <f aca="false">L411*INDEX(Parametros!$E$2:$E$9,MATCH($E411,Parametros!$A$2:$A$9,0))</f>
        <v>397275.31</v>
      </c>
      <c r="AA411" s="16" t="n">
        <f aca="false">Z411*INDEX(Parametros!$F$2:$F$9,MATCH($E411,Parametros!$A$2:$A$9,0))</f>
        <v>9931.88275</v>
      </c>
      <c r="AB411" s="17" t="n">
        <f aca="false">Z411+AA411</f>
        <v>407207.19275</v>
      </c>
      <c r="AC411" s="18" t="n">
        <v>412609.78</v>
      </c>
      <c r="AD411" s="17" t="n">
        <f aca="false">AC411-AB411</f>
        <v>5402.58725000004</v>
      </c>
      <c r="AE411" s="17" t="n">
        <f aca="false">AA411+AD411</f>
        <v>15334.47</v>
      </c>
      <c r="AF411" s="19" t="n">
        <f aca="false">IF(Z411&gt;0,AE411/Z411,0)</f>
        <v>0.0385991014644229</v>
      </c>
      <c r="AG411" s="16" t="n">
        <f aca="false">(U411-W411)*INDEX(Parametros!$H$2:$H$9,MATCH($E411,Parametros!$A$2:$A$9,0))+W411*INDEX(Parametros!$H$2:$H$9,MATCH($E411,Parametros!$A$2:$A$9,0))*Parametros!$N$3</f>
        <v>54677.7</v>
      </c>
      <c r="AH411" s="13" t="n">
        <v>34891</v>
      </c>
      <c r="AI411" s="16" t="n">
        <f aca="false">AH411*Parametros!$N$2</f>
        <v>3209.972</v>
      </c>
      <c r="AJ411" s="18" t="n">
        <v>14515</v>
      </c>
      <c r="AK411" s="18" t="n">
        <v>3062</v>
      </c>
      <c r="AL411" s="17" t="n">
        <f aca="false">AG411+AI411+AJ411+AK411</f>
        <v>75464.672</v>
      </c>
      <c r="AM411" s="20" t="n">
        <f aca="false">IF(L411&gt;0,AL411/L411,0)</f>
        <v>0.115872919260953</v>
      </c>
      <c r="AN411" s="16" t="n">
        <f aca="false">L411*INDEX(Parametros!$G$2:$G$9,MATCH($E411,Parametros!$A$2:$A$9,0))</f>
        <v>625220.16</v>
      </c>
      <c r="AO411" s="17" t="n">
        <f aca="false">AN411-AC411-AL411</f>
        <v>137145.708</v>
      </c>
      <c r="AP411" s="15" t="n">
        <f aca="false">IF(AN411&gt;0,AO411/AN411,0)</f>
        <v>0.219355863380989</v>
      </c>
      <c r="AQ411" s="16" t="n">
        <f aca="false">INDEX(Parametros!$I$2:$I$9,MATCH($E411,Parametros!$A$2:$A$9,0))</f>
        <v>29700000</v>
      </c>
      <c r="AR411" s="19" t="n">
        <f aca="false">IF(AQ411&gt;0,AO411/AQ411,0)</f>
        <v>0.00461770060606061</v>
      </c>
    </row>
    <row r="412" customFormat="false" ht="15" hidden="false" customHeight="false" outlineLevel="0" collapsed="false">
      <c r="A412" s="5" t="s">
        <v>547</v>
      </c>
      <c r="B412" s="9" t="n">
        <v>45908</v>
      </c>
      <c r="C412" s="2" t="str">
        <f aca="false">TEXT(B412,"yyyy")</f>
        <v>2025</v>
      </c>
      <c r="D412" s="2" t="n">
        <f aca="false">WEEKNUM(B412,2)</f>
        <v>37</v>
      </c>
      <c r="E412" s="5" t="s">
        <v>134</v>
      </c>
      <c r="F412" s="6" t="str">
        <f aca="false">INDEX(Parametros!$B$2:$B$9,MATCH($E412,Parametros!$A$2:$A$9,0))</f>
        <v>Aderezos vertibles</v>
      </c>
      <c r="G412" s="10" t="n">
        <v>96.5</v>
      </c>
      <c r="H412" s="10" t="n">
        <v>7.1</v>
      </c>
      <c r="I412" s="11" t="n">
        <f aca="false">SUMIFS(Eventos_Paro!$J$2:$J$2186,Eventos_Paro!$D$2:$D$2186,$E412,Eventos_Paro!$B$2:$B$2186,$B412)</f>
        <v>2.85</v>
      </c>
      <c r="J412" s="12" t="n">
        <f aca="false">G412-H412-I412</f>
        <v>86.55</v>
      </c>
      <c r="K412" s="13" t="n">
        <v>379581</v>
      </c>
      <c r="L412" s="13" t="n">
        <v>370303</v>
      </c>
      <c r="M412" s="13" t="n">
        <v>9376</v>
      </c>
      <c r="N412" s="14" t="n">
        <f aca="false">L412+M412</f>
        <v>379679</v>
      </c>
      <c r="O412" s="11" t="n">
        <f aca="false">INDEX(Parametros!$D$2:$D$9,MATCH($E412,Parametros!$A$2:$A$9,0))</f>
        <v>5200</v>
      </c>
      <c r="P412" s="15" t="n">
        <f aca="false">IF((G412-H412)&gt;0,J412/(G412-H412),0)</f>
        <v>0.968120805369128</v>
      </c>
      <c r="Q412" s="15" t="n">
        <f aca="false">IF(J412*O412&gt;0,N412/(O412*J412),0)</f>
        <v>0.843618628627294</v>
      </c>
      <c r="R412" s="15" t="n">
        <f aca="false">IF(N412&gt;0,L412/N412,0)</f>
        <v>0.975305455397849</v>
      </c>
      <c r="S412" s="15" t="n">
        <f aca="false">P412*Q412*R412</f>
        <v>0.796556100499054</v>
      </c>
      <c r="T412" s="15" t="n">
        <f aca="false">IF(K412&gt;0,L412/K412,0)</f>
        <v>0.975557259188421</v>
      </c>
      <c r="U412" s="10" t="n">
        <v>1208.9</v>
      </c>
      <c r="V412" s="5" t="n">
        <v>12</v>
      </c>
      <c r="W412" s="10" t="n">
        <v>50.9</v>
      </c>
      <c r="X412" s="15" t="n">
        <f aca="false">IF(U412&gt;0,W412/U412,0)</f>
        <v>0.0421043924228638</v>
      </c>
      <c r="Y412" s="12" t="n">
        <f aca="false">IF(U412&gt;0,L412/U412,0)</f>
        <v>306.314004466871</v>
      </c>
      <c r="Z412" s="16" t="n">
        <f aca="false">L412*INDEX(Parametros!$E$2:$E$9,MATCH($E412,Parametros!$A$2:$A$9,0))</f>
        <v>203666.65</v>
      </c>
      <c r="AA412" s="16" t="n">
        <f aca="false">Z412*INDEX(Parametros!$F$2:$F$9,MATCH($E412,Parametros!$A$2:$A$9,0))</f>
        <v>6109.9995</v>
      </c>
      <c r="AB412" s="17" t="n">
        <f aca="false">Z412+AA412</f>
        <v>209776.6495</v>
      </c>
      <c r="AC412" s="18" t="n">
        <v>209158.83</v>
      </c>
      <c r="AD412" s="17" t="n">
        <f aca="false">AC412-AB412</f>
        <v>-617.819500000041</v>
      </c>
      <c r="AE412" s="17" t="n">
        <f aca="false">AA412+AD412</f>
        <v>5492.17999999996</v>
      </c>
      <c r="AF412" s="19" t="n">
        <f aca="false">IF(Z412&gt;0,AE412/Z412,0)</f>
        <v>0.0269665161183726</v>
      </c>
      <c r="AG412" s="16" t="n">
        <f aca="false">(U412-W412)*INDEX(Parametros!$H$2:$H$9,MATCH($E412,Parametros!$A$2:$A$9,0))+W412*INDEX(Parametros!$H$2:$H$9,MATCH($E412,Parametros!$A$2:$A$9,0))*Parametros!$N$3</f>
        <v>38882.025</v>
      </c>
      <c r="AH412" s="13" t="n">
        <v>18028</v>
      </c>
      <c r="AI412" s="16" t="n">
        <f aca="false">AH412*Parametros!$N$2</f>
        <v>1658.576</v>
      </c>
      <c r="AJ412" s="18" t="n">
        <v>11307</v>
      </c>
      <c r="AK412" s="18" t="n">
        <v>1918</v>
      </c>
      <c r="AL412" s="17" t="n">
        <f aca="false">AG412+AI412+AJ412+AK412</f>
        <v>53765.601</v>
      </c>
      <c r="AM412" s="20" t="n">
        <f aca="false">IF(L412&gt;0,AL412/L412,0)</f>
        <v>0.145193533403726</v>
      </c>
      <c r="AN412" s="16" t="n">
        <f aca="false">L412*INDEX(Parametros!$G$2:$G$9,MATCH($E412,Parametros!$A$2:$A$9,0))</f>
        <v>377709.06</v>
      </c>
      <c r="AO412" s="17" t="n">
        <f aca="false">AN412-AC412-AL412</f>
        <v>114784.629</v>
      </c>
      <c r="AP412" s="15" t="n">
        <f aca="false">IF(AN412&gt;0,AO412/AN412,0)</f>
        <v>0.303896943854087</v>
      </c>
      <c r="AQ412" s="16" t="n">
        <f aca="false">INDEX(Parametros!$I$2:$I$9,MATCH($E412,Parametros!$A$2:$A$9,0))</f>
        <v>19300000</v>
      </c>
      <c r="AR412" s="19" t="n">
        <f aca="false">IF(AQ412&gt;0,AO412/AQ412,0)</f>
        <v>0.00594739010362694</v>
      </c>
    </row>
    <row r="413" customFormat="false" ht="15" hidden="false" customHeight="false" outlineLevel="0" collapsed="false">
      <c r="A413" s="5" t="s">
        <v>548</v>
      </c>
      <c r="B413" s="9" t="n">
        <v>45908</v>
      </c>
      <c r="C413" s="2" t="str">
        <f aca="false">TEXT(B413,"yyyy")</f>
        <v>2025</v>
      </c>
      <c r="D413" s="2" t="n">
        <f aca="false">WEEKNUM(B413,2)</f>
        <v>37</v>
      </c>
      <c r="E413" s="5" t="s">
        <v>136</v>
      </c>
      <c r="F413" s="6" t="str">
        <f aca="false">INDEX(Parametros!$B$2:$B$9,MATCH($E413,Parametros!$A$2:$A$9,0))</f>
        <v>Salsa BBQ</v>
      </c>
      <c r="G413" s="10" t="n">
        <v>125</v>
      </c>
      <c r="H413" s="10" t="n">
        <v>6.5</v>
      </c>
      <c r="I413" s="11" t="n">
        <f aca="false">SUMIFS(Eventos_Paro!$J$2:$J$2186,Eventos_Paro!$D$2:$D$2186,$E413,Eventos_Paro!$B$2:$B$2186,$B413)</f>
        <v>1.48333333333333</v>
      </c>
      <c r="J413" s="12" t="n">
        <f aca="false">G413-H413-I413</f>
        <v>117.016666666667</v>
      </c>
      <c r="K413" s="13" t="n">
        <v>497309</v>
      </c>
      <c r="L413" s="13" t="n">
        <v>474971</v>
      </c>
      <c r="M413" s="13" t="n">
        <v>11697</v>
      </c>
      <c r="N413" s="14" t="n">
        <f aca="false">L413+M413</f>
        <v>486668</v>
      </c>
      <c r="O413" s="11" t="n">
        <f aca="false">INDEX(Parametros!$D$2:$D$9,MATCH($E413,Parametros!$A$2:$A$9,0))</f>
        <v>4800</v>
      </c>
      <c r="P413" s="15" t="n">
        <f aca="false">IF((G413-H413)&gt;0,J413/(G413-H413),0)</f>
        <v>0.987482419127989</v>
      </c>
      <c r="Q413" s="15" t="n">
        <f aca="false">IF(J413*O413&gt;0,N413/(O413*J413),0)</f>
        <v>0.866450648055833</v>
      </c>
      <c r="R413" s="15" t="n">
        <f aca="false">IF(N413&gt;0,L413/N413,0)</f>
        <v>0.975965134342098</v>
      </c>
      <c r="S413" s="15" t="n">
        <f aca="false">P413*Q413*R413</f>
        <v>0.835040436005626</v>
      </c>
      <c r="T413" s="15" t="n">
        <f aca="false">IF(K413&gt;0,L413/K413,0)</f>
        <v>0.955082252683945</v>
      </c>
      <c r="U413" s="10" t="n">
        <v>1485.8</v>
      </c>
      <c r="V413" s="5" t="n">
        <v>11</v>
      </c>
      <c r="W413" s="10" t="n">
        <v>110.8</v>
      </c>
      <c r="X413" s="15" t="n">
        <f aca="false">IF(U413&gt;0,W413/U413,0)</f>
        <v>0.0745726208103379</v>
      </c>
      <c r="Y413" s="12" t="n">
        <f aca="false">IF(U413&gt;0,L413/U413,0)</f>
        <v>319.673576524431</v>
      </c>
      <c r="Z413" s="16" t="n">
        <f aca="false">L413*INDEX(Parametros!$E$2:$E$9,MATCH($E413,Parametros!$A$2:$A$9,0))</f>
        <v>275483.18</v>
      </c>
      <c r="AA413" s="16" t="n">
        <f aca="false">Z413*INDEX(Parametros!$F$2:$F$9,MATCH($E413,Parametros!$A$2:$A$9,0))</f>
        <v>7713.52904</v>
      </c>
      <c r="AB413" s="17" t="n">
        <f aca="false">Z413+AA413</f>
        <v>283196.70904</v>
      </c>
      <c r="AC413" s="18" t="n">
        <v>281408.07</v>
      </c>
      <c r="AD413" s="17" t="n">
        <f aca="false">AC413-AB413</f>
        <v>-1788.63903999998</v>
      </c>
      <c r="AE413" s="17" t="n">
        <f aca="false">AA413+AD413</f>
        <v>5924.89000000002</v>
      </c>
      <c r="AF413" s="19" t="n">
        <f aca="false">IF(Z413&gt;0,AE413/Z413,0)</f>
        <v>0.0215072658882478</v>
      </c>
      <c r="AG413" s="16" t="n">
        <f aca="false">(U413-W413)*INDEX(Parametros!$H$2:$H$9,MATCH($E413,Parametros!$A$2:$A$9,0))+W413*INDEX(Parametros!$H$2:$H$9,MATCH($E413,Parametros!$A$2:$A$9,0))*Parametros!$N$3</f>
        <v>48547.8</v>
      </c>
      <c r="AH413" s="13" t="n">
        <v>24679</v>
      </c>
      <c r="AI413" s="16" t="n">
        <f aca="false">AH413*Parametros!$N$2</f>
        <v>2270.468</v>
      </c>
      <c r="AJ413" s="18" t="n">
        <v>8066</v>
      </c>
      <c r="AK413" s="18" t="n">
        <v>1122</v>
      </c>
      <c r="AL413" s="17" t="n">
        <f aca="false">AG413+AI413+AJ413+AK413</f>
        <v>60006.268</v>
      </c>
      <c r="AM413" s="20" t="n">
        <f aca="false">IF(L413&gt;0,AL413/L413,0)</f>
        <v>0.126336698451063</v>
      </c>
      <c r="AN413" s="16" t="n">
        <f aca="false">L413*INDEX(Parametros!$G$2:$G$9,MATCH($E413,Parametros!$A$2:$A$9,0))</f>
        <v>465471.58</v>
      </c>
      <c r="AO413" s="17" t="n">
        <f aca="false">AN413-AC413-AL413</f>
        <v>124057.242</v>
      </c>
      <c r="AP413" s="15" t="n">
        <f aca="false">IF(AN413&gt;0,AO413/AN413,0)</f>
        <v>0.266519476871177</v>
      </c>
      <c r="AQ413" s="16" t="n">
        <f aca="false">INDEX(Parametros!$I$2:$I$9,MATCH($E413,Parametros!$A$2:$A$9,0))</f>
        <v>17000000</v>
      </c>
      <c r="AR413" s="19" t="n">
        <f aca="false">IF(AQ413&gt;0,AO413/AQ413,0)</f>
        <v>0.00729748482352941</v>
      </c>
    </row>
    <row r="414" customFormat="false" ht="15" hidden="false" customHeight="false" outlineLevel="0" collapsed="false">
      <c r="A414" s="5" t="s">
        <v>549</v>
      </c>
      <c r="B414" s="9" t="n">
        <v>45908</v>
      </c>
      <c r="C414" s="2" t="str">
        <f aca="false">TEXT(B414,"yyyy")</f>
        <v>2025</v>
      </c>
      <c r="D414" s="2" t="n">
        <f aca="false">WEEKNUM(B414,2)</f>
        <v>37</v>
      </c>
      <c r="E414" s="5" t="s">
        <v>138</v>
      </c>
      <c r="F414" s="6" t="str">
        <f aca="false">INDEX(Parametros!$B$2:$B$9,MATCH($E414,Parametros!$A$2:$A$9,0))</f>
        <v>Queso crema</v>
      </c>
      <c r="G414" s="10" t="n">
        <v>119.2</v>
      </c>
      <c r="H414" s="10" t="n">
        <v>5.3</v>
      </c>
      <c r="I414" s="11" t="n">
        <f aca="false">SUMIFS(Eventos_Paro!$J$2:$J$2186,Eventos_Paro!$D$2:$D$2186,$E414,Eventos_Paro!$B$2:$B$2186,$B414)</f>
        <v>2.3</v>
      </c>
      <c r="J414" s="12" t="n">
        <f aca="false">G414-H414-I414</f>
        <v>111.6</v>
      </c>
      <c r="K414" s="13" t="n">
        <v>353404</v>
      </c>
      <c r="L414" s="13" t="n">
        <v>309848</v>
      </c>
      <c r="M414" s="13" t="n">
        <v>13501</v>
      </c>
      <c r="N414" s="14" t="n">
        <f aca="false">L414+M414</f>
        <v>323349</v>
      </c>
      <c r="O414" s="11" t="n">
        <f aca="false">INDEX(Parametros!$D$2:$D$9,MATCH($E414,Parametros!$A$2:$A$9,0))</f>
        <v>3800</v>
      </c>
      <c r="P414" s="15" t="n">
        <f aca="false">IF((G414-H414)&gt;0,J414/(G414-H414),0)</f>
        <v>0.979806848112379</v>
      </c>
      <c r="Q414" s="15" t="n">
        <f aca="false">IF(J414*O414&gt;0,N414/(O414*J414),0)</f>
        <v>0.762471703452179</v>
      </c>
      <c r="R414" s="15" t="n">
        <f aca="false">IF(N414&gt;0,L414/N414,0)</f>
        <v>0.958246353011761</v>
      </c>
      <c r="S414" s="15" t="n">
        <f aca="false">P414*Q414*R414</f>
        <v>0.715881890855321</v>
      </c>
      <c r="T414" s="15" t="n">
        <f aca="false">IF(K414&gt;0,L414/K414,0)</f>
        <v>0.876752951296533</v>
      </c>
      <c r="U414" s="10" t="n">
        <v>1904.5</v>
      </c>
      <c r="V414" s="5" t="n">
        <v>15</v>
      </c>
      <c r="W414" s="10" t="n">
        <v>116.5</v>
      </c>
      <c r="X414" s="15" t="n">
        <f aca="false">IF(U414&gt;0,W414/U414,0)</f>
        <v>0.0611709110002625</v>
      </c>
      <c r="Y414" s="12" t="n">
        <f aca="false">IF(U414&gt;0,L414/U414,0)</f>
        <v>162.692570228406</v>
      </c>
      <c r="Z414" s="16" t="n">
        <f aca="false">L414*INDEX(Parametros!$E$2:$E$9,MATCH($E414,Parametros!$A$2:$A$9,0))</f>
        <v>347029.76</v>
      </c>
      <c r="AA414" s="16" t="n">
        <f aca="false">Z414*INDEX(Parametros!$F$2:$F$9,MATCH($E414,Parametros!$A$2:$A$9,0))</f>
        <v>12146.0416</v>
      </c>
      <c r="AB414" s="17" t="n">
        <f aca="false">Z414+AA414</f>
        <v>359175.8016</v>
      </c>
      <c r="AC414" s="18" t="n">
        <v>356105.43</v>
      </c>
      <c r="AD414" s="17" t="n">
        <f aca="false">AC414-AB414</f>
        <v>-3070.37160000001</v>
      </c>
      <c r="AE414" s="17" t="n">
        <f aca="false">AA414+AD414</f>
        <v>9075.66999999999</v>
      </c>
      <c r="AF414" s="19" t="n">
        <f aca="false">IF(Z414&gt;0,AE414/Z414,0)</f>
        <v>0.0261524256594016</v>
      </c>
      <c r="AG414" s="16" t="n">
        <f aca="false">(U414-W414)*INDEX(Parametros!$H$2:$H$9,MATCH($E414,Parametros!$A$2:$A$9,0))+W414*INDEX(Parametros!$H$2:$H$9,MATCH($E414,Parametros!$A$2:$A$9,0))*Parametros!$N$3</f>
        <v>64770.75</v>
      </c>
      <c r="AH414" s="13" t="n">
        <v>17744</v>
      </c>
      <c r="AI414" s="16" t="n">
        <f aca="false">AH414*Parametros!$N$2</f>
        <v>1632.448</v>
      </c>
      <c r="AJ414" s="18" t="n">
        <v>16900</v>
      </c>
      <c r="AK414" s="18" t="n">
        <v>1738</v>
      </c>
      <c r="AL414" s="17" t="n">
        <f aca="false">AG414+AI414+AJ414+AK414</f>
        <v>85041.198</v>
      </c>
      <c r="AM414" s="20" t="n">
        <f aca="false">IF(L414&gt;0,AL414/L414,0)</f>
        <v>0.274461019596706</v>
      </c>
      <c r="AN414" s="16" t="n">
        <f aca="false">L414*INDEX(Parametros!$G$2:$G$9,MATCH($E414,Parametros!$A$2:$A$9,0))</f>
        <v>554627.92</v>
      </c>
      <c r="AO414" s="17" t="n">
        <f aca="false">AN414-AC414-AL414</f>
        <v>113481.292</v>
      </c>
      <c r="AP414" s="15" t="n">
        <f aca="false">IF(AN414&gt;0,AO414/AN414,0)</f>
        <v>0.204607968527802</v>
      </c>
      <c r="AQ414" s="16" t="n">
        <f aca="false">INDEX(Parametros!$I$2:$I$9,MATCH($E414,Parametros!$A$2:$A$9,0))</f>
        <v>33200000</v>
      </c>
      <c r="AR414" s="19" t="n">
        <f aca="false">IF(AQ414&gt;0,AO414/AQ414,0)</f>
        <v>0.00341811120481928</v>
      </c>
    </row>
    <row r="415" customFormat="false" ht="15" hidden="false" customHeight="false" outlineLevel="0" collapsed="false">
      <c r="A415" s="5" t="s">
        <v>550</v>
      </c>
      <c r="B415" s="9" t="n">
        <v>45908</v>
      </c>
      <c r="C415" s="2" t="str">
        <f aca="false">TEXT(B415,"yyyy")</f>
        <v>2025</v>
      </c>
      <c r="D415" s="2" t="n">
        <f aca="false">WEEKNUM(B415,2)</f>
        <v>37</v>
      </c>
      <c r="E415" s="5" t="s">
        <v>140</v>
      </c>
      <c r="F415" s="6" t="str">
        <f aca="false">INDEX(Parametros!$B$2:$B$9,MATCH($E415,Parametros!$A$2:$A$9,0))</f>
        <v>Crema de cacahuate</v>
      </c>
      <c r="G415" s="10" t="n">
        <v>103.8</v>
      </c>
      <c r="H415" s="10" t="n">
        <v>5.5</v>
      </c>
      <c r="I415" s="11" t="n">
        <f aca="false">SUMIFS(Eventos_Paro!$J$2:$J$2186,Eventos_Paro!$D$2:$D$2186,$E415,Eventos_Paro!$B$2:$B$2186,$B415)</f>
        <v>1.85</v>
      </c>
      <c r="J415" s="12" t="n">
        <f aca="false">G415-H415-I415</f>
        <v>96.45</v>
      </c>
      <c r="K415" s="13" t="n">
        <v>337106</v>
      </c>
      <c r="L415" s="13" t="n">
        <v>346148</v>
      </c>
      <c r="M415" s="13" t="n">
        <v>7277</v>
      </c>
      <c r="N415" s="14" t="n">
        <f aca="false">L415+M415</f>
        <v>353425</v>
      </c>
      <c r="O415" s="11" t="n">
        <f aca="false">INDEX(Parametros!$D$2:$D$9,MATCH($E415,Parametros!$A$2:$A$9,0))</f>
        <v>4200</v>
      </c>
      <c r="P415" s="15" t="n">
        <f aca="false">IF((G415-H415)&gt;0,J415/(G415-H415),0)</f>
        <v>0.98118006103764</v>
      </c>
      <c r="Q415" s="15" t="n">
        <f aca="false">IF(J415*O415&gt;0,N415/(O415*J415),0)</f>
        <v>0.872460440889679</v>
      </c>
      <c r="R415" s="15" t="n">
        <f aca="false">IF(N415&gt;0,L415/N415,0)</f>
        <v>0.979410058711184</v>
      </c>
      <c r="S415" s="15" t="n">
        <f aca="false">P415*Q415*R415</f>
        <v>0.838414959066027</v>
      </c>
      <c r="T415" s="15" t="n">
        <f aca="false">IF(K415&gt;0,L415/K415,0)</f>
        <v>1.02682242380735</v>
      </c>
      <c r="U415" s="10" t="n">
        <v>1281.8</v>
      </c>
      <c r="V415" s="5" t="n">
        <v>12</v>
      </c>
      <c r="W415" s="10" t="n">
        <v>36.2</v>
      </c>
      <c r="X415" s="15" t="n">
        <f aca="false">IF(U415&gt;0,W415/U415,0)</f>
        <v>0.0282415353409268</v>
      </c>
      <c r="Y415" s="12" t="n">
        <f aca="false">IF(U415&gt;0,L415/U415,0)</f>
        <v>270.048369480418</v>
      </c>
      <c r="Z415" s="16" t="n">
        <f aca="false">L415*INDEX(Parametros!$E$2:$E$9,MATCH($E415,Parametros!$A$2:$A$9,0))</f>
        <v>335763.56</v>
      </c>
      <c r="AA415" s="16" t="n">
        <f aca="false">Z415*INDEX(Parametros!$F$2:$F$9,MATCH($E415,Parametros!$A$2:$A$9,0))</f>
        <v>7386.79832</v>
      </c>
      <c r="AB415" s="17" t="n">
        <f aca="false">Z415+AA415</f>
        <v>343150.35832</v>
      </c>
      <c r="AC415" s="18" t="n">
        <v>343683.04</v>
      </c>
      <c r="AD415" s="17" t="n">
        <f aca="false">AC415-AB415</f>
        <v>532.68167999998</v>
      </c>
      <c r="AE415" s="17" t="n">
        <f aca="false">AA415+AD415</f>
        <v>7919.47999999998</v>
      </c>
      <c r="AF415" s="19" t="n">
        <f aca="false">IF(Z415&gt;0,AE415/Z415,0)</f>
        <v>0.0235864785326912</v>
      </c>
      <c r="AG415" s="16" t="n">
        <f aca="false">(U415-W415)*INDEX(Parametros!$H$2:$H$9,MATCH($E415,Parametros!$A$2:$A$9,0))+W415*INDEX(Parametros!$H$2:$H$9,MATCH($E415,Parametros!$A$2:$A$9,0))*Parametros!$N$3</f>
        <v>40946.85</v>
      </c>
      <c r="AH415" s="13" t="n">
        <v>17276</v>
      </c>
      <c r="AI415" s="16" t="n">
        <f aca="false">AH415*Parametros!$N$2</f>
        <v>1589.392</v>
      </c>
      <c r="AJ415" s="18" t="n">
        <v>13577</v>
      </c>
      <c r="AK415" s="18" t="n">
        <v>1788</v>
      </c>
      <c r="AL415" s="17" t="n">
        <f aca="false">AG415+AI415+AJ415+AK415</f>
        <v>57901.242</v>
      </c>
      <c r="AM415" s="20" t="n">
        <f aca="false">IF(L415&gt;0,AL415/L415,0)</f>
        <v>0.167273079723124</v>
      </c>
      <c r="AN415" s="16" t="n">
        <f aca="false">L415*INDEX(Parametros!$G$2:$G$9,MATCH($E415,Parametros!$A$2:$A$9,0))</f>
        <v>560759.76</v>
      </c>
      <c r="AO415" s="17" t="n">
        <f aca="false">AN415-AC415-AL415</f>
        <v>159175.478</v>
      </c>
      <c r="AP415" s="15" t="n">
        <f aca="false">IF(AN415&gt;0,AO415/AN415,0)</f>
        <v>0.28385681240751</v>
      </c>
      <c r="AQ415" s="16" t="n">
        <f aca="false">INDEX(Parametros!$I$2:$I$9,MATCH($E415,Parametros!$A$2:$A$9,0))</f>
        <v>28000000</v>
      </c>
      <c r="AR415" s="19" t="n">
        <f aca="false">IF(AQ415&gt;0,AO415/AQ415,0)</f>
        <v>0.0056848385</v>
      </c>
    </row>
    <row r="416" customFormat="false" ht="15" hidden="false" customHeight="false" outlineLevel="0" collapsed="false">
      <c r="A416" s="5" t="s">
        <v>551</v>
      </c>
      <c r="B416" s="9" t="n">
        <v>45908</v>
      </c>
      <c r="C416" s="2" t="str">
        <f aca="false">TEXT(B416,"yyyy")</f>
        <v>2025</v>
      </c>
      <c r="D416" s="2" t="n">
        <f aca="false">WEEKNUM(B416,2)</f>
        <v>37</v>
      </c>
      <c r="E416" s="5" t="s">
        <v>142</v>
      </c>
      <c r="F416" s="6" t="str">
        <f aca="false">INDEX(Parametros!$B$2:$B$9,MATCH($E416,Parametros!$A$2:$A$9,0))</f>
        <v>Porciones single serve</v>
      </c>
      <c r="G416" s="10" t="n">
        <v>108.4</v>
      </c>
      <c r="H416" s="10" t="n">
        <v>5.7</v>
      </c>
      <c r="I416" s="11" t="n">
        <f aca="false">SUMIFS(Eventos_Paro!$J$2:$J$2186,Eventos_Paro!$D$2:$D$2186,$E416,Eventos_Paro!$B$2:$B$2186,$B416)</f>
        <v>1.33333333333333</v>
      </c>
      <c r="J416" s="12" t="n">
        <f aca="false">G416-H416-I416</f>
        <v>101.366666666667</v>
      </c>
      <c r="K416" s="13" t="n">
        <v>218026</v>
      </c>
      <c r="L416" s="13" t="n">
        <v>219827</v>
      </c>
      <c r="M416" s="13" t="n">
        <v>11827</v>
      </c>
      <c r="N416" s="14" t="n">
        <f aca="false">L416+M416</f>
        <v>231654</v>
      </c>
      <c r="O416" s="11" t="n">
        <f aca="false">INDEX(Parametros!$D$2:$D$9,MATCH($E416,Parametros!$A$2:$A$9,0))</f>
        <v>2600</v>
      </c>
      <c r="P416" s="15" t="n">
        <f aca="false">IF((G416-H416)&gt;0,J416/(G416-H416),0)</f>
        <v>0.987017202207076</v>
      </c>
      <c r="Q416" s="15" t="n">
        <f aca="false">IF(J416*O416&gt;0,N416/(O416*J416),0)</f>
        <v>0.878964409480687</v>
      </c>
      <c r="R416" s="15" t="n">
        <f aca="false">IF(N416&gt;0,L416/N416,0)</f>
        <v>0.948945409964861</v>
      </c>
      <c r="S416" s="15" t="n">
        <f aca="false">P416*Q416*R416</f>
        <v>0.823260429930342</v>
      </c>
      <c r="T416" s="15" t="n">
        <f aca="false">IF(K416&gt;0,L416/K416,0)</f>
        <v>1.00826048269472</v>
      </c>
      <c r="U416" s="10" t="n">
        <v>1813.7</v>
      </c>
      <c r="V416" s="5" t="n">
        <v>16</v>
      </c>
      <c r="W416" s="10" t="n">
        <v>79.3</v>
      </c>
      <c r="X416" s="15" t="n">
        <f aca="false">IF(U416&gt;0,W416/U416,0)</f>
        <v>0.0437227766444285</v>
      </c>
      <c r="Y416" s="12" t="n">
        <f aca="false">IF(U416&gt;0,L416/U416,0)</f>
        <v>121.203616915697</v>
      </c>
      <c r="Z416" s="16" t="n">
        <f aca="false">L416*INDEX(Parametros!$E$2:$E$9,MATCH($E416,Parametros!$A$2:$A$9,0))</f>
        <v>162671.98</v>
      </c>
      <c r="AA416" s="16" t="n">
        <f aca="false">Z416*INDEX(Parametros!$F$2:$F$9,MATCH($E416,Parametros!$A$2:$A$9,0))</f>
        <v>7320.2391</v>
      </c>
      <c r="AB416" s="17" t="n">
        <f aca="false">Z416+AA416</f>
        <v>169992.2191</v>
      </c>
      <c r="AC416" s="18" t="n">
        <v>168290.96</v>
      </c>
      <c r="AD416" s="17" t="n">
        <f aca="false">AC416-AB416</f>
        <v>-1701.25910000002</v>
      </c>
      <c r="AE416" s="17" t="n">
        <f aca="false">AA416+AD416</f>
        <v>5618.97999999998</v>
      </c>
      <c r="AF416" s="19" t="n">
        <f aca="false">IF(Z416&gt;0,AE416/Z416,0)</f>
        <v>0.0345417815655774</v>
      </c>
      <c r="AG416" s="16" t="n">
        <f aca="false">(U416-W416)*INDEX(Parametros!$H$2:$H$9,MATCH($E416,Parametros!$A$2:$A$9,0))+W416*INDEX(Parametros!$H$2:$H$9,MATCH($E416,Parametros!$A$2:$A$9,0))*Parametros!$N$3</f>
        <v>55600.5</v>
      </c>
      <c r="AH416" s="13" t="n">
        <v>11431</v>
      </c>
      <c r="AI416" s="16" t="n">
        <f aca="false">AH416*Parametros!$N$2</f>
        <v>1051.652</v>
      </c>
      <c r="AJ416" s="18" t="n">
        <v>12293</v>
      </c>
      <c r="AK416" s="18" t="n">
        <v>1619</v>
      </c>
      <c r="AL416" s="17" t="n">
        <f aca="false">AG416+AI416+AJ416+AK416</f>
        <v>70564.152</v>
      </c>
      <c r="AM416" s="20" t="n">
        <f aca="false">IF(L416&gt;0,AL416/L416,0)</f>
        <v>0.320998567055002</v>
      </c>
      <c r="AN416" s="16" t="n">
        <f aca="false">L416*INDEX(Parametros!$G$2:$G$9,MATCH($E416,Parametros!$A$2:$A$9,0))</f>
        <v>378102.44</v>
      </c>
      <c r="AO416" s="17" t="n">
        <f aca="false">AN416-AC416-AL416</f>
        <v>139247.328</v>
      </c>
      <c r="AP416" s="15" t="n">
        <f aca="false">IF(AN416&gt;0,AO416/AN416,0)</f>
        <v>0.368279368945622</v>
      </c>
      <c r="AQ416" s="16" t="n">
        <f aca="false">INDEX(Parametros!$I$2:$I$9,MATCH($E416,Parametros!$A$2:$A$9,0))</f>
        <v>15900000</v>
      </c>
      <c r="AR416" s="19" t="n">
        <f aca="false">IF(AQ416&gt;0,AO416/AQ416,0)</f>
        <v>0.00875769358490566</v>
      </c>
    </row>
    <row r="417" customFormat="false" ht="15" hidden="false" customHeight="false" outlineLevel="0" collapsed="false">
      <c r="A417" s="5" t="s">
        <v>552</v>
      </c>
      <c r="B417" s="9" t="n">
        <v>45908</v>
      </c>
      <c r="C417" s="2" t="str">
        <f aca="false">TEXT(B417,"yyyy")</f>
        <v>2025</v>
      </c>
      <c r="D417" s="2" t="n">
        <f aca="false">WEEKNUM(B417,2)</f>
        <v>37</v>
      </c>
      <c r="E417" s="5" t="s">
        <v>144</v>
      </c>
      <c r="F417" s="6" t="str">
        <f aca="false">INDEX(Parametros!$B$2:$B$9,MATCH($E417,Parametros!$A$2:$A$9,0))</f>
        <v>Salsas picantes</v>
      </c>
      <c r="G417" s="10" t="n">
        <v>118</v>
      </c>
      <c r="H417" s="10" t="n">
        <v>9</v>
      </c>
      <c r="I417" s="11" t="n">
        <f aca="false">SUMIFS(Eventos_Paro!$J$2:$J$2186,Eventos_Paro!$D$2:$D$2186,$E417,Eventos_Paro!$B$2:$B$2186,$B417)</f>
        <v>3.13333333333333</v>
      </c>
      <c r="J417" s="12" t="n">
        <f aca="false">G417-H417-I417</f>
        <v>105.866666666667</v>
      </c>
      <c r="K417" s="13" t="n">
        <v>262555</v>
      </c>
      <c r="L417" s="13" t="n">
        <v>272305</v>
      </c>
      <c r="M417" s="13" t="n">
        <v>7439</v>
      </c>
      <c r="N417" s="14" t="n">
        <f aca="false">L417+M417</f>
        <v>279744</v>
      </c>
      <c r="O417" s="11" t="n">
        <f aca="false">INDEX(Parametros!$D$2:$D$9,MATCH($E417,Parametros!$A$2:$A$9,0))</f>
        <v>3100</v>
      </c>
      <c r="P417" s="15" t="n">
        <f aca="false">IF((G417-H417)&gt;0,J417/(G417-H417),0)</f>
        <v>0.971253822629969</v>
      </c>
      <c r="Q417" s="15" t="n">
        <f aca="false">IF(J417*O417&gt;0,N417/(O417*J417),0)</f>
        <v>0.852392947103275</v>
      </c>
      <c r="R417" s="15" t="n">
        <f aca="false">IF(N417&gt;0,L417/N417,0)</f>
        <v>0.973407830016015</v>
      </c>
      <c r="S417" s="15" t="n">
        <f aca="false">P417*Q417*R417</f>
        <v>0.805874519088488</v>
      </c>
      <c r="T417" s="15" t="n">
        <f aca="false">IF(K417&gt;0,L417/K417,0)</f>
        <v>1.03713507646017</v>
      </c>
      <c r="U417" s="10" t="n">
        <v>1106.5</v>
      </c>
      <c r="V417" s="5" t="n">
        <v>9</v>
      </c>
      <c r="W417" s="10" t="n">
        <v>44.5</v>
      </c>
      <c r="X417" s="15" t="n">
        <f aca="false">IF(U417&gt;0,W417/U417,0)</f>
        <v>0.0402169001355626</v>
      </c>
      <c r="Y417" s="12" t="n">
        <f aca="false">IF(U417&gt;0,L417/U417,0)</f>
        <v>246.095797559874</v>
      </c>
      <c r="Z417" s="16" t="n">
        <f aca="false">L417*INDEX(Parametros!$E$2:$E$9,MATCH($E417,Parametros!$A$2:$A$9,0))</f>
        <v>179721.3</v>
      </c>
      <c r="AA417" s="16" t="n">
        <f aca="false">Z417*INDEX(Parametros!$F$2:$F$9,MATCH($E417,Parametros!$A$2:$A$9,0))</f>
        <v>4672.7538</v>
      </c>
      <c r="AB417" s="17" t="n">
        <f aca="false">Z417+AA417</f>
        <v>184394.0538</v>
      </c>
      <c r="AC417" s="18" t="n">
        <v>183285.91</v>
      </c>
      <c r="AD417" s="17" t="n">
        <f aca="false">AC417-AB417</f>
        <v>-1108.14380000002</v>
      </c>
      <c r="AE417" s="17" t="n">
        <f aca="false">AA417+AD417</f>
        <v>3564.60999999998</v>
      </c>
      <c r="AF417" s="19" t="n">
        <f aca="false">IF(Z417&gt;0,AE417/Z417,0)</f>
        <v>0.0198340986850194</v>
      </c>
      <c r="AG417" s="16" t="n">
        <f aca="false">(U417-W417)*INDEX(Parametros!$H$2:$H$9,MATCH($E417,Parametros!$A$2:$A$9,0))+W417*INDEX(Parametros!$H$2:$H$9,MATCH($E417,Parametros!$A$2:$A$9,0))*Parametros!$N$3</f>
        <v>35555.625</v>
      </c>
      <c r="AH417" s="13" t="n">
        <v>13905</v>
      </c>
      <c r="AI417" s="16" t="n">
        <f aca="false">AH417*Parametros!$N$2</f>
        <v>1279.26</v>
      </c>
      <c r="AJ417" s="18" t="n">
        <v>6726</v>
      </c>
      <c r="AK417" s="18" t="n">
        <v>2847</v>
      </c>
      <c r="AL417" s="17" t="n">
        <f aca="false">AG417+AI417+AJ417+AK417</f>
        <v>46407.885</v>
      </c>
      <c r="AM417" s="20" t="n">
        <f aca="false">IF(L417&gt;0,AL417/L417,0)</f>
        <v>0.170426121444704</v>
      </c>
      <c r="AN417" s="16" t="n">
        <f aca="false">L417*INDEX(Parametros!$G$2:$G$9,MATCH($E417,Parametros!$A$2:$A$9,0))</f>
        <v>340381.25</v>
      </c>
      <c r="AO417" s="17" t="n">
        <f aca="false">AN417-AC417-AL417</f>
        <v>110687.455</v>
      </c>
      <c r="AP417" s="15" t="n">
        <f aca="false">IF(AN417&gt;0,AO417/AN417,0)</f>
        <v>0.325186698738547</v>
      </c>
      <c r="AQ417" s="16" t="n">
        <f aca="false">INDEX(Parametros!$I$2:$I$9,MATCH($E417,Parametros!$A$2:$A$9,0))</f>
        <v>13300000</v>
      </c>
      <c r="AR417" s="19" t="n">
        <f aca="false">IF(AQ417&gt;0,AO417/AQ417,0)</f>
        <v>0.00832236503759398</v>
      </c>
    </row>
    <row r="418" customFormat="false" ht="15" hidden="false" customHeight="false" outlineLevel="0" collapsed="false">
      <c r="A418" s="5" t="s">
        <v>553</v>
      </c>
      <c r="B418" s="9" t="n">
        <v>45915</v>
      </c>
      <c r="C418" s="2" t="str">
        <f aca="false">TEXT(B418,"yyyy")</f>
        <v>2025</v>
      </c>
      <c r="D418" s="2" t="n">
        <f aca="false">WEEKNUM(B418,2)</f>
        <v>38</v>
      </c>
      <c r="E418" s="5" t="s">
        <v>130</v>
      </c>
      <c r="F418" s="6" t="str">
        <f aca="false">INDEX(Parametros!$B$2:$B$9,MATCH($E418,Parametros!$A$2:$A$9,0))</f>
        <v>Ketchup botella</v>
      </c>
      <c r="G418" s="10" t="n">
        <v>117.4</v>
      </c>
      <c r="H418" s="10" t="n">
        <v>9.4</v>
      </c>
      <c r="I418" s="11" t="n">
        <f aca="false">SUMIFS(Eventos_Paro!$J$2:$J$2186,Eventos_Paro!$D$2:$D$2186,$E418,Eventos_Paro!$B$2:$B$2186,$B418)</f>
        <v>0.6</v>
      </c>
      <c r="J418" s="12" t="n">
        <f aca="false">G418-H418-I418</f>
        <v>107.4</v>
      </c>
      <c r="K418" s="13" t="n">
        <v>790333</v>
      </c>
      <c r="L418" s="13" t="n">
        <v>831404</v>
      </c>
      <c r="M418" s="13" t="n">
        <v>12651</v>
      </c>
      <c r="N418" s="14" t="n">
        <f aca="false">L418+M418</f>
        <v>844055</v>
      </c>
      <c r="O418" s="11" t="n">
        <f aca="false">INDEX(Parametros!$D$2:$D$9,MATCH($E418,Parametros!$A$2:$A$9,0))</f>
        <v>9000</v>
      </c>
      <c r="P418" s="15" t="n">
        <f aca="false">IF((G418-H418)&gt;0,J418/(G418-H418),0)</f>
        <v>0.994444444444445</v>
      </c>
      <c r="Q418" s="15" t="n">
        <f aca="false">IF(J418*O418&gt;0,N418/(O418*J418),0)</f>
        <v>0.873220566935651</v>
      </c>
      <c r="R418" s="15" t="n">
        <f aca="false">IF(N418&gt;0,L418/N418,0)</f>
        <v>0.985011640236714</v>
      </c>
      <c r="S418" s="15" t="n">
        <f aca="false">P418*Q418*R418</f>
        <v>0.855353909465021</v>
      </c>
      <c r="T418" s="15" t="n">
        <f aca="false">IF(K418&gt;0,L418/K418,0)</f>
        <v>1.05196670264306</v>
      </c>
      <c r="U418" s="10" t="n">
        <v>1564.7</v>
      </c>
      <c r="V418" s="5" t="n">
        <v>13</v>
      </c>
      <c r="W418" s="10" t="n">
        <v>38.5</v>
      </c>
      <c r="X418" s="15" t="n">
        <f aca="false">IF(U418&gt;0,W418/U418,0)</f>
        <v>0.0246053556592318</v>
      </c>
      <c r="Y418" s="12" t="n">
        <f aca="false">IF(U418&gt;0,L418/U418,0)</f>
        <v>531.350418610596</v>
      </c>
      <c r="Z418" s="16" t="n">
        <f aca="false">L418*INDEX(Parametros!$E$2:$E$9,MATCH($E418,Parametros!$A$2:$A$9,0))</f>
        <v>349189.68</v>
      </c>
      <c r="AA418" s="16" t="n">
        <f aca="false">Z418*INDEX(Parametros!$F$2:$F$9,MATCH($E418,Parametros!$A$2:$A$9,0))</f>
        <v>6983.7936</v>
      </c>
      <c r="AB418" s="17" t="n">
        <f aca="false">Z418+AA418</f>
        <v>356173.4736</v>
      </c>
      <c r="AC418" s="18" t="n">
        <v>348289.71</v>
      </c>
      <c r="AD418" s="17" t="n">
        <f aca="false">AC418-AB418</f>
        <v>-7883.76359999995</v>
      </c>
      <c r="AE418" s="17" t="n">
        <f aca="false">AA418+AD418</f>
        <v>-899.969999999948</v>
      </c>
      <c r="AF418" s="19" t="n">
        <f aca="false">IF(Z418&gt;0,AE418/Z418,0)</f>
        <v>-0.00257730984489561</v>
      </c>
      <c r="AG418" s="16" t="n">
        <f aca="false">(U418-W418)*INDEX(Parametros!$H$2:$H$9,MATCH($E418,Parametros!$A$2:$A$9,0))+W418*INDEX(Parametros!$H$2:$H$9,MATCH($E418,Parametros!$A$2:$A$9,0))*Parametros!$N$3</f>
        <v>49894.425</v>
      </c>
      <c r="AH418" s="13" t="n">
        <v>41034</v>
      </c>
      <c r="AI418" s="16" t="n">
        <f aca="false">AH418*Parametros!$N$2</f>
        <v>3775.128</v>
      </c>
      <c r="AJ418" s="18" t="n">
        <v>15225</v>
      </c>
      <c r="AK418" s="18" t="n">
        <v>390</v>
      </c>
      <c r="AL418" s="17" t="n">
        <f aca="false">AG418+AI418+AJ418+AK418</f>
        <v>69284.553</v>
      </c>
      <c r="AM418" s="20" t="n">
        <f aca="false">IF(L418&gt;0,AL418/L418,0)</f>
        <v>0.0833343994014943</v>
      </c>
      <c r="AN418" s="16" t="n">
        <f aca="false">L418*INDEX(Parametros!$G$2:$G$9,MATCH($E418,Parametros!$A$2:$A$9,0))</f>
        <v>590296.84</v>
      </c>
      <c r="AO418" s="17" t="n">
        <f aca="false">AN418-AC418-AL418</f>
        <v>172722.577</v>
      </c>
      <c r="AP418" s="15" t="n">
        <f aca="false">IF(AN418&gt;0,AO418/AN418,0)</f>
        <v>0.292602916525862</v>
      </c>
      <c r="AQ418" s="16" t="n">
        <f aca="false">INDEX(Parametros!$I$2:$I$9,MATCH($E418,Parametros!$A$2:$A$9,0))</f>
        <v>29300000</v>
      </c>
      <c r="AR418" s="19" t="n">
        <f aca="false">IF(AQ418&gt;0,AO418/AQ418,0)</f>
        <v>0.00589496849829351</v>
      </c>
    </row>
    <row r="419" customFormat="false" ht="15" hidden="false" customHeight="false" outlineLevel="0" collapsed="false">
      <c r="A419" s="5" t="s">
        <v>554</v>
      </c>
      <c r="B419" s="9" t="n">
        <v>45915</v>
      </c>
      <c r="C419" s="2" t="str">
        <f aca="false">TEXT(B419,"yyyy")</f>
        <v>2025</v>
      </c>
      <c r="D419" s="2" t="n">
        <f aca="false">WEEKNUM(B419,2)</f>
        <v>38</v>
      </c>
      <c r="E419" s="5" t="s">
        <v>132</v>
      </c>
      <c r="F419" s="6" t="str">
        <f aca="false">INDEX(Parametros!$B$2:$B$9,MATCH($E419,Parametros!$A$2:$A$9,0))</f>
        <v>Mayonesa frasco</v>
      </c>
      <c r="G419" s="10" t="n">
        <v>132</v>
      </c>
      <c r="H419" s="10" t="n">
        <v>11.6</v>
      </c>
      <c r="I419" s="11" t="n">
        <f aca="false">SUMIFS(Eventos_Paro!$J$2:$J$2186,Eventos_Paro!$D$2:$D$2186,$E419,Eventos_Paro!$B$2:$B$2186,$B419)</f>
        <v>6.66666666666667</v>
      </c>
      <c r="J419" s="12" t="n">
        <f aca="false">G419-H419-I419</f>
        <v>113.733333333333</v>
      </c>
      <c r="K419" s="13" t="n">
        <v>636332</v>
      </c>
      <c r="L419" s="13" t="n">
        <v>625178</v>
      </c>
      <c r="M419" s="13" t="n">
        <v>18883</v>
      </c>
      <c r="N419" s="14" t="n">
        <f aca="false">L419+M419</f>
        <v>644061</v>
      </c>
      <c r="O419" s="11" t="n">
        <f aca="false">INDEX(Parametros!$D$2:$D$9,MATCH($E419,Parametros!$A$2:$A$9,0))</f>
        <v>6500</v>
      </c>
      <c r="P419" s="15" t="n">
        <f aca="false">IF((G419-H419)&gt;0,J419/(G419-H419),0)</f>
        <v>0.944629014396456</v>
      </c>
      <c r="Q419" s="15" t="n">
        <f aca="false">IF(J419*O419&gt;0,N419/(O419*J419),0)</f>
        <v>0.871216069979259</v>
      </c>
      <c r="R419" s="15" t="n">
        <f aca="false">IF(N419&gt;0,L419/N419,0)</f>
        <v>0.970681348505809</v>
      </c>
      <c r="S419" s="15" t="n">
        <f aca="false">P419*Q419*R419</f>
        <v>0.798847431638129</v>
      </c>
      <c r="T419" s="15" t="n">
        <f aca="false">IF(K419&gt;0,L419/K419,0)</f>
        <v>0.982471414293168</v>
      </c>
      <c r="U419" s="10" t="n">
        <v>1905.4</v>
      </c>
      <c r="V419" s="5" t="n">
        <v>13</v>
      </c>
      <c r="W419" s="10" t="n">
        <v>189.4</v>
      </c>
      <c r="X419" s="15" t="n">
        <f aca="false">IF(U419&gt;0,W419/U419,0)</f>
        <v>0.0994017004303558</v>
      </c>
      <c r="Y419" s="12" t="n">
        <f aca="false">IF(U419&gt;0,L419/U419,0)</f>
        <v>328.10853364123</v>
      </c>
      <c r="Z419" s="16" t="n">
        <f aca="false">L419*INDEX(Parametros!$E$2:$E$9,MATCH($E419,Parametros!$A$2:$A$9,0))</f>
        <v>381358.58</v>
      </c>
      <c r="AA419" s="16" t="n">
        <f aca="false">Z419*INDEX(Parametros!$F$2:$F$9,MATCH($E419,Parametros!$A$2:$A$9,0))</f>
        <v>9533.9645</v>
      </c>
      <c r="AB419" s="17" t="n">
        <f aca="false">Z419+AA419</f>
        <v>390892.5445</v>
      </c>
      <c r="AC419" s="18" t="n">
        <v>386875.22</v>
      </c>
      <c r="AD419" s="17" t="n">
        <f aca="false">AC419-AB419</f>
        <v>-4017.32450000005</v>
      </c>
      <c r="AE419" s="17" t="n">
        <f aca="false">AA419+AD419</f>
        <v>5516.63999999995</v>
      </c>
      <c r="AF419" s="19" t="n">
        <f aca="false">IF(Z419&gt;0,AE419/Z419,0)</f>
        <v>0.0144657555626517</v>
      </c>
      <c r="AG419" s="16" t="n">
        <f aca="false">(U419-W419)*INDEX(Parametros!$H$2:$H$9,MATCH($E419,Parametros!$A$2:$A$9,0))+W419*INDEX(Parametros!$H$2:$H$9,MATCH($E419,Parametros!$A$2:$A$9,0))*Parametros!$N$3</f>
        <v>63003.15</v>
      </c>
      <c r="AH419" s="13" t="n">
        <v>32431</v>
      </c>
      <c r="AI419" s="16" t="n">
        <f aca="false">AH419*Parametros!$N$2</f>
        <v>2983.652</v>
      </c>
      <c r="AJ419" s="18" t="n">
        <v>15001</v>
      </c>
      <c r="AK419" s="18" t="n">
        <v>4814</v>
      </c>
      <c r="AL419" s="17" t="n">
        <f aca="false">AG419+AI419+AJ419+AK419</f>
        <v>85801.802</v>
      </c>
      <c r="AM419" s="20" t="n">
        <f aca="false">IF(L419&gt;0,AL419/L419,0)</f>
        <v>0.137243796166852</v>
      </c>
      <c r="AN419" s="16" t="n">
        <f aca="false">L419*INDEX(Parametros!$G$2:$G$9,MATCH($E419,Parametros!$A$2:$A$9,0))</f>
        <v>600170.88</v>
      </c>
      <c r="AO419" s="17" t="n">
        <f aca="false">AN419-AC419-AL419</f>
        <v>127493.858</v>
      </c>
      <c r="AP419" s="15" t="n">
        <f aca="false">IF(AN419&gt;0,AO419/AN419,0)</f>
        <v>0.212429263479095</v>
      </c>
      <c r="AQ419" s="16" t="n">
        <f aca="false">INDEX(Parametros!$I$2:$I$9,MATCH($E419,Parametros!$A$2:$A$9,0))</f>
        <v>29700000</v>
      </c>
      <c r="AR419" s="19" t="n">
        <f aca="false">IF(AQ419&gt;0,AO419/AQ419,0)</f>
        <v>0.00429272249158249</v>
      </c>
    </row>
    <row r="420" customFormat="false" ht="15" hidden="false" customHeight="false" outlineLevel="0" collapsed="false">
      <c r="A420" s="5" t="s">
        <v>555</v>
      </c>
      <c r="B420" s="9" t="n">
        <v>45915</v>
      </c>
      <c r="C420" s="2" t="str">
        <f aca="false">TEXT(B420,"yyyy")</f>
        <v>2025</v>
      </c>
      <c r="D420" s="2" t="n">
        <f aca="false">WEEKNUM(B420,2)</f>
        <v>38</v>
      </c>
      <c r="E420" s="5" t="s">
        <v>134</v>
      </c>
      <c r="F420" s="6" t="str">
        <f aca="false">INDEX(Parametros!$B$2:$B$9,MATCH($E420,Parametros!$A$2:$A$9,0))</f>
        <v>Aderezos vertibles</v>
      </c>
      <c r="G420" s="10" t="n">
        <v>120.6</v>
      </c>
      <c r="H420" s="10" t="n">
        <v>10.9</v>
      </c>
      <c r="I420" s="11" t="n">
        <f aca="false">SUMIFS(Eventos_Paro!$J$2:$J$2186,Eventos_Paro!$D$2:$D$2186,$E420,Eventos_Paro!$B$2:$B$2186,$B420)</f>
        <v>4.25</v>
      </c>
      <c r="J420" s="12" t="n">
        <f aca="false">G420-H420-I420</f>
        <v>105.45</v>
      </c>
      <c r="K420" s="13" t="n">
        <v>463824</v>
      </c>
      <c r="L420" s="13" t="n">
        <v>459372</v>
      </c>
      <c r="M420" s="13" t="n">
        <v>12947</v>
      </c>
      <c r="N420" s="14" t="n">
        <f aca="false">L420+M420</f>
        <v>472319</v>
      </c>
      <c r="O420" s="11" t="n">
        <f aca="false">INDEX(Parametros!$D$2:$D$9,MATCH($E420,Parametros!$A$2:$A$9,0))</f>
        <v>5200</v>
      </c>
      <c r="P420" s="15" t="n">
        <f aca="false">IF((G420-H420)&gt;0,J420/(G420-H420),0)</f>
        <v>0.961257976298997</v>
      </c>
      <c r="Q420" s="15" t="n">
        <f aca="false">IF(J420*O420&gt;0,N420/(O420*J420),0)</f>
        <v>0.861361563993143</v>
      </c>
      <c r="R420" s="15" t="n">
        <f aca="false">IF(N420&gt;0,L420/N420,0)</f>
        <v>0.972588441286503</v>
      </c>
      <c r="S420" s="15" t="n">
        <f aca="false">P420*Q420*R420</f>
        <v>0.805294158894888</v>
      </c>
      <c r="T420" s="15" t="n">
        <f aca="false">IF(K420&gt;0,L420/K420,0)</f>
        <v>0.99040153161544</v>
      </c>
      <c r="U420" s="10" t="n">
        <v>1531.1</v>
      </c>
      <c r="V420" s="5" t="n">
        <v>12</v>
      </c>
      <c r="W420" s="10" t="n">
        <v>83.9</v>
      </c>
      <c r="X420" s="15" t="n">
        <f aca="false">IF(U420&gt;0,W420/U420,0)</f>
        <v>0.0547972046241265</v>
      </c>
      <c r="Y420" s="12" t="n">
        <f aca="false">IF(U420&gt;0,L420/U420,0)</f>
        <v>300.027431258572</v>
      </c>
      <c r="Z420" s="16" t="n">
        <f aca="false">L420*INDEX(Parametros!$E$2:$E$9,MATCH($E420,Parametros!$A$2:$A$9,0))</f>
        <v>252654.6</v>
      </c>
      <c r="AA420" s="16" t="n">
        <f aca="false">Z420*INDEX(Parametros!$F$2:$F$9,MATCH($E420,Parametros!$A$2:$A$9,0))</f>
        <v>7579.638</v>
      </c>
      <c r="AB420" s="17" t="n">
        <f aca="false">Z420+AA420</f>
        <v>260234.238</v>
      </c>
      <c r="AC420" s="18" t="n">
        <v>257507.08</v>
      </c>
      <c r="AD420" s="17" t="n">
        <f aca="false">AC420-AB420</f>
        <v>-2727.15800000005</v>
      </c>
      <c r="AE420" s="17" t="n">
        <f aca="false">AA420+AD420</f>
        <v>4852.47999999995</v>
      </c>
      <c r="AF420" s="19" t="n">
        <f aca="false">IF(Z420&gt;0,AE420/Z420,0)</f>
        <v>0.0192059831881151</v>
      </c>
      <c r="AG420" s="16" t="n">
        <f aca="false">(U420-W420)*INDEX(Parametros!$H$2:$H$9,MATCH($E420,Parametros!$A$2:$A$9,0))+W420*INDEX(Parametros!$H$2:$H$9,MATCH($E420,Parametros!$A$2:$A$9,0))*Parametros!$N$3</f>
        <v>49551.075</v>
      </c>
      <c r="AH420" s="13" t="n">
        <v>22971</v>
      </c>
      <c r="AI420" s="16" t="n">
        <f aca="false">AH420*Parametros!$N$2</f>
        <v>2113.332</v>
      </c>
      <c r="AJ420" s="18" t="n">
        <v>10635</v>
      </c>
      <c r="AK420" s="18" t="n">
        <v>2818</v>
      </c>
      <c r="AL420" s="17" t="n">
        <f aca="false">AG420+AI420+AJ420+AK420</f>
        <v>65117.407</v>
      </c>
      <c r="AM420" s="20" t="n">
        <f aca="false">IF(L420&gt;0,AL420/L420,0)</f>
        <v>0.14175310423796</v>
      </c>
      <c r="AN420" s="16" t="n">
        <f aca="false">L420*INDEX(Parametros!$G$2:$G$9,MATCH($E420,Parametros!$A$2:$A$9,0))</f>
        <v>468559.44</v>
      </c>
      <c r="AO420" s="17" t="n">
        <f aca="false">AN420-AC420-AL420</f>
        <v>145934.953</v>
      </c>
      <c r="AP420" s="15" t="n">
        <f aca="false">IF(AN420&gt;0,AO420/AN420,0)</f>
        <v>0.311454514714291</v>
      </c>
      <c r="AQ420" s="16" t="n">
        <f aca="false">INDEX(Parametros!$I$2:$I$9,MATCH($E420,Parametros!$A$2:$A$9,0))</f>
        <v>19300000</v>
      </c>
      <c r="AR420" s="19" t="n">
        <f aca="false">IF(AQ420&gt;0,AO420/AQ420,0)</f>
        <v>0.00756139652849741</v>
      </c>
    </row>
    <row r="421" customFormat="false" ht="15" hidden="false" customHeight="false" outlineLevel="0" collapsed="false">
      <c r="A421" s="5" t="s">
        <v>556</v>
      </c>
      <c r="B421" s="9" t="n">
        <v>45915</v>
      </c>
      <c r="C421" s="2" t="str">
        <f aca="false">TEXT(B421,"yyyy")</f>
        <v>2025</v>
      </c>
      <c r="D421" s="2" t="n">
        <f aca="false">WEEKNUM(B421,2)</f>
        <v>38</v>
      </c>
      <c r="E421" s="5" t="s">
        <v>136</v>
      </c>
      <c r="F421" s="6" t="str">
        <f aca="false">INDEX(Parametros!$B$2:$B$9,MATCH($E421,Parametros!$A$2:$A$9,0))</f>
        <v>Salsa BBQ</v>
      </c>
      <c r="G421" s="10" t="n">
        <v>125</v>
      </c>
      <c r="H421" s="10" t="n">
        <v>10</v>
      </c>
      <c r="I421" s="11" t="n">
        <f aca="false">SUMIFS(Eventos_Paro!$J$2:$J$2186,Eventos_Paro!$D$2:$D$2186,$E421,Eventos_Paro!$B$2:$B$2186,$B421)</f>
        <v>4.58333333333333</v>
      </c>
      <c r="J421" s="12" t="n">
        <f aca="false">G421-H421-I421</f>
        <v>110.416666666667</v>
      </c>
      <c r="K421" s="13" t="n">
        <v>474139</v>
      </c>
      <c r="L421" s="13" t="n">
        <v>401162</v>
      </c>
      <c r="M421" s="13" t="n">
        <v>12375</v>
      </c>
      <c r="N421" s="14" t="n">
        <f aca="false">L421+M421</f>
        <v>413537</v>
      </c>
      <c r="O421" s="11" t="n">
        <f aca="false">INDEX(Parametros!$D$2:$D$9,MATCH($E421,Parametros!$A$2:$A$9,0))</f>
        <v>4800</v>
      </c>
      <c r="P421" s="15" t="n">
        <f aca="false">IF((G421-H421)&gt;0,J421/(G421-H421),0)</f>
        <v>0.960144927536232</v>
      </c>
      <c r="Q421" s="15" t="n">
        <f aca="false">IF(J421*O421&gt;0,N421/(O421*J421),0)</f>
        <v>0.780258490566038</v>
      </c>
      <c r="R421" s="15" t="n">
        <f aca="false">IF(N421&gt;0,L421/N421,0)</f>
        <v>0.970075229060519</v>
      </c>
      <c r="S421" s="15" t="n">
        <f aca="false">P421*Q421*R421</f>
        <v>0.726742753623188</v>
      </c>
      <c r="T421" s="15" t="n">
        <f aca="false">IF(K421&gt;0,L421/K421,0)</f>
        <v>0.846085219735141</v>
      </c>
      <c r="U421" s="10" t="n">
        <v>1341.2</v>
      </c>
      <c r="V421" s="5" t="n">
        <v>10</v>
      </c>
      <c r="W421" s="10" t="n">
        <v>91.2</v>
      </c>
      <c r="X421" s="15" t="n">
        <f aca="false">IF(U421&gt;0,W421/U421,0)</f>
        <v>0.067998807038473</v>
      </c>
      <c r="Y421" s="12" t="n">
        <f aca="false">IF(U421&gt;0,L421/U421,0)</f>
        <v>299.106770056666</v>
      </c>
      <c r="Z421" s="16" t="n">
        <f aca="false">L421*INDEX(Parametros!$E$2:$E$9,MATCH($E421,Parametros!$A$2:$A$9,0))</f>
        <v>232673.96</v>
      </c>
      <c r="AA421" s="16" t="n">
        <f aca="false">Z421*INDEX(Parametros!$F$2:$F$9,MATCH($E421,Parametros!$A$2:$A$9,0))</f>
        <v>6514.87088</v>
      </c>
      <c r="AB421" s="17" t="n">
        <f aca="false">Z421+AA421</f>
        <v>239188.83088</v>
      </c>
      <c r="AC421" s="18" t="n">
        <v>237776.24</v>
      </c>
      <c r="AD421" s="17" t="n">
        <f aca="false">AC421-AB421</f>
        <v>-1412.59088</v>
      </c>
      <c r="AE421" s="17" t="n">
        <f aca="false">AA421+AD421</f>
        <v>5102.28</v>
      </c>
      <c r="AF421" s="19" t="n">
        <f aca="false">IF(Z421&gt;0,AE421/Z421,0)</f>
        <v>0.0219288828023557</v>
      </c>
      <c r="AG421" s="16" t="n">
        <f aca="false">(U421-W421)*INDEX(Parametros!$H$2:$H$9,MATCH($E421,Parametros!$A$2:$A$9,0))+W421*INDEX(Parametros!$H$2:$H$9,MATCH($E421,Parametros!$A$2:$A$9,0))*Parametros!$N$3</f>
        <v>43684.2</v>
      </c>
      <c r="AH421" s="13" t="n">
        <v>22112</v>
      </c>
      <c r="AI421" s="16" t="n">
        <f aca="false">AH421*Parametros!$N$2</f>
        <v>2034.304</v>
      </c>
      <c r="AJ421" s="18" t="n">
        <v>9191</v>
      </c>
      <c r="AK421" s="18" t="n">
        <v>5579</v>
      </c>
      <c r="AL421" s="17" t="n">
        <f aca="false">AG421+AI421+AJ421+AK421</f>
        <v>60488.504</v>
      </c>
      <c r="AM421" s="20" t="n">
        <f aca="false">IF(L421&gt;0,AL421/L421,0)</f>
        <v>0.150783234703187</v>
      </c>
      <c r="AN421" s="16" t="n">
        <f aca="false">L421*INDEX(Parametros!$G$2:$G$9,MATCH($E421,Parametros!$A$2:$A$9,0))</f>
        <v>393138.76</v>
      </c>
      <c r="AO421" s="17" t="n">
        <f aca="false">AN421-AC421-AL421</f>
        <v>94874.016</v>
      </c>
      <c r="AP421" s="15" t="n">
        <f aca="false">IF(AN421&gt;0,AO421/AN421,0)</f>
        <v>0.241324503338211</v>
      </c>
      <c r="AQ421" s="16" t="n">
        <f aca="false">INDEX(Parametros!$I$2:$I$9,MATCH($E421,Parametros!$A$2:$A$9,0))</f>
        <v>17000000</v>
      </c>
      <c r="AR421" s="19" t="n">
        <f aca="false">IF(AQ421&gt;0,AO421/AQ421,0)</f>
        <v>0.00558082447058824</v>
      </c>
    </row>
    <row r="422" customFormat="false" ht="15" hidden="false" customHeight="false" outlineLevel="0" collapsed="false">
      <c r="A422" s="5" t="s">
        <v>557</v>
      </c>
      <c r="B422" s="9" t="n">
        <v>45915</v>
      </c>
      <c r="C422" s="2" t="str">
        <f aca="false">TEXT(B422,"yyyy")</f>
        <v>2025</v>
      </c>
      <c r="D422" s="2" t="n">
        <f aca="false">WEEKNUM(B422,2)</f>
        <v>38</v>
      </c>
      <c r="E422" s="5" t="s">
        <v>138</v>
      </c>
      <c r="F422" s="6" t="str">
        <f aca="false">INDEX(Parametros!$B$2:$B$9,MATCH($E422,Parametros!$A$2:$A$9,0))</f>
        <v>Queso crema</v>
      </c>
      <c r="G422" s="10" t="n">
        <v>119.6</v>
      </c>
      <c r="H422" s="10" t="n">
        <v>13</v>
      </c>
      <c r="I422" s="11" t="n">
        <f aca="false">SUMIFS(Eventos_Paro!$J$2:$J$2186,Eventos_Paro!$D$2:$D$2186,$E422,Eventos_Paro!$B$2:$B$2186,$B422)</f>
        <v>2.73333333333333</v>
      </c>
      <c r="J422" s="12" t="n">
        <f aca="false">G422-H422-I422</f>
        <v>103.866666666667</v>
      </c>
      <c r="K422" s="13" t="n">
        <v>329370</v>
      </c>
      <c r="L422" s="13" t="n">
        <v>340633</v>
      </c>
      <c r="M422" s="13" t="n">
        <v>13930</v>
      </c>
      <c r="N422" s="14" t="n">
        <f aca="false">L422+M422</f>
        <v>354563</v>
      </c>
      <c r="O422" s="11" t="n">
        <f aca="false">INDEX(Parametros!$D$2:$D$9,MATCH($E422,Parametros!$A$2:$A$9,0))</f>
        <v>3800</v>
      </c>
      <c r="P422" s="15" t="n">
        <f aca="false">IF((G422-H422)&gt;0,J422/(G422-H422),0)</f>
        <v>0.974358974358974</v>
      </c>
      <c r="Q422" s="15" t="n">
        <f aca="false">IF(J422*O422&gt;0,N422/(O422*J422),0)</f>
        <v>0.898325282075536</v>
      </c>
      <c r="R422" s="15" t="n">
        <f aca="false">IF(N422&gt;0,L422/N422,0)</f>
        <v>0.960712200652634</v>
      </c>
      <c r="S422" s="15" t="n">
        <f aca="false">P422*Q422*R422</f>
        <v>0.840903031499951</v>
      </c>
      <c r="T422" s="15" t="n">
        <f aca="false">IF(K422&gt;0,L422/K422,0)</f>
        <v>1.03419558551173</v>
      </c>
      <c r="U422" s="10" t="n">
        <v>1844</v>
      </c>
      <c r="V422" s="5" t="n">
        <v>15</v>
      </c>
      <c r="W422" s="10" t="n">
        <v>50</v>
      </c>
      <c r="X422" s="15" t="n">
        <f aca="false">IF(U422&gt;0,W422/U422,0)</f>
        <v>0.027114967462039</v>
      </c>
      <c r="Y422" s="12" t="n">
        <f aca="false">IF(U422&gt;0,L422/U422,0)</f>
        <v>184.725054229935</v>
      </c>
      <c r="Z422" s="16" t="n">
        <f aca="false">L422*INDEX(Parametros!$E$2:$E$9,MATCH($E422,Parametros!$A$2:$A$9,0))</f>
        <v>381508.96</v>
      </c>
      <c r="AA422" s="16" t="n">
        <f aca="false">Z422*INDEX(Parametros!$F$2:$F$9,MATCH($E422,Parametros!$A$2:$A$9,0))</f>
        <v>13352.8136</v>
      </c>
      <c r="AB422" s="17" t="n">
        <f aca="false">Z422+AA422</f>
        <v>394861.7736</v>
      </c>
      <c r="AC422" s="18" t="n">
        <v>395706.57</v>
      </c>
      <c r="AD422" s="17" t="n">
        <f aca="false">AC422-AB422</f>
        <v>844.796399999992</v>
      </c>
      <c r="AE422" s="17" t="n">
        <f aca="false">AA422+AD422</f>
        <v>14197.61</v>
      </c>
      <c r="AF422" s="19" t="n">
        <f aca="false">IF(Z422&gt;0,AE422/Z422,0)</f>
        <v>0.037214355332572</v>
      </c>
      <c r="AG422" s="16" t="n">
        <f aca="false">(U422-W422)*INDEX(Parametros!$H$2:$H$9,MATCH($E422,Parametros!$A$2:$A$9,0))+W422*INDEX(Parametros!$H$2:$H$9,MATCH($E422,Parametros!$A$2:$A$9,0))*Parametros!$N$3</f>
        <v>61677</v>
      </c>
      <c r="AH422" s="13" t="n">
        <v>17873</v>
      </c>
      <c r="AI422" s="16" t="n">
        <f aca="false">AH422*Parametros!$N$2</f>
        <v>1644.316</v>
      </c>
      <c r="AJ422" s="18" t="n">
        <v>19376</v>
      </c>
      <c r="AK422" s="18" t="n">
        <v>2822</v>
      </c>
      <c r="AL422" s="17" t="n">
        <f aca="false">AG422+AI422+AJ422+AK422</f>
        <v>85519.316</v>
      </c>
      <c r="AM422" s="20" t="n">
        <f aca="false">IF(L422&gt;0,AL422/L422,0)</f>
        <v>0.25105998538016</v>
      </c>
      <c r="AN422" s="16" t="n">
        <f aca="false">L422*INDEX(Parametros!$G$2:$G$9,MATCH($E422,Parametros!$A$2:$A$9,0))</f>
        <v>609733.07</v>
      </c>
      <c r="AO422" s="17" t="n">
        <f aca="false">AN422-AC422-AL422</f>
        <v>128507.184</v>
      </c>
      <c r="AP422" s="15" t="n">
        <f aca="false">IF(AN422&gt;0,AO422/AN422,0)</f>
        <v>0.210759741143776</v>
      </c>
      <c r="AQ422" s="16" t="n">
        <f aca="false">INDEX(Parametros!$I$2:$I$9,MATCH($E422,Parametros!$A$2:$A$9,0))</f>
        <v>33200000</v>
      </c>
      <c r="AR422" s="19" t="n">
        <f aca="false">IF(AQ422&gt;0,AO422/AQ422,0)</f>
        <v>0.00387069831325301</v>
      </c>
    </row>
    <row r="423" customFormat="false" ht="15" hidden="false" customHeight="false" outlineLevel="0" collapsed="false">
      <c r="A423" s="5" t="s">
        <v>558</v>
      </c>
      <c r="B423" s="9" t="n">
        <v>45915</v>
      </c>
      <c r="C423" s="2" t="str">
        <f aca="false">TEXT(B423,"yyyy")</f>
        <v>2025</v>
      </c>
      <c r="D423" s="2" t="n">
        <f aca="false">WEEKNUM(B423,2)</f>
        <v>38</v>
      </c>
      <c r="E423" s="5" t="s">
        <v>140</v>
      </c>
      <c r="F423" s="6" t="str">
        <f aca="false">INDEX(Parametros!$B$2:$B$9,MATCH($E423,Parametros!$A$2:$A$9,0))</f>
        <v>Crema de cacahuate</v>
      </c>
      <c r="G423" s="10" t="n">
        <v>106.2</v>
      </c>
      <c r="H423" s="10" t="n">
        <v>9.9</v>
      </c>
      <c r="I423" s="11" t="n">
        <f aca="false">SUMIFS(Eventos_Paro!$J$2:$J$2186,Eventos_Paro!$D$2:$D$2186,$E423,Eventos_Paro!$B$2:$B$2186,$B423)</f>
        <v>3.76666666666667</v>
      </c>
      <c r="J423" s="12" t="n">
        <f aca="false">G423-H423-I423</f>
        <v>92.5333333333333</v>
      </c>
      <c r="K423" s="13" t="n">
        <v>328866</v>
      </c>
      <c r="L423" s="13" t="n">
        <v>344016</v>
      </c>
      <c r="M423" s="13" t="n">
        <v>8865</v>
      </c>
      <c r="N423" s="14" t="n">
        <f aca="false">L423+M423</f>
        <v>352881</v>
      </c>
      <c r="O423" s="11" t="n">
        <f aca="false">INDEX(Parametros!$D$2:$D$9,MATCH($E423,Parametros!$A$2:$A$9,0))</f>
        <v>4200</v>
      </c>
      <c r="P423" s="15" t="n">
        <f aca="false">IF((G423-H423)&gt;0,J423/(G423-H423),0)</f>
        <v>0.960886119764625</v>
      </c>
      <c r="Q423" s="15" t="n">
        <f aca="false">IF(J423*O423&gt;0,N423/(O423*J423),0)</f>
        <v>0.907989398929601</v>
      </c>
      <c r="R423" s="15" t="n">
        <f aca="false">IF(N423&gt;0,L423/N423,0)</f>
        <v>0.974878216735953</v>
      </c>
      <c r="S423" s="15" t="n">
        <f aca="false">P423*Q423*R423</f>
        <v>0.850556297285269</v>
      </c>
      <c r="T423" s="15" t="n">
        <f aca="false">IF(K423&gt;0,L423/K423,0)</f>
        <v>1.04606739523088</v>
      </c>
      <c r="U423" s="10" t="n">
        <v>1484.1</v>
      </c>
      <c r="V423" s="5" t="n">
        <v>13</v>
      </c>
      <c r="W423" s="10" t="n">
        <v>103.5</v>
      </c>
      <c r="X423" s="15" t="n">
        <f aca="false">IF(U423&gt;0,W423/U423,0)</f>
        <v>0.0697392359005458</v>
      </c>
      <c r="Y423" s="12" t="n">
        <f aca="false">IF(U423&gt;0,L423/U423,0)</f>
        <v>231.801091570649</v>
      </c>
      <c r="Z423" s="16" t="n">
        <f aca="false">L423*INDEX(Parametros!$E$2:$E$9,MATCH($E423,Parametros!$A$2:$A$9,0))</f>
        <v>333695.52</v>
      </c>
      <c r="AA423" s="16" t="n">
        <f aca="false">Z423*INDEX(Parametros!$F$2:$F$9,MATCH($E423,Parametros!$A$2:$A$9,0))</f>
        <v>7341.30144</v>
      </c>
      <c r="AB423" s="17" t="n">
        <f aca="false">Z423+AA423</f>
        <v>341036.82144</v>
      </c>
      <c r="AC423" s="18" t="n">
        <v>335466.92</v>
      </c>
      <c r="AD423" s="17" t="n">
        <f aca="false">AC423-AB423</f>
        <v>-5569.90144000005</v>
      </c>
      <c r="AE423" s="17" t="n">
        <f aca="false">AA423+AD423</f>
        <v>1771.39999999996</v>
      </c>
      <c r="AF423" s="19" t="n">
        <f aca="false">IF(Z423&gt;0,AE423/Z423,0)</f>
        <v>0.00530843207004983</v>
      </c>
      <c r="AG423" s="16" t="n">
        <f aca="false">(U423-W423)*INDEX(Parametros!$H$2:$H$9,MATCH($E423,Parametros!$A$2:$A$9,0))+W423*INDEX(Parametros!$H$2:$H$9,MATCH($E423,Parametros!$A$2:$A$9,0))*Parametros!$N$3</f>
        <v>48379.275</v>
      </c>
      <c r="AH423" s="13" t="n">
        <v>17159</v>
      </c>
      <c r="AI423" s="16" t="n">
        <f aca="false">AH423*Parametros!$N$2</f>
        <v>1578.628</v>
      </c>
      <c r="AJ423" s="18" t="n">
        <v>13421</v>
      </c>
      <c r="AK423" s="18" t="n">
        <v>5015</v>
      </c>
      <c r="AL423" s="17" t="n">
        <f aca="false">AG423+AI423+AJ423+AK423</f>
        <v>68393.903</v>
      </c>
      <c r="AM423" s="20" t="n">
        <f aca="false">IF(L423&gt;0,AL423/L423,0)</f>
        <v>0.19881023847728</v>
      </c>
      <c r="AN423" s="16" t="n">
        <f aca="false">L423*INDEX(Parametros!$G$2:$G$9,MATCH($E423,Parametros!$A$2:$A$9,0))</f>
        <v>557305.92</v>
      </c>
      <c r="AO423" s="17" t="n">
        <f aca="false">AN423-AC423-AL423</f>
        <v>153445.097</v>
      </c>
      <c r="AP423" s="15" t="n">
        <f aca="false">IF(AN423&gt;0,AO423/AN423,0)</f>
        <v>0.275333692848624</v>
      </c>
      <c r="AQ423" s="16" t="n">
        <f aca="false">INDEX(Parametros!$I$2:$I$9,MATCH($E423,Parametros!$A$2:$A$9,0))</f>
        <v>28000000</v>
      </c>
      <c r="AR423" s="19" t="n">
        <f aca="false">IF(AQ423&gt;0,AO423/AQ423,0)</f>
        <v>0.00548018203571429</v>
      </c>
    </row>
    <row r="424" customFormat="false" ht="15" hidden="false" customHeight="false" outlineLevel="0" collapsed="false">
      <c r="A424" s="5" t="s">
        <v>559</v>
      </c>
      <c r="B424" s="9" t="n">
        <v>45915</v>
      </c>
      <c r="C424" s="2" t="str">
        <f aca="false">TEXT(B424,"yyyy")</f>
        <v>2025</v>
      </c>
      <c r="D424" s="2" t="n">
        <f aca="false">WEEKNUM(B424,2)</f>
        <v>38</v>
      </c>
      <c r="E424" s="5" t="s">
        <v>142</v>
      </c>
      <c r="F424" s="6" t="str">
        <f aca="false">INDEX(Parametros!$B$2:$B$9,MATCH($E424,Parametros!$A$2:$A$9,0))</f>
        <v>Porciones single serve</v>
      </c>
      <c r="G424" s="10" t="n">
        <v>117.2</v>
      </c>
      <c r="H424" s="10" t="n">
        <v>12.3</v>
      </c>
      <c r="I424" s="11" t="n">
        <f aca="false">SUMIFS(Eventos_Paro!$J$2:$J$2186,Eventos_Paro!$D$2:$D$2186,$E424,Eventos_Paro!$B$2:$B$2186,$B424)</f>
        <v>0.566666666666667</v>
      </c>
      <c r="J424" s="12" t="n">
        <f aca="false">G424-H424-I424</f>
        <v>104.333333333333</v>
      </c>
      <c r="K424" s="13" t="n">
        <v>221765</v>
      </c>
      <c r="L424" s="13" t="n">
        <v>195690</v>
      </c>
      <c r="M424" s="13" t="n">
        <v>9986</v>
      </c>
      <c r="N424" s="14" t="n">
        <f aca="false">L424+M424</f>
        <v>205676</v>
      </c>
      <c r="O424" s="11" t="n">
        <f aca="false">INDEX(Parametros!$D$2:$D$9,MATCH($E424,Parametros!$A$2:$A$9,0))</f>
        <v>2600</v>
      </c>
      <c r="P424" s="15" t="n">
        <f aca="false">IF((G424-H424)&gt;0,J424/(G424-H424),0)</f>
        <v>0.994598029869717</v>
      </c>
      <c r="Q424" s="15" t="n">
        <f aca="false">IF(J424*O424&gt;0,N424/(O424*J424),0)</f>
        <v>0.758205947407225</v>
      </c>
      <c r="R424" s="15" t="n">
        <f aca="false">IF(N424&gt;0,L424/N424,0)</f>
        <v>0.951447908360723</v>
      </c>
      <c r="S424" s="15" t="n">
        <f aca="false">P424*Q424*R424</f>
        <v>0.717496516829215</v>
      </c>
      <c r="T424" s="15" t="n">
        <f aca="false">IF(K424&gt;0,L424/K424,0)</f>
        <v>0.882420580344058</v>
      </c>
      <c r="U424" s="10" t="n">
        <v>2001.4</v>
      </c>
      <c r="V424" s="5" t="n">
        <v>16</v>
      </c>
      <c r="W424" s="10" t="n">
        <v>126.2</v>
      </c>
      <c r="X424" s="15" t="n">
        <f aca="false">IF(U424&gt;0,W424/U424,0)</f>
        <v>0.0630558608973718</v>
      </c>
      <c r="Y424" s="12" t="n">
        <f aca="false">IF(U424&gt;0,L424/U424,0)</f>
        <v>97.7765564105126</v>
      </c>
      <c r="Z424" s="16" t="n">
        <f aca="false">L424*INDEX(Parametros!$E$2:$E$9,MATCH($E424,Parametros!$A$2:$A$9,0))</f>
        <v>144810.6</v>
      </c>
      <c r="AA424" s="16" t="n">
        <f aca="false">Z424*INDEX(Parametros!$F$2:$F$9,MATCH($E424,Parametros!$A$2:$A$9,0))</f>
        <v>6516.477</v>
      </c>
      <c r="AB424" s="17" t="n">
        <f aca="false">Z424+AA424</f>
        <v>151327.077</v>
      </c>
      <c r="AC424" s="18" t="n">
        <v>151989.01</v>
      </c>
      <c r="AD424" s="17" t="n">
        <f aca="false">AC424-AB424</f>
        <v>661.93299999999</v>
      </c>
      <c r="AE424" s="17" t="n">
        <f aca="false">AA424+AD424</f>
        <v>7178.40999999999</v>
      </c>
      <c r="AF424" s="19" t="n">
        <f aca="false">IF(Z424&gt;0,AE424/Z424,0)</f>
        <v>0.0495710258779398</v>
      </c>
      <c r="AG424" s="16" t="n">
        <f aca="false">(U424-W424)*INDEX(Parametros!$H$2:$H$9,MATCH($E424,Parametros!$A$2:$A$9,0))+W424*INDEX(Parametros!$H$2:$H$9,MATCH($E424,Parametros!$A$2:$A$9,0))*Parametros!$N$3</f>
        <v>61935</v>
      </c>
      <c r="AH424" s="13" t="n">
        <v>10501</v>
      </c>
      <c r="AI424" s="16" t="n">
        <f aca="false">AH424*Parametros!$N$2</f>
        <v>966.092</v>
      </c>
      <c r="AJ424" s="18" t="n">
        <v>11627</v>
      </c>
      <c r="AK424" s="18" t="n">
        <v>406</v>
      </c>
      <c r="AL424" s="17" t="n">
        <f aca="false">AG424+AI424+AJ424+AK424</f>
        <v>74934.092</v>
      </c>
      <c r="AM424" s="20" t="n">
        <f aca="false">IF(L424&gt;0,AL424/L424,0)</f>
        <v>0.382922438550769</v>
      </c>
      <c r="AN424" s="16" t="n">
        <f aca="false">L424*INDEX(Parametros!$G$2:$G$9,MATCH($E424,Parametros!$A$2:$A$9,0))</f>
        <v>336586.8</v>
      </c>
      <c r="AO424" s="17" t="n">
        <f aca="false">AN424-AC424-AL424</f>
        <v>109663.698</v>
      </c>
      <c r="AP424" s="15" t="n">
        <f aca="false">IF(AN424&gt;0,AO424/AN424,0)</f>
        <v>0.325811047848579</v>
      </c>
      <c r="AQ424" s="16" t="n">
        <f aca="false">INDEX(Parametros!$I$2:$I$9,MATCH($E424,Parametros!$A$2:$A$9,0))</f>
        <v>15900000</v>
      </c>
      <c r="AR424" s="19" t="n">
        <f aca="false">IF(AQ424&gt;0,AO424/AQ424,0)</f>
        <v>0.0068970879245283</v>
      </c>
    </row>
    <row r="425" customFormat="false" ht="15" hidden="false" customHeight="false" outlineLevel="0" collapsed="false">
      <c r="A425" s="5" t="s">
        <v>560</v>
      </c>
      <c r="B425" s="9" t="n">
        <v>45915</v>
      </c>
      <c r="C425" s="2" t="str">
        <f aca="false">TEXT(B425,"yyyy")</f>
        <v>2025</v>
      </c>
      <c r="D425" s="2" t="n">
        <f aca="false">WEEKNUM(B425,2)</f>
        <v>38</v>
      </c>
      <c r="E425" s="5" t="s">
        <v>144</v>
      </c>
      <c r="F425" s="6" t="str">
        <f aca="false">INDEX(Parametros!$B$2:$B$9,MATCH($E425,Parametros!$A$2:$A$9,0))</f>
        <v>Salsas picantes</v>
      </c>
      <c r="G425" s="10" t="n">
        <v>84.7</v>
      </c>
      <c r="H425" s="10" t="n">
        <v>11.8</v>
      </c>
      <c r="I425" s="11" t="n">
        <f aca="false">SUMIFS(Eventos_Paro!$J$2:$J$2186,Eventos_Paro!$D$2:$D$2186,$E425,Eventos_Paro!$B$2:$B$2186,$B425)</f>
        <v>2.65</v>
      </c>
      <c r="J425" s="12" t="n">
        <f aca="false">G425-H425-I425</f>
        <v>70.25</v>
      </c>
      <c r="K425" s="13" t="n">
        <v>176781</v>
      </c>
      <c r="L425" s="13" t="n">
        <v>178969</v>
      </c>
      <c r="M425" s="13" t="n">
        <v>5646</v>
      </c>
      <c r="N425" s="14" t="n">
        <f aca="false">L425+M425</f>
        <v>184615</v>
      </c>
      <c r="O425" s="11" t="n">
        <f aca="false">INDEX(Parametros!$D$2:$D$9,MATCH($E425,Parametros!$A$2:$A$9,0))</f>
        <v>3100</v>
      </c>
      <c r="P425" s="15" t="n">
        <f aca="false">IF((G425-H425)&gt;0,J425/(G425-H425),0)</f>
        <v>0.963648834019204</v>
      </c>
      <c r="Q425" s="15" t="n">
        <f aca="false">IF(J425*O425&gt;0,N425/(O425*J425),0)</f>
        <v>0.847732751693261</v>
      </c>
      <c r="R425" s="15" t="n">
        <f aca="false">IF(N425&gt;0,L425/N425,0)</f>
        <v>0.969417436286326</v>
      </c>
      <c r="S425" s="15" t="n">
        <f aca="false">P425*Q425*R425</f>
        <v>0.791933271383689</v>
      </c>
      <c r="T425" s="15" t="n">
        <f aca="false">IF(K425&gt;0,L425/K425,0)</f>
        <v>1.01237689570712</v>
      </c>
      <c r="U425" s="10" t="n">
        <v>771.6</v>
      </c>
      <c r="V425" s="5" t="n">
        <v>9</v>
      </c>
      <c r="W425" s="10" t="n">
        <v>9.3</v>
      </c>
      <c r="X425" s="15" t="n">
        <f aca="false">IF(U425&gt;0,W425/U425,0)</f>
        <v>0.0120528771384137</v>
      </c>
      <c r="Y425" s="12" t="n">
        <f aca="false">IF(U425&gt;0,L425/U425,0)</f>
        <v>231.945308449974</v>
      </c>
      <c r="Z425" s="16" t="n">
        <f aca="false">L425*INDEX(Parametros!$E$2:$E$9,MATCH($E425,Parametros!$A$2:$A$9,0))</f>
        <v>118119.54</v>
      </c>
      <c r="AA425" s="16" t="n">
        <f aca="false">Z425*INDEX(Parametros!$F$2:$F$9,MATCH($E425,Parametros!$A$2:$A$9,0))</f>
        <v>3071.10804</v>
      </c>
      <c r="AB425" s="17" t="n">
        <f aca="false">Z425+AA425</f>
        <v>121190.64804</v>
      </c>
      <c r="AC425" s="18" t="n">
        <v>119982.32</v>
      </c>
      <c r="AD425" s="17" t="n">
        <f aca="false">AC425-AB425</f>
        <v>-1208.32804000001</v>
      </c>
      <c r="AE425" s="17" t="n">
        <f aca="false">AA425+AD425</f>
        <v>1862.77999999999</v>
      </c>
      <c r="AF425" s="19" t="n">
        <f aca="false">IF(Z425&gt;0,AE425/Z425,0)</f>
        <v>0.0157702950756496</v>
      </c>
      <c r="AG425" s="16" t="n">
        <f aca="false">(U425-W425)*INDEX(Parametros!$H$2:$H$9,MATCH($E425,Parametros!$A$2:$A$9,0))+W425*INDEX(Parametros!$H$2:$H$9,MATCH($E425,Parametros!$A$2:$A$9,0))*Parametros!$N$3</f>
        <v>24451.875</v>
      </c>
      <c r="AH425" s="13" t="n">
        <v>10184</v>
      </c>
      <c r="AI425" s="16" t="n">
        <f aca="false">AH425*Parametros!$N$2</f>
        <v>936.928</v>
      </c>
      <c r="AJ425" s="18" t="n">
        <v>5735</v>
      </c>
      <c r="AK425" s="18" t="n">
        <v>3101</v>
      </c>
      <c r="AL425" s="17" t="n">
        <f aca="false">AG425+AI425+AJ425+AK425</f>
        <v>34224.803</v>
      </c>
      <c r="AM425" s="20" t="n">
        <f aca="false">IF(L425&gt;0,AL425/L425,0)</f>
        <v>0.191233135347462</v>
      </c>
      <c r="AN425" s="16" t="n">
        <f aca="false">L425*INDEX(Parametros!$G$2:$G$9,MATCH($E425,Parametros!$A$2:$A$9,0))</f>
        <v>223711.25</v>
      </c>
      <c r="AO425" s="17" t="n">
        <f aca="false">AN425-AC425-AL425</f>
        <v>69504.127</v>
      </c>
      <c r="AP425" s="15" t="n">
        <f aca="false">IF(AN425&gt;0,AO425/AN425,0)</f>
        <v>0.310686775922087</v>
      </c>
      <c r="AQ425" s="16" t="n">
        <f aca="false">INDEX(Parametros!$I$2:$I$9,MATCH($E425,Parametros!$A$2:$A$9,0))</f>
        <v>13300000</v>
      </c>
      <c r="AR425" s="19" t="n">
        <f aca="false">IF(AQ425&gt;0,AO425/AQ425,0)</f>
        <v>0.00522587421052632</v>
      </c>
    </row>
    <row r="426" customFormat="false" ht="15" hidden="false" customHeight="false" outlineLevel="0" collapsed="false">
      <c r="A426" s="5" t="s">
        <v>561</v>
      </c>
      <c r="B426" s="9" t="n">
        <v>45922</v>
      </c>
      <c r="C426" s="2" t="str">
        <f aca="false">TEXT(B426,"yyyy")</f>
        <v>2025</v>
      </c>
      <c r="D426" s="2" t="n">
        <f aca="false">WEEKNUM(B426,2)</f>
        <v>39</v>
      </c>
      <c r="E426" s="5" t="s">
        <v>130</v>
      </c>
      <c r="F426" s="6" t="str">
        <f aca="false">INDEX(Parametros!$B$2:$B$9,MATCH($E426,Parametros!$A$2:$A$9,0))</f>
        <v>Ketchup botella</v>
      </c>
      <c r="G426" s="10" t="n">
        <v>125.2</v>
      </c>
      <c r="H426" s="10" t="n">
        <v>5.7</v>
      </c>
      <c r="I426" s="11" t="n">
        <f aca="false">SUMIFS(Eventos_Paro!$J$2:$J$2186,Eventos_Paro!$D$2:$D$2186,$E426,Eventos_Paro!$B$2:$B$2186,$B426)</f>
        <v>1.41666666666667</v>
      </c>
      <c r="J426" s="12" t="n">
        <f aca="false">G426-H426-I426</f>
        <v>118.083333333333</v>
      </c>
      <c r="K426" s="13" t="n">
        <v>870612</v>
      </c>
      <c r="L426" s="13" t="n">
        <v>912976</v>
      </c>
      <c r="M426" s="13" t="n">
        <v>17395</v>
      </c>
      <c r="N426" s="14" t="n">
        <f aca="false">L426+M426</f>
        <v>930371</v>
      </c>
      <c r="O426" s="11" t="n">
        <f aca="false">INDEX(Parametros!$D$2:$D$9,MATCH($E426,Parametros!$A$2:$A$9,0))</f>
        <v>9000</v>
      </c>
      <c r="P426" s="15" t="n">
        <f aca="false">IF((G426-H426)&gt;0,J426/(G426-H426),0)</f>
        <v>0.988145048814505</v>
      </c>
      <c r="Q426" s="15" t="n">
        <f aca="false">IF(J426*O426&gt;0,N426/(O426*J426),0)</f>
        <v>0.875437308868502</v>
      </c>
      <c r="R426" s="15" t="n">
        <f aca="false">IF(N426&gt;0,L426/N426,0)</f>
        <v>0.981303157557577</v>
      </c>
      <c r="S426" s="15" t="n">
        <f aca="false">P426*Q426*R426</f>
        <v>0.848885169688517</v>
      </c>
      <c r="T426" s="15" t="n">
        <f aca="false">IF(K426&gt;0,L426/K426,0)</f>
        <v>1.04866002306424</v>
      </c>
      <c r="U426" s="10" t="n">
        <v>2005.1</v>
      </c>
      <c r="V426" s="5" t="n">
        <v>15</v>
      </c>
      <c r="W426" s="10" t="n">
        <v>127.1</v>
      </c>
      <c r="X426" s="15" t="n">
        <f aca="false">IF(U426&gt;0,W426/U426,0)</f>
        <v>0.0633883596828088</v>
      </c>
      <c r="Y426" s="12" t="n">
        <f aca="false">IF(U426&gt;0,L426/U426,0)</f>
        <v>455.326916363274</v>
      </c>
      <c r="Z426" s="16" t="n">
        <f aca="false">L426*INDEX(Parametros!$E$2:$E$9,MATCH($E426,Parametros!$A$2:$A$9,0))</f>
        <v>383449.92</v>
      </c>
      <c r="AA426" s="16" t="n">
        <f aca="false">Z426*INDEX(Parametros!$F$2:$F$9,MATCH($E426,Parametros!$A$2:$A$9,0))</f>
        <v>7668.9984</v>
      </c>
      <c r="AB426" s="17" t="n">
        <f aca="false">Z426+AA426</f>
        <v>391118.9184</v>
      </c>
      <c r="AC426" s="18" t="n">
        <v>395119.49</v>
      </c>
      <c r="AD426" s="17" t="n">
        <f aca="false">AC426-AB426</f>
        <v>4000.57160000003</v>
      </c>
      <c r="AE426" s="17" t="n">
        <f aca="false">AA426+AD426</f>
        <v>11669.57</v>
      </c>
      <c r="AF426" s="19" t="n">
        <f aca="false">IF(Z426&gt;0,AE426/Z426,0)</f>
        <v>0.0304331006249787</v>
      </c>
      <c r="AG426" s="16" t="n">
        <f aca="false">(U426-W426)*INDEX(Parametros!$H$2:$H$9,MATCH($E426,Parametros!$A$2:$A$9,0))+W426*INDEX(Parametros!$H$2:$H$9,MATCH($E426,Parametros!$A$2:$A$9,0))*Parametros!$N$3</f>
        <v>65162.475</v>
      </c>
      <c r="AH426" s="13" t="n">
        <v>48004</v>
      </c>
      <c r="AI426" s="16" t="n">
        <f aca="false">AH426*Parametros!$N$2</f>
        <v>4416.368</v>
      </c>
      <c r="AJ426" s="18" t="n">
        <v>17136</v>
      </c>
      <c r="AK426" s="18" t="n">
        <v>1216</v>
      </c>
      <c r="AL426" s="17" t="n">
        <f aca="false">AG426+AI426+AJ426+AK426</f>
        <v>87930.843</v>
      </c>
      <c r="AM426" s="20" t="n">
        <f aca="false">IF(L426&gt;0,AL426/L426,0)</f>
        <v>0.096312326939591</v>
      </c>
      <c r="AN426" s="16" t="n">
        <f aca="false">L426*INDEX(Parametros!$G$2:$G$9,MATCH($E426,Parametros!$A$2:$A$9,0))</f>
        <v>648212.96</v>
      </c>
      <c r="AO426" s="17" t="n">
        <f aca="false">AN426-AC426-AL426</f>
        <v>165162.627</v>
      </c>
      <c r="AP426" s="15" t="n">
        <f aca="false">IF(AN426&gt;0,AO426/AN426,0)</f>
        <v>0.254796860278758</v>
      </c>
      <c r="AQ426" s="16" t="n">
        <f aca="false">INDEX(Parametros!$I$2:$I$9,MATCH($E426,Parametros!$A$2:$A$9,0))</f>
        <v>29300000</v>
      </c>
      <c r="AR426" s="19" t="n">
        <f aca="false">IF(AQ426&gt;0,AO426/AQ426,0)</f>
        <v>0.00563694972696246</v>
      </c>
    </row>
    <row r="427" customFormat="false" ht="15" hidden="false" customHeight="false" outlineLevel="0" collapsed="false">
      <c r="A427" s="5" t="s">
        <v>562</v>
      </c>
      <c r="B427" s="9" t="n">
        <v>45922</v>
      </c>
      <c r="C427" s="2" t="str">
        <f aca="false">TEXT(B427,"yyyy")</f>
        <v>2025</v>
      </c>
      <c r="D427" s="2" t="n">
        <f aca="false">WEEKNUM(B427,2)</f>
        <v>39</v>
      </c>
      <c r="E427" s="5" t="s">
        <v>132</v>
      </c>
      <c r="F427" s="6" t="str">
        <f aca="false">INDEX(Parametros!$B$2:$B$9,MATCH($E427,Parametros!$A$2:$A$9,0))</f>
        <v>Mayonesa frasco</v>
      </c>
      <c r="G427" s="10" t="n">
        <v>115.3</v>
      </c>
      <c r="H427" s="10" t="n">
        <v>9</v>
      </c>
      <c r="I427" s="11" t="n">
        <f aca="false">SUMIFS(Eventos_Paro!$J$2:$J$2186,Eventos_Paro!$D$2:$D$2186,$E427,Eventos_Paro!$B$2:$B$2186,$B427)</f>
        <v>0.533333333333333</v>
      </c>
      <c r="J427" s="12" t="n">
        <f aca="false">G427-H427-I427</f>
        <v>105.766666666667</v>
      </c>
      <c r="K427" s="13" t="n">
        <v>559320</v>
      </c>
      <c r="L427" s="13" t="n">
        <v>574826</v>
      </c>
      <c r="M427" s="13" t="n">
        <v>15785</v>
      </c>
      <c r="N427" s="14" t="n">
        <f aca="false">L427+M427</f>
        <v>590611</v>
      </c>
      <c r="O427" s="11" t="n">
        <f aca="false">INDEX(Parametros!$D$2:$D$9,MATCH($E427,Parametros!$A$2:$A$9,0))</f>
        <v>6500</v>
      </c>
      <c r="P427" s="15" t="n">
        <f aca="false">IF((G427-H427)&gt;0,J427/(G427-H427),0)</f>
        <v>0.994982753214174</v>
      </c>
      <c r="Q427" s="15" t="n">
        <f aca="false">IF(J427*O427&gt;0,N427/(O427*J427),0)</f>
        <v>0.859091371912046</v>
      </c>
      <c r="R427" s="15" t="n">
        <f aca="false">IF(N427&gt;0,L427/N427,0)</f>
        <v>0.973273440555628</v>
      </c>
      <c r="S427" s="15" t="n">
        <f aca="false">P427*Q427*R427</f>
        <v>0.831935740646935</v>
      </c>
      <c r="T427" s="15" t="n">
        <f aca="false">IF(K427&gt;0,L427/K427,0)</f>
        <v>1.02772294929557</v>
      </c>
      <c r="U427" s="10" t="n">
        <v>1562.7</v>
      </c>
      <c r="V427" s="5" t="n">
        <v>13</v>
      </c>
      <c r="W427" s="10" t="n">
        <v>63.8</v>
      </c>
      <c r="X427" s="15" t="n">
        <f aca="false">IF(U427&gt;0,W427/U427,0)</f>
        <v>0.0408267741729059</v>
      </c>
      <c r="Y427" s="12" t="n">
        <f aca="false">IF(U427&gt;0,L427/U427,0)</f>
        <v>367.841556280796</v>
      </c>
      <c r="Z427" s="16" t="n">
        <f aca="false">L427*INDEX(Parametros!$E$2:$E$9,MATCH($E427,Parametros!$A$2:$A$9,0))</f>
        <v>350643.86</v>
      </c>
      <c r="AA427" s="16" t="n">
        <f aca="false">Z427*INDEX(Parametros!$F$2:$F$9,MATCH($E427,Parametros!$A$2:$A$9,0))</f>
        <v>8766.0965</v>
      </c>
      <c r="AB427" s="17" t="n">
        <f aca="false">Z427+AA427</f>
        <v>359409.9565</v>
      </c>
      <c r="AC427" s="18" t="n">
        <v>355385.76</v>
      </c>
      <c r="AD427" s="17" t="n">
        <f aca="false">AC427-AB427</f>
        <v>-4024.19649999996</v>
      </c>
      <c r="AE427" s="17" t="n">
        <f aca="false">AA427+AD427</f>
        <v>4741.90000000004</v>
      </c>
      <c r="AF427" s="19" t="n">
        <f aca="false">IF(Z427&gt;0,AE427/Z427,0)</f>
        <v>0.0135234080528318</v>
      </c>
      <c r="AG427" s="16" t="n">
        <f aca="false">(U427-W427)*INDEX(Parametros!$H$2:$H$9,MATCH($E427,Parametros!$A$2:$A$9,0))+W427*INDEX(Parametros!$H$2:$H$9,MATCH($E427,Parametros!$A$2:$A$9,0))*Parametros!$N$3</f>
        <v>50229.9</v>
      </c>
      <c r="AH427" s="13" t="n">
        <v>31040</v>
      </c>
      <c r="AI427" s="16" t="n">
        <f aca="false">AH427*Parametros!$N$2</f>
        <v>2855.68</v>
      </c>
      <c r="AJ427" s="18" t="n">
        <v>18130</v>
      </c>
      <c r="AK427" s="18" t="n">
        <v>472</v>
      </c>
      <c r="AL427" s="17" t="n">
        <f aca="false">AG427+AI427+AJ427+AK427</f>
        <v>71687.58</v>
      </c>
      <c r="AM427" s="20" t="n">
        <f aca="false">IF(L427&gt;0,AL427/L427,0)</f>
        <v>0.124711791046334</v>
      </c>
      <c r="AN427" s="16" t="n">
        <f aca="false">L427*INDEX(Parametros!$G$2:$G$9,MATCH($E427,Parametros!$A$2:$A$9,0))</f>
        <v>551832.96</v>
      </c>
      <c r="AO427" s="17" t="n">
        <f aca="false">AN427-AC427-AL427</f>
        <v>124759.62</v>
      </c>
      <c r="AP427" s="15" t="n">
        <f aca="false">IF(AN427&gt;0,AO427/AN427,0)</f>
        <v>0.226082218793165</v>
      </c>
      <c r="AQ427" s="16" t="n">
        <f aca="false">INDEX(Parametros!$I$2:$I$9,MATCH($E427,Parametros!$A$2:$A$9,0))</f>
        <v>29700000</v>
      </c>
      <c r="AR427" s="19" t="n">
        <f aca="false">IF(AQ427&gt;0,AO427/AQ427,0)</f>
        <v>0.0042006606060606</v>
      </c>
    </row>
    <row r="428" customFormat="false" ht="15" hidden="false" customHeight="false" outlineLevel="0" collapsed="false">
      <c r="A428" s="5" t="s">
        <v>563</v>
      </c>
      <c r="B428" s="9" t="n">
        <v>45922</v>
      </c>
      <c r="C428" s="2" t="str">
        <f aca="false">TEXT(B428,"yyyy")</f>
        <v>2025</v>
      </c>
      <c r="D428" s="2" t="n">
        <f aca="false">WEEKNUM(B428,2)</f>
        <v>39</v>
      </c>
      <c r="E428" s="5" t="s">
        <v>134</v>
      </c>
      <c r="F428" s="6" t="str">
        <f aca="false">INDEX(Parametros!$B$2:$B$9,MATCH($E428,Parametros!$A$2:$A$9,0))</f>
        <v>Aderezos vertibles</v>
      </c>
      <c r="G428" s="10" t="n">
        <v>114.3</v>
      </c>
      <c r="H428" s="10" t="n">
        <v>7.3</v>
      </c>
      <c r="I428" s="11" t="n">
        <f aca="false">SUMIFS(Eventos_Paro!$J$2:$J$2186,Eventos_Paro!$D$2:$D$2186,$E428,Eventos_Paro!$B$2:$B$2186,$B428)</f>
        <v>2.1</v>
      </c>
      <c r="J428" s="12" t="n">
        <f aca="false">G428-H428-I428</f>
        <v>104.9</v>
      </c>
      <c r="K428" s="13" t="n">
        <v>450403</v>
      </c>
      <c r="L428" s="13" t="n">
        <v>407037</v>
      </c>
      <c r="M428" s="13" t="n">
        <v>21920</v>
      </c>
      <c r="N428" s="14" t="n">
        <f aca="false">L428+M428</f>
        <v>428957</v>
      </c>
      <c r="O428" s="11" t="n">
        <f aca="false">INDEX(Parametros!$D$2:$D$9,MATCH($E428,Parametros!$A$2:$A$9,0))</f>
        <v>5200</v>
      </c>
      <c r="P428" s="15" t="n">
        <f aca="false">IF((G428-H428)&gt;0,J428/(G428-H428),0)</f>
        <v>0.980373831775701</v>
      </c>
      <c r="Q428" s="15" t="n">
        <f aca="false">IF(J428*O428&gt;0,N428/(O428*J428),0)</f>
        <v>0.786384468724793</v>
      </c>
      <c r="R428" s="15" t="n">
        <f aca="false">IF(N428&gt;0,L428/N428,0)</f>
        <v>0.948899306923538</v>
      </c>
      <c r="S428" s="15" t="n">
        <f aca="false">P428*Q428*R428</f>
        <v>0.731554636951833</v>
      </c>
      <c r="T428" s="15" t="n">
        <f aca="false">IF(K428&gt;0,L428/K428,0)</f>
        <v>0.903717337584341</v>
      </c>
      <c r="U428" s="10" t="n">
        <v>1379.8</v>
      </c>
      <c r="V428" s="5" t="n">
        <v>11</v>
      </c>
      <c r="W428" s="10" t="n">
        <v>122.5</v>
      </c>
      <c r="X428" s="15" t="n">
        <f aca="false">IF(U428&gt;0,W428/U428,0)</f>
        <v>0.0887809827511234</v>
      </c>
      <c r="Y428" s="12" t="n">
        <f aca="false">IF(U428&gt;0,L428/U428,0)</f>
        <v>294.997101029135</v>
      </c>
      <c r="Z428" s="16" t="n">
        <f aca="false">L428*INDEX(Parametros!$E$2:$E$9,MATCH($E428,Parametros!$A$2:$A$9,0))</f>
        <v>223870.35</v>
      </c>
      <c r="AA428" s="16" t="n">
        <f aca="false">Z428*INDEX(Parametros!$F$2:$F$9,MATCH($E428,Parametros!$A$2:$A$9,0))</f>
        <v>6716.1105</v>
      </c>
      <c r="AB428" s="17" t="n">
        <f aca="false">Z428+AA428</f>
        <v>230586.4605</v>
      </c>
      <c r="AC428" s="18" t="n">
        <v>235126.45</v>
      </c>
      <c r="AD428" s="17" t="n">
        <f aca="false">AC428-AB428</f>
        <v>4539.9895</v>
      </c>
      <c r="AE428" s="17" t="n">
        <f aca="false">AA428+AD428</f>
        <v>11256.1</v>
      </c>
      <c r="AF428" s="19" t="n">
        <f aca="false">IF(Z428&gt;0,AE428/Z428,0)</f>
        <v>0.0502795479615769</v>
      </c>
      <c r="AG428" s="16" t="n">
        <f aca="false">(U428-W428)*INDEX(Parametros!$H$2:$H$9,MATCH($E428,Parametros!$A$2:$A$9,0))+W428*INDEX(Parametros!$H$2:$H$9,MATCH($E428,Parametros!$A$2:$A$9,0))*Parametros!$N$3</f>
        <v>45393.075</v>
      </c>
      <c r="AH428" s="13" t="n">
        <v>22189</v>
      </c>
      <c r="AI428" s="16" t="n">
        <f aca="false">AH428*Parametros!$N$2</f>
        <v>2041.388</v>
      </c>
      <c r="AJ428" s="18" t="n">
        <v>11717</v>
      </c>
      <c r="AK428" s="18" t="n">
        <v>1758</v>
      </c>
      <c r="AL428" s="17" t="n">
        <f aca="false">AG428+AI428+AJ428+AK428</f>
        <v>60909.463</v>
      </c>
      <c r="AM428" s="20" t="n">
        <f aca="false">IF(L428&gt;0,AL428/L428,0)</f>
        <v>0.149641096509654</v>
      </c>
      <c r="AN428" s="16" t="n">
        <f aca="false">L428*INDEX(Parametros!$G$2:$G$9,MATCH($E428,Parametros!$A$2:$A$9,0))</f>
        <v>415177.74</v>
      </c>
      <c r="AO428" s="17" t="n">
        <f aca="false">AN428-AC428-AL428</f>
        <v>119141.827</v>
      </c>
      <c r="AP428" s="15" t="n">
        <f aca="false">IF(AN428&gt;0,AO428/AN428,0)</f>
        <v>0.286965835403411</v>
      </c>
      <c r="AQ428" s="16" t="n">
        <f aca="false">INDEX(Parametros!$I$2:$I$9,MATCH($E428,Parametros!$A$2:$A$9,0))</f>
        <v>19300000</v>
      </c>
      <c r="AR428" s="19" t="n">
        <f aca="false">IF(AQ428&gt;0,AO428/AQ428,0)</f>
        <v>0.00617315165803109</v>
      </c>
    </row>
    <row r="429" customFormat="false" ht="15" hidden="false" customHeight="false" outlineLevel="0" collapsed="false">
      <c r="A429" s="5" t="s">
        <v>564</v>
      </c>
      <c r="B429" s="9" t="n">
        <v>45922</v>
      </c>
      <c r="C429" s="2" t="str">
        <f aca="false">TEXT(B429,"yyyy")</f>
        <v>2025</v>
      </c>
      <c r="D429" s="2" t="n">
        <f aca="false">WEEKNUM(B429,2)</f>
        <v>39</v>
      </c>
      <c r="E429" s="5" t="s">
        <v>136</v>
      </c>
      <c r="F429" s="6" t="str">
        <f aca="false">INDEX(Parametros!$B$2:$B$9,MATCH($E429,Parametros!$A$2:$A$9,0))</f>
        <v>Salsa BBQ</v>
      </c>
      <c r="G429" s="10" t="n">
        <v>72.1</v>
      </c>
      <c r="H429" s="10" t="n">
        <v>8.8</v>
      </c>
      <c r="I429" s="11" t="n">
        <f aca="false">SUMIFS(Eventos_Paro!$J$2:$J$2186,Eventos_Paro!$D$2:$D$2186,$E429,Eventos_Paro!$B$2:$B$2186,$B429)</f>
        <v>1.83333333333333</v>
      </c>
      <c r="J429" s="12" t="n">
        <f aca="false">G429-H429-I429</f>
        <v>61.4666666666667</v>
      </c>
      <c r="K429" s="13" t="n">
        <v>256054</v>
      </c>
      <c r="L429" s="13" t="n">
        <v>236694</v>
      </c>
      <c r="M429" s="13" t="n">
        <v>5297</v>
      </c>
      <c r="N429" s="14" t="n">
        <f aca="false">L429+M429</f>
        <v>241991</v>
      </c>
      <c r="O429" s="11" t="n">
        <f aca="false">INDEX(Parametros!$D$2:$D$9,MATCH($E429,Parametros!$A$2:$A$9,0))</f>
        <v>4800</v>
      </c>
      <c r="P429" s="15" t="n">
        <f aca="false">IF((G429-H429)&gt;0,J429/(G429-H429),0)</f>
        <v>0.971037388098999</v>
      </c>
      <c r="Q429" s="15" t="n">
        <f aca="false">IF(J429*O429&gt;0,N429/(O429*J429),0)</f>
        <v>0.820197261388286</v>
      </c>
      <c r="R429" s="15" t="n">
        <f aca="false">IF(N429&gt;0,L429/N429,0)</f>
        <v>0.978110756185147</v>
      </c>
      <c r="S429" s="15" t="n">
        <f aca="false">P429*Q429*R429</f>
        <v>0.77900868878357</v>
      </c>
      <c r="T429" s="15" t="n">
        <f aca="false">IF(K429&gt;0,L429/K429,0)</f>
        <v>0.924390948784241</v>
      </c>
      <c r="U429" s="10" t="n">
        <v>838.6</v>
      </c>
      <c r="V429" s="5" t="n">
        <v>11</v>
      </c>
      <c r="W429" s="10" t="n">
        <v>45.5</v>
      </c>
      <c r="X429" s="15" t="n">
        <f aca="false">IF(U429&gt;0,W429/U429,0)</f>
        <v>0.0542570951585977</v>
      </c>
      <c r="Y429" s="12" t="n">
        <f aca="false">IF(U429&gt;0,L429/U429,0)</f>
        <v>282.248986405915</v>
      </c>
      <c r="Z429" s="16" t="n">
        <f aca="false">L429*INDEX(Parametros!$E$2:$E$9,MATCH($E429,Parametros!$A$2:$A$9,0))</f>
        <v>137282.52</v>
      </c>
      <c r="AA429" s="16" t="n">
        <f aca="false">Z429*INDEX(Parametros!$F$2:$F$9,MATCH($E429,Parametros!$A$2:$A$9,0))</f>
        <v>3843.91056</v>
      </c>
      <c r="AB429" s="17" t="n">
        <f aca="false">Z429+AA429</f>
        <v>141126.43056</v>
      </c>
      <c r="AC429" s="18" t="n">
        <v>141024.78</v>
      </c>
      <c r="AD429" s="17" t="n">
        <f aca="false">AC429-AB429</f>
        <v>-101.65055999998</v>
      </c>
      <c r="AE429" s="17" t="n">
        <f aca="false">AA429+AD429</f>
        <v>3742.26000000002</v>
      </c>
      <c r="AF429" s="19" t="n">
        <f aca="false">IF(Z429&gt;0,AE429/Z429,0)</f>
        <v>0.0272595520536775</v>
      </c>
      <c r="AG429" s="16" t="n">
        <f aca="false">(U429-W429)*INDEX(Parametros!$H$2:$H$9,MATCH($E429,Parametros!$A$2:$A$9,0))+W429*INDEX(Parametros!$H$2:$H$9,MATCH($E429,Parametros!$A$2:$A$9,0))*Parametros!$N$3</f>
        <v>27132.525</v>
      </c>
      <c r="AH429" s="13" t="n">
        <v>13203</v>
      </c>
      <c r="AI429" s="16" t="n">
        <f aca="false">AH429*Parametros!$N$2</f>
        <v>1214.676</v>
      </c>
      <c r="AJ429" s="18" t="n">
        <v>7671</v>
      </c>
      <c r="AK429" s="18" t="n">
        <v>2003</v>
      </c>
      <c r="AL429" s="17" t="n">
        <f aca="false">AG429+AI429+AJ429+AK429</f>
        <v>38021.201</v>
      </c>
      <c r="AM429" s="20" t="n">
        <f aca="false">IF(L429&gt;0,AL429/L429,0)</f>
        <v>0.160634409828724</v>
      </c>
      <c r="AN429" s="16" t="n">
        <f aca="false">L429*INDEX(Parametros!$G$2:$G$9,MATCH($E429,Parametros!$A$2:$A$9,0))</f>
        <v>231960.12</v>
      </c>
      <c r="AO429" s="17" t="n">
        <f aca="false">AN429-AC429-AL429</f>
        <v>52914.139</v>
      </c>
      <c r="AP429" s="15" t="n">
        <f aca="false">IF(AN429&gt;0,AO429/AN429,0)</f>
        <v>0.228117397938922</v>
      </c>
      <c r="AQ429" s="16" t="n">
        <f aca="false">INDEX(Parametros!$I$2:$I$9,MATCH($E429,Parametros!$A$2:$A$9,0))</f>
        <v>17000000</v>
      </c>
      <c r="AR429" s="19" t="n">
        <f aca="false">IF(AQ429&gt;0,AO429/AQ429,0)</f>
        <v>0.00311259641176471</v>
      </c>
    </row>
    <row r="430" customFormat="false" ht="15" hidden="false" customHeight="false" outlineLevel="0" collapsed="false">
      <c r="A430" s="5" t="s">
        <v>565</v>
      </c>
      <c r="B430" s="9" t="n">
        <v>45922</v>
      </c>
      <c r="C430" s="2" t="str">
        <f aca="false">TEXT(B430,"yyyy")</f>
        <v>2025</v>
      </c>
      <c r="D430" s="2" t="n">
        <f aca="false">WEEKNUM(B430,2)</f>
        <v>39</v>
      </c>
      <c r="E430" s="5" t="s">
        <v>138</v>
      </c>
      <c r="F430" s="6" t="str">
        <f aca="false">INDEX(Parametros!$B$2:$B$9,MATCH($E430,Parametros!$A$2:$A$9,0))</f>
        <v>Queso crema</v>
      </c>
      <c r="G430" s="10" t="n">
        <v>107.1</v>
      </c>
      <c r="H430" s="10" t="n">
        <v>5.2</v>
      </c>
      <c r="I430" s="11" t="n">
        <f aca="false">SUMIFS(Eventos_Paro!$J$2:$J$2186,Eventos_Paro!$D$2:$D$2186,$E430,Eventos_Paro!$B$2:$B$2186,$B430)</f>
        <v>4.23333333333333</v>
      </c>
      <c r="J430" s="12" t="n">
        <f aca="false">G430-H430-I430</f>
        <v>97.6666666666667</v>
      </c>
      <c r="K430" s="13" t="n">
        <v>313453</v>
      </c>
      <c r="L430" s="13" t="n">
        <v>300787</v>
      </c>
      <c r="M430" s="13" t="n">
        <v>13630</v>
      </c>
      <c r="N430" s="14" t="n">
        <f aca="false">L430+M430</f>
        <v>314417</v>
      </c>
      <c r="O430" s="11" t="n">
        <f aca="false">INDEX(Parametros!$D$2:$D$9,MATCH($E430,Parametros!$A$2:$A$9,0))</f>
        <v>3800</v>
      </c>
      <c r="P430" s="15" t="n">
        <f aca="false">IF((G430-H430)&gt;0,J430/(G430-H430),0)</f>
        <v>0.958456002616945</v>
      </c>
      <c r="Q430" s="15" t="n">
        <f aca="false">IF(J430*O430&gt;0,N430/(O430*J430),0)</f>
        <v>0.847180707742052</v>
      </c>
      <c r="R430" s="15" t="n">
        <f aca="false">IF(N430&gt;0,L430/N430,0)</f>
        <v>0.956649926689715</v>
      </c>
      <c r="S430" s="15" t="n">
        <f aca="false">P430*Q430*R430</f>
        <v>0.776785806518259</v>
      </c>
      <c r="T430" s="15" t="n">
        <f aca="false">IF(K430&gt;0,L430/K430,0)</f>
        <v>0.959592028150951</v>
      </c>
      <c r="U430" s="10" t="n">
        <v>1816.1</v>
      </c>
      <c r="V430" s="5" t="n">
        <v>16</v>
      </c>
      <c r="W430" s="10" t="n">
        <v>102.5</v>
      </c>
      <c r="X430" s="15" t="n">
        <f aca="false">IF(U430&gt;0,W430/U430,0)</f>
        <v>0.0564396233687572</v>
      </c>
      <c r="Y430" s="12" t="n">
        <f aca="false">IF(U430&gt;0,L430/U430,0)</f>
        <v>165.622487748472</v>
      </c>
      <c r="Z430" s="16" t="n">
        <f aca="false">L430*INDEX(Parametros!$E$2:$E$9,MATCH($E430,Parametros!$A$2:$A$9,0))</f>
        <v>336881.44</v>
      </c>
      <c r="AA430" s="16" t="n">
        <f aca="false">Z430*INDEX(Parametros!$F$2:$F$9,MATCH($E430,Parametros!$A$2:$A$9,0))</f>
        <v>11790.8504</v>
      </c>
      <c r="AB430" s="17" t="n">
        <f aca="false">Z430+AA430</f>
        <v>348672.2904</v>
      </c>
      <c r="AC430" s="18" t="n">
        <v>346889.72</v>
      </c>
      <c r="AD430" s="17" t="n">
        <f aca="false">AC430-AB430</f>
        <v>-1782.57040000008</v>
      </c>
      <c r="AE430" s="17" t="n">
        <f aca="false">AA430+AD430</f>
        <v>10008.2799999999</v>
      </c>
      <c r="AF430" s="19" t="n">
        <f aca="false">IF(Z430&gt;0,AE430/Z430,0)</f>
        <v>0.0297086120268303</v>
      </c>
      <c r="AG430" s="16" t="n">
        <f aca="false">(U430-W430)*INDEX(Parametros!$H$2:$H$9,MATCH($E430,Parametros!$A$2:$A$9,0))+W430*INDEX(Parametros!$H$2:$H$9,MATCH($E430,Parametros!$A$2:$A$9,0))*Parametros!$N$3</f>
        <v>61622.55</v>
      </c>
      <c r="AH430" s="13" t="n">
        <v>15957</v>
      </c>
      <c r="AI430" s="16" t="n">
        <f aca="false">AH430*Parametros!$N$2</f>
        <v>1468.044</v>
      </c>
      <c r="AJ430" s="18" t="n">
        <v>18850</v>
      </c>
      <c r="AK430" s="18" t="n">
        <v>3625</v>
      </c>
      <c r="AL430" s="17" t="n">
        <f aca="false">AG430+AI430+AJ430+AK430</f>
        <v>85565.594</v>
      </c>
      <c r="AM430" s="20" t="n">
        <f aca="false">IF(L430&gt;0,AL430/L430,0)</f>
        <v>0.284472380787734</v>
      </c>
      <c r="AN430" s="16" t="n">
        <f aca="false">L430*INDEX(Parametros!$G$2:$G$9,MATCH($E430,Parametros!$A$2:$A$9,0))</f>
        <v>538408.73</v>
      </c>
      <c r="AO430" s="17" t="n">
        <f aca="false">AN430-AC430-AL430</f>
        <v>105953.416</v>
      </c>
      <c r="AP430" s="15" t="n">
        <f aca="false">IF(AN430&gt;0,AO430/AN430,0)</f>
        <v>0.196789929464925</v>
      </c>
      <c r="AQ430" s="16" t="n">
        <f aca="false">INDEX(Parametros!$I$2:$I$9,MATCH($E430,Parametros!$A$2:$A$9,0))</f>
        <v>33200000</v>
      </c>
      <c r="AR430" s="19" t="n">
        <f aca="false">IF(AQ430&gt;0,AO430/AQ430,0)</f>
        <v>0.00319136795180723</v>
      </c>
    </row>
    <row r="431" customFormat="false" ht="15" hidden="false" customHeight="false" outlineLevel="0" collapsed="false">
      <c r="A431" s="5" t="s">
        <v>566</v>
      </c>
      <c r="B431" s="9" t="n">
        <v>45922</v>
      </c>
      <c r="C431" s="2" t="str">
        <f aca="false">TEXT(B431,"yyyy")</f>
        <v>2025</v>
      </c>
      <c r="D431" s="2" t="n">
        <f aca="false">WEEKNUM(B431,2)</f>
        <v>39</v>
      </c>
      <c r="E431" s="5" t="s">
        <v>140</v>
      </c>
      <c r="F431" s="6" t="str">
        <f aca="false">INDEX(Parametros!$B$2:$B$9,MATCH($E431,Parametros!$A$2:$A$9,0))</f>
        <v>Crema de cacahuate</v>
      </c>
      <c r="G431" s="10" t="n">
        <v>114.3</v>
      </c>
      <c r="H431" s="10" t="n">
        <v>8.4</v>
      </c>
      <c r="I431" s="11" t="n">
        <f aca="false">SUMIFS(Eventos_Paro!$J$2:$J$2186,Eventos_Paro!$D$2:$D$2186,$E431,Eventos_Paro!$B$2:$B$2186,$B431)</f>
        <v>4.05</v>
      </c>
      <c r="J431" s="12" t="n">
        <f aca="false">G431-H431-I431</f>
        <v>101.85</v>
      </c>
      <c r="K431" s="13" t="n">
        <v>360047</v>
      </c>
      <c r="L431" s="13" t="n">
        <v>364905</v>
      </c>
      <c r="M431" s="13" t="n">
        <v>8164</v>
      </c>
      <c r="N431" s="14" t="n">
        <f aca="false">L431+M431</f>
        <v>373069</v>
      </c>
      <c r="O431" s="11" t="n">
        <f aca="false">INDEX(Parametros!$D$2:$D$9,MATCH($E431,Parametros!$A$2:$A$9,0))</f>
        <v>4200</v>
      </c>
      <c r="P431" s="15" t="n">
        <f aca="false">IF((G431-H431)&gt;0,J431/(G431-H431),0)</f>
        <v>0.961756373937677</v>
      </c>
      <c r="Q431" s="15" t="n">
        <f aca="false">IF(J431*O431&gt;0,N431/(O431*J431),0)</f>
        <v>0.872125207471305</v>
      </c>
      <c r="R431" s="15" t="n">
        <f aca="false">IF(N431&gt;0,L431/N431,0)</f>
        <v>0.978116648662848</v>
      </c>
      <c r="S431" s="15" t="n">
        <f aca="false">P431*Q431*R431</f>
        <v>0.820416835289357</v>
      </c>
      <c r="T431" s="15" t="n">
        <f aca="false">IF(K431&gt;0,L431/K431,0)</f>
        <v>1.01349268289973</v>
      </c>
      <c r="U431" s="10" t="n">
        <v>1512</v>
      </c>
      <c r="V431" s="5" t="n">
        <v>12</v>
      </c>
      <c r="W431" s="10" t="n">
        <v>140.4</v>
      </c>
      <c r="X431" s="15" t="n">
        <f aca="false">IF(U431&gt;0,W431/U431,0)</f>
        <v>0.0928571428571429</v>
      </c>
      <c r="Y431" s="12" t="n">
        <f aca="false">IF(U431&gt;0,L431/U431,0)</f>
        <v>241.339285714286</v>
      </c>
      <c r="Z431" s="16" t="n">
        <f aca="false">L431*INDEX(Parametros!$E$2:$E$9,MATCH($E431,Parametros!$A$2:$A$9,0))</f>
        <v>353957.85</v>
      </c>
      <c r="AA431" s="16" t="n">
        <f aca="false">Z431*INDEX(Parametros!$F$2:$F$9,MATCH($E431,Parametros!$A$2:$A$9,0))</f>
        <v>7787.0727</v>
      </c>
      <c r="AB431" s="17" t="n">
        <f aca="false">Z431+AA431</f>
        <v>361744.9227</v>
      </c>
      <c r="AC431" s="18" t="n">
        <v>364366.62</v>
      </c>
      <c r="AD431" s="17" t="n">
        <f aca="false">AC431-AB431</f>
        <v>2621.6973</v>
      </c>
      <c r="AE431" s="17" t="n">
        <f aca="false">AA431+AD431</f>
        <v>10408.77</v>
      </c>
      <c r="AF431" s="19" t="n">
        <f aca="false">IF(Z431&gt;0,AE431/Z431,0)</f>
        <v>0.0294068064883997</v>
      </c>
      <c r="AG431" s="16" t="n">
        <f aca="false">(U431-W431)*INDEX(Parametros!$H$2:$H$9,MATCH($E431,Parametros!$A$2:$A$9,0))+W431*INDEX(Parametros!$H$2:$H$9,MATCH($E431,Parametros!$A$2:$A$9,0))*Parametros!$N$3</f>
        <v>49839.3</v>
      </c>
      <c r="AH431" s="13" t="n">
        <v>18541</v>
      </c>
      <c r="AI431" s="16" t="n">
        <f aca="false">AH431*Parametros!$N$2</f>
        <v>1705.772</v>
      </c>
      <c r="AJ431" s="18" t="n">
        <v>13201</v>
      </c>
      <c r="AK431" s="18" t="n">
        <v>3112</v>
      </c>
      <c r="AL431" s="17" t="n">
        <f aca="false">AG431+AI431+AJ431+AK431</f>
        <v>67858.072</v>
      </c>
      <c r="AM431" s="20" t="n">
        <f aca="false">IF(L431&gt;0,AL431/L431,0)</f>
        <v>0.185960926816569</v>
      </c>
      <c r="AN431" s="16" t="n">
        <f aca="false">L431*INDEX(Parametros!$G$2:$G$9,MATCH($E431,Parametros!$A$2:$A$9,0))</f>
        <v>591146.1</v>
      </c>
      <c r="AO431" s="17" t="n">
        <f aca="false">AN431-AC431-AL431</f>
        <v>158921.408</v>
      </c>
      <c r="AP431" s="15" t="n">
        <f aca="false">IF(AN431&gt;0,AO431/AN431,0)</f>
        <v>0.26883609314178</v>
      </c>
      <c r="AQ431" s="16" t="n">
        <f aca="false">INDEX(Parametros!$I$2:$I$9,MATCH($E431,Parametros!$A$2:$A$9,0))</f>
        <v>28000000</v>
      </c>
      <c r="AR431" s="19" t="n">
        <f aca="false">IF(AQ431&gt;0,AO431/AQ431,0)</f>
        <v>0.00567576457142858</v>
      </c>
    </row>
    <row r="432" customFormat="false" ht="15" hidden="false" customHeight="false" outlineLevel="0" collapsed="false">
      <c r="A432" s="5" t="s">
        <v>567</v>
      </c>
      <c r="B432" s="9" t="n">
        <v>45922</v>
      </c>
      <c r="C432" s="2" t="str">
        <f aca="false">TEXT(B432,"yyyy")</f>
        <v>2025</v>
      </c>
      <c r="D432" s="2" t="n">
        <f aca="false">WEEKNUM(B432,2)</f>
        <v>39</v>
      </c>
      <c r="E432" s="5" t="s">
        <v>142</v>
      </c>
      <c r="F432" s="6" t="str">
        <f aca="false">INDEX(Parametros!$B$2:$B$9,MATCH($E432,Parametros!$A$2:$A$9,0))</f>
        <v>Porciones single serve</v>
      </c>
      <c r="G432" s="10" t="n">
        <v>107.6</v>
      </c>
      <c r="H432" s="10" t="n">
        <v>7.2</v>
      </c>
      <c r="I432" s="11" t="n">
        <f aca="false">SUMIFS(Eventos_Paro!$J$2:$J$2186,Eventos_Paro!$D$2:$D$2186,$E432,Eventos_Paro!$B$2:$B$2186,$B432)</f>
        <v>0.633333333333333</v>
      </c>
      <c r="J432" s="12" t="n">
        <f aca="false">G432-H432-I432</f>
        <v>99.7666666666667</v>
      </c>
      <c r="K432" s="13" t="n">
        <v>211311</v>
      </c>
      <c r="L432" s="13" t="n">
        <v>208451</v>
      </c>
      <c r="M432" s="13" t="n">
        <v>11887</v>
      </c>
      <c r="N432" s="14" t="n">
        <f aca="false">L432+M432</f>
        <v>220338</v>
      </c>
      <c r="O432" s="11" t="n">
        <f aca="false">INDEX(Parametros!$D$2:$D$9,MATCH($E432,Parametros!$A$2:$A$9,0))</f>
        <v>2600</v>
      </c>
      <c r="P432" s="15" t="n">
        <f aca="false">IF((G432-H432)&gt;0,J432/(G432-H432),0)</f>
        <v>0.993691899070385</v>
      </c>
      <c r="Q432" s="15" t="n">
        <f aca="false">IF(J432*O432&gt;0,N432/(O432*J432),0)</f>
        <v>0.849435863167905</v>
      </c>
      <c r="R432" s="15" t="n">
        <f aca="false">IF(N432&gt;0,L432/N432,0)</f>
        <v>0.946051066997068</v>
      </c>
      <c r="S432" s="15" t="n">
        <f aca="false">P432*Q432*R432</f>
        <v>0.798540453570334</v>
      </c>
      <c r="T432" s="15" t="n">
        <f aca="false">IF(K432&gt;0,L432/K432,0)</f>
        <v>0.986465446663922</v>
      </c>
      <c r="U432" s="10" t="n">
        <v>1708.4</v>
      </c>
      <c r="V432" s="5" t="n">
        <v>15</v>
      </c>
      <c r="W432" s="10" t="n">
        <v>94.4</v>
      </c>
      <c r="X432" s="15" t="n">
        <f aca="false">IF(U432&gt;0,W432/U432,0)</f>
        <v>0.05525638023882</v>
      </c>
      <c r="Y432" s="12" t="n">
        <f aca="false">IF(U432&gt;0,L432/U432,0)</f>
        <v>122.015335986888</v>
      </c>
      <c r="Z432" s="16" t="n">
        <f aca="false">L432*INDEX(Parametros!$E$2:$E$9,MATCH($E432,Parametros!$A$2:$A$9,0))</f>
        <v>154253.74</v>
      </c>
      <c r="AA432" s="16" t="n">
        <f aca="false">Z432*INDEX(Parametros!$F$2:$F$9,MATCH($E432,Parametros!$A$2:$A$9,0))</f>
        <v>6941.4183</v>
      </c>
      <c r="AB432" s="17" t="n">
        <f aca="false">Z432+AA432</f>
        <v>161195.1583</v>
      </c>
      <c r="AC432" s="18" t="n">
        <v>162007.35</v>
      </c>
      <c r="AD432" s="17" t="n">
        <f aca="false">AC432-AB432</f>
        <v>812.191700000025</v>
      </c>
      <c r="AE432" s="17" t="n">
        <f aca="false">AA432+AD432</f>
        <v>7753.61000000002</v>
      </c>
      <c r="AF432" s="19" t="n">
        <f aca="false">IF(Z432&gt;0,AE432/Z432,0)</f>
        <v>0.0502652966469405</v>
      </c>
      <c r="AG432" s="16" t="n">
        <f aca="false">(U432-W432)*INDEX(Parametros!$H$2:$H$9,MATCH($E432,Parametros!$A$2:$A$9,0))+W432*INDEX(Parametros!$H$2:$H$9,MATCH($E432,Parametros!$A$2:$A$9,0))*Parametros!$N$3</f>
        <v>52668</v>
      </c>
      <c r="AH432" s="13" t="n">
        <v>10528</v>
      </c>
      <c r="AI432" s="16" t="n">
        <f aca="false">AH432*Parametros!$N$2</f>
        <v>968.576</v>
      </c>
      <c r="AJ432" s="18" t="n">
        <v>11019</v>
      </c>
      <c r="AK432" s="18" t="n">
        <v>508</v>
      </c>
      <c r="AL432" s="17" t="n">
        <f aca="false">AG432+AI432+AJ432+AK432</f>
        <v>65163.576</v>
      </c>
      <c r="AM432" s="20" t="n">
        <f aca="false">IF(L432&gt;0,AL432/L432,0)</f>
        <v>0.312608603460765</v>
      </c>
      <c r="AN432" s="16" t="n">
        <f aca="false">L432*INDEX(Parametros!$G$2:$G$9,MATCH($E432,Parametros!$A$2:$A$9,0))</f>
        <v>358535.72</v>
      </c>
      <c r="AO432" s="17" t="n">
        <f aca="false">AN432-AC432-AL432</f>
        <v>131364.794</v>
      </c>
      <c r="AP432" s="15" t="n">
        <f aca="false">IF(AN432&gt;0,AO432/AN432,0)</f>
        <v>0.366392486639825</v>
      </c>
      <c r="AQ432" s="16" t="n">
        <f aca="false">INDEX(Parametros!$I$2:$I$9,MATCH($E432,Parametros!$A$2:$A$9,0))</f>
        <v>15900000</v>
      </c>
      <c r="AR432" s="19" t="n">
        <f aca="false">IF(AQ432&gt;0,AO432/AQ432,0)</f>
        <v>0.00826193672955975</v>
      </c>
    </row>
    <row r="433" customFormat="false" ht="15" hidden="false" customHeight="false" outlineLevel="0" collapsed="false">
      <c r="A433" s="5" t="s">
        <v>568</v>
      </c>
      <c r="B433" s="9" t="n">
        <v>45922</v>
      </c>
      <c r="C433" s="2" t="str">
        <f aca="false">TEXT(B433,"yyyy")</f>
        <v>2025</v>
      </c>
      <c r="D433" s="2" t="n">
        <f aca="false">WEEKNUM(B433,2)</f>
        <v>39</v>
      </c>
      <c r="E433" s="5" t="s">
        <v>144</v>
      </c>
      <c r="F433" s="6" t="str">
        <f aca="false">INDEX(Parametros!$B$2:$B$9,MATCH($E433,Parametros!$A$2:$A$9,0))</f>
        <v>Salsas picantes</v>
      </c>
      <c r="G433" s="10" t="n">
        <v>113.7</v>
      </c>
      <c r="H433" s="10" t="n">
        <v>6.9</v>
      </c>
      <c r="I433" s="11" t="n">
        <f aca="false">SUMIFS(Eventos_Paro!$J$2:$J$2186,Eventos_Paro!$D$2:$D$2186,$E433,Eventos_Paro!$B$2:$B$2186,$B433)</f>
        <v>1</v>
      </c>
      <c r="J433" s="12" t="n">
        <f aca="false">G433-H433-I433</f>
        <v>105.8</v>
      </c>
      <c r="K433" s="13" t="n">
        <v>260806</v>
      </c>
      <c r="L433" s="13" t="n">
        <v>243661</v>
      </c>
      <c r="M433" s="13" t="n">
        <v>8206</v>
      </c>
      <c r="N433" s="14" t="n">
        <f aca="false">L433+M433</f>
        <v>251867</v>
      </c>
      <c r="O433" s="11" t="n">
        <f aca="false">INDEX(Parametros!$D$2:$D$9,MATCH($E433,Parametros!$A$2:$A$9,0))</f>
        <v>3100</v>
      </c>
      <c r="P433" s="15" t="n">
        <f aca="false">IF((G433-H433)&gt;0,J433/(G433-H433),0)</f>
        <v>0.99063670411985</v>
      </c>
      <c r="Q433" s="15" t="n">
        <f aca="false">IF(J433*O433&gt;0,N433/(O433*J433),0)</f>
        <v>0.767934020367096</v>
      </c>
      <c r="R433" s="15" t="n">
        <f aca="false">IF(N433&gt;0,L433/N433,0)</f>
        <v>0.9674193125737</v>
      </c>
      <c r="S433" s="15" t="n">
        <f aca="false">P433*Q433*R433</f>
        <v>0.735958076597801</v>
      </c>
      <c r="T433" s="15" t="n">
        <f aca="false">IF(K433&gt;0,L433/K433,0)</f>
        <v>0.934261481714378</v>
      </c>
      <c r="U433" s="10" t="n">
        <v>962.4</v>
      </c>
      <c r="V433" s="5" t="n">
        <v>8</v>
      </c>
      <c r="W433" s="10" t="n">
        <v>52.8</v>
      </c>
      <c r="X433" s="15" t="n">
        <f aca="false">IF(U433&gt;0,W433/U433,0)</f>
        <v>0.0548628428927681</v>
      </c>
      <c r="Y433" s="12" t="n">
        <f aca="false">IF(U433&gt;0,L433/U433,0)</f>
        <v>253.180590191189</v>
      </c>
      <c r="Z433" s="16" t="n">
        <f aca="false">L433*INDEX(Parametros!$E$2:$E$9,MATCH($E433,Parametros!$A$2:$A$9,0))</f>
        <v>160816.26</v>
      </c>
      <c r="AA433" s="16" t="n">
        <f aca="false">Z433*INDEX(Parametros!$F$2:$F$9,MATCH($E433,Parametros!$A$2:$A$9,0))</f>
        <v>4181.22276</v>
      </c>
      <c r="AB433" s="17" t="n">
        <f aca="false">Z433+AA433</f>
        <v>164997.48276</v>
      </c>
      <c r="AC433" s="18" t="n">
        <v>162361.18</v>
      </c>
      <c r="AD433" s="17" t="n">
        <f aca="false">AC433-AB433</f>
        <v>-2636.30276000002</v>
      </c>
      <c r="AE433" s="17" t="n">
        <f aca="false">AA433+AD433</f>
        <v>1544.91999999998</v>
      </c>
      <c r="AF433" s="19" t="n">
        <f aca="false">IF(Z433&gt;0,AE433/Z433,0)</f>
        <v>0.00960674001497099</v>
      </c>
      <c r="AG433" s="16" t="n">
        <f aca="false">(U433-W433)*INDEX(Parametros!$H$2:$H$9,MATCH($E433,Parametros!$A$2:$A$9,0))+W433*INDEX(Parametros!$H$2:$H$9,MATCH($E433,Parametros!$A$2:$A$9,0))*Parametros!$N$3</f>
        <v>31147.2</v>
      </c>
      <c r="AH433" s="13" t="n">
        <v>13701</v>
      </c>
      <c r="AI433" s="16" t="n">
        <f aca="false">AH433*Parametros!$N$2</f>
        <v>1260.492</v>
      </c>
      <c r="AJ433" s="18" t="n">
        <v>6748</v>
      </c>
      <c r="AK433" s="18" t="n">
        <v>925</v>
      </c>
      <c r="AL433" s="17" t="n">
        <f aca="false">AG433+AI433+AJ433+AK433</f>
        <v>40080.692</v>
      </c>
      <c r="AM433" s="20" t="n">
        <f aca="false">IF(L433&gt;0,AL433/L433,0)</f>
        <v>0.164493669483422</v>
      </c>
      <c r="AN433" s="16" t="n">
        <f aca="false">L433*INDEX(Parametros!$G$2:$G$9,MATCH($E433,Parametros!$A$2:$A$9,0))</f>
        <v>304576.25</v>
      </c>
      <c r="AO433" s="17" t="n">
        <f aca="false">AN433-AC433-AL433</f>
        <v>102134.378</v>
      </c>
      <c r="AP433" s="15" t="n">
        <f aca="false">IF(AN433&gt;0,AO433/AN433,0)</f>
        <v>0.335332705685358</v>
      </c>
      <c r="AQ433" s="16" t="n">
        <f aca="false">INDEX(Parametros!$I$2:$I$9,MATCH($E433,Parametros!$A$2:$A$9,0))</f>
        <v>13300000</v>
      </c>
      <c r="AR433" s="19" t="n">
        <f aca="false">IF(AQ433&gt;0,AO433/AQ433,0)</f>
        <v>0.00767927654135338</v>
      </c>
    </row>
    <row r="434" customFormat="false" ht="15" hidden="false" customHeight="false" outlineLevel="0" collapsed="false">
      <c r="A434" s="5" t="s">
        <v>569</v>
      </c>
      <c r="B434" s="9" t="n">
        <v>45929</v>
      </c>
      <c r="C434" s="2" t="str">
        <f aca="false">TEXT(B434,"yyyy")</f>
        <v>2025</v>
      </c>
      <c r="D434" s="2" t="n">
        <f aca="false">WEEKNUM(B434,2)</f>
        <v>40</v>
      </c>
      <c r="E434" s="5" t="s">
        <v>130</v>
      </c>
      <c r="F434" s="6" t="str">
        <f aca="false">INDEX(Parametros!$B$2:$B$9,MATCH($E434,Parametros!$A$2:$A$9,0))</f>
        <v>Ketchup botella</v>
      </c>
      <c r="G434" s="10" t="n">
        <v>118.6</v>
      </c>
      <c r="H434" s="10" t="n">
        <v>6.4</v>
      </c>
      <c r="I434" s="11" t="n">
        <f aca="false">SUMIFS(Eventos_Paro!$J$2:$J$2186,Eventos_Paro!$D$2:$D$2186,$E434,Eventos_Paro!$B$2:$B$2186,$B434)</f>
        <v>2.71666666666667</v>
      </c>
      <c r="J434" s="12" t="n">
        <f aca="false">G434-H434-I434</f>
        <v>109.483333333333</v>
      </c>
      <c r="K434" s="13" t="n">
        <v>813649</v>
      </c>
      <c r="L434" s="13" t="n">
        <v>859257</v>
      </c>
      <c r="M434" s="13" t="n">
        <v>19137</v>
      </c>
      <c r="N434" s="14" t="n">
        <f aca="false">L434+M434</f>
        <v>878394</v>
      </c>
      <c r="O434" s="11" t="n">
        <f aca="false">INDEX(Parametros!$D$2:$D$9,MATCH($E434,Parametros!$A$2:$A$9,0))</f>
        <v>9000</v>
      </c>
      <c r="P434" s="15" t="n">
        <f aca="false">IF((G434-H434)&gt;0,J434/(G434-H434),0)</f>
        <v>0.975787284610814</v>
      </c>
      <c r="Q434" s="15" t="n">
        <f aca="false">IF(J434*O434&gt;0,N434/(O434*J434),0)</f>
        <v>0.891453798142792</v>
      </c>
      <c r="R434" s="15" t="n">
        <f aca="false">IF(N434&gt;0,L434/N434,0)</f>
        <v>0.978213649000335</v>
      </c>
      <c r="S434" s="15" t="n">
        <f aca="false">P434*Q434*R434</f>
        <v>0.850918003565062</v>
      </c>
      <c r="T434" s="15" t="n">
        <f aca="false">IF(K434&gt;0,L434/K434,0)</f>
        <v>1.0560536545857</v>
      </c>
      <c r="U434" s="10" t="n">
        <v>1833.5</v>
      </c>
      <c r="V434" s="5" t="n">
        <v>15</v>
      </c>
      <c r="W434" s="10" t="n">
        <v>54.5</v>
      </c>
      <c r="X434" s="15" t="n">
        <f aca="false">IF(U434&gt;0,W434/U434,0)</f>
        <v>0.0297245704935915</v>
      </c>
      <c r="Y434" s="12" t="n">
        <f aca="false">IF(U434&gt;0,L434/U434,0)</f>
        <v>468.643032451595</v>
      </c>
      <c r="Z434" s="16" t="n">
        <f aca="false">L434*INDEX(Parametros!$E$2:$E$9,MATCH($E434,Parametros!$A$2:$A$9,0))</f>
        <v>360887.94</v>
      </c>
      <c r="AA434" s="16" t="n">
        <f aca="false">Z434*INDEX(Parametros!$F$2:$F$9,MATCH($E434,Parametros!$A$2:$A$9,0))</f>
        <v>7217.7588</v>
      </c>
      <c r="AB434" s="17" t="n">
        <f aca="false">Z434+AA434</f>
        <v>368105.6988</v>
      </c>
      <c r="AC434" s="18" t="n">
        <v>373199.99</v>
      </c>
      <c r="AD434" s="17" t="n">
        <f aca="false">AC434-AB434</f>
        <v>5094.29119999998</v>
      </c>
      <c r="AE434" s="17" t="n">
        <f aca="false">AA434+AD434</f>
        <v>12312.05</v>
      </c>
      <c r="AF434" s="19" t="n">
        <f aca="false">IF(Z434&gt;0,AE434/Z434,0)</f>
        <v>0.0341159917951262</v>
      </c>
      <c r="AG434" s="16" t="n">
        <f aca="false">(U434-W434)*INDEX(Parametros!$H$2:$H$9,MATCH($E434,Parametros!$A$2:$A$9,0))+W434*INDEX(Parametros!$H$2:$H$9,MATCH($E434,Parametros!$A$2:$A$9,0))*Parametros!$N$3</f>
        <v>58613.625</v>
      </c>
      <c r="AH434" s="13" t="n">
        <v>43807</v>
      </c>
      <c r="AI434" s="16" t="n">
        <f aca="false">AH434*Parametros!$N$2</f>
        <v>4030.244</v>
      </c>
      <c r="AJ434" s="18" t="n">
        <v>15382</v>
      </c>
      <c r="AK434" s="18" t="n">
        <v>2760</v>
      </c>
      <c r="AL434" s="17" t="n">
        <f aca="false">AG434+AI434+AJ434+AK434</f>
        <v>80785.869</v>
      </c>
      <c r="AM434" s="20" t="n">
        <f aca="false">IF(L434&gt;0,AL434/L434,0)</f>
        <v>0.0940182844015237</v>
      </c>
      <c r="AN434" s="16" t="n">
        <f aca="false">L434*INDEX(Parametros!$G$2:$G$9,MATCH($E434,Parametros!$A$2:$A$9,0))</f>
        <v>610072.47</v>
      </c>
      <c r="AO434" s="17" t="n">
        <f aca="false">AN434-AC434-AL434</f>
        <v>156086.611</v>
      </c>
      <c r="AP434" s="15" t="n">
        <f aca="false">IF(AN434&gt;0,AO434/AN434,0)</f>
        <v>0.255849294428906</v>
      </c>
      <c r="AQ434" s="16" t="n">
        <f aca="false">INDEX(Parametros!$I$2:$I$9,MATCH($E434,Parametros!$A$2:$A$9,0))</f>
        <v>29300000</v>
      </c>
      <c r="AR434" s="19" t="n">
        <f aca="false">IF(AQ434&gt;0,AO434/AQ434,0)</f>
        <v>0.0053271880887372</v>
      </c>
    </row>
    <row r="435" customFormat="false" ht="15" hidden="false" customHeight="false" outlineLevel="0" collapsed="false">
      <c r="A435" s="5" t="s">
        <v>570</v>
      </c>
      <c r="B435" s="9" t="n">
        <v>45929</v>
      </c>
      <c r="C435" s="2" t="str">
        <f aca="false">TEXT(B435,"yyyy")</f>
        <v>2025</v>
      </c>
      <c r="D435" s="2" t="n">
        <f aca="false">WEEKNUM(B435,2)</f>
        <v>40</v>
      </c>
      <c r="E435" s="5" t="s">
        <v>132</v>
      </c>
      <c r="F435" s="6" t="str">
        <f aca="false">INDEX(Parametros!$B$2:$B$9,MATCH($E435,Parametros!$A$2:$A$9,0))</f>
        <v>Mayonesa frasco</v>
      </c>
      <c r="G435" s="10" t="n">
        <v>119.8</v>
      </c>
      <c r="H435" s="10" t="n">
        <v>5.2</v>
      </c>
      <c r="I435" s="11" t="n">
        <f aca="false">SUMIFS(Eventos_Paro!$J$2:$J$2186,Eventos_Paro!$D$2:$D$2186,$E435,Eventos_Paro!$B$2:$B$2186,$B435)</f>
        <v>0</v>
      </c>
      <c r="J435" s="12" t="n">
        <f aca="false">G435-H435-I435</f>
        <v>114.6</v>
      </c>
      <c r="K435" s="13" t="n">
        <v>600205</v>
      </c>
      <c r="L435" s="13" t="n">
        <v>624951</v>
      </c>
      <c r="M435" s="13" t="n">
        <v>12387</v>
      </c>
      <c r="N435" s="14" t="n">
        <f aca="false">L435+M435</f>
        <v>637338</v>
      </c>
      <c r="O435" s="11" t="n">
        <f aca="false">INDEX(Parametros!$D$2:$D$9,MATCH($E435,Parametros!$A$2:$A$9,0))</f>
        <v>6500</v>
      </c>
      <c r="P435" s="15" t="n">
        <f aca="false">IF((G435-H435)&gt;0,J435/(G435-H435),0)</f>
        <v>1</v>
      </c>
      <c r="Q435" s="15" t="n">
        <f aca="false">IF(J435*O435&gt;0,N435/(O435*J435),0)</f>
        <v>0.855602094240838</v>
      </c>
      <c r="R435" s="15" t="n">
        <f aca="false">IF(N435&gt;0,L435/N435,0)</f>
        <v>0.980564472854278</v>
      </c>
      <c r="S435" s="15" t="n">
        <f aca="false">P435*Q435*R435</f>
        <v>0.838973016512284</v>
      </c>
      <c r="T435" s="15" t="n">
        <f aca="false">IF(K435&gt;0,L435/K435,0)</f>
        <v>1.04122924667405</v>
      </c>
      <c r="U435" s="10" t="n">
        <v>1521</v>
      </c>
      <c r="V435" s="5" t="n">
        <v>12</v>
      </c>
      <c r="W435" s="10" t="n">
        <v>83.4</v>
      </c>
      <c r="X435" s="15" t="n">
        <f aca="false">IF(U435&gt;0,W435/U435,0)</f>
        <v>0.0548323471400395</v>
      </c>
      <c r="Y435" s="12" t="n">
        <f aca="false">IF(U435&gt;0,L435/U435,0)</f>
        <v>410.881656804734</v>
      </c>
      <c r="Z435" s="16" t="n">
        <f aca="false">L435*INDEX(Parametros!$E$2:$E$9,MATCH($E435,Parametros!$A$2:$A$9,0))</f>
        <v>381220.11</v>
      </c>
      <c r="AA435" s="16" t="n">
        <f aca="false">Z435*INDEX(Parametros!$F$2:$F$9,MATCH($E435,Parametros!$A$2:$A$9,0))</f>
        <v>9530.50275</v>
      </c>
      <c r="AB435" s="17" t="n">
        <f aca="false">Z435+AA435</f>
        <v>390750.61275</v>
      </c>
      <c r="AC435" s="18" t="n">
        <v>389836.77</v>
      </c>
      <c r="AD435" s="17" t="n">
        <f aca="false">AC435-AB435</f>
        <v>-913.842749999953</v>
      </c>
      <c r="AE435" s="17" t="n">
        <f aca="false">AA435+AD435</f>
        <v>8616.66000000005</v>
      </c>
      <c r="AF435" s="19" t="n">
        <f aca="false">IF(Z435&gt;0,AE435/Z435,0)</f>
        <v>0.0226028474730781</v>
      </c>
      <c r="AG435" s="16" t="n">
        <f aca="false">(U435-W435)*INDEX(Parametros!$H$2:$H$9,MATCH($E435,Parametros!$A$2:$A$9,0))+W435*INDEX(Parametros!$H$2:$H$9,MATCH($E435,Parametros!$A$2:$A$9,0))*Parametros!$N$3</f>
        <v>49225.05</v>
      </c>
      <c r="AH435" s="13" t="n">
        <v>32476</v>
      </c>
      <c r="AI435" s="16" t="n">
        <f aca="false">AH435*Parametros!$N$2</f>
        <v>2987.792</v>
      </c>
      <c r="AJ435" s="18" t="n">
        <v>12914</v>
      </c>
      <c r="AK435" s="18" t="n">
        <v>0</v>
      </c>
      <c r="AL435" s="17" t="n">
        <f aca="false">AG435+AI435+AJ435+AK435</f>
        <v>65126.842</v>
      </c>
      <c r="AM435" s="20" t="n">
        <f aca="false">IF(L435&gt;0,AL435/L435,0)</f>
        <v>0.1042111173516</v>
      </c>
      <c r="AN435" s="16" t="n">
        <f aca="false">L435*INDEX(Parametros!$G$2:$G$9,MATCH($E435,Parametros!$A$2:$A$9,0))</f>
        <v>599952.96</v>
      </c>
      <c r="AO435" s="17" t="n">
        <f aca="false">AN435-AC435-AL435</f>
        <v>144989.348</v>
      </c>
      <c r="AP435" s="15" t="n">
        <f aca="false">IF(AN435&gt;0,AO435/AN435,0)</f>
        <v>0.241667860093565</v>
      </c>
      <c r="AQ435" s="16" t="n">
        <f aca="false">INDEX(Parametros!$I$2:$I$9,MATCH($E435,Parametros!$A$2:$A$9,0))</f>
        <v>29700000</v>
      </c>
      <c r="AR435" s="19" t="n">
        <f aca="false">IF(AQ435&gt;0,AO435/AQ435,0)</f>
        <v>0.00488179622895623</v>
      </c>
    </row>
    <row r="436" customFormat="false" ht="15" hidden="false" customHeight="false" outlineLevel="0" collapsed="false">
      <c r="A436" s="5" t="s">
        <v>571</v>
      </c>
      <c r="B436" s="9" t="n">
        <v>45929</v>
      </c>
      <c r="C436" s="2" t="str">
        <f aca="false">TEXT(B436,"yyyy")</f>
        <v>2025</v>
      </c>
      <c r="D436" s="2" t="n">
        <f aca="false">WEEKNUM(B436,2)</f>
        <v>40</v>
      </c>
      <c r="E436" s="5" t="s">
        <v>134</v>
      </c>
      <c r="F436" s="6" t="str">
        <f aca="false">INDEX(Parametros!$B$2:$B$9,MATCH($E436,Parametros!$A$2:$A$9,0))</f>
        <v>Aderezos vertibles</v>
      </c>
      <c r="G436" s="10" t="n">
        <v>111</v>
      </c>
      <c r="H436" s="10" t="n">
        <v>6.5</v>
      </c>
      <c r="I436" s="11" t="n">
        <f aca="false">SUMIFS(Eventos_Paro!$J$2:$J$2186,Eventos_Paro!$D$2:$D$2186,$E436,Eventos_Paro!$B$2:$B$2186,$B436)</f>
        <v>3.35</v>
      </c>
      <c r="J436" s="12" t="n">
        <f aca="false">G436-H436-I436</f>
        <v>101.15</v>
      </c>
      <c r="K436" s="13" t="n">
        <v>437846</v>
      </c>
      <c r="L436" s="13" t="n">
        <v>402060</v>
      </c>
      <c r="M436" s="13" t="n">
        <v>17176</v>
      </c>
      <c r="N436" s="14" t="n">
        <f aca="false">L436+M436</f>
        <v>419236</v>
      </c>
      <c r="O436" s="11" t="n">
        <f aca="false">INDEX(Parametros!$D$2:$D$9,MATCH($E436,Parametros!$A$2:$A$9,0))</f>
        <v>5200</v>
      </c>
      <c r="P436" s="15" t="n">
        <f aca="false">IF((G436-H436)&gt;0,J436/(G436-H436),0)</f>
        <v>0.967942583732057</v>
      </c>
      <c r="Q436" s="15" t="n">
        <f aca="false">IF(J436*O436&gt;0,N436/(O436*J436),0)</f>
        <v>0.797056922316438</v>
      </c>
      <c r="R436" s="15" t="n">
        <f aca="false">IF(N436&gt;0,L436/N436,0)</f>
        <v>0.959030235953019</v>
      </c>
      <c r="S436" s="15" t="n">
        <f aca="false">P436*Q436*R436</f>
        <v>0.739896945160103</v>
      </c>
      <c r="T436" s="15" t="n">
        <f aca="false">IF(K436&gt;0,L436/K436,0)</f>
        <v>0.918268066854556</v>
      </c>
      <c r="U436" s="10" t="n">
        <v>1302.8</v>
      </c>
      <c r="V436" s="5" t="n">
        <v>11</v>
      </c>
      <c r="W436" s="10" t="n">
        <v>81.8</v>
      </c>
      <c r="X436" s="15" t="n">
        <f aca="false">IF(U436&gt;0,W436/U436,0)</f>
        <v>0.0627878415719988</v>
      </c>
      <c r="Y436" s="12" t="n">
        <f aca="false">IF(U436&gt;0,L436/U436,0)</f>
        <v>308.612219834203</v>
      </c>
      <c r="Z436" s="16" t="n">
        <f aca="false">L436*INDEX(Parametros!$E$2:$E$9,MATCH($E436,Parametros!$A$2:$A$9,0))</f>
        <v>221133</v>
      </c>
      <c r="AA436" s="16" t="n">
        <f aca="false">Z436*INDEX(Parametros!$F$2:$F$9,MATCH($E436,Parametros!$A$2:$A$9,0))</f>
        <v>6633.99</v>
      </c>
      <c r="AB436" s="17" t="n">
        <f aca="false">Z436+AA436</f>
        <v>227766.99</v>
      </c>
      <c r="AC436" s="18" t="n">
        <v>228123.25</v>
      </c>
      <c r="AD436" s="17" t="n">
        <f aca="false">AC436-AB436</f>
        <v>356.25999999998</v>
      </c>
      <c r="AE436" s="17" t="n">
        <f aca="false">AA436+AD436</f>
        <v>6990.24999999998</v>
      </c>
      <c r="AF436" s="19" t="n">
        <f aca="false">IF(Z436&gt;0,AE436/Z436,0)</f>
        <v>0.0316110666431513</v>
      </c>
      <c r="AG436" s="16" t="n">
        <f aca="false">(U436-W436)*INDEX(Parametros!$H$2:$H$9,MATCH($E436,Parametros!$A$2:$A$9,0))+W436*INDEX(Parametros!$H$2:$H$9,MATCH($E436,Parametros!$A$2:$A$9,0))*Parametros!$N$3</f>
        <v>42326.55</v>
      </c>
      <c r="AH436" s="13" t="n">
        <v>21027</v>
      </c>
      <c r="AI436" s="16" t="n">
        <f aca="false">AH436*Parametros!$N$2</f>
        <v>1934.484</v>
      </c>
      <c r="AJ436" s="18" t="n">
        <v>12124</v>
      </c>
      <c r="AK436" s="18" t="n">
        <v>1868</v>
      </c>
      <c r="AL436" s="17" t="n">
        <f aca="false">AG436+AI436+AJ436+AK436</f>
        <v>58253.034</v>
      </c>
      <c r="AM436" s="20" t="n">
        <f aca="false">IF(L436&gt;0,AL436/L436,0)</f>
        <v>0.144886419937323</v>
      </c>
      <c r="AN436" s="16" t="n">
        <f aca="false">L436*INDEX(Parametros!$G$2:$G$9,MATCH($E436,Parametros!$A$2:$A$9,0))</f>
        <v>410101.2</v>
      </c>
      <c r="AO436" s="17" t="n">
        <f aca="false">AN436-AC436-AL436</f>
        <v>123724.916</v>
      </c>
      <c r="AP436" s="15" t="n">
        <f aca="false">IF(AN436&gt;0,AO436/AN436,0)</f>
        <v>0.301693620989161</v>
      </c>
      <c r="AQ436" s="16" t="n">
        <f aca="false">INDEX(Parametros!$I$2:$I$9,MATCH($E436,Parametros!$A$2:$A$9,0))</f>
        <v>19300000</v>
      </c>
      <c r="AR436" s="19" t="n">
        <f aca="false">IF(AQ436&gt;0,AO436/AQ436,0)</f>
        <v>0.00641061740932643</v>
      </c>
    </row>
    <row r="437" customFormat="false" ht="15" hidden="false" customHeight="false" outlineLevel="0" collapsed="false">
      <c r="A437" s="5" t="s">
        <v>572</v>
      </c>
      <c r="B437" s="9" t="n">
        <v>45929</v>
      </c>
      <c r="C437" s="2" t="str">
        <f aca="false">TEXT(B437,"yyyy")</f>
        <v>2025</v>
      </c>
      <c r="D437" s="2" t="n">
        <f aca="false">WEEKNUM(B437,2)</f>
        <v>40</v>
      </c>
      <c r="E437" s="5" t="s">
        <v>136</v>
      </c>
      <c r="F437" s="6" t="str">
        <f aca="false">INDEX(Parametros!$B$2:$B$9,MATCH($E437,Parametros!$A$2:$A$9,0))</f>
        <v>Salsa BBQ</v>
      </c>
      <c r="G437" s="10" t="n">
        <v>124.3</v>
      </c>
      <c r="H437" s="10" t="n">
        <v>5.6</v>
      </c>
      <c r="I437" s="11" t="n">
        <f aca="false">SUMIFS(Eventos_Paro!$J$2:$J$2186,Eventos_Paro!$D$2:$D$2186,$E437,Eventos_Paro!$B$2:$B$2186,$B437)</f>
        <v>1.86666666666667</v>
      </c>
      <c r="J437" s="12" t="n">
        <f aca="false">G437-H437-I437</f>
        <v>116.833333333333</v>
      </c>
      <c r="K437" s="13" t="n">
        <v>470557</v>
      </c>
      <c r="L437" s="13" t="n">
        <v>438474</v>
      </c>
      <c r="M437" s="13" t="n">
        <v>14130</v>
      </c>
      <c r="N437" s="14" t="n">
        <f aca="false">L437+M437</f>
        <v>452604</v>
      </c>
      <c r="O437" s="11" t="n">
        <f aca="false">INDEX(Parametros!$D$2:$D$9,MATCH($E437,Parametros!$A$2:$A$9,0))</f>
        <v>4800</v>
      </c>
      <c r="P437" s="15" t="n">
        <f aca="false">IF((G437-H437)&gt;0,J437/(G437-H437),0)</f>
        <v>0.984274080314519</v>
      </c>
      <c r="Q437" s="15" t="n">
        <f aca="false">IF(J437*O437&gt;0,N437/(O437*J437),0)</f>
        <v>0.80706847360913</v>
      </c>
      <c r="R437" s="15" t="n">
        <f aca="false">IF(N437&gt;0,L437/N437,0)</f>
        <v>0.968780655937641</v>
      </c>
      <c r="S437" s="15" t="n">
        <f aca="false">P437*Q437*R437</f>
        <v>0.769576663858467</v>
      </c>
      <c r="T437" s="15" t="n">
        <f aca="false">IF(K437&gt;0,L437/K437,0)</f>
        <v>0.931819099492729</v>
      </c>
      <c r="U437" s="10" t="n">
        <v>1491.6</v>
      </c>
      <c r="V437" s="5" t="n">
        <v>12</v>
      </c>
      <c r="W437" s="10" t="n">
        <v>0</v>
      </c>
      <c r="X437" s="15" t="n">
        <f aca="false">IF(U437&gt;0,W437/U437,0)</f>
        <v>0</v>
      </c>
      <c r="Y437" s="12" t="n">
        <f aca="false">IF(U437&gt;0,L437/U437,0)</f>
        <v>293.962188254224</v>
      </c>
      <c r="Z437" s="16" t="n">
        <f aca="false">L437*INDEX(Parametros!$E$2:$E$9,MATCH($E437,Parametros!$A$2:$A$9,0))</f>
        <v>254314.92</v>
      </c>
      <c r="AA437" s="16" t="n">
        <f aca="false">Z437*INDEX(Parametros!$F$2:$F$9,MATCH($E437,Parametros!$A$2:$A$9,0))</f>
        <v>7120.81776</v>
      </c>
      <c r="AB437" s="17" t="n">
        <f aca="false">Z437+AA437</f>
        <v>261435.73776</v>
      </c>
      <c r="AC437" s="18" t="n">
        <v>258936.24</v>
      </c>
      <c r="AD437" s="17" t="n">
        <f aca="false">AC437-AB437</f>
        <v>-2499.49776</v>
      </c>
      <c r="AE437" s="17" t="n">
        <f aca="false">AA437+AD437</f>
        <v>4621.32</v>
      </c>
      <c r="AF437" s="19" t="n">
        <f aca="false">IF(Z437&gt;0,AE437/Z437,0)</f>
        <v>0.0181716432523896</v>
      </c>
      <c r="AG437" s="16" t="n">
        <f aca="false">(U437-W437)*INDEX(Parametros!$H$2:$H$9,MATCH($E437,Parametros!$A$2:$A$9,0))+W437*INDEX(Parametros!$H$2:$H$9,MATCH($E437,Parametros!$A$2:$A$9,0))*Parametros!$N$3</f>
        <v>46985.4</v>
      </c>
      <c r="AH437" s="13" t="n">
        <v>23400</v>
      </c>
      <c r="AI437" s="16" t="n">
        <f aca="false">AH437*Parametros!$N$2</f>
        <v>2152.8</v>
      </c>
      <c r="AJ437" s="18" t="n">
        <v>8501</v>
      </c>
      <c r="AK437" s="18" t="n">
        <v>1147</v>
      </c>
      <c r="AL437" s="17" t="n">
        <f aca="false">AG437+AI437+AJ437+AK437</f>
        <v>58786.2</v>
      </c>
      <c r="AM437" s="20" t="n">
        <f aca="false">IF(L437&gt;0,AL437/L437,0)</f>
        <v>0.134069979063753</v>
      </c>
      <c r="AN437" s="16" t="n">
        <f aca="false">L437*INDEX(Parametros!$G$2:$G$9,MATCH($E437,Parametros!$A$2:$A$9,0))</f>
        <v>429704.52</v>
      </c>
      <c r="AO437" s="17" t="n">
        <f aca="false">AN437-AC437-AL437</f>
        <v>111982.08</v>
      </c>
      <c r="AP437" s="15" t="n">
        <f aca="false">IF(AN437&gt;0,AO437/AN437,0)</f>
        <v>0.260602518214144</v>
      </c>
      <c r="AQ437" s="16" t="n">
        <f aca="false">INDEX(Parametros!$I$2:$I$9,MATCH($E437,Parametros!$A$2:$A$9,0))</f>
        <v>17000000</v>
      </c>
      <c r="AR437" s="19" t="n">
        <f aca="false">IF(AQ437&gt;0,AO437/AQ437,0)</f>
        <v>0.00658718117647059</v>
      </c>
    </row>
    <row r="438" customFormat="false" ht="15" hidden="false" customHeight="false" outlineLevel="0" collapsed="false">
      <c r="A438" s="5" t="s">
        <v>573</v>
      </c>
      <c r="B438" s="9" t="n">
        <v>45929</v>
      </c>
      <c r="C438" s="2" t="str">
        <f aca="false">TEXT(B438,"yyyy")</f>
        <v>2025</v>
      </c>
      <c r="D438" s="2" t="n">
        <f aca="false">WEEKNUM(B438,2)</f>
        <v>40</v>
      </c>
      <c r="E438" s="5" t="s">
        <v>138</v>
      </c>
      <c r="F438" s="6" t="str">
        <f aca="false">INDEX(Parametros!$B$2:$B$9,MATCH($E438,Parametros!$A$2:$A$9,0))</f>
        <v>Queso crema</v>
      </c>
      <c r="G438" s="10" t="n">
        <v>103.3</v>
      </c>
      <c r="H438" s="10" t="n">
        <v>7.8</v>
      </c>
      <c r="I438" s="11" t="n">
        <f aca="false">SUMIFS(Eventos_Paro!$J$2:$J$2186,Eventos_Paro!$D$2:$D$2186,$E438,Eventos_Paro!$B$2:$B$2186,$B438)</f>
        <v>1.01666666666667</v>
      </c>
      <c r="J438" s="12" t="n">
        <f aca="false">G438-H438-I438</f>
        <v>94.4833333333333</v>
      </c>
      <c r="K438" s="13" t="n">
        <v>292408</v>
      </c>
      <c r="L438" s="13" t="n">
        <v>276836</v>
      </c>
      <c r="M438" s="13" t="n">
        <v>11811</v>
      </c>
      <c r="N438" s="14" t="n">
        <f aca="false">L438+M438</f>
        <v>288647</v>
      </c>
      <c r="O438" s="11" t="n">
        <f aca="false">INDEX(Parametros!$D$2:$D$9,MATCH($E438,Parametros!$A$2:$A$9,0))</f>
        <v>3800</v>
      </c>
      <c r="P438" s="15" t="n">
        <f aca="false">IF((G438-H438)&gt;0,J438/(G438-H438),0)</f>
        <v>0.98935427574171</v>
      </c>
      <c r="Q438" s="15" t="n">
        <f aca="false">IF(J438*O438&gt;0,N438/(O438*J438),0)</f>
        <v>0.803948528933906</v>
      </c>
      <c r="R438" s="15" t="n">
        <f aca="false">IF(N438&gt;0,L438/N438,0)</f>
        <v>0.959081507862545</v>
      </c>
      <c r="S438" s="15" t="n">
        <f aca="false">P438*Q438*R438</f>
        <v>0.762843758611188</v>
      </c>
      <c r="T438" s="15" t="n">
        <f aca="false">IF(K438&gt;0,L438/K438,0)</f>
        <v>0.946745643074061</v>
      </c>
      <c r="U438" s="10" t="n">
        <v>1711.8</v>
      </c>
      <c r="V438" s="5" t="n">
        <v>15</v>
      </c>
      <c r="W438" s="10" t="n">
        <v>162.3</v>
      </c>
      <c r="X438" s="15" t="n">
        <f aca="false">IF(U438&gt;0,W438/U438,0)</f>
        <v>0.0948124780932352</v>
      </c>
      <c r="Y438" s="12" t="n">
        <f aca="false">IF(U438&gt;0,L438/U438,0)</f>
        <v>161.722163804183</v>
      </c>
      <c r="Z438" s="16" t="n">
        <f aca="false">L438*INDEX(Parametros!$E$2:$E$9,MATCH($E438,Parametros!$A$2:$A$9,0))</f>
        <v>310056.32</v>
      </c>
      <c r="AA438" s="16" t="n">
        <f aca="false">Z438*INDEX(Parametros!$F$2:$F$9,MATCH($E438,Parametros!$A$2:$A$9,0))</f>
        <v>10851.9712</v>
      </c>
      <c r="AB438" s="17" t="n">
        <f aca="false">Z438+AA438</f>
        <v>320908.2912</v>
      </c>
      <c r="AC438" s="18" t="n">
        <v>314908.34</v>
      </c>
      <c r="AD438" s="17" t="n">
        <f aca="false">AC438-AB438</f>
        <v>-5999.95120000001</v>
      </c>
      <c r="AE438" s="17" t="n">
        <f aca="false">AA438+AD438</f>
        <v>4852.01999999999</v>
      </c>
      <c r="AF438" s="19" t="n">
        <f aca="false">IF(Z438&gt;0,AE438/Z438,0)</f>
        <v>0.0156488343795088</v>
      </c>
      <c r="AG438" s="16" t="n">
        <f aca="false">(U438-W438)*INDEX(Parametros!$H$2:$H$9,MATCH($E438,Parametros!$A$2:$A$9,0))+W438*INDEX(Parametros!$H$2:$H$9,MATCH($E438,Parametros!$A$2:$A$9,0))*Parametros!$N$3</f>
        <v>59167.35</v>
      </c>
      <c r="AH438" s="13" t="n">
        <v>14873</v>
      </c>
      <c r="AI438" s="16" t="n">
        <f aca="false">AH438*Parametros!$N$2</f>
        <v>1368.316</v>
      </c>
      <c r="AJ438" s="18" t="n">
        <v>20844</v>
      </c>
      <c r="AK438" s="18" t="n">
        <v>1303</v>
      </c>
      <c r="AL438" s="17" t="n">
        <f aca="false">AG438+AI438+AJ438+AK438</f>
        <v>82682.666</v>
      </c>
      <c r="AM438" s="20" t="n">
        <f aca="false">IF(L438&gt;0,AL438/L438,0)</f>
        <v>0.298670209076854</v>
      </c>
      <c r="AN438" s="16" t="n">
        <f aca="false">L438*INDEX(Parametros!$G$2:$G$9,MATCH($E438,Parametros!$A$2:$A$9,0))</f>
        <v>495536.44</v>
      </c>
      <c r="AO438" s="17" t="n">
        <f aca="false">AN438-AC438-AL438</f>
        <v>97945.434</v>
      </c>
      <c r="AP438" s="15" t="n">
        <f aca="false">IF(AN438&gt;0,AO438/AN438,0)</f>
        <v>0.197655361127428</v>
      </c>
      <c r="AQ438" s="16" t="n">
        <f aca="false">INDEX(Parametros!$I$2:$I$9,MATCH($E438,Parametros!$A$2:$A$9,0))</f>
        <v>33200000</v>
      </c>
      <c r="AR438" s="19" t="n">
        <f aca="false">IF(AQ438&gt;0,AO438/AQ438,0)</f>
        <v>0.00295016367469879</v>
      </c>
    </row>
    <row r="439" customFormat="false" ht="15" hidden="false" customHeight="false" outlineLevel="0" collapsed="false">
      <c r="A439" s="5" t="s">
        <v>574</v>
      </c>
      <c r="B439" s="9" t="n">
        <v>45929</v>
      </c>
      <c r="C439" s="2" t="str">
        <f aca="false">TEXT(B439,"yyyy")</f>
        <v>2025</v>
      </c>
      <c r="D439" s="2" t="n">
        <f aca="false">WEEKNUM(B439,2)</f>
        <v>40</v>
      </c>
      <c r="E439" s="5" t="s">
        <v>140</v>
      </c>
      <c r="F439" s="6" t="str">
        <f aca="false">INDEX(Parametros!$B$2:$B$9,MATCH($E439,Parametros!$A$2:$A$9,0))</f>
        <v>Crema de cacahuate</v>
      </c>
      <c r="G439" s="10" t="n">
        <v>101.3</v>
      </c>
      <c r="H439" s="10" t="n">
        <v>5.2</v>
      </c>
      <c r="I439" s="11" t="n">
        <f aca="false">SUMIFS(Eventos_Paro!$J$2:$J$2186,Eventos_Paro!$D$2:$D$2186,$E439,Eventos_Paro!$B$2:$B$2186,$B439)</f>
        <v>3.51666666666667</v>
      </c>
      <c r="J439" s="12" t="n">
        <f aca="false">G439-H439-I439</f>
        <v>92.5833333333333</v>
      </c>
      <c r="K439" s="13" t="n">
        <v>325218</v>
      </c>
      <c r="L439" s="13" t="n">
        <v>341210</v>
      </c>
      <c r="M439" s="13" t="n">
        <v>9497</v>
      </c>
      <c r="N439" s="14" t="n">
        <f aca="false">L439+M439</f>
        <v>350707</v>
      </c>
      <c r="O439" s="11" t="n">
        <f aca="false">INDEX(Parametros!$D$2:$D$9,MATCH($E439,Parametros!$A$2:$A$9,0))</f>
        <v>4200</v>
      </c>
      <c r="P439" s="15" t="n">
        <f aca="false">IF((G439-H439)&gt;0,J439/(G439-H439),0)</f>
        <v>0.963406174124176</v>
      </c>
      <c r="Q439" s="15" t="n">
        <f aca="false">IF(J439*O439&gt;0,N439/(O439*J439),0)</f>
        <v>0.901908190819082</v>
      </c>
      <c r="R439" s="15" t="n">
        <f aca="false">IF(N439&gt;0,L439/N439,0)</f>
        <v>0.972920415047319</v>
      </c>
      <c r="S439" s="15" t="n">
        <f aca="false">P439*Q439*R439</f>
        <v>0.845374362023686</v>
      </c>
      <c r="T439" s="15" t="n">
        <f aca="false">IF(K439&gt;0,L439/K439,0)</f>
        <v>1.04917316999674</v>
      </c>
      <c r="U439" s="10" t="n">
        <v>1314.5</v>
      </c>
      <c r="V439" s="5" t="n">
        <v>12</v>
      </c>
      <c r="W439" s="10" t="n">
        <v>98.9</v>
      </c>
      <c r="X439" s="15" t="n">
        <f aca="false">IF(U439&gt;0,W439/U439,0)</f>
        <v>0.0752377329783188</v>
      </c>
      <c r="Y439" s="12" t="n">
        <f aca="false">IF(U439&gt;0,L439/U439,0)</f>
        <v>259.573982502853</v>
      </c>
      <c r="Z439" s="16" t="n">
        <f aca="false">L439*INDEX(Parametros!$E$2:$E$9,MATCH($E439,Parametros!$A$2:$A$9,0))</f>
        <v>330973.7</v>
      </c>
      <c r="AA439" s="16" t="n">
        <f aca="false">Z439*INDEX(Parametros!$F$2:$F$9,MATCH($E439,Parametros!$A$2:$A$9,0))</f>
        <v>7281.4214</v>
      </c>
      <c r="AB439" s="17" t="n">
        <f aca="false">Z439+AA439</f>
        <v>338255.1214</v>
      </c>
      <c r="AC439" s="18" t="n">
        <v>338218.09</v>
      </c>
      <c r="AD439" s="17" t="n">
        <f aca="false">AC439-AB439</f>
        <v>-37.031399999978</v>
      </c>
      <c r="AE439" s="17" t="n">
        <f aca="false">AA439+AD439</f>
        <v>7244.39000000002</v>
      </c>
      <c r="AF439" s="19" t="n">
        <f aca="false">IF(Z439&gt;0,AE439/Z439,0)</f>
        <v>0.0218881137685563</v>
      </c>
      <c r="AG439" s="16" t="n">
        <f aca="false">(U439-W439)*INDEX(Parametros!$H$2:$H$9,MATCH($E439,Parametros!$A$2:$A$9,0))+W439*INDEX(Parametros!$H$2:$H$9,MATCH($E439,Parametros!$A$2:$A$9,0))*Parametros!$N$3</f>
        <v>42964.425</v>
      </c>
      <c r="AH439" s="13" t="n">
        <v>17723</v>
      </c>
      <c r="AI439" s="16" t="n">
        <f aca="false">AH439*Parametros!$N$2</f>
        <v>1630.516</v>
      </c>
      <c r="AJ439" s="18" t="n">
        <v>11720</v>
      </c>
      <c r="AK439" s="18" t="n">
        <v>3398</v>
      </c>
      <c r="AL439" s="17" t="n">
        <f aca="false">AG439+AI439+AJ439+AK439</f>
        <v>59712.941</v>
      </c>
      <c r="AM439" s="20" t="n">
        <f aca="false">IF(L439&gt;0,AL439/L439,0)</f>
        <v>0.175003490519035</v>
      </c>
      <c r="AN439" s="16" t="n">
        <f aca="false">L439*INDEX(Parametros!$G$2:$G$9,MATCH($E439,Parametros!$A$2:$A$9,0))</f>
        <v>552760.2</v>
      </c>
      <c r="AO439" s="17" t="n">
        <f aca="false">AN439-AC439-AL439</f>
        <v>154829.169</v>
      </c>
      <c r="AP439" s="15" t="n">
        <f aca="false">IF(AN439&gt;0,AO439/AN439,0)</f>
        <v>0.280101876003374</v>
      </c>
      <c r="AQ439" s="16" t="n">
        <f aca="false">INDEX(Parametros!$I$2:$I$9,MATCH($E439,Parametros!$A$2:$A$9,0))</f>
        <v>28000000</v>
      </c>
      <c r="AR439" s="19" t="n">
        <f aca="false">IF(AQ439&gt;0,AO439/AQ439,0)</f>
        <v>0.00552961317857143</v>
      </c>
    </row>
    <row r="440" customFormat="false" ht="15" hidden="false" customHeight="false" outlineLevel="0" collapsed="false">
      <c r="A440" s="5" t="s">
        <v>575</v>
      </c>
      <c r="B440" s="9" t="n">
        <v>45929</v>
      </c>
      <c r="C440" s="2" t="str">
        <f aca="false">TEXT(B440,"yyyy")</f>
        <v>2025</v>
      </c>
      <c r="D440" s="2" t="n">
        <f aca="false">WEEKNUM(B440,2)</f>
        <v>40</v>
      </c>
      <c r="E440" s="5" t="s">
        <v>142</v>
      </c>
      <c r="F440" s="6" t="str">
        <f aca="false">INDEX(Parametros!$B$2:$B$9,MATCH($E440,Parametros!$A$2:$A$9,0))</f>
        <v>Porciones single serve</v>
      </c>
      <c r="G440" s="10" t="n">
        <v>114.1</v>
      </c>
      <c r="H440" s="10" t="n">
        <v>5.8</v>
      </c>
      <c r="I440" s="11" t="n">
        <f aca="false">SUMIFS(Eventos_Paro!$J$2:$J$2186,Eventos_Paro!$D$2:$D$2186,$E440,Eventos_Paro!$B$2:$B$2186,$B440)</f>
        <v>4.78333333333333</v>
      </c>
      <c r="J440" s="12" t="n">
        <f aca="false">G440-H440-I440</f>
        <v>103.516666666667</v>
      </c>
      <c r="K440" s="13" t="n">
        <v>226884</v>
      </c>
      <c r="L440" s="13" t="n">
        <v>211489</v>
      </c>
      <c r="M440" s="13" t="n">
        <v>7971</v>
      </c>
      <c r="N440" s="14" t="n">
        <f aca="false">L440+M440</f>
        <v>219460</v>
      </c>
      <c r="O440" s="11" t="n">
        <f aca="false">INDEX(Parametros!$D$2:$D$9,MATCH($E440,Parametros!$A$2:$A$9,0))</f>
        <v>2600</v>
      </c>
      <c r="P440" s="15" t="n">
        <f aca="false">IF((G440-H440)&gt;0,J440/(G440-H440),0)</f>
        <v>0.955832563865805</v>
      </c>
      <c r="Q440" s="15" t="n">
        <f aca="false">IF(J440*O440&gt;0,N440/(O440*J440),0)</f>
        <v>0.815401954348984</v>
      </c>
      <c r="R440" s="15" t="n">
        <f aca="false">IF(N440&gt;0,L440/N440,0)</f>
        <v>0.963679030347216</v>
      </c>
      <c r="S440" s="15" t="n">
        <f aca="false">P440*Q440*R440</f>
        <v>0.751079622132254</v>
      </c>
      <c r="T440" s="15" t="n">
        <f aca="false">IF(K440&gt;0,L440/K440,0)</f>
        <v>0.932145942419915</v>
      </c>
      <c r="U440" s="10" t="n">
        <v>1894.1</v>
      </c>
      <c r="V440" s="5" t="n">
        <v>16</v>
      </c>
      <c r="W440" s="10" t="n">
        <v>68.5</v>
      </c>
      <c r="X440" s="15" t="n">
        <f aca="false">IF(U440&gt;0,W440/U440,0)</f>
        <v>0.0361649332136635</v>
      </c>
      <c r="Y440" s="12" t="n">
        <f aca="false">IF(U440&gt;0,L440/U440,0)</f>
        <v>111.656723509846</v>
      </c>
      <c r="Z440" s="16" t="n">
        <f aca="false">L440*INDEX(Parametros!$E$2:$E$9,MATCH($E440,Parametros!$A$2:$A$9,0))</f>
        <v>156501.86</v>
      </c>
      <c r="AA440" s="16" t="n">
        <f aca="false">Z440*INDEX(Parametros!$F$2:$F$9,MATCH($E440,Parametros!$A$2:$A$9,0))</f>
        <v>7042.5837</v>
      </c>
      <c r="AB440" s="17" t="n">
        <f aca="false">Z440+AA440</f>
        <v>163544.4437</v>
      </c>
      <c r="AC440" s="18" t="n">
        <v>161493.44</v>
      </c>
      <c r="AD440" s="17" t="n">
        <f aca="false">AC440-AB440</f>
        <v>-2051.00369999997</v>
      </c>
      <c r="AE440" s="17" t="n">
        <f aca="false">AA440+AD440</f>
        <v>4991.58000000003</v>
      </c>
      <c r="AF440" s="19" t="n">
        <f aca="false">IF(Z440&gt;0,AE440/Z440,0)</f>
        <v>0.0318947008041951</v>
      </c>
      <c r="AG440" s="16" t="n">
        <f aca="false">(U440-W440)*INDEX(Parametros!$H$2:$H$9,MATCH($E440,Parametros!$A$2:$A$9,0))+W440*INDEX(Parametros!$H$2:$H$9,MATCH($E440,Parametros!$A$2:$A$9,0))*Parametros!$N$3</f>
        <v>57850.5</v>
      </c>
      <c r="AH440" s="13" t="n">
        <v>10971</v>
      </c>
      <c r="AI440" s="16" t="n">
        <f aca="false">AH440*Parametros!$N$2</f>
        <v>1009.332</v>
      </c>
      <c r="AJ440" s="18" t="n">
        <v>9749</v>
      </c>
      <c r="AK440" s="18" t="n">
        <v>3976</v>
      </c>
      <c r="AL440" s="17" t="n">
        <f aca="false">AG440+AI440+AJ440+AK440</f>
        <v>72584.832</v>
      </c>
      <c r="AM440" s="20" t="n">
        <f aca="false">IF(L440&gt;0,AL440/L440,0)</f>
        <v>0.343208545125278</v>
      </c>
      <c r="AN440" s="16" t="n">
        <f aca="false">L440*INDEX(Parametros!$G$2:$G$9,MATCH($E440,Parametros!$A$2:$A$9,0))</f>
        <v>363761.08</v>
      </c>
      <c r="AO440" s="17" t="n">
        <f aca="false">AN440-AC440-AL440</f>
        <v>129682.808</v>
      </c>
      <c r="AP440" s="15" t="n">
        <f aca="false">IF(AN440&gt;0,AO440/AN440,0)</f>
        <v>0.356505451325359</v>
      </c>
      <c r="AQ440" s="16" t="n">
        <f aca="false">INDEX(Parametros!$I$2:$I$9,MATCH($E440,Parametros!$A$2:$A$9,0))</f>
        <v>15900000</v>
      </c>
      <c r="AR440" s="19" t="n">
        <f aca="false">IF(AQ440&gt;0,AO440/AQ440,0)</f>
        <v>0.00815615144654088</v>
      </c>
    </row>
    <row r="441" customFormat="false" ht="15" hidden="false" customHeight="false" outlineLevel="0" collapsed="false">
      <c r="A441" s="5" t="s">
        <v>576</v>
      </c>
      <c r="B441" s="9" t="n">
        <v>45929</v>
      </c>
      <c r="C441" s="2" t="str">
        <f aca="false">TEXT(B441,"yyyy")</f>
        <v>2025</v>
      </c>
      <c r="D441" s="2" t="n">
        <f aca="false">WEEKNUM(B441,2)</f>
        <v>40</v>
      </c>
      <c r="E441" s="5" t="s">
        <v>144</v>
      </c>
      <c r="F441" s="6" t="str">
        <f aca="false">INDEX(Parametros!$B$2:$B$9,MATCH($E441,Parametros!$A$2:$A$9,0))</f>
        <v>Salsas picantes</v>
      </c>
      <c r="G441" s="10" t="n">
        <v>101.1</v>
      </c>
      <c r="H441" s="10" t="n">
        <v>6.2</v>
      </c>
      <c r="I441" s="11" t="n">
        <f aca="false">SUMIFS(Eventos_Paro!$J$2:$J$2186,Eventos_Paro!$D$2:$D$2186,$E441,Eventos_Paro!$B$2:$B$2186,$B441)</f>
        <v>1.4</v>
      </c>
      <c r="J441" s="12" t="n">
        <f aca="false">G441-H441-I441</f>
        <v>93.5</v>
      </c>
      <c r="K441" s="13" t="n">
        <v>233413</v>
      </c>
      <c r="L441" s="13" t="n">
        <v>231226</v>
      </c>
      <c r="M441" s="13" t="n">
        <v>3898</v>
      </c>
      <c r="N441" s="14" t="n">
        <f aca="false">L441+M441</f>
        <v>235124</v>
      </c>
      <c r="O441" s="11" t="n">
        <f aca="false">INDEX(Parametros!$D$2:$D$9,MATCH($E441,Parametros!$A$2:$A$9,0))</f>
        <v>3100</v>
      </c>
      <c r="P441" s="15" t="n">
        <f aca="false">IF((G441-H441)&gt;0,J441/(G441-H441),0)</f>
        <v>0.985247629083246</v>
      </c>
      <c r="Q441" s="15" t="n">
        <f aca="false">IF(J441*O441&gt;0,N441/(O441*J441),0)</f>
        <v>0.811191995859928</v>
      </c>
      <c r="R441" s="15" t="n">
        <f aca="false">IF(N441&gt;0,L441/N441,0)</f>
        <v>0.983421513754444</v>
      </c>
      <c r="S441" s="15" t="n">
        <f aca="false">P441*Q441*R441</f>
        <v>0.785975050137666</v>
      </c>
      <c r="T441" s="15" t="n">
        <f aca="false">IF(K441&gt;0,L441/K441,0)</f>
        <v>0.990630341926114</v>
      </c>
      <c r="U441" s="10" t="n">
        <v>1106.9</v>
      </c>
      <c r="V441" s="5" t="n">
        <v>10</v>
      </c>
      <c r="W441" s="10" t="n">
        <v>95.9</v>
      </c>
      <c r="X441" s="15" t="n">
        <f aca="false">IF(U441&gt;0,W441/U441,0)</f>
        <v>0.086638359382058</v>
      </c>
      <c r="Y441" s="12" t="n">
        <f aca="false">IF(U441&gt;0,L441/U441,0)</f>
        <v>208.895112476285</v>
      </c>
      <c r="Z441" s="16" t="n">
        <f aca="false">L441*INDEX(Parametros!$E$2:$E$9,MATCH($E441,Parametros!$A$2:$A$9,0))</f>
        <v>152609.16</v>
      </c>
      <c r="AA441" s="16" t="n">
        <f aca="false">Z441*INDEX(Parametros!$F$2:$F$9,MATCH($E441,Parametros!$A$2:$A$9,0))</f>
        <v>3967.83816</v>
      </c>
      <c r="AB441" s="17" t="n">
        <f aca="false">Z441+AA441</f>
        <v>156576.99816</v>
      </c>
      <c r="AC441" s="18" t="n">
        <v>157078.7</v>
      </c>
      <c r="AD441" s="17" t="n">
        <f aca="false">AC441-AB441</f>
        <v>501.701839999994</v>
      </c>
      <c r="AE441" s="17" t="n">
        <f aca="false">AA441+AD441</f>
        <v>4469.53999999999</v>
      </c>
      <c r="AF441" s="19" t="n">
        <f aca="false">IF(Z441&gt;0,AE441/Z441,0)</f>
        <v>0.0292874949314969</v>
      </c>
      <c r="AG441" s="16" t="n">
        <f aca="false">(U441-W441)*INDEX(Parametros!$H$2:$H$9,MATCH($E441,Parametros!$A$2:$A$9,0))+W441*INDEX(Parametros!$H$2:$H$9,MATCH($E441,Parametros!$A$2:$A$9,0))*Parametros!$N$3</f>
        <v>36377.775</v>
      </c>
      <c r="AH441" s="13" t="n">
        <v>12371</v>
      </c>
      <c r="AI441" s="16" t="n">
        <f aca="false">AH441*Parametros!$N$2</f>
        <v>1138.132</v>
      </c>
      <c r="AJ441" s="18" t="n">
        <v>7609</v>
      </c>
      <c r="AK441" s="18" t="n">
        <v>1442</v>
      </c>
      <c r="AL441" s="17" t="n">
        <f aca="false">AG441+AI441+AJ441+AK441</f>
        <v>46566.907</v>
      </c>
      <c r="AM441" s="20" t="n">
        <f aca="false">IF(L441&gt;0,AL441/L441,0)</f>
        <v>0.201391309800801</v>
      </c>
      <c r="AN441" s="16" t="n">
        <f aca="false">L441*INDEX(Parametros!$G$2:$G$9,MATCH($E441,Parametros!$A$2:$A$9,0))</f>
        <v>289032.5</v>
      </c>
      <c r="AO441" s="17" t="n">
        <f aca="false">AN441-AC441-AL441</f>
        <v>85386.893</v>
      </c>
      <c r="AP441" s="15" t="n">
        <f aca="false">IF(AN441&gt;0,AO441/AN441,0)</f>
        <v>0.295423154835529</v>
      </c>
      <c r="AQ441" s="16" t="n">
        <f aca="false">INDEX(Parametros!$I$2:$I$9,MATCH($E441,Parametros!$A$2:$A$9,0))</f>
        <v>13300000</v>
      </c>
      <c r="AR441" s="19" t="n">
        <f aca="false">IF(AQ441&gt;0,AO441/AQ441,0)</f>
        <v>0.00642006714285714</v>
      </c>
    </row>
    <row r="442" customFormat="false" ht="15" hidden="false" customHeight="false" outlineLevel="0" collapsed="false">
      <c r="A442" s="5" t="s">
        <v>577</v>
      </c>
      <c r="B442" s="9" t="n">
        <v>45936</v>
      </c>
      <c r="C442" s="2" t="str">
        <f aca="false">TEXT(B442,"yyyy")</f>
        <v>2025</v>
      </c>
      <c r="D442" s="2" t="n">
        <f aca="false">WEEKNUM(B442,2)</f>
        <v>41</v>
      </c>
      <c r="E442" s="5" t="s">
        <v>130</v>
      </c>
      <c r="F442" s="6" t="str">
        <f aca="false">INDEX(Parametros!$B$2:$B$9,MATCH($E442,Parametros!$A$2:$A$9,0))</f>
        <v>Ketchup botella</v>
      </c>
      <c r="G442" s="10" t="n">
        <v>119.7</v>
      </c>
      <c r="H442" s="10" t="n">
        <v>9</v>
      </c>
      <c r="I442" s="11" t="n">
        <f aca="false">SUMIFS(Eventos_Paro!$J$2:$J$2186,Eventos_Paro!$D$2:$D$2186,$E442,Eventos_Paro!$B$2:$B$2186,$B442)</f>
        <v>0</v>
      </c>
      <c r="J442" s="12" t="n">
        <f aca="false">G442-H442-I442</f>
        <v>110.7</v>
      </c>
      <c r="K442" s="13" t="n">
        <v>798960</v>
      </c>
      <c r="L442" s="13" t="n">
        <v>862475</v>
      </c>
      <c r="M442" s="13" t="n">
        <v>22628</v>
      </c>
      <c r="N442" s="14" t="n">
        <f aca="false">L442+M442</f>
        <v>885103</v>
      </c>
      <c r="O442" s="11" t="n">
        <f aca="false">INDEX(Parametros!$D$2:$D$9,MATCH($E442,Parametros!$A$2:$A$9,0))</f>
        <v>9000</v>
      </c>
      <c r="P442" s="15" t="n">
        <f aca="false">IF((G442-H442)&gt;0,J442/(G442-H442),0)</f>
        <v>1</v>
      </c>
      <c r="Q442" s="15" t="n">
        <f aca="false">IF(J442*O442&gt;0,N442/(O442*J442),0)</f>
        <v>0.888390043159691</v>
      </c>
      <c r="R442" s="15" t="n">
        <f aca="false">IF(N442&gt;0,L442/N442,0)</f>
        <v>0.974434613824606</v>
      </c>
      <c r="S442" s="15" t="n">
        <f aca="false">P442*Q442*R442</f>
        <v>0.865678008631938</v>
      </c>
      <c r="T442" s="15" t="n">
        <f aca="false">IF(K442&gt;0,L442/K442,0)</f>
        <v>1.07949709622509</v>
      </c>
      <c r="U442" s="10" t="n">
        <v>1760.9</v>
      </c>
      <c r="V442" s="5" t="n">
        <v>14</v>
      </c>
      <c r="W442" s="10" t="n">
        <v>85.1</v>
      </c>
      <c r="X442" s="15" t="n">
        <f aca="false">IF(U442&gt;0,W442/U442,0)</f>
        <v>0.0483275597705719</v>
      </c>
      <c r="Y442" s="12" t="n">
        <f aca="false">IF(U442&gt;0,L442/U442,0)</f>
        <v>489.792151740587</v>
      </c>
      <c r="Z442" s="16" t="n">
        <f aca="false">L442*INDEX(Parametros!$E$2:$E$9,MATCH($E442,Parametros!$A$2:$A$9,0))</f>
        <v>362239.5</v>
      </c>
      <c r="AA442" s="16" t="n">
        <f aca="false">Z442*INDEX(Parametros!$F$2:$F$9,MATCH($E442,Parametros!$A$2:$A$9,0))</f>
        <v>7244.79</v>
      </c>
      <c r="AB442" s="17" t="n">
        <f aca="false">Z442+AA442</f>
        <v>369484.29</v>
      </c>
      <c r="AC442" s="18" t="n">
        <v>365587.13</v>
      </c>
      <c r="AD442" s="17" t="n">
        <f aca="false">AC442-AB442</f>
        <v>-3897.15999999997</v>
      </c>
      <c r="AE442" s="17" t="n">
        <f aca="false">AA442+AD442</f>
        <v>3347.63000000003</v>
      </c>
      <c r="AF442" s="19" t="n">
        <f aca="false">IF(Z442&gt;0,AE442/Z442,0)</f>
        <v>0.00924148249983789</v>
      </c>
      <c r="AG442" s="16" t="n">
        <f aca="false">(U442-W442)*INDEX(Parametros!$H$2:$H$9,MATCH($E442,Parametros!$A$2:$A$9,0))+W442*INDEX(Parametros!$H$2:$H$9,MATCH($E442,Parametros!$A$2:$A$9,0))*Parametros!$N$3</f>
        <v>56808.675</v>
      </c>
      <c r="AH442" s="13" t="n">
        <v>41905</v>
      </c>
      <c r="AI442" s="16" t="n">
        <f aca="false">AH442*Parametros!$N$2</f>
        <v>3855.26</v>
      </c>
      <c r="AJ442" s="18" t="n">
        <v>14397</v>
      </c>
      <c r="AK442" s="18" t="n">
        <v>0</v>
      </c>
      <c r="AL442" s="17" t="n">
        <f aca="false">AG442+AI442+AJ442+AK442</f>
        <v>75060.935</v>
      </c>
      <c r="AM442" s="20" t="n">
        <f aca="false">IF(L442&gt;0,AL442/L442,0)</f>
        <v>0.0870296936143077</v>
      </c>
      <c r="AN442" s="16" t="n">
        <f aca="false">L442*INDEX(Parametros!$G$2:$G$9,MATCH($E442,Parametros!$A$2:$A$9,0))</f>
        <v>612357.25</v>
      </c>
      <c r="AO442" s="17" t="n">
        <f aca="false">AN442-AC442-AL442</f>
        <v>171709.185</v>
      </c>
      <c r="AP442" s="15" t="n">
        <f aca="false">IF(AN442&gt;0,AO442/AN442,0)</f>
        <v>0.280406878501071</v>
      </c>
      <c r="AQ442" s="16" t="n">
        <f aca="false">INDEX(Parametros!$I$2:$I$9,MATCH($E442,Parametros!$A$2:$A$9,0))</f>
        <v>29300000</v>
      </c>
      <c r="AR442" s="19" t="n">
        <f aca="false">IF(AQ442&gt;0,AO442/AQ442,0)</f>
        <v>0.00586038174061433</v>
      </c>
    </row>
    <row r="443" customFormat="false" ht="15" hidden="false" customHeight="false" outlineLevel="0" collapsed="false">
      <c r="A443" s="5" t="s">
        <v>578</v>
      </c>
      <c r="B443" s="9" t="n">
        <v>45936</v>
      </c>
      <c r="C443" s="2" t="str">
        <f aca="false">TEXT(B443,"yyyy")</f>
        <v>2025</v>
      </c>
      <c r="D443" s="2" t="n">
        <f aca="false">WEEKNUM(B443,2)</f>
        <v>41</v>
      </c>
      <c r="E443" s="5" t="s">
        <v>132</v>
      </c>
      <c r="F443" s="6" t="str">
        <f aca="false">INDEX(Parametros!$B$2:$B$9,MATCH($E443,Parametros!$A$2:$A$9,0))</f>
        <v>Mayonesa frasco</v>
      </c>
      <c r="G443" s="10" t="n">
        <v>116.2</v>
      </c>
      <c r="H443" s="10" t="n">
        <v>8.3</v>
      </c>
      <c r="I443" s="11" t="n">
        <f aca="false">SUMIFS(Eventos_Paro!$J$2:$J$2186,Eventos_Paro!$D$2:$D$2186,$E443,Eventos_Paro!$B$2:$B$2186,$B443)</f>
        <v>2.93333333333333</v>
      </c>
      <c r="J443" s="12" t="n">
        <f aca="false">G443-H443-I443</f>
        <v>104.966666666667</v>
      </c>
      <c r="K443" s="13" t="n">
        <v>562431</v>
      </c>
      <c r="L443" s="13" t="n">
        <v>568056</v>
      </c>
      <c r="M443" s="13" t="n">
        <v>23688</v>
      </c>
      <c r="N443" s="14" t="n">
        <f aca="false">L443+M443</f>
        <v>591744</v>
      </c>
      <c r="O443" s="11" t="n">
        <f aca="false">INDEX(Parametros!$D$2:$D$9,MATCH($E443,Parametros!$A$2:$A$9,0))</f>
        <v>6500</v>
      </c>
      <c r="P443" s="15" t="n">
        <f aca="false">IF((G443-H443)&gt;0,J443/(G443-H443),0)</f>
        <v>0.972814334260117</v>
      </c>
      <c r="Q443" s="15" t="n">
        <f aca="false">IF(J443*O443&gt;0,N443/(O443*J443),0)</f>
        <v>0.867299509001637</v>
      </c>
      <c r="R443" s="15" t="n">
        <f aca="false">IF(N443&gt;0,L443/N443,0)</f>
        <v>0.959969175859831</v>
      </c>
      <c r="S443" s="15" t="n">
        <f aca="false">P443*Q443*R443</f>
        <v>0.809946531688886</v>
      </c>
      <c r="T443" s="15" t="n">
        <f aca="false">IF(K443&gt;0,L443/K443,0)</f>
        <v>1.01000122681716</v>
      </c>
      <c r="U443" s="10" t="n">
        <v>1786.2</v>
      </c>
      <c r="V443" s="5" t="n">
        <v>15</v>
      </c>
      <c r="W443" s="10" t="n">
        <v>43.2</v>
      </c>
      <c r="X443" s="15" t="n">
        <f aca="false">IF(U443&gt;0,W443/U443,0)</f>
        <v>0.0241854215653342</v>
      </c>
      <c r="Y443" s="12" t="n">
        <f aca="false">IF(U443&gt;0,L443/U443,0)</f>
        <v>318.024857238831</v>
      </c>
      <c r="Z443" s="16" t="n">
        <f aca="false">L443*INDEX(Parametros!$E$2:$E$9,MATCH($E443,Parametros!$A$2:$A$9,0))</f>
        <v>346514.16</v>
      </c>
      <c r="AA443" s="16" t="n">
        <f aca="false">Z443*INDEX(Parametros!$F$2:$F$9,MATCH($E443,Parametros!$A$2:$A$9,0))</f>
        <v>8662.854</v>
      </c>
      <c r="AB443" s="17" t="n">
        <f aca="false">Z443+AA443</f>
        <v>355177.014</v>
      </c>
      <c r="AC443" s="18" t="n">
        <v>360619.79</v>
      </c>
      <c r="AD443" s="17" t="n">
        <f aca="false">AC443-AB443</f>
        <v>5442.77600000001</v>
      </c>
      <c r="AE443" s="17" t="n">
        <f aca="false">AA443+AD443</f>
        <v>14105.63</v>
      </c>
      <c r="AF443" s="19" t="n">
        <f aca="false">IF(Z443&gt;0,AE443/Z443,0)</f>
        <v>0.0407072253555238</v>
      </c>
      <c r="AG443" s="16" t="n">
        <f aca="false">(U443-W443)*INDEX(Parametros!$H$2:$H$9,MATCH($E443,Parametros!$A$2:$A$9,0))+W443*INDEX(Parametros!$H$2:$H$9,MATCH($E443,Parametros!$A$2:$A$9,0))*Parametros!$N$3</f>
        <v>56945.7</v>
      </c>
      <c r="AH443" s="13" t="n">
        <v>29957</v>
      </c>
      <c r="AI443" s="16" t="n">
        <f aca="false">AH443*Parametros!$N$2</f>
        <v>2756.044</v>
      </c>
      <c r="AJ443" s="18" t="n">
        <v>14842</v>
      </c>
      <c r="AK443" s="18" t="n">
        <v>1960</v>
      </c>
      <c r="AL443" s="17" t="n">
        <f aca="false">AG443+AI443+AJ443+AK443</f>
        <v>76503.744</v>
      </c>
      <c r="AM443" s="20" t="n">
        <f aca="false">IF(L443&gt;0,AL443/L443,0)</f>
        <v>0.134676412184714</v>
      </c>
      <c r="AN443" s="16" t="n">
        <f aca="false">L443*INDEX(Parametros!$G$2:$G$9,MATCH($E443,Parametros!$A$2:$A$9,0))</f>
        <v>545333.76</v>
      </c>
      <c r="AO443" s="17" t="n">
        <f aca="false">AN443-AC443-AL443</f>
        <v>108210.226</v>
      </c>
      <c r="AP443" s="15" t="n">
        <f aca="false">IF(AN443&gt;0,AO443/AN443,0)</f>
        <v>0.1984293545296</v>
      </c>
      <c r="AQ443" s="16" t="n">
        <f aca="false">INDEX(Parametros!$I$2:$I$9,MATCH($E443,Parametros!$A$2:$A$9,0))</f>
        <v>29700000</v>
      </c>
      <c r="AR443" s="19" t="n">
        <f aca="false">IF(AQ443&gt;0,AO443/AQ443,0)</f>
        <v>0.00364344195286195</v>
      </c>
    </row>
    <row r="444" customFormat="false" ht="15" hidden="false" customHeight="false" outlineLevel="0" collapsed="false">
      <c r="A444" s="5" t="s">
        <v>579</v>
      </c>
      <c r="B444" s="9" t="n">
        <v>45936</v>
      </c>
      <c r="C444" s="2" t="str">
        <f aca="false">TEXT(B444,"yyyy")</f>
        <v>2025</v>
      </c>
      <c r="D444" s="2" t="n">
        <f aca="false">WEEKNUM(B444,2)</f>
        <v>41</v>
      </c>
      <c r="E444" s="5" t="s">
        <v>134</v>
      </c>
      <c r="F444" s="6" t="str">
        <f aca="false">INDEX(Parametros!$B$2:$B$9,MATCH($E444,Parametros!$A$2:$A$9,0))</f>
        <v>Aderezos vertibles</v>
      </c>
      <c r="G444" s="10" t="n">
        <v>100.6</v>
      </c>
      <c r="H444" s="10" t="n">
        <v>7.5</v>
      </c>
      <c r="I444" s="11" t="n">
        <f aca="false">SUMIFS(Eventos_Paro!$J$2:$J$2186,Eventos_Paro!$D$2:$D$2186,$E444,Eventos_Paro!$B$2:$B$2186,$B444)</f>
        <v>0.516666666666667</v>
      </c>
      <c r="J444" s="12" t="n">
        <f aca="false">G444-H444-I444</f>
        <v>92.5833333333333</v>
      </c>
      <c r="K444" s="13" t="n">
        <v>388229</v>
      </c>
      <c r="L444" s="13" t="n">
        <v>403422</v>
      </c>
      <c r="M444" s="13" t="n">
        <v>12482</v>
      </c>
      <c r="N444" s="14" t="n">
        <f aca="false">L444+M444</f>
        <v>415904</v>
      </c>
      <c r="O444" s="11" t="n">
        <f aca="false">INDEX(Parametros!$D$2:$D$9,MATCH($E444,Parametros!$A$2:$A$9,0))</f>
        <v>5200</v>
      </c>
      <c r="P444" s="15" t="n">
        <f aca="false">IF((G444-H444)&gt;0,J444/(G444-H444),0)</f>
        <v>0.994450411743645</v>
      </c>
      <c r="Q444" s="15" t="n">
        <f aca="false">IF(J444*O444&gt;0,N444/(O444*J444),0)</f>
        <v>0.863887004085024</v>
      </c>
      <c r="R444" s="15" t="n">
        <f aca="false">IF(N444&gt;0,L444/N444,0)</f>
        <v>0.969988266523044</v>
      </c>
      <c r="S444" s="15" t="n">
        <f aca="false">P444*Q444*R444</f>
        <v>0.833309923159547</v>
      </c>
      <c r="T444" s="15" t="n">
        <f aca="false">IF(K444&gt;0,L444/K444,0)</f>
        <v>1.03913411929557</v>
      </c>
      <c r="U444" s="10" t="n">
        <v>1328.3</v>
      </c>
      <c r="V444" s="5" t="n">
        <v>12</v>
      </c>
      <c r="W444" s="10" t="n">
        <v>121.1</v>
      </c>
      <c r="X444" s="15" t="n">
        <f aca="false">IF(U444&gt;0,W444/U444,0)</f>
        <v>0.0911691635925619</v>
      </c>
      <c r="Y444" s="12" t="n">
        <f aca="false">IF(U444&gt;0,L444/U444,0)</f>
        <v>303.713016637808</v>
      </c>
      <c r="Z444" s="16" t="n">
        <f aca="false">L444*INDEX(Parametros!$E$2:$E$9,MATCH($E444,Parametros!$A$2:$A$9,0))</f>
        <v>221882.1</v>
      </c>
      <c r="AA444" s="16" t="n">
        <f aca="false">Z444*INDEX(Parametros!$F$2:$F$9,MATCH($E444,Parametros!$A$2:$A$9,0))</f>
        <v>6656.463</v>
      </c>
      <c r="AB444" s="17" t="n">
        <f aca="false">Z444+AA444</f>
        <v>228538.563</v>
      </c>
      <c r="AC444" s="18" t="n">
        <v>231143.58</v>
      </c>
      <c r="AD444" s="17" t="n">
        <f aca="false">AC444-AB444</f>
        <v>2605.01699999999</v>
      </c>
      <c r="AE444" s="17" t="n">
        <f aca="false">AA444+AD444</f>
        <v>9261.47999999999</v>
      </c>
      <c r="AF444" s="19" t="n">
        <f aca="false">IF(Z444&gt;0,AE444/Z444,0)</f>
        <v>0.041740545992669</v>
      </c>
      <c r="AG444" s="16" t="n">
        <f aca="false">(U444-W444)*INDEX(Parametros!$H$2:$H$9,MATCH($E444,Parametros!$A$2:$A$9,0))+W444*INDEX(Parametros!$H$2:$H$9,MATCH($E444,Parametros!$A$2:$A$9,0))*Parametros!$N$3</f>
        <v>43748.775</v>
      </c>
      <c r="AH444" s="13" t="n">
        <v>20447</v>
      </c>
      <c r="AI444" s="16" t="n">
        <f aca="false">AH444*Parametros!$N$2</f>
        <v>1881.124</v>
      </c>
      <c r="AJ444" s="18" t="n">
        <v>9816</v>
      </c>
      <c r="AK444" s="18" t="n">
        <v>180</v>
      </c>
      <c r="AL444" s="17" t="n">
        <f aca="false">AG444+AI444+AJ444+AK444</f>
        <v>55625.899</v>
      </c>
      <c r="AM444" s="20" t="n">
        <f aca="false">IF(L444&gt;0,AL444/L444,0)</f>
        <v>0.13788514012622</v>
      </c>
      <c r="AN444" s="16" t="n">
        <f aca="false">L444*INDEX(Parametros!$G$2:$G$9,MATCH($E444,Parametros!$A$2:$A$9,0))</f>
        <v>411490.44</v>
      </c>
      <c r="AO444" s="17" t="n">
        <f aca="false">AN444-AC444-AL444</f>
        <v>124720.961</v>
      </c>
      <c r="AP444" s="15" t="n">
        <f aca="false">IF(AN444&gt;0,AO444/AN444,0)</f>
        <v>0.303095646644914</v>
      </c>
      <c r="AQ444" s="16" t="n">
        <f aca="false">INDEX(Parametros!$I$2:$I$9,MATCH($E444,Parametros!$A$2:$A$9,0))</f>
        <v>19300000</v>
      </c>
      <c r="AR444" s="19" t="n">
        <f aca="false">IF(AQ444&gt;0,AO444/AQ444,0)</f>
        <v>0.00646222595854922</v>
      </c>
    </row>
    <row r="445" customFormat="false" ht="15" hidden="false" customHeight="false" outlineLevel="0" collapsed="false">
      <c r="A445" s="5" t="s">
        <v>580</v>
      </c>
      <c r="B445" s="9" t="n">
        <v>45936</v>
      </c>
      <c r="C445" s="2" t="str">
        <f aca="false">TEXT(B445,"yyyy")</f>
        <v>2025</v>
      </c>
      <c r="D445" s="2" t="n">
        <f aca="false">WEEKNUM(B445,2)</f>
        <v>41</v>
      </c>
      <c r="E445" s="5" t="s">
        <v>136</v>
      </c>
      <c r="F445" s="6" t="str">
        <f aca="false">INDEX(Parametros!$B$2:$B$9,MATCH($E445,Parametros!$A$2:$A$9,0))</f>
        <v>Salsa BBQ</v>
      </c>
      <c r="G445" s="10" t="n">
        <v>90</v>
      </c>
      <c r="H445" s="10" t="n">
        <v>6</v>
      </c>
      <c r="I445" s="11" t="n">
        <f aca="false">SUMIFS(Eventos_Paro!$J$2:$J$2186,Eventos_Paro!$D$2:$D$2186,$E445,Eventos_Paro!$B$2:$B$2186,$B445)</f>
        <v>0</v>
      </c>
      <c r="J445" s="12" t="n">
        <f aca="false">G445-H445-I445</f>
        <v>84</v>
      </c>
      <c r="K445" s="13" t="n">
        <v>326056</v>
      </c>
      <c r="L445" s="13" t="n">
        <v>336682</v>
      </c>
      <c r="M445" s="13" t="n">
        <v>6427</v>
      </c>
      <c r="N445" s="14" t="n">
        <f aca="false">L445+M445</f>
        <v>343109</v>
      </c>
      <c r="O445" s="11" t="n">
        <f aca="false">INDEX(Parametros!$D$2:$D$9,MATCH($E445,Parametros!$A$2:$A$9,0))</f>
        <v>4800</v>
      </c>
      <c r="P445" s="15" t="n">
        <f aca="false">IF((G445-H445)&gt;0,J445/(G445-H445),0)</f>
        <v>1</v>
      </c>
      <c r="Q445" s="15" t="n">
        <f aca="false">IF(J445*O445&gt;0,N445/(O445*J445),0)</f>
        <v>0.850964781746032</v>
      </c>
      <c r="R445" s="15" t="n">
        <f aca="false">IF(N445&gt;0,L445/N445,0)</f>
        <v>0.981268343296154</v>
      </c>
      <c r="S445" s="15" t="n">
        <f aca="false">P445*Q445*R445</f>
        <v>0.835024801587302</v>
      </c>
      <c r="T445" s="15" t="n">
        <f aca="false">IF(K445&gt;0,L445/K445,0)</f>
        <v>1.03258949382928</v>
      </c>
      <c r="U445" s="10" t="n">
        <v>1019.4</v>
      </c>
      <c r="V445" s="5" t="n">
        <v>11</v>
      </c>
      <c r="W445" s="10" t="n">
        <v>29.4</v>
      </c>
      <c r="X445" s="15" t="n">
        <f aca="false">IF(U445&gt;0,W445/U445,0)</f>
        <v>0.0288404944084756</v>
      </c>
      <c r="Y445" s="12" t="n">
        <f aca="false">IF(U445&gt;0,L445/U445,0)</f>
        <v>330.274671375319</v>
      </c>
      <c r="Z445" s="16" t="n">
        <f aca="false">L445*INDEX(Parametros!$E$2:$E$9,MATCH($E445,Parametros!$A$2:$A$9,0))</f>
        <v>195275.56</v>
      </c>
      <c r="AA445" s="16" t="n">
        <f aca="false">Z445*INDEX(Parametros!$F$2:$F$9,MATCH($E445,Parametros!$A$2:$A$9,0))</f>
        <v>5467.71568</v>
      </c>
      <c r="AB445" s="17" t="n">
        <f aca="false">Z445+AA445</f>
        <v>200743.27568</v>
      </c>
      <c r="AC445" s="18" t="n">
        <v>202447.5</v>
      </c>
      <c r="AD445" s="17" t="n">
        <f aca="false">AC445-AB445</f>
        <v>1704.22432000001</v>
      </c>
      <c r="AE445" s="17" t="n">
        <f aca="false">AA445+AD445</f>
        <v>7171.94000000001</v>
      </c>
      <c r="AF445" s="19" t="n">
        <f aca="false">IF(Z445&gt;0,AE445/Z445,0)</f>
        <v>0.0367272791331389</v>
      </c>
      <c r="AG445" s="16" t="n">
        <f aca="false">(U445-W445)*INDEX(Parametros!$H$2:$H$9,MATCH($E445,Parametros!$A$2:$A$9,0))+W445*INDEX(Parametros!$H$2:$H$9,MATCH($E445,Parametros!$A$2:$A$9,0))*Parametros!$N$3</f>
        <v>32574.15</v>
      </c>
      <c r="AH445" s="13" t="n">
        <v>18264</v>
      </c>
      <c r="AI445" s="16" t="n">
        <f aca="false">AH445*Parametros!$N$2</f>
        <v>1680.288</v>
      </c>
      <c r="AJ445" s="18" t="n">
        <v>8772</v>
      </c>
      <c r="AK445" s="18" t="n">
        <v>0</v>
      </c>
      <c r="AL445" s="17" t="n">
        <f aca="false">AG445+AI445+AJ445+AK445</f>
        <v>43026.438</v>
      </c>
      <c r="AM445" s="20" t="n">
        <f aca="false">IF(L445&gt;0,AL445/L445,0)</f>
        <v>0.127795480601874</v>
      </c>
      <c r="AN445" s="16" t="n">
        <f aca="false">L445*INDEX(Parametros!$G$2:$G$9,MATCH($E445,Parametros!$A$2:$A$9,0))</f>
        <v>329948.36</v>
      </c>
      <c r="AO445" s="17" t="n">
        <f aca="false">AN445-AC445-AL445</f>
        <v>84474.422</v>
      </c>
      <c r="AP445" s="15" t="n">
        <f aca="false">IF(AN445&gt;0,AO445/AN445,0)</f>
        <v>0.25602316071521</v>
      </c>
      <c r="AQ445" s="16" t="n">
        <f aca="false">INDEX(Parametros!$I$2:$I$9,MATCH($E445,Parametros!$A$2:$A$9,0))</f>
        <v>17000000</v>
      </c>
      <c r="AR445" s="19" t="n">
        <f aca="false">IF(AQ445&gt;0,AO445/AQ445,0)</f>
        <v>0.00496908364705882</v>
      </c>
    </row>
    <row r="446" customFormat="false" ht="15" hidden="false" customHeight="false" outlineLevel="0" collapsed="false">
      <c r="A446" s="5" t="s">
        <v>581</v>
      </c>
      <c r="B446" s="9" t="n">
        <v>45936</v>
      </c>
      <c r="C446" s="2" t="str">
        <f aca="false">TEXT(B446,"yyyy")</f>
        <v>2025</v>
      </c>
      <c r="D446" s="2" t="n">
        <f aca="false">WEEKNUM(B446,2)</f>
        <v>41</v>
      </c>
      <c r="E446" s="5" t="s">
        <v>138</v>
      </c>
      <c r="F446" s="6" t="str">
        <f aca="false">INDEX(Parametros!$B$2:$B$9,MATCH($E446,Parametros!$A$2:$A$9,0))</f>
        <v>Queso crema</v>
      </c>
      <c r="G446" s="10" t="n">
        <v>137.4</v>
      </c>
      <c r="H446" s="10" t="n">
        <v>6</v>
      </c>
      <c r="I446" s="11" t="n">
        <f aca="false">SUMIFS(Eventos_Paro!$J$2:$J$2186,Eventos_Paro!$D$2:$D$2186,$E446,Eventos_Paro!$B$2:$B$2186,$B446)</f>
        <v>3.28333333333333</v>
      </c>
      <c r="J446" s="12" t="n">
        <f aca="false">G446-H446-I446</f>
        <v>128.116666666667</v>
      </c>
      <c r="K446" s="13" t="n">
        <v>400418</v>
      </c>
      <c r="L446" s="13" t="n">
        <v>375137</v>
      </c>
      <c r="M446" s="13" t="n">
        <v>17008</v>
      </c>
      <c r="N446" s="14" t="n">
        <f aca="false">L446+M446</f>
        <v>392145</v>
      </c>
      <c r="O446" s="11" t="n">
        <f aca="false">INDEX(Parametros!$D$2:$D$9,MATCH($E446,Parametros!$A$2:$A$9,0))</f>
        <v>3800</v>
      </c>
      <c r="P446" s="15" t="n">
        <f aca="false">IF((G446-H446)&gt;0,J446/(G446-H446),0)</f>
        <v>0.975012683916794</v>
      </c>
      <c r="Q446" s="15" t="n">
        <f aca="false">IF(J446*O446&gt;0,N446/(O446*J446),0)</f>
        <v>0.805484995172985</v>
      </c>
      <c r="R446" s="15" t="n">
        <f aca="false">IF(N446&gt;0,L446/N446,0)</f>
        <v>0.956628288005712</v>
      </c>
      <c r="S446" s="15" t="n">
        <f aca="false">P446*Q446*R446</f>
        <v>0.751295762236642</v>
      </c>
      <c r="T446" s="15" t="n">
        <f aca="false">IF(K446&gt;0,L446/K446,0)</f>
        <v>0.936863477665839</v>
      </c>
      <c r="U446" s="10" t="n">
        <v>2212.6</v>
      </c>
      <c r="V446" s="5" t="n">
        <v>15</v>
      </c>
      <c r="W446" s="10" t="n">
        <v>151.6</v>
      </c>
      <c r="X446" s="15" t="n">
        <f aca="false">IF(U446&gt;0,W446/U446,0)</f>
        <v>0.0685166772123294</v>
      </c>
      <c r="Y446" s="12" t="n">
        <f aca="false">IF(U446&gt;0,L446/U446,0)</f>
        <v>169.545783241435</v>
      </c>
      <c r="Z446" s="16" t="n">
        <f aca="false">L446*INDEX(Parametros!$E$2:$E$9,MATCH($E446,Parametros!$A$2:$A$9,0))</f>
        <v>420153.44</v>
      </c>
      <c r="AA446" s="16" t="n">
        <f aca="false">Z446*INDEX(Parametros!$F$2:$F$9,MATCH($E446,Parametros!$A$2:$A$9,0))</f>
        <v>14705.3704</v>
      </c>
      <c r="AB446" s="17" t="n">
        <f aca="false">Z446+AA446</f>
        <v>434858.8104</v>
      </c>
      <c r="AC446" s="18" t="n">
        <v>427521.91</v>
      </c>
      <c r="AD446" s="17" t="n">
        <f aca="false">AC446-AB446</f>
        <v>-7336.9004000001</v>
      </c>
      <c r="AE446" s="17" t="n">
        <f aca="false">AA446+AD446</f>
        <v>7368.4699999999</v>
      </c>
      <c r="AF446" s="19" t="n">
        <f aca="false">IF(Z446&gt;0,AE446/Z446,0)</f>
        <v>0.0175375691318864</v>
      </c>
      <c r="AG446" s="16" t="n">
        <f aca="false">(U446-W446)*INDEX(Parametros!$H$2:$H$9,MATCH($E446,Parametros!$A$2:$A$9,0))+W446*INDEX(Parametros!$H$2:$H$9,MATCH($E446,Parametros!$A$2:$A$9,0))*Parametros!$N$3</f>
        <v>75517.2</v>
      </c>
      <c r="AH446" s="13" t="n">
        <v>20246</v>
      </c>
      <c r="AI446" s="16" t="n">
        <f aca="false">AH446*Parametros!$N$2</f>
        <v>1862.632</v>
      </c>
      <c r="AJ446" s="18" t="n">
        <v>17635</v>
      </c>
      <c r="AK446" s="18" t="n">
        <v>3090</v>
      </c>
      <c r="AL446" s="17" t="n">
        <f aca="false">AG446+AI446+AJ446+AK446</f>
        <v>98104.832</v>
      </c>
      <c r="AM446" s="20" t="n">
        <f aca="false">IF(L446&gt;0,AL446/L446,0)</f>
        <v>0.261517344330205</v>
      </c>
      <c r="AN446" s="16" t="n">
        <f aca="false">L446*INDEX(Parametros!$G$2:$G$9,MATCH($E446,Parametros!$A$2:$A$9,0))</f>
        <v>671495.23</v>
      </c>
      <c r="AO446" s="17" t="n">
        <f aca="false">AN446-AC446-AL446</f>
        <v>145868.488</v>
      </c>
      <c r="AP446" s="15" t="n">
        <f aca="false">IF(AN446&gt;0,AO446/AN446,0)</f>
        <v>0.217229373319599</v>
      </c>
      <c r="AQ446" s="16" t="n">
        <f aca="false">INDEX(Parametros!$I$2:$I$9,MATCH($E446,Parametros!$A$2:$A$9,0))</f>
        <v>33200000</v>
      </c>
      <c r="AR446" s="19" t="n">
        <f aca="false">IF(AQ446&gt;0,AO446/AQ446,0)</f>
        <v>0.00439362915662651</v>
      </c>
    </row>
    <row r="447" customFormat="false" ht="15" hidden="false" customHeight="false" outlineLevel="0" collapsed="false">
      <c r="A447" s="5" t="s">
        <v>582</v>
      </c>
      <c r="B447" s="9" t="n">
        <v>45936</v>
      </c>
      <c r="C447" s="2" t="str">
        <f aca="false">TEXT(B447,"yyyy")</f>
        <v>2025</v>
      </c>
      <c r="D447" s="2" t="n">
        <f aca="false">WEEKNUM(B447,2)</f>
        <v>41</v>
      </c>
      <c r="E447" s="5" t="s">
        <v>140</v>
      </c>
      <c r="F447" s="6" t="str">
        <f aca="false">INDEX(Parametros!$B$2:$B$9,MATCH($E447,Parametros!$A$2:$A$9,0))</f>
        <v>Crema de cacahuate</v>
      </c>
      <c r="G447" s="10" t="n">
        <v>99.7</v>
      </c>
      <c r="H447" s="10" t="n">
        <v>5.8</v>
      </c>
      <c r="I447" s="11" t="n">
        <f aca="false">SUMIFS(Eventos_Paro!$J$2:$J$2186,Eventos_Paro!$D$2:$D$2186,$E447,Eventos_Paro!$B$2:$B$2186,$B447)</f>
        <v>0.366666666666667</v>
      </c>
      <c r="J447" s="12" t="n">
        <f aca="false">G447-H447-I447</f>
        <v>93.5333333333334</v>
      </c>
      <c r="K447" s="13" t="n">
        <v>316264</v>
      </c>
      <c r="L447" s="13" t="n">
        <v>332117</v>
      </c>
      <c r="M447" s="13" t="n">
        <v>6893</v>
      </c>
      <c r="N447" s="14" t="n">
        <f aca="false">L447+M447</f>
        <v>339010</v>
      </c>
      <c r="O447" s="11" t="n">
        <f aca="false">INDEX(Parametros!$D$2:$D$9,MATCH($E447,Parametros!$A$2:$A$9,0))</f>
        <v>4200</v>
      </c>
      <c r="P447" s="15" t="n">
        <f aca="false">IF((G447-H447)&gt;0,J447/(G447-H447),0)</f>
        <v>0.996095136670217</v>
      </c>
      <c r="Q447" s="15" t="n">
        <f aca="false">IF(J447*O447&gt;0,N447/(O447*J447),0)</f>
        <v>0.862972202423378</v>
      </c>
      <c r="R447" s="15" t="n">
        <f aca="false">IF(N447&gt;0,L447/N447,0)</f>
        <v>0.979667266452317</v>
      </c>
      <c r="S447" s="15" t="n">
        <f aca="false">P447*Q447*R447</f>
        <v>0.842124347076424</v>
      </c>
      <c r="T447" s="15" t="n">
        <f aca="false">IF(K447&gt;0,L447/K447,0)</f>
        <v>1.0501258442314</v>
      </c>
      <c r="U447" s="10" t="n">
        <v>1220.9</v>
      </c>
      <c r="V447" s="5" t="n">
        <v>12</v>
      </c>
      <c r="W447" s="10" t="n">
        <v>24.5</v>
      </c>
      <c r="X447" s="15" t="n">
        <f aca="false">IF(U447&gt;0,W447/U447,0)</f>
        <v>0.0200671635678598</v>
      </c>
      <c r="Y447" s="12" t="n">
        <f aca="false">IF(U447&gt;0,L447/U447,0)</f>
        <v>272.026373986403</v>
      </c>
      <c r="Z447" s="16" t="n">
        <f aca="false">L447*INDEX(Parametros!$E$2:$E$9,MATCH($E447,Parametros!$A$2:$A$9,0))</f>
        <v>322153.49</v>
      </c>
      <c r="AA447" s="16" t="n">
        <f aca="false">Z447*INDEX(Parametros!$F$2:$F$9,MATCH($E447,Parametros!$A$2:$A$9,0))</f>
        <v>7087.37678</v>
      </c>
      <c r="AB447" s="17" t="n">
        <f aca="false">Z447+AA447</f>
        <v>329240.86678</v>
      </c>
      <c r="AC447" s="18" t="n">
        <v>331691.94</v>
      </c>
      <c r="AD447" s="17" t="n">
        <f aca="false">AC447-AB447</f>
        <v>2451.07322000002</v>
      </c>
      <c r="AE447" s="17" t="n">
        <f aca="false">AA447+AD447</f>
        <v>9538.45000000002</v>
      </c>
      <c r="AF447" s="19" t="n">
        <f aca="false">IF(Z447&gt;0,AE447/Z447,0)</f>
        <v>0.0296084018832142</v>
      </c>
      <c r="AG447" s="16" t="n">
        <f aca="false">(U447-W447)*INDEX(Parametros!$H$2:$H$9,MATCH($E447,Parametros!$A$2:$A$9,0))+W447*INDEX(Parametros!$H$2:$H$9,MATCH($E447,Parametros!$A$2:$A$9,0))*Parametros!$N$3</f>
        <v>38844.225</v>
      </c>
      <c r="AH447" s="13" t="n">
        <v>16957</v>
      </c>
      <c r="AI447" s="16" t="n">
        <f aca="false">AH447*Parametros!$N$2</f>
        <v>1560.044</v>
      </c>
      <c r="AJ447" s="18" t="n">
        <v>10334</v>
      </c>
      <c r="AK447" s="18" t="n">
        <v>277</v>
      </c>
      <c r="AL447" s="17" t="n">
        <f aca="false">AG447+AI447+AJ447+AK447</f>
        <v>51015.269</v>
      </c>
      <c r="AM447" s="20" t="n">
        <f aca="false">IF(L447&gt;0,AL447/L447,0)</f>
        <v>0.153606316448721</v>
      </c>
      <c r="AN447" s="16" t="n">
        <f aca="false">L447*INDEX(Parametros!$G$2:$G$9,MATCH($E447,Parametros!$A$2:$A$9,0))</f>
        <v>538029.54</v>
      </c>
      <c r="AO447" s="17" t="n">
        <f aca="false">AN447-AC447-AL447</f>
        <v>155322.331</v>
      </c>
      <c r="AP447" s="15" t="n">
        <f aca="false">IF(AN447&gt;0,AO447/AN447,0)</f>
        <v>0.288687366496643</v>
      </c>
      <c r="AQ447" s="16" t="n">
        <f aca="false">INDEX(Parametros!$I$2:$I$9,MATCH($E447,Parametros!$A$2:$A$9,0))</f>
        <v>28000000</v>
      </c>
      <c r="AR447" s="19" t="n">
        <f aca="false">IF(AQ447&gt;0,AO447/AQ447,0)</f>
        <v>0.00554722610714286</v>
      </c>
    </row>
    <row r="448" customFormat="false" ht="15" hidden="false" customHeight="false" outlineLevel="0" collapsed="false">
      <c r="A448" s="5" t="s">
        <v>583</v>
      </c>
      <c r="B448" s="9" t="n">
        <v>45936</v>
      </c>
      <c r="C448" s="2" t="str">
        <f aca="false">TEXT(B448,"yyyy")</f>
        <v>2025</v>
      </c>
      <c r="D448" s="2" t="n">
        <f aca="false">WEEKNUM(B448,2)</f>
        <v>41</v>
      </c>
      <c r="E448" s="5" t="s">
        <v>142</v>
      </c>
      <c r="F448" s="6" t="str">
        <f aca="false">INDEX(Parametros!$B$2:$B$9,MATCH($E448,Parametros!$A$2:$A$9,0))</f>
        <v>Porciones single serve</v>
      </c>
      <c r="G448" s="10" t="n">
        <v>98</v>
      </c>
      <c r="H448" s="10" t="n">
        <v>5.1</v>
      </c>
      <c r="I448" s="11" t="n">
        <f aca="false">SUMIFS(Eventos_Paro!$J$2:$J$2186,Eventos_Paro!$D$2:$D$2186,$E448,Eventos_Paro!$B$2:$B$2186,$B448)</f>
        <v>5.81666666666667</v>
      </c>
      <c r="J448" s="12" t="n">
        <f aca="false">G448-H448-I448</f>
        <v>87.0833333333333</v>
      </c>
      <c r="K448" s="13" t="n">
        <v>193697</v>
      </c>
      <c r="L448" s="13" t="n">
        <v>161955</v>
      </c>
      <c r="M448" s="13" t="n">
        <v>8431</v>
      </c>
      <c r="N448" s="14" t="n">
        <f aca="false">L448+M448</f>
        <v>170386</v>
      </c>
      <c r="O448" s="11" t="n">
        <f aca="false">INDEX(Parametros!$D$2:$D$9,MATCH($E448,Parametros!$A$2:$A$9,0))</f>
        <v>2600</v>
      </c>
      <c r="P448" s="15" t="n">
        <f aca="false">IF((G448-H448)&gt;0,J448/(G448-H448),0)</f>
        <v>0.937387872264083</v>
      </c>
      <c r="Q448" s="15" t="n">
        <f aca="false">IF(J448*O448&gt;0,N448/(O448*J448),0)</f>
        <v>0.752532940743467</v>
      </c>
      <c r="R448" s="15" t="n">
        <f aca="false">IF(N448&gt;0,L448/N448,0)</f>
        <v>0.950518235066261</v>
      </c>
      <c r="S448" s="15" t="n">
        <f aca="false">P448*Q448*R448</f>
        <v>0.670510060445475</v>
      </c>
      <c r="T448" s="15" t="n">
        <f aca="false">IF(K448&gt;0,L448/K448,0)</f>
        <v>0.836125494974109</v>
      </c>
      <c r="U448" s="10" t="n">
        <v>1754.3</v>
      </c>
      <c r="V448" s="5" t="n">
        <v>17</v>
      </c>
      <c r="W448" s="10" t="n">
        <v>88.3</v>
      </c>
      <c r="X448" s="15" t="n">
        <f aca="false">IF(U448&gt;0,W448/U448,0)</f>
        <v>0.0503334663398507</v>
      </c>
      <c r="Y448" s="12" t="n">
        <f aca="false">IF(U448&gt;0,L448/U448,0)</f>
        <v>92.3188736248076</v>
      </c>
      <c r="Z448" s="16" t="n">
        <f aca="false">L448*INDEX(Parametros!$E$2:$E$9,MATCH($E448,Parametros!$A$2:$A$9,0))</f>
        <v>119846.7</v>
      </c>
      <c r="AA448" s="16" t="n">
        <f aca="false">Z448*INDEX(Parametros!$F$2:$F$9,MATCH($E448,Parametros!$A$2:$A$9,0))</f>
        <v>5393.1015</v>
      </c>
      <c r="AB448" s="17" t="n">
        <f aca="false">Z448+AA448</f>
        <v>125239.8015</v>
      </c>
      <c r="AC448" s="18" t="n">
        <v>125041.68</v>
      </c>
      <c r="AD448" s="17" t="n">
        <f aca="false">AC448-AB448</f>
        <v>-198.121500000008</v>
      </c>
      <c r="AE448" s="17" t="n">
        <f aca="false">AA448+AD448</f>
        <v>5194.97999999999</v>
      </c>
      <c r="AF448" s="19" t="n">
        <f aca="false">IF(Z448&gt;0,AE448/Z448,0)</f>
        <v>0.0433468756336219</v>
      </c>
      <c r="AG448" s="16" t="n">
        <f aca="false">(U448-W448)*INDEX(Parametros!$H$2:$H$9,MATCH($E448,Parametros!$A$2:$A$9,0))+W448*INDEX(Parametros!$H$2:$H$9,MATCH($E448,Parametros!$A$2:$A$9,0))*Parametros!$N$3</f>
        <v>53953.5</v>
      </c>
      <c r="AH448" s="13" t="n">
        <v>9093</v>
      </c>
      <c r="AI448" s="16" t="n">
        <f aca="false">AH448*Parametros!$N$2</f>
        <v>836.556</v>
      </c>
      <c r="AJ448" s="18" t="n">
        <v>11764</v>
      </c>
      <c r="AK448" s="18" t="n">
        <v>8051</v>
      </c>
      <c r="AL448" s="17" t="n">
        <f aca="false">AG448+AI448+AJ448+AK448</f>
        <v>74605.056</v>
      </c>
      <c r="AM448" s="20" t="n">
        <f aca="false">IF(L448&gt;0,AL448/L448,0)</f>
        <v>0.460652996202649</v>
      </c>
      <c r="AN448" s="16" t="n">
        <f aca="false">L448*INDEX(Parametros!$G$2:$G$9,MATCH($E448,Parametros!$A$2:$A$9,0))</f>
        <v>278562.6</v>
      </c>
      <c r="AO448" s="17" t="n">
        <f aca="false">AN448-AC448-AL448</f>
        <v>78915.864</v>
      </c>
      <c r="AP448" s="15" t="n">
        <f aca="false">IF(AN448&gt;0,AO448/AN448,0)</f>
        <v>0.283296695249111</v>
      </c>
      <c r="AQ448" s="16" t="n">
        <f aca="false">INDEX(Parametros!$I$2:$I$9,MATCH($E448,Parametros!$A$2:$A$9,0))</f>
        <v>15900000</v>
      </c>
      <c r="AR448" s="19" t="n">
        <f aca="false">IF(AQ448&gt;0,AO448/AQ448,0)</f>
        <v>0.00496326188679245</v>
      </c>
    </row>
    <row r="449" customFormat="false" ht="15" hidden="false" customHeight="false" outlineLevel="0" collapsed="false">
      <c r="A449" s="5" t="s">
        <v>584</v>
      </c>
      <c r="B449" s="9" t="n">
        <v>45936</v>
      </c>
      <c r="C449" s="2" t="str">
        <f aca="false">TEXT(B449,"yyyy")</f>
        <v>2025</v>
      </c>
      <c r="D449" s="2" t="n">
        <f aca="false">WEEKNUM(B449,2)</f>
        <v>41</v>
      </c>
      <c r="E449" s="5" t="s">
        <v>144</v>
      </c>
      <c r="F449" s="6" t="str">
        <f aca="false">INDEX(Parametros!$B$2:$B$9,MATCH($E449,Parametros!$A$2:$A$9,0))</f>
        <v>Salsas picantes</v>
      </c>
      <c r="G449" s="10" t="n">
        <v>78.8</v>
      </c>
      <c r="H449" s="10" t="n">
        <v>7</v>
      </c>
      <c r="I449" s="11" t="n">
        <f aca="false">SUMIFS(Eventos_Paro!$J$2:$J$2186,Eventos_Paro!$D$2:$D$2186,$E449,Eventos_Paro!$B$2:$B$2186,$B449)</f>
        <v>0</v>
      </c>
      <c r="J449" s="12" t="n">
        <f aca="false">G449-H449-I449</f>
        <v>71.8</v>
      </c>
      <c r="K449" s="13" t="n">
        <v>177880</v>
      </c>
      <c r="L449" s="13" t="n">
        <v>180512</v>
      </c>
      <c r="M449" s="13" t="n">
        <v>5932</v>
      </c>
      <c r="N449" s="14" t="n">
        <f aca="false">L449+M449</f>
        <v>186444</v>
      </c>
      <c r="O449" s="11" t="n">
        <f aca="false">INDEX(Parametros!$D$2:$D$9,MATCH($E449,Parametros!$A$2:$A$9,0))</f>
        <v>3100</v>
      </c>
      <c r="P449" s="15" t="n">
        <f aca="false">IF((G449-H449)&gt;0,J449/(G449-H449),0)</f>
        <v>1</v>
      </c>
      <c r="Q449" s="15" t="n">
        <f aca="false">IF(J449*O449&gt;0,N449/(O449*J449),0)</f>
        <v>0.83764938449097</v>
      </c>
      <c r="R449" s="15" t="n">
        <f aca="false">IF(N449&gt;0,L449/N449,0)</f>
        <v>0.968183476003519</v>
      </c>
      <c r="S449" s="15" t="n">
        <f aca="false">P449*Q449*R449</f>
        <v>0.810998292748675</v>
      </c>
      <c r="T449" s="15" t="n">
        <f aca="false">IF(K449&gt;0,L449/K449,0)</f>
        <v>1.01479649201709</v>
      </c>
      <c r="U449" s="10" t="n">
        <v>750.8</v>
      </c>
      <c r="V449" s="5" t="n">
        <v>9</v>
      </c>
      <c r="W449" s="10" t="n">
        <v>41.6</v>
      </c>
      <c r="X449" s="15" t="n">
        <f aca="false">IF(U449&gt;0,W449/U449,0)</f>
        <v>0.0554075652637187</v>
      </c>
      <c r="Y449" s="12" t="n">
        <f aca="false">IF(U449&gt;0,L449/U449,0)</f>
        <v>240.42621204049</v>
      </c>
      <c r="Z449" s="16" t="n">
        <f aca="false">L449*INDEX(Parametros!$E$2:$E$9,MATCH($E449,Parametros!$A$2:$A$9,0))</f>
        <v>119137.92</v>
      </c>
      <c r="AA449" s="16" t="n">
        <f aca="false">Z449*INDEX(Parametros!$F$2:$F$9,MATCH($E449,Parametros!$A$2:$A$9,0))</f>
        <v>3097.58592</v>
      </c>
      <c r="AB449" s="17" t="n">
        <f aca="false">Z449+AA449</f>
        <v>122235.50592</v>
      </c>
      <c r="AC449" s="18" t="n">
        <v>123488.52</v>
      </c>
      <c r="AD449" s="17" t="n">
        <f aca="false">AC449-AB449</f>
        <v>1253.01407999999</v>
      </c>
      <c r="AE449" s="17" t="n">
        <f aca="false">AA449+AD449</f>
        <v>4350.59999999999</v>
      </c>
      <c r="AF449" s="19" t="n">
        <f aca="false">IF(Z449&gt;0,AE449/Z449,0)</f>
        <v>0.0365173405746885</v>
      </c>
      <c r="AG449" s="16" t="n">
        <f aca="false">(U449-W449)*INDEX(Parametros!$H$2:$H$9,MATCH($E449,Parametros!$A$2:$A$9,0))+W449*INDEX(Parametros!$H$2:$H$9,MATCH($E449,Parametros!$A$2:$A$9,0))*Parametros!$N$3</f>
        <v>24305.4</v>
      </c>
      <c r="AH449" s="13" t="n">
        <v>9290</v>
      </c>
      <c r="AI449" s="16" t="n">
        <f aca="false">AH449*Parametros!$N$2</f>
        <v>854.68</v>
      </c>
      <c r="AJ449" s="18" t="n">
        <v>7106</v>
      </c>
      <c r="AK449" s="18" t="n">
        <v>0</v>
      </c>
      <c r="AL449" s="17" t="n">
        <f aca="false">AG449+AI449+AJ449+AK449</f>
        <v>32266.08</v>
      </c>
      <c r="AM449" s="20" t="n">
        <f aca="false">IF(L449&gt;0,AL449/L449,0)</f>
        <v>0.17874756248892</v>
      </c>
      <c r="AN449" s="16" t="n">
        <f aca="false">L449*INDEX(Parametros!$G$2:$G$9,MATCH($E449,Parametros!$A$2:$A$9,0))</f>
        <v>225640</v>
      </c>
      <c r="AO449" s="17" t="n">
        <f aca="false">AN449-AC449-AL449</f>
        <v>69885.4</v>
      </c>
      <c r="AP449" s="15" t="n">
        <f aca="false">IF(AN449&gt;0,AO449/AN449,0)</f>
        <v>0.309720794185428</v>
      </c>
      <c r="AQ449" s="16" t="n">
        <f aca="false">INDEX(Parametros!$I$2:$I$9,MATCH($E449,Parametros!$A$2:$A$9,0))</f>
        <v>13300000</v>
      </c>
      <c r="AR449" s="19" t="n">
        <f aca="false">IF(AQ449&gt;0,AO449/AQ449,0)</f>
        <v>0.00525454135338346</v>
      </c>
    </row>
    <row r="450" customFormat="false" ht="15" hidden="false" customHeight="false" outlineLevel="0" collapsed="false">
      <c r="A450" s="5" t="s">
        <v>585</v>
      </c>
      <c r="B450" s="9" t="n">
        <v>45943</v>
      </c>
      <c r="C450" s="2" t="str">
        <f aca="false">TEXT(B450,"yyyy")</f>
        <v>2025</v>
      </c>
      <c r="D450" s="2" t="n">
        <f aca="false">WEEKNUM(B450,2)</f>
        <v>42</v>
      </c>
      <c r="E450" s="5" t="s">
        <v>130</v>
      </c>
      <c r="F450" s="6" t="str">
        <f aca="false">INDEX(Parametros!$B$2:$B$9,MATCH($E450,Parametros!$A$2:$A$9,0))</f>
        <v>Ketchup botella</v>
      </c>
      <c r="G450" s="10" t="n">
        <v>125.4</v>
      </c>
      <c r="H450" s="10" t="n">
        <v>7.1</v>
      </c>
      <c r="I450" s="11" t="n">
        <f aca="false">SUMIFS(Eventos_Paro!$J$2:$J$2186,Eventos_Paro!$D$2:$D$2186,$E450,Eventos_Paro!$B$2:$B$2186,$B450)</f>
        <v>3.8</v>
      </c>
      <c r="J450" s="12" t="n">
        <f aca="false">G450-H450-I450</f>
        <v>114.5</v>
      </c>
      <c r="K450" s="13" t="n">
        <v>849709</v>
      </c>
      <c r="L450" s="13" t="n">
        <v>902203</v>
      </c>
      <c r="M450" s="13" t="n">
        <v>15809</v>
      </c>
      <c r="N450" s="14" t="n">
        <f aca="false">L450+M450</f>
        <v>918012</v>
      </c>
      <c r="O450" s="11" t="n">
        <f aca="false">INDEX(Parametros!$D$2:$D$9,MATCH($E450,Parametros!$A$2:$A$9,0))</f>
        <v>9000</v>
      </c>
      <c r="P450" s="15" t="n">
        <f aca="false">IF((G450-H450)&gt;0,J450/(G450-H450),0)</f>
        <v>0.967878275570583</v>
      </c>
      <c r="Q450" s="15" t="n">
        <f aca="false">IF(J450*O450&gt;0,N450/(O450*J450),0)</f>
        <v>0.89084133915575</v>
      </c>
      <c r="R450" s="15" t="n">
        <f aca="false">IF(N450&gt;0,L450/N450,0)</f>
        <v>0.982779092212302</v>
      </c>
      <c r="S450" s="15" t="n">
        <f aca="false">P450*Q450*R450</f>
        <v>0.847377665069973</v>
      </c>
      <c r="T450" s="15" t="n">
        <f aca="false">IF(K450&gt;0,L450/K450,0)</f>
        <v>1.06177879721175</v>
      </c>
      <c r="U450" s="10" t="n">
        <v>1678.8</v>
      </c>
      <c r="V450" s="5" t="n">
        <v>13</v>
      </c>
      <c r="W450" s="10" t="n">
        <v>48.6</v>
      </c>
      <c r="X450" s="15" t="n">
        <f aca="false">IF(U450&gt;0,W450/U450,0)</f>
        <v>0.0289492494639028</v>
      </c>
      <c r="Y450" s="12" t="n">
        <f aca="false">IF(U450&gt;0,L450/U450,0)</f>
        <v>537.409459137479</v>
      </c>
      <c r="Z450" s="16" t="n">
        <f aca="false">L450*INDEX(Parametros!$E$2:$E$9,MATCH($E450,Parametros!$A$2:$A$9,0))</f>
        <v>378925.26</v>
      </c>
      <c r="AA450" s="16" t="n">
        <f aca="false">Z450*INDEX(Parametros!$F$2:$F$9,MATCH($E450,Parametros!$A$2:$A$9,0))</f>
        <v>7578.5052</v>
      </c>
      <c r="AB450" s="17" t="n">
        <f aca="false">Z450+AA450</f>
        <v>386503.7652</v>
      </c>
      <c r="AC450" s="18" t="n">
        <v>385127.75</v>
      </c>
      <c r="AD450" s="17" t="n">
        <f aca="false">AC450-AB450</f>
        <v>-1376.01520000002</v>
      </c>
      <c r="AE450" s="17" t="n">
        <f aca="false">AA450+AD450</f>
        <v>6202.48999999998</v>
      </c>
      <c r="AF450" s="19" t="n">
        <f aca="false">IF(Z450&gt;0,AE450/Z450,0)</f>
        <v>0.0163686369180032</v>
      </c>
      <c r="AG450" s="16" t="n">
        <f aca="false">(U450-W450)*INDEX(Parametros!$H$2:$H$9,MATCH($E450,Parametros!$A$2:$A$9,0))+W450*INDEX(Parametros!$H$2:$H$9,MATCH($E450,Parametros!$A$2:$A$9,0))*Parametros!$N$3</f>
        <v>53647.65</v>
      </c>
      <c r="AH450" s="13" t="n">
        <v>44896</v>
      </c>
      <c r="AI450" s="16" t="n">
        <f aca="false">AH450*Parametros!$N$2</f>
        <v>4130.432</v>
      </c>
      <c r="AJ450" s="18" t="n">
        <v>16568</v>
      </c>
      <c r="AK450" s="18" t="n">
        <v>3241</v>
      </c>
      <c r="AL450" s="17" t="n">
        <f aca="false">AG450+AI450+AJ450+AK450</f>
        <v>77587.082</v>
      </c>
      <c r="AM450" s="20" t="n">
        <f aca="false">IF(L450&gt;0,AL450/L450,0)</f>
        <v>0.0859973664463541</v>
      </c>
      <c r="AN450" s="16" t="n">
        <f aca="false">L450*INDEX(Parametros!$G$2:$G$9,MATCH($E450,Parametros!$A$2:$A$9,0))</f>
        <v>640564.13</v>
      </c>
      <c r="AO450" s="17" t="n">
        <f aca="false">AN450-AC450-AL450</f>
        <v>177849.298</v>
      </c>
      <c r="AP450" s="15" t="n">
        <f aca="false">IF(AN450&gt;0,AO450/AN450,0)</f>
        <v>0.277644797250823</v>
      </c>
      <c r="AQ450" s="16" t="n">
        <f aca="false">INDEX(Parametros!$I$2:$I$9,MATCH($E450,Parametros!$A$2:$A$9,0))</f>
        <v>29300000</v>
      </c>
      <c r="AR450" s="19" t="n">
        <f aca="false">IF(AQ450&gt;0,AO450/AQ450,0)</f>
        <v>0.0060699419112628</v>
      </c>
    </row>
    <row r="451" customFormat="false" ht="15" hidden="false" customHeight="false" outlineLevel="0" collapsed="false">
      <c r="A451" s="5" t="s">
        <v>586</v>
      </c>
      <c r="B451" s="9" t="n">
        <v>45943</v>
      </c>
      <c r="C451" s="2" t="str">
        <f aca="false">TEXT(B451,"yyyy")</f>
        <v>2025</v>
      </c>
      <c r="D451" s="2" t="n">
        <f aca="false">WEEKNUM(B451,2)</f>
        <v>42</v>
      </c>
      <c r="E451" s="5" t="s">
        <v>132</v>
      </c>
      <c r="F451" s="6" t="str">
        <f aca="false">INDEX(Parametros!$B$2:$B$9,MATCH($E451,Parametros!$A$2:$A$9,0))</f>
        <v>Mayonesa frasco</v>
      </c>
      <c r="G451" s="10" t="n">
        <v>112.9</v>
      </c>
      <c r="H451" s="10" t="n">
        <v>6.4</v>
      </c>
      <c r="I451" s="11" t="n">
        <f aca="false">SUMIFS(Eventos_Paro!$J$2:$J$2186,Eventos_Paro!$D$2:$D$2186,$E451,Eventos_Paro!$B$2:$B$2186,$B451)</f>
        <v>2.01666666666667</v>
      </c>
      <c r="J451" s="12" t="n">
        <f aca="false">G451-H451-I451</f>
        <v>104.483333333333</v>
      </c>
      <c r="K451" s="13" t="n">
        <v>552466</v>
      </c>
      <c r="L451" s="13" t="n">
        <v>549221</v>
      </c>
      <c r="M451" s="13" t="n">
        <v>17104</v>
      </c>
      <c r="N451" s="14" t="n">
        <f aca="false">L451+M451</f>
        <v>566325</v>
      </c>
      <c r="O451" s="11" t="n">
        <f aca="false">INDEX(Parametros!$D$2:$D$9,MATCH($E451,Parametros!$A$2:$A$9,0))</f>
        <v>6500</v>
      </c>
      <c r="P451" s="15" t="n">
        <f aca="false">IF((G451-H451)&gt;0,J451/(G451-H451),0)</f>
        <v>0.981064162754304</v>
      </c>
      <c r="Q451" s="15" t="n">
        <f aca="false">IF(J451*O451&gt;0,N451/(O451*J451),0)</f>
        <v>0.83388345583273</v>
      </c>
      <c r="R451" s="15" t="n">
        <f aca="false">IF(N451&gt;0,L451/N451,0)</f>
        <v>0.96979826071602</v>
      </c>
      <c r="S451" s="15" t="n">
        <f aca="false">P451*Q451*R451</f>
        <v>0.793385337667028</v>
      </c>
      <c r="T451" s="15" t="n">
        <f aca="false">IF(K451&gt;0,L451/K451,0)</f>
        <v>0.994126335376295</v>
      </c>
      <c r="U451" s="10" t="n">
        <v>1676.8</v>
      </c>
      <c r="V451" s="5" t="n">
        <v>14</v>
      </c>
      <c r="W451" s="10" t="n">
        <v>96.2</v>
      </c>
      <c r="X451" s="15" t="n">
        <f aca="false">IF(U451&gt;0,W451/U451,0)</f>
        <v>0.0573711832061069</v>
      </c>
      <c r="Y451" s="12" t="n">
        <f aca="false">IF(U451&gt;0,L451/U451,0)</f>
        <v>327.54114980916</v>
      </c>
      <c r="Z451" s="16" t="n">
        <f aca="false">L451*INDEX(Parametros!$E$2:$E$9,MATCH($E451,Parametros!$A$2:$A$9,0))</f>
        <v>335024.81</v>
      </c>
      <c r="AA451" s="16" t="n">
        <f aca="false">Z451*INDEX(Parametros!$F$2:$F$9,MATCH($E451,Parametros!$A$2:$A$9,0))</f>
        <v>8375.62025</v>
      </c>
      <c r="AB451" s="17" t="n">
        <f aca="false">Z451+AA451</f>
        <v>343400.43025</v>
      </c>
      <c r="AC451" s="18" t="n">
        <v>353616.24</v>
      </c>
      <c r="AD451" s="17" t="n">
        <f aca="false">AC451-AB451</f>
        <v>10215.80975</v>
      </c>
      <c r="AE451" s="17" t="n">
        <f aca="false">AA451+AD451</f>
        <v>18591.43</v>
      </c>
      <c r="AF451" s="19" t="n">
        <f aca="false">IF(Z451&gt;0,AE451/Z451,0)</f>
        <v>0.0554926961976339</v>
      </c>
      <c r="AG451" s="16" t="n">
        <f aca="false">(U451-W451)*INDEX(Parametros!$H$2:$H$9,MATCH($E451,Parametros!$A$2:$A$9,0))+W451*INDEX(Parametros!$H$2:$H$9,MATCH($E451,Parametros!$A$2:$A$9,0))*Parametros!$N$3</f>
        <v>54334.35</v>
      </c>
      <c r="AH451" s="13" t="n">
        <v>28946</v>
      </c>
      <c r="AI451" s="16" t="n">
        <f aca="false">AH451*Parametros!$N$2</f>
        <v>2663.032</v>
      </c>
      <c r="AJ451" s="18" t="n">
        <v>13362</v>
      </c>
      <c r="AK451" s="18" t="n">
        <v>1144</v>
      </c>
      <c r="AL451" s="17" t="n">
        <f aca="false">AG451+AI451+AJ451+AK451</f>
        <v>71503.382</v>
      </c>
      <c r="AM451" s="20" t="n">
        <f aca="false">IF(L451&gt;0,AL451/L451,0)</f>
        <v>0.130190546246411</v>
      </c>
      <c r="AN451" s="16" t="n">
        <f aca="false">L451*INDEX(Parametros!$G$2:$G$9,MATCH($E451,Parametros!$A$2:$A$9,0))</f>
        <v>527252.16</v>
      </c>
      <c r="AO451" s="17" t="n">
        <f aca="false">AN451-AC451-AL451</f>
        <v>102132.538</v>
      </c>
      <c r="AP451" s="15" t="n">
        <f aca="false">IF(AN451&gt;0,AO451/AN451,0)</f>
        <v>0.193707196951076</v>
      </c>
      <c r="AQ451" s="16" t="n">
        <f aca="false">INDEX(Parametros!$I$2:$I$9,MATCH($E451,Parametros!$A$2:$A$9,0))</f>
        <v>29700000</v>
      </c>
      <c r="AR451" s="19" t="n">
        <f aca="false">IF(AQ451&gt;0,AO451/AQ451,0)</f>
        <v>0.003438805993266</v>
      </c>
    </row>
    <row r="452" customFormat="false" ht="15" hidden="false" customHeight="false" outlineLevel="0" collapsed="false">
      <c r="A452" s="5" t="s">
        <v>587</v>
      </c>
      <c r="B452" s="9" t="n">
        <v>45943</v>
      </c>
      <c r="C452" s="2" t="str">
        <f aca="false">TEXT(B452,"yyyy")</f>
        <v>2025</v>
      </c>
      <c r="D452" s="2" t="n">
        <f aca="false">WEEKNUM(B452,2)</f>
        <v>42</v>
      </c>
      <c r="E452" s="5" t="s">
        <v>134</v>
      </c>
      <c r="F452" s="6" t="str">
        <f aca="false">INDEX(Parametros!$B$2:$B$9,MATCH($E452,Parametros!$A$2:$A$9,0))</f>
        <v>Aderezos vertibles</v>
      </c>
      <c r="G452" s="10" t="n">
        <v>121.3</v>
      </c>
      <c r="H452" s="10" t="n">
        <v>5.2</v>
      </c>
      <c r="I452" s="11" t="n">
        <f aca="false">SUMIFS(Eventos_Paro!$J$2:$J$2186,Eventos_Paro!$D$2:$D$2186,$E452,Eventos_Paro!$B$2:$B$2186,$B452)</f>
        <v>2.3</v>
      </c>
      <c r="J452" s="12" t="n">
        <f aca="false">G452-H452-I452</f>
        <v>113.8</v>
      </c>
      <c r="K452" s="13" t="n">
        <v>481813</v>
      </c>
      <c r="L452" s="13" t="n">
        <v>496877</v>
      </c>
      <c r="M452" s="13" t="n">
        <v>12205</v>
      </c>
      <c r="N452" s="14" t="n">
        <f aca="false">L452+M452</f>
        <v>509082</v>
      </c>
      <c r="O452" s="11" t="n">
        <f aca="false">INDEX(Parametros!$D$2:$D$9,MATCH($E452,Parametros!$A$2:$A$9,0))</f>
        <v>5200</v>
      </c>
      <c r="P452" s="15" t="n">
        <f aca="false">IF((G452-H452)&gt;0,J452/(G452-H452),0)</f>
        <v>0.980189491817399</v>
      </c>
      <c r="Q452" s="15" t="n">
        <f aca="false">IF(J452*O452&gt;0,N452/(O452*J452),0)</f>
        <v>0.860284574827633</v>
      </c>
      <c r="R452" s="15" t="n">
        <f aca="false">IF(N452&gt;0,L452/N452,0)</f>
        <v>0.976025473302926</v>
      </c>
      <c r="S452" s="15" t="n">
        <f aca="false">P452*Q452*R452</f>
        <v>0.823025574769761</v>
      </c>
      <c r="T452" s="15" t="n">
        <f aca="false">IF(K452&gt;0,L452/K452,0)</f>
        <v>1.03126524190921</v>
      </c>
      <c r="U452" s="10" t="n">
        <v>1659.7</v>
      </c>
      <c r="V452" s="5" t="n">
        <v>13</v>
      </c>
      <c r="W452" s="10" t="n">
        <v>82.8</v>
      </c>
      <c r="X452" s="15" t="n">
        <f aca="false">IF(U452&gt;0,W452/U452,0)</f>
        <v>0.0498885340724227</v>
      </c>
      <c r="Y452" s="12" t="n">
        <f aca="false">IF(U452&gt;0,L452/U452,0)</f>
        <v>299.37759836115</v>
      </c>
      <c r="Z452" s="16" t="n">
        <f aca="false">L452*INDEX(Parametros!$E$2:$E$9,MATCH($E452,Parametros!$A$2:$A$9,0))</f>
        <v>273282.35</v>
      </c>
      <c r="AA452" s="16" t="n">
        <f aca="false">Z452*INDEX(Parametros!$F$2:$F$9,MATCH($E452,Parametros!$A$2:$A$9,0))</f>
        <v>8198.4705</v>
      </c>
      <c r="AB452" s="17" t="n">
        <f aca="false">Z452+AA452</f>
        <v>281480.8205</v>
      </c>
      <c r="AC452" s="18" t="n">
        <v>279609.25</v>
      </c>
      <c r="AD452" s="17" t="n">
        <f aca="false">AC452-AB452</f>
        <v>-1871.57050000003</v>
      </c>
      <c r="AE452" s="17" t="n">
        <f aca="false">AA452+AD452</f>
        <v>6326.89999999997</v>
      </c>
      <c r="AF452" s="19" t="n">
        <f aca="false">IF(Z452&gt;0,AE452/Z452,0)</f>
        <v>0.0231515134438795</v>
      </c>
      <c r="AG452" s="16" t="n">
        <f aca="false">(U452-W452)*INDEX(Parametros!$H$2:$H$9,MATCH($E452,Parametros!$A$2:$A$9,0))+W452*INDEX(Parametros!$H$2:$H$9,MATCH($E452,Parametros!$A$2:$A$9,0))*Parametros!$N$3</f>
        <v>53584.65</v>
      </c>
      <c r="AH452" s="13" t="n">
        <v>24549</v>
      </c>
      <c r="AI452" s="16" t="n">
        <f aca="false">AH452*Parametros!$N$2</f>
        <v>2258.508</v>
      </c>
      <c r="AJ452" s="18" t="n">
        <v>10769</v>
      </c>
      <c r="AK452" s="18" t="n">
        <v>1323</v>
      </c>
      <c r="AL452" s="17" t="n">
        <f aca="false">AG452+AI452+AJ452+AK452</f>
        <v>67935.158</v>
      </c>
      <c r="AM452" s="20" t="n">
        <f aca="false">IF(L452&gt;0,AL452/L452,0)</f>
        <v>0.136724295952519</v>
      </c>
      <c r="AN452" s="16" t="n">
        <f aca="false">L452*INDEX(Parametros!$G$2:$G$9,MATCH($E452,Parametros!$A$2:$A$9,0))</f>
        <v>506814.54</v>
      </c>
      <c r="AO452" s="17" t="n">
        <f aca="false">AN452-AC452-AL452</f>
        <v>159270.132</v>
      </c>
      <c r="AP452" s="15" t="n">
        <f aca="false">IF(AN452&gt;0,AO452/AN452,0)</f>
        <v>0.314257227111124</v>
      </c>
      <c r="AQ452" s="16" t="n">
        <f aca="false">INDEX(Parametros!$I$2:$I$9,MATCH($E452,Parametros!$A$2:$A$9,0))</f>
        <v>19300000</v>
      </c>
      <c r="AR452" s="19" t="n">
        <f aca="false">IF(AQ452&gt;0,AO452/AQ452,0)</f>
        <v>0.00825233844559586</v>
      </c>
    </row>
    <row r="453" customFormat="false" ht="15" hidden="false" customHeight="false" outlineLevel="0" collapsed="false">
      <c r="A453" s="5" t="s">
        <v>588</v>
      </c>
      <c r="B453" s="9" t="n">
        <v>45943</v>
      </c>
      <c r="C453" s="2" t="str">
        <f aca="false">TEXT(B453,"yyyy")</f>
        <v>2025</v>
      </c>
      <c r="D453" s="2" t="n">
        <f aca="false">WEEKNUM(B453,2)</f>
        <v>42</v>
      </c>
      <c r="E453" s="5" t="s">
        <v>136</v>
      </c>
      <c r="F453" s="6" t="str">
        <f aca="false">INDEX(Parametros!$B$2:$B$9,MATCH($E453,Parametros!$A$2:$A$9,0))</f>
        <v>Salsa BBQ</v>
      </c>
      <c r="G453" s="10" t="n">
        <v>93.1</v>
      </c>
      <c r="H453" s="10" t="n">
        <v>6</v>
      </c>
      <c r="I453" s="11" t="n">
        <f aca="false">SUMIFS(Eventos_Paro!$J$2:$J$2186,Eventos_Paro!$D$2:$D$2186,$E453,Eventos_Paro!$B$2:$B$2186,$B453)</f>
        <v>2.98333333333333</v>
      </c>
      <c r="J453" s="12" t="n">
        <f aca="false">G453-H453-I453</f>
        <v>84.1166666666667</v>
      </c>
      <c r="K453" s="13" t="n">
        <v>330839</v>
      </c>
      <c r="L453" s="13" t="n">
        <v>341166</v>
      </c>
      <c r="M453" s="13" t="n">
        <v>10395</v>
      </c>
      <c r="N453" s="14" t="n">
        <f aca="false">L453+M453</f>
        <v>351561</v>
      </c>
      <c r="O453" s="11" t="n">
        <f aca="false">INDEX(Parametros!$D$2:$D$9,MATCH($E453,Parametros!$A$2:$A$9,0))</f>
        <v>4800</v>
      </c>
      <c r="P453" s="15" t="n">
        <f aca="false">IF((G453-H453)&gt;0,J453/(G453-H453),0)</f>
        <v>0.965748182166093</v>
      </c>
      <c r="Q453" s="15" t="n">
        <f aca="false">IF(J453*O453&gt;0,N453/(O453*J453),0)</f>
        <v>0.870717753120666</v>
      </c>
      <c r="R453" s="15" t="n">
        <f aca="false">IF(N453&gt;0,L453/N453,0)</f>
        <v>0.970431873842662</v>
      </c>
      <c r="S453" s="15" t="n">
        <f aca="false">P453*Q453*R453</f>
        <v>0.816030424799082</v>
      </c>
      <c r="T453" s="15" t="n">
        <f aca="false">IF(K453&gt;0,L453/K453,0)</f>
        <v>1.03121457869236</v>
      </c>
      <c r="U453" s="10" t="n">
        <v>1243.4</v>
      </c>
      <c r="V453" s="5" t="n">
        <v>12</v>
      </c>
      <c r="W453" s="10" t="n">
        <v>126.2</v>
      </c>
      <c r="X453" s="15" t="n">
        <f aca="false">IF(U453&gt;0,W453/U453,0)</f>
        <v>0.101495898343252</v>
      </c>
      <c r="Y453" s="12" t="n">
        <f aca="false">IF(U453&gt;0,L453/U453,0)</f>
        <v>274.381534502171</v>
      </c>
      <c r="Z453" s="16" t="n">
        <f aca="false">L453*INDEX(Parametros!$E$2:$E$9,MATCH($E453,Parametros!$A$2:$A$9,0))</f>
        <v>197876.28</v>
      </c>
      <c r="AA453" s="16" t="n">
        <f aca="false">Z453*INDEX(Parametros!$F$2:$F$9,MATCH($E453,Parametros!$A$2:$A$9,0))</f>
        <v>5540.53584</v>
      </c>
      <c r="AB453" s="17" t="n">
        <f aca="false">Z453+AA453</f>
        <v>203416.81584</v>
      </c>
      <c r="AC453" s="18" t="n">
        <v>201190.52</v>
      </c>
      <c r="AD453" s="17" t="n">
        <f aca="false">AC453-AB453</f>
        <v>-2226.29584000001</v>
      </c>
      <c r="AE453" s="17" t="n">
        <f aca="false">AA453+AD453</f>
        <v>3314.23999999999</v>
      </c>
      <c r="AF453" s="19" t="n">
        <f aca="false">IF(Z453&gt;0,AE453/Z453,0)</f>
        <v>0.0167490514780245</v>
      </c>
      <c r="AG453" s="16" t="n">
        <f aca="false">(U453-W453)*INDEX(Parametros!$H$2:$H$9,MATCH($E453,Parametros!$A$2:$A$9,0))+W453*INDEX(Parametros!$H$2:$H$9,MATCH($E453,Parametros!$A$2:$A$9,0))*Parametros!$N$3</f>
        <v>41154.75</v>
      </c>
      <c r="AH453" s="13" t="n">
        <v>18880</v>
      </c>
      <c r="AI453" s="16" t="n">
        <f aca="false">AH453*Parametros!$N$2</f>
        <v>1736.96</v>
      </c>
      <c r="AJ453" s="18" t="n">
        <v>9324</v>
      </c>
      <c r="AK453" s="18" t="n">
        <v>3137</v>
      </c>
      <c r="AL453" s="17" t="n">
        <f aca="false">AG453+AI453+AJ453+AK453</f>
        <v>55352.71</v>
      </c>
      <c r="AM453" s="20" t="n">
        <f aca="false">IF(L453&gt;0,AL453/L453,0)</f>
        <v>0.162245680988141</v>
      </c>
      <c r="AN453" s="16" t="n">
        <f aca="false">L453*INDEX(Parametros!$G$2:$G$9,MATCH($E453,Parametros!$A$2:$A$9,0))</f>
        <v>334342.68</v>
      </c>
      <c r="AO453" s="17" t="n">
        <f aca="false">AN453-AC453-AL453</f>
        <v>77799.45</v>
      </c>
      <c r="AP453" s="15" t="n">
        <f aca="false">IF(AN453&gt;0,AO453/AN453,0)</f>
        <v>0.232693744035311</v>
      </c>
      <c r="AQ453" s="16" t="n">
        <f aca="false">INDEX(Parametros!$I$2:$I$9,MATCH($E453,Parametros!$A$2:$A$9,0))</f>
        <v>17000000</v>
      </c>
      <c r="AR453" s="19" t="n">
        <f aca="false">IF(AQ453&gt;0,AO453/AQ453,0)</f>
        <v>0.00457643823529412</v>
      </c>
    </row>
    <row r="454" customFormat="false" ht="15" hidden="false" customHeight="false" outlineLevel="0" collapsed="false">
      <c r="A454" s="5" t="s">
        <v>589</v>
      </c>
      <c r="B454" s="9" t="n">
        <v>45943</v>
      </c>
      <c r="C454" s="2" t="str">
        <f aca="false">TEXT(B454,"yyyy")</f>
        <v>2025</v>
      </c>
      <c r="D454" s="2" t="n">
        <f aca="false">WEEKNUM(B454,2)</f>
        <v>42</v>
      </c>
      <c r="E454" s="5" t="s">
        <v>138</v>
      </c>
      <c r="F454" s="6" t="str">
        <f aca="false">INDEX(Parametros!$B$2:$B$9,MATCH($E454,Parametros!$A$2:$A$9,0))</f>
        <v>Queso crema</v>
      </c>
      <c r="G454" s="10" t="n">
        <v>116.8</v>
      </c>
      <c r="H454" s="10" t="n">
        <v>7</v>
      </c>
      <c r="I454" s="11" t="n">
        <f aca="false">SUMIFS(Eventos_Paro!$J$2:$J$2186,Eventos_Paro!$D$2:$D$2186,$E454,Eventos_Paro!$B$2:$B$2186,$B454)</f>
        <v>0.433333333333333</v>
      </c>
      <c r="J454" s="12" t="n">
        <f aca="false">G454-H454-I454</f>
        <v>109.366666666667</v>
      </c>
      <c r="K454" s="13" t="n">
        <v>332988</v>
      </c>
      <c r="L454" s="13" t="n">
        <v>314403</v>
      </c>
      <c r="M454" s="13" t="n">
        <v>13766</v>
      </c>
      <c r="N454" s="14" t="n">
        <f aca="false">L454+M454</f>
        <v>328169</v>
      </c>
      <c r="O454" s="11" t="n">
        <f aca="false">INDEX(Parametros!$D$2:$D$9,MATCH($E454,Parametros!$A$2:$A$9,0))</f>
        <v>3800</v>
      </c>
      <c r="P454" s="15" t="n">
        <f aca="false">IF((G454-H454)&gt;0,J454/(G454-H454),0)</f>
        <v>0.99605343047966</v>
      </c>
      <c r="Q454" s="15" t="n">
        <f aca="false">IF(J454*O454&gt;0,N454/(O454*J454),0)</f>
        <v>0.789639711897849</v>
      </c>
      <c r="R454" s="15" t="n">
        <f aca="false">IF(N454&gt;0,L454/N454,0)</f>
        <v>0.958052101203953</v>
      </c>
      <c r="S454" s="15" t="n">
        <f aca="false">P454*Q454*R454</f>
        <v>0.753530342249065</v>
      </c>
      <c r="T454" s="15" t="n">
        <f aca="false">IF(K454&gt;0,L454/K454,0)</f>
        <v>0.944187177916321</v>
      </c>
      <c r="U454" s="10" t="n">
        <v>1917.1</v>
      </c>
      <c r="V454" s="5" t="n">
        <v>15</v>
      </c>
      <c r="W454" s="10" t="n">
        <v>165.1</v>
      </c>
      <c r="X454" s="15" t="n">
        <f aca="false">IF(U454&gt;0,W454/U454,0)</f>
        <v>0.0861196599029785</v>
      </c>
      <c r="Y454" s="12" t="n">
        <f aca="false">IF(U454&gt;0,L454/U454,0)</f>
        <v>163.999269730322</v>
      </c>
      <c r="Z454" s="16" t="n">
        <f aca="false">L454*INDEX(Parametros!$E$2:$E$9,MATCH($E454,Parametros!$A$2:$A$9,0))</f>
        <v>352131.36</v>
      </c>
      <c r="AA454" s="16" t="n">
        <f aca="false">Z454*INDEX(Parametros!$F$2:$F$9,MATCH($E454,Parametros!$A$2:$A$9,0))</f>
        <v>12324.5976</v>
      </c>
      <c r="AB454" s="17" t="n">
        <f aca="false">Z454+AA454</f>
        <v>364455.9576</v>
      </c>
      <c r="AC454" s="18" t="n">
        <v>366763.25</v>
      </c>
      <c r="AD454" s="17" t="n">
        <f aca="false">AC454-AB454</f>
        <v>2307.29239999998</v>
      </c>
      <c r="AE454" s="17" t="n">
        <f aca="false">AA454+AD454</f>
        <v>14631.89</v>
      </c>
      <c r="AF454" s="19" t="n">
        <f aca="false">IF(Z454&gt;0,AE454/Z454,0)</f>
        <v>0.0415523627319077</v>
      </c>
      <c r="AG454" s="16" t="n">
        <f aca="false">(U454-W454)*INDEX(Parametros!$H$2:$H$9,MATCH($E454,Parametros!$A$2:$A$9,0))+W454*INDEX(Parametros!$H$2:$H$9,MATCH($E454,Parametros!$A$2:$A$9,0))*Parametros!$N$3</f>
        <v>65988.45</v>
      </c>
      <c r="AH454" s="13" t="n">
        <v>15981</v>
      </c>
      <c r="AI454" s="16" t="n">
        <f aca="false">AH454*Parametros!$N$2</f>
        <v>1470.252</v>
      </c>
      <c r="AJ454" s="18" t="n">
        <v>19022</v>
      </c>
      <c r="AK454" s="18" t="n">
        <v>543</v>
      </c>
      <c r="AL454" s="17" t="n">
        <f aca="false">AG454+AI454+AJ454+AK454</f>
        <v>87023.702</v>
      </c>
      <c r="AM454" s="20" t="n">
        <f aca="false">IF(L454&gt;0,AL454/L454,0)</f>
        <v>0.276790304163764</v>
      </c>
      <c r="AN454" s="16" t="n">
        <f aca="false">L454*INDEX(Parametros!$G$2:$G$9,MATCH($E454,Parametros!$A$2:$A$9,0))</f>
        <v>562781.37</v>
      </c>
      <c r="AO454" s="17" t="n">
        <f aca="false">AN454-AC454-AL454</f>
        <v>108994.418</v>
      </c>
      <c r="AP454" s="15" t="n">
        <f aca="false">IF(AN454&gt;0,AO454/AN454,0)</f>
        <v>0.193670977417039</v>
      </c>
      <c r="AQ454" s="16" t="n">
        <f aca="false">INDEX(Parametros!$I$2:$I$9,MATCH($E454,Parametros!$A$2:$A$9,0))</f>
        <v>33200000</v>
      </c>
      <c r="AR454" s="19" t="n">
        <f aca="false">IF(AQ454&gt;0,AO454/AQ454,0)</f>
        <v>0.00328296439759036</v>
      </c>
    </row>
    <row r="455" customFormat="false" ht="15" hidden="false" customHeight="false" outlineLevel="0" collapsed="false">
      <c r="A455" s="5" t="s">
        <v>590</v>
      </c>
      <c r="B455" s="9" t="n">
        <v>45943</v>
      </c>
      <c r="C455" s="2" t="str">
        <f aca="false">TEXT(B455,"yyyy")</f>
        <v>2025</v>
      </c>
      <c r="D455" s="2" t="n">
        <f aca="false">WEEKNUM(B455,2)</f>
        <v>42</v>
      </c>
      <c r="E455" s="5" t="s">
        <v>140</v>
      </c>
      <c r="F455" s="6" t="str">
        <f aca="false">INDEX(Parametros!$B$2:$B$9,MATCH($E455,Parametros!$A$2:$A$9,0))</f>
        <v>Crema de cacahuate</v>
      </c>
      <c r="G455" s="10" t="n">
        <v>111.9</v>
      </c>
      <c r="H455" s="10" t="n">
        <v>7.3</v>
      </c>
      <c r="I455" s="11" t="n">
        <f aca="false">SUMIFS(Eventos_Paro!$J$2:$J$2186,Eventos_Paro!$D$2:$D$2186,$E455,Eventos_Paro!$B$2:$B$2186,$B455)</f>
        <v>1.85</v>
      </c>
      <c r="J455" s="12" t="n">
        <f aca="false">G455-H455-I455</f>
        <v>102.75</v>
      </c>
      <c r="K455" s="13" t="n">
        <v>350610</v>
      </c>
      <c r="L455" s="13" t="n">
        <v>367228</v>
      </c>
      <c r="M455" s="13" t="n">
        <v>7468</v>
      </c>
      <c r="N455" s="14" t="n">
        <f aca="false">L455+M455</f>
        <v>374696</v>
      </c>
      <c r="O455" s="11" t="n">
        <f aca="false">INDEX(Parametros!$D$2:$D$9,MATCH($E455,Parametros!$A$2:$A$9,0))</f>
        <v>4200</v>
      </c>
      <c r="P455" s="15" t="n">
        <f aca="false">IF((G455-H455)&gt;0,J455/(G455-H455),0)</f>
        <v>0.982313575525813</v>
      </c>
      <c r="Q455" s="15" t="n">
        <f aca="false">IF(J455*O455&gt;0,N455/(O455*J455),0)</f>
        <v>0.868256285482563</v>
      </c>
      <c r="R455" s="15" t="n">
        <f aca="false">IF(N455&gt;0,L455/N455,0)</f>
        <v>0.980069176078741</v>
      </c>
      <c r="S455" s="15" t="n">
        <f aca="false">P455*Q455*R455</f>
        <v>0.835900937812984</v>
      </c>
      <c r="T455" s="15" t="n">
        <f aca="false">IF(K455&gt;0,L455/K455,0)</f>
        <v>1.04739739311486</v>
      </c>
      <c r="U455" s="10" t="n">
        <v>1470.1</v>
      </c>
      <c r="V455" s="5" t="n">
        <v>12</v>
      </c>
      <c r="W455" s="10" t="n">
        <v>127.3</v>
      </c>
      <c r="X455" s="15" t="n">
        <f aca="false">IF(U455&gt;0,W455/U455,0)</f>
        <v>0.0865927487925992</v>
      </c>
      <c r="Y455" s="12" t="n">
        <f aca="false">IF(U455&gt;0,L455/U455,0)</f>
        <v>249.797972927012</v>
      </c>
      <c r="Z455" s="16" t="n">
        <f aca="false">L455*INDEX(Parametros!$E$2:$E$9,MATCH($E455,Parametros!$A$2:$A$9,0))</f>
        <v>356211.16</v>
      </c>
      <c r="AA455" s="16" t="n">
        <f aca="false">Z455*INDEX(Parametros!$F$2:$F$9,MATCH($E455,Parametros!$A$2:$A$9,0))</f>
        <v>7836.64552</v>
      </c>
      <c r="AB455" s="17" t="n">
        <f aca="false">Z455+AA455</f>
        <v>364047.80552</v>
      </c>
      <c r="AC455" s="18" t="n">
        <v>362814.11</v>
      </c>
      <c r="AD455" s="17" t="n">
        <f aca="false">AC455-AB455</f>
        <v>-1233.69552000001</v>
      </c>
      <c r="AE455" s="17" t="n">
        <f aca="false">AA455+AD455</f>
        <v>6602.94999999999</v>
      </c>
      <c r="AF455" s="19" t="n">
        <f aca="false">IF(Z455&gt;0,AE455/Z455,0)</f>
        <v>0.0185366174378141</v>
      </c>
      <c r="AG455" s="16" t="n">
        <f aca="false">(U455-W455)*INDEX(Parametros!$H$2:$H$9,MATCH($E455,Parametros!$A$2:$A$9,0))+W455*INDEX(Parametros!$H$2:$H$9,MATCH($E455,Parametros!$A$2:$A$9,0))*Parametros!$N$3</f>
        <v>48313.125</v>
      </c>
      <c r="AH455" s="13" t="n">
        <v>18905</v>
      </c>
      <c r="AI455" s="16" t="n">
        <f aca="false">AH455*Parametros!$N$2</f>
        <v>1739.26</v>
      </c>
      <c r="AJ455" s="18" t="n">
        <v>10837</v>
      </c>
      <c r="AK455" s="18" t="n">
        <v>1829</v>
      </c>
      <c r="AL455" s="17" t="n">
        <f aca="false">AG455+AI455+AJ455+AK455</f>
        <v>62718.385</v>
      </c>
      <c r="AM455" s="20" t="n">
        <f aca="false">IF(L455&gt;0,AL455/L455,0)</f>
        <v>0.170788678967835</v>
      </c>
      <c r="AN455" s="16" t="n">
        <f aca="false">L455*INDEX(Parametros!$G$2:$G$9,MATCH($E455,Parametros!$A$2:$A$9,0))</f>
        <v>594909.36</v>
      </c>
      <c r="AO455" s="17" t="n">
        <f aca="false">AN455-AC455-AL455</f>
        <v>169376.865</v>
      </c>
      <c r="AP455" s="15" t="n">
        <f aca="false">IF(AN455&gt;0,AO455/AN455,0)</f>
        <v>0.28471037167746</v>
      </c>
      <c r="AQ455" s="16" t="n">
        <f aca="false">INDEX(Parametros!$I$2:$I$9,MATCH($E455,Parametros!$A$2:$A$9,0))</f>
        <v>28000000</v>
      </c>
      <c r="AR455" s="19" t="n">
        <f aca="false">IF(AQ455&gt;0,AO455/AQ455,0)</f>
        <v>0.00604917375</v>
      </c>
    </row>
    <row r="456" customFormat="false" ht="15" hidden="false" customHeight="false" outlineLevel="0" collapsed="false">
      <c r="A456" s="5" t="s">
        <v>591</v>
      </c>
      <c r="B456" s="9" t="n">
        <v>45943</v>
      </c>
      <c r="C456" s="2" t="str">
        <f aca="false">TEXT(B456,"yyyy")</f>
        <v>2025</v>
      </c>
      <c r="D456" s="2" t="n">
        <f aca="false">WEEKNUM(B456,2)</f>
        <v>42</v>
      </c>
      <c r="E456" s="5" t="s">
        <v>142</v>
      </c>
      <c r="F456" s="6" t="str">
        <f aca="false">INDEX(Parametros!$B$2:$B$9,MATCH($E456,Parametros!$A$2:$A$9,0))</f>
        <v>Porciones single serve</v>
      </c>
      <c r="G456" s="10" t="n">
        <v>140.9</v>
      </c>
      <c r="H456" s="10" t="n">
        <v>6</v>
      </c>
      <c r="I456" s="11" t="n">
        <f aca="false">SUMIFS(Eventos_Paro!$J$2:$J$2186,Eventos_Paro!$D$2:$D$2186,$E456,Eventos_Paro!$B$2:$B$2186,$B456)</f>
        <v>2.4</v>
      </c>
      <c r="J456" s="12" t="n">
        <f aca="false">G456-H456-I456</f>
        <v>132.5</v>
      </c>
      <c r="K456" s="13" t="n">
        <v>279916</v>
      </c>
      <c r="L456" s="13" t="n">
        <v>248156</v>
      </c>
      <c r="M456" s="13" t="n">
        <v>12246</v>
      </c>
      <c r="N456" s="14" t="n">
        <f aca="false">L456+M456</f>
        <v>260402</v>
      </c>
      <c r="O456" s="11" t="n">
        <f aca="false">INDEX(Parametros!$D$2:$D$9,MATCH($E456,Parametros!$A$2:$A$9,0))</f>
        <v>2600</v>
      </c>
      <c r="P456" s="15" t="n">
        <f aca="false">IF((G456-H456)&gt;0,J456/(G456-H456),0)</f>
        <v>0.982209043736101</v>
      </c>
      <c r="Q456" s="15" t="n">
        <f aca="false">IF(J456*O456&gt;0,N456/(O456*J456),0)</f>
        <v>0.755883889695211</v>
      </c>
      <c r="R456" s="15" t="n">
        <f aca="false">IF(N456&gt;0,L456/N456,0)</f>
        <v>0.952972711423107</v>
      </c>
      <c r="S456" s="15" t="n">
        <f aca="false">P456*Q456*R456</f>
        <v>0.707521240805155</v>
      </c>
      <c r="T456" s="15" t="n">
        <f aca="false">IF(K456&gt;0,L456/K456,0)</f>
        <v>0.886537389788365</v>
      </c>
      <c r="U456" s="10" t="n">
        <v>2446</v>
      </c>
      <c r="V456" s="5" t="n">
        <v>16</v>
      </c>
      <c r="W456" s="10" t="n">
        <v>191.6</v>
      </c>
      <c r="X456" s="15" t="n">
        <f aca="false">IF(U456&gt;0,W456/U456,0)</f>
        <v>0.0783319705641864</v>
      </c>
      <c r="Y456" s="12" t="n">
        <f aca="false">IF(U456&gt;0,L456/U456,0)</f>
        <v>101.45380212592</v>
      </c>
      <c r="Z456" s="16" t="n">
        <f aca="false">L456*INDEX(Parametros!$E$2:$E$9,MATCH($E456,Parametros!$A$2:$A$9,0))</f>
        <v>183635.44</v>
      </c>
      <c r="AA456" s="16" t="n">
        <f aca="false">Z456*INDEX(Parametros!$F$2:$F$9,MATCH($E456,Parametros!$A$2:$A$9,0))</f>
        <v>8263.5948</v>
      </c>
      <c r="AB456" s="17" t="n">
        <f aca="false">Z456+AA456</f>
        <v>191899.0348</v>
      </c>
      <c r="AC456" s="18" t="n">
        <v>190607.52</v>
      </c>
      <c r="AD456" s="17" t="n">
        <f aca="false">AC456-AB456</f>
        <v>-1291.5148</v>
      </c>
      <c r="AE456" s="17" t="n">
        <f aca="false">AA456+AD456</f>
        <v>6972.07999999999</v>
      </c>
      <c r="AF456" s="19" t="n">
        <f aca="false">IF(Z456&gt;0,AE456/Z456,0)</f>
        <v>0.0379669632397755</v>
      </c>
      <c r="AG456" s="16" t="n">
        <f aca="false">(U456-W456)*INDEX(Parametros!$H$2:$H$9,MATCH($E456,Parametros!$A$2:$A$9,0))+W456*INDEX(Parametros!$H$2:$H$9,MATCH($E456,Parametros!$A$2:$A$9,0))*Parametros!$N$3</f>
        <v>76254</v>
      </c>
      <c r="AH456" s="13" t="n">
        <v>12465</v>
      </c>
      <c r="AI456" s="16" t="n">
        <f aca="false">AH456*Parametros!$N$2</f>
        <v>1146.78</v>
      </c>
      <c r="AJ456" s="18" t="n">
        <v>10280</v>
      </c>
      <c r="AK456" s="18" t="n">
        <v>2098</v>
      </c>
      <c r="AL456" s="17" t="n">
        <f aca="false">AG456+AI456+AJ456+AK456</f>
        <v>89778.78</v>
      </c>
      <c r="AM456" s="20" t="n">
        <f aca="false">IF(L456&gt;0,AL456/L456,0)</f>
        <v>0.361783636099873</v>
      </c>
      <c r="AN456" s="16" t="n">
        <f aca="false">L456*INDEX(Parametros!$G$2:$G$9,MATCH($E456,Parametros!$A$2:$A$9,0))</f>
        <v>426828.32</v>
      </c>
      <c r="AO456" s="17" t="n">
        <f aca="false">AN456-AC456-AL456</f>
        <v>146442.02</v>
      </c>
      <c r="AP456" s="15" t="n">
        <f aca="false">IF(AN456&gt;0,AO456/AN456,0)</f>
        <v>0.343093494827147</v>
      </c>
      <c r="AQ456" s="16" t="n">
        <f aca="false">INDEX(Parametros!$I$2:$I$9,MATCH($E456,Parametros!$A$2:$A$9,0))</f>
        <v>15900000</v>
      </c>
      <c r="AR456" s="19" t="n">
        <f aca="false">IF(AQ456&gt;0,AO456/AQ456,0)</f>
        <v>0.00921018993710692</v>
      </c>
    </row>
    <row r="457" customFormat="false" ht="15" hidden="false" customHeight="false" outlineLevel="0" collapsed="false">
      <c r="A457" s="5" t="s">
        <v>592</v>
      </c>
      <c r="B457" s="9" t="n">
        <v>45943</v>
      </c>
      <c r="C457" s="2" t="str">
        <f aca="false">TEXT(B457,"yyyy")</f>
        <v>2025</v>
      </c>
      <c r="D457" s="2" t="n">
        <f aca="false">WEEKNUM(B457,2)</f>
        <v>42</v>
      </c>
      <c r="E457" s="5" t="s">
        <v>144</v>
      </c>
      <c r="F457" s="6" t="str">
        <f aca="false">INDEX(Parametros!$B$2:$B$9,MATCH($E457,Parametros!$A$2:$A$9,0))</f>
        <v>Salsas picantes</v>
      </c>
      <c r="G457" s="10" t="n">
        <v>94.6</v>
      </c>
      <c r="H457" s="10" t="n">
        <v>7.6</v>
      </c>
      <c r="I457" s="11" t="n">
        <f aca="false">SUMIFS(Eventos_Paro!$J$2:$J$2186,Eventos_Paro!$D$2:$D$2186,$E457,Eventos_Paro!$B$2:$B$2186,$B457)</f>
        <v>2.33333333333333</v>
      </c>
      <c r="J457" s="12" t="n">
        <f aca="false">G457-H457-I457</f>
        <v>84.6666666666667</v>
      </c>
      <c r="K457" s="13" t="n">
        <v>217095</v>
      </c>
      <c r="L457" s="13" t="n">
        <v>216413</v>
      </c>
      <c r="M457" s="13" t="n">
        <v>8121</v>
      </c>
      <c r="N457" s="14" t="n">
        <f aca="false">L457+M457</f>
        <v>224534</v>
      </c>
      <c r="O457" s="11" t="n">
        <f aca="false">INDEX(Parametros!$D$2:$D$9,MATCH($E457,Parametros!$A$2:$A$9,0))</f>
        <v>3100</v>
      </c>
      <c r="P457" s="15" t="n">
        <f aca="false">IF((G457-H457)&gt;0,J457/(G457-H457),0)</f>
        <v>0.973180076628353</v>
      </c>
      <c r="Q457" s="15" t="n">
        <f aca="false">IF(J457*O457&gt;0,N457/(O457*J457),0)</f>
        <v>0.855476250952502</v>
      </c>
      <c r="R457" s="15" t="n">
        <f aca="false">IF(N457&gt;0,L457/N457,0)</f>
        <v>0.963831758219245</v>
      </c>
      <c r="S457" s="15" t="n">
        <f aca="false">P457*Q457*R457</f>
        <v>0.802421208750463</v>
      </c>
      <c r="T457" s="15" t="n">
        <f aca="false">IF(K457&gt;0,L457/K457,0)</f>
        <v>0.996858518160252</v>
      </c>
      <c r="U457" s="10" t="n">
        <v>1051.1</v>
      </c>
      <c r="V457" s="5" t="n">
        <v>10</v>
      </c>
      <c r="W457" s="10" t="n">
        <v>105.1</v>
      </c>
      <c r="X457" s="15" t="n">
        <f aca="false">IF(U457&gt;0,W457/U457,0)</f>
        <v>0.099990486157359</v>
      </c>
      <c r="Y457" s="12" t="n">
        <f aca="false">IF(U457&gt;0,L457/U457,0)</f>
        <v>205.891922747598</v>
      </c>
      <c r="Z457" s="16" t="n">
        <f aca="false">L457*INDEX(Parametros!$E$2:$E$9,MATCH($E457,Parametros!$A$2:$A$9,0))</f>
        <v>142832.58</v>
      </c>
      <c r="AA457" s="16" t="n">
        <f aca="false">Z457*INDEX(Parametros!$F$2:$F$9,MATCH($E457,Parametros!$A$2:$A$9,0))</f>
        <v>3713.64708</v>
      </c>
      <c r="AB457" s="17" t="n">
        <f aca="false">Z457+AA457</f>
        <v>146546.22708</v>
      </c>
      <c r="AC457" s="18" t="n">
        <v>145889.07</v>
      </c>
      <c r="AD457" s="17" t="n">
        <f aca="false">AC457-AB457</f>
        <v>-657.157080000005</v>
      </c>
      <c r="AE457" s="17" t="n">
        <f aca="false">AA457+AD457</f>
        <v>3056.49</v>
      </c>
      <c r="AF457" s="19" t="n">
        <f aca="false">IF(Z457&gt;0,AE457/Z457,0)</f>
        <v>0.0213991093628638</v>
      </c>
      <c r="AG457" s="16" t="n">
        <f aca="false">(U457-W457)*INDEX(Parametros!$H$2:$H$9,MATCH($E457,Parametros!$A$2:$A$9,0))+W457*INDEX(Parametros!$H$2:$H$9,MATCH($E457,Parametros!$A$2:$A$9,0))*Parametros!$N$3</f>
        <v>34764.975</v>
      </c>
      <c r="AH457" s="13" t="n">
        <v>12190</v>
      </c>
      <c r="AI457" s="16" t="n">
        <f aca="false">AH457*Parametros!$N$2</f>
        <v>1121.48</v>
      </c>
      <c r="AJ457" s="18" t="n">
        <v>7166</v>
      </c>
      <c r="AK457" s="18" t="n">
        <v>2306</v>
      </c>
      <c r="AL457" s="17" t="n">
        <f aca="false">AG457+AI457+AJ457+AK457</f>
        <v>45358.455</v>
      </c>
      <c r="AM457" s="20" t="n">
        <f aca="false">IF(L457&gt;0,AL457/L457,0)</f>
        <v>0.209592099365565</v>
      </c>
      <c r="AN457" s="16" t="n">
        <f aca="false">L457*INDEX(Parametros!$G$2:$G$9,MATCH($E457,Parametros!$A$2:$A$9,0))</f>
        <v>270516.25</v>
      </c>
      <c r="AO457" s="17" t="n">
        <f aca="false">AN457-AC457-AL457</f>
        <v>79268.725</v>
      </c>
      <c r="AP457" s="15" t="n">
        <f aca="false">IF(AN457&gt;0,AO457/AN457,0)</f>
        <v>0.293027590763956</v>
      </c>
      <c r="AQ457" s="16" t="n">
        <f aca="false">INDEX(Parametros!$I$2:$I$9,MATCH($E457,Parametros!$A$2:$A$9,0))</f>
        <v>13300000</v>
      </c>
      <c r="AR457" s="19" t="n">
        <f aca="false">IF(AQ457&gt;0,AO457/AQ457,0)</f>
        <v>0.00596005451127819</v>
      </c>
    </row>
    <row r="458" customFormat="false" ht="15" hidden="false" customHeight="false" outlineLevel="0" collapsed="false">
      <c r="A458" s="5" t="s">
        <v>593</v>
      </c>
      <c r="B458" s="9" t="n">
        <v>45950</v>
      </c>
      <c r="C458" s="2" t="str">
        <f aca="false">TEXT(B458,"yyyy")</f>
        <v>2025</v>
      </c>
      <c r="D458" s="2" t="n">
        <f aca="false">WEEKNUM(B458,2)</f>
        <v>43</v>
      </c>
      <c r="E458" s="5" t="s">
        <v>130</v>
      </c>
      <c r="F458" s="6" t="str">
        <f aca="false">INDEX(Parametros!$B$2:$B$9,MATCH($E458,Parametros!$A$2:$A$9,0))</f>
        <v>Ketchup botella</v>
      </c>
      <c r="G458" s="10" t="n">
        <v>122.6</v>
      </c>
      <c r="H458" s="10" t="n">
        <v>7.8</v>
      </c>
      <c r="I458" s="11" t="n">
        <f aca="false">SUMIFS(Eventos_Paro!$J$2:$J$2186,Eventos_Paro!$D$2:$D$2186,$E458,Eventos_Paro!$B$2:$B$2186,$B458)</f>
        <v>1.58333333333333</v>
      </c>
      <c r="J458" s="12" t="n">
        <f aca="false">G458-H458-I458</f>
        <v>113.216666666667</v>
      </c>
      <c r="K458" s="13" t="n">
        <v>820616</v>
      </c>
      <c r="L458" s="13" t="n">
        <v>911062</v>
      </c>
      <c r="M458" s="13" t="n">
        <v>20273</v>
      </c>
      <c r="N458" s="14" t="n">
        <f aca="false">L458+M458</f>
        <v>931335</v>
      </c>
      <c r="O458" s="11" t="n">
        <f aca="false">INDEX(Parametros!$D$2:$D$9,MATCH($E458,Parametros!$A$2:$A$9,0))</f>
        <v>9000</v>
      </c>
      <c r="P458" s="15" t="n">
        <f aca="false">IF((G458-H458)&gt;0,J458/(G458-H458),0)</f>
        <v>0.986207897793264</v>
      </c>
      <c r="Q458" s="15" t="n">
        <f aca="false">IF(J458*O458&gt;0,N458/(O458*J458),0)</f>
        <v>0.914014426615634</v>
      </c>
      <c r="R458" s="15" t="n">
        <f aca="false">IF(N458&gt;0,L458/N458,0)</f>
        <v>0.978232322418893</v>
      </c>
      <c r="S458" s="15" t="n">
        <f aca="false">P458*Q458*R458</f>
        <v>0.881786682152536</v>
      </c>
      <c r="T458" s="15" t="n">
        <f aca="false">IF(K458&gt;0,L458/K458,0)</f>
        <v>1.11021720268676</v>
      </c>
      <c r="U458" s="10" t="n">
        <v>1988.3</v>
      </c>
      <c r="V458" s="5" t="n">
        <v>15</v>
      </c>
      <c r="W458" s="10" t="n">
        <v>149.3</v>
      </c>
      <c r="X458" s="15" t="n">
        <f aca="false">IF(U458&gt;0,W458/U458,0)</f>
        <v>0.0750892722426193</v>
      </c>
      <c r="Y458" s="12" t="n">
        <f aca="false">IF(U458&gt;0,L458/U458,0)</f>
        <v>458.211537494342</v>
      </c>
      <c r="Z458" s="16" t="n">
        <f aca="false">L458*INDEX(Parametros!$E$2:$E$9,MATCH($E458,Parametros!$A$2:$A$9,0))</f>
        <v>382646.04</v>
      </c>
      <c r="AA458" s="16" t="n">
        <f aca="false">Z458*INDEX(Parametros!$F$2:$F$9,MATCH($E458,Parametros!$A$2:$A$9,0))</f>
        <v>7652.9208</v>
      </c>
      <c r="AB458" s="17" t="n">
        <f aca="false">Z458+AA458</f>
        <v>390298.9608</v>
      </c>
      <c r="AC458" s="18" t="n">
        <v>395473.87</v>
      </c>
      <c r="AD458" s="17" t="n">
        <f aca="false">AC458-AB458</f>
        <v>5174.9092</v>
      </c>
      <c r="AE458" s="17" t="n">
        <f aca="false">AA458+AD458</f>
        <v>12827.83</v>
      </c>
      <c r="AF458" s="19" t="n">
        <f aca="false">IF(Z458&gt;0,AE458/Z458,0)</f>
        <v>0.0335240108587038</v>
      </c>
      <c r="AG458" s="16" t="n">
        <f aca="false">(U458-W458)*INDEX(Parametros!$H$2:$H$9,MATCH($E458,Parametros!$A$2:$A$9,0))+W458*INDEX(Parametros!$H$2:$H$9,MATCH($E458,Parametros!$A$2:$A$9,0))*Parametros!$N$3</f>
        <v>64982.925</v>
      </c>
      <c r="AH458" s="13" t="n">
        <v>43883</v>
      </c>
      <c r="AI458" s="16" t="n">
        <f aca="false">AH458*Parametros!$N$2</f>
        <v>4037.236</v>
      </c>
      <c r="AJ458" s="18" t="n">
        <v>16397</v>
      </c>
      <c r="AK458" s="18" t="n">
        <v>1597</v>
      </c>
      <c r="AL458" s="17" t="n">
        <f aca="false">AG458+AI458+AJ458+AK458</f>
        <v>87014.161</v>
      </c>
      <c r="AM458" s="20" t="n">
        <f aca="false">IF(L458&gt;0,AL458/L458,0)</f>
        <v>0.0955084955798837</v>
      </c>
      <c r="AN458" s="16" t="n">
        <f aca="false">L458*INDEX(Parametros!$G$2:$G$9,MATCH($E458,Parametros!$A$2:$A$9,0))</f>
        <v>646854.02</v>
      </c>
      <c r="AO458" s="17" t="n">
        <f aca="false">AN458-AC458-AL458</f>
        <v>164365.989</v>
      </c>
      <c r="AP458" s="15" t="n">
        <f aca="false">IF(AN458&gt;0,AO458/AN458,0)</f>
        <v>0.254100591351353</v>
      </c>
      <c r="AQ458" s="16" t="n">
        <f aca="false">INDEX(Parametros!$I$2:$I$9,MATCH($E458,Parametros!$A$2:$A$9,0))</f>
        <v>29300000</v>
      </c>
      <c r="AR458" s="19" t="n">
        <f aca="false">IF(AQ458&gt;0,AO458/AQ458,0)</f>
        <v>0.00560976071672355</v>
      </c>
    </row>
    <row r="459" customFormat="false" ht="15" hidden="false" customHeight="false" outlineLevel="0" collapsed="false">
      <c r="A459" s="5" t="s">
        <v>594</v>
      </c>
      <c r="B459" s="9" t="n">
        <v>45950</v>
      </c>
      <c r="C459" s="2" t="str">
        <f aca="false">TEXT(B459,"yyyy")</f>
        <v>2025</v>
      </c>
      <c r="D459" s="2" t="n">
        <f aca="false">WEEKNUM(B459,2)</f>
        <v>43</v>
      </c>
      <c r="E459" s="5" t="s">
        <v>132</v>
      </c>
      <c r="F459" s="6" t="str">
        <f aca="false">INDEX(Parametros!$B$2:$B$9,MATCH($E459,Parametros!$A$2:$A$9,0))</f>
        <v>Mayonesa frasco</v>
      </c>
      <c r="G459" s="10" t="n">
        <v>124.1</v>
      </c>
      <c r="H459" s="10" t="n">
        <v>8.8</v>
      </c>
      <c r="I459" s="11" t="n">
        <f aca="false">SUMIFS(Eventos_Paro!$J$2:$J$2186,Eventos_Paro!$D$2:$D$2186,$E459,Eventos_Paro!$B$2:$B$2186,$B459)</f>
        <v>1.78333333333333</v>
      </c>
      <c r="J459" s="12" t="n">
        <f aca="false">G459-H459-I459</f>
        <v>113.516666666667</v>
      </c>
      <c r="K459" s="13" t="n">
        <v>595249</v>
      </c>
      <c r="L459" s="13" t="n">
        <v>646602</v>
      </c>
      <c r="M459" s="13" t="n">
        <v>11017</v>
      </c>
      <c r="N459" s="14" t="n">
        <f aca="false">L459+M459</f>
        <v>657619</v>
      </c>
      <c r="O459" s="11" t="n">
        <f aca="false">INDEX(Parametros!$D$2:$D$9,MATCH($E459,Parametros!$A$2:$A$9,0))</f>
        <v>6500</v>
      </c>
      <c r="P459" s="15" t="n">
        <f aca="false">IF((G459-H459)&gt;0,J459/(G459-H459),0)</f>
        <v>0.984533102052616</v>
      </c>
      <c r="Q459" s="15" t="n">
        <f aca="false">IF(J459*O459&gt;0,N459/(O459*J459),0)</f>
        <v>0.891253741120134</v>
      </c>
      <c r="R459" s="15" t="n">
        <f aca="false">IF(N459&gt;0,L459/N459,0)</f>
        <v>0.983247138540705</v>
      </c>
      <c r="S459" s="15" t="n">
        <f aca="false">P459*Q459*R459</f>
        <v>0.862768697044499</v>
      </c>
      <c r="T459" s="15" t="n">
        <f aca="false">IF(K459&gt;0,L459/K459,0)</f>
        <v>1.08627145950686</v>
      </c>
      <c r="U459" s="10" t="n">
        <v>1919.3</v>
      </c>
      <c r="V459" s="5" t="n">
        <v>14</v>
      </c>
      <c r="W459" s="10" t="n">
        <v>181.9</v>
      </c>
      <c r="X459" s="15" t="n">
        <f aca="false">IF(U459&gt;0,W459/U459,0)</f>
        <v>0.0947741364038973</v>
      </c>
      <c r="Y459" s="12" t="n">
        <f aca="false">IF(U459&gt;0,L459/U459,0)</f>
        <v>336.894701193143</v>
      </c>
      <c r="Z459" s="16" t="n">
        <f aca="false">L459*INDEX(Parametros!$E$2:$E$9,MATCH($E459,Parametros!$A$2:$A$9,0))</f>
        <v>394427.22</v>
      </c>
      <c r="AA459" s="16" t="n">
        <f aca="false">Z459*INDEX(Parametros!$F$2:$F$9,MATCH($E459,Parametros!$A$2:$A$9,0))</f>
        <v>9860.6805</v>
      </c>
      <c r="AB459" s="17" t="n">
        <f aca="false">Z459+AA459</f>
        <v>404287.9005</v>
      </c>
      <c r="AC459" s="18" t="n">
        <v>406725.62</v>
      </c>
      <c r="AD459" s="17" t="n">
        <f aca="false">AC459-AB459</f>
        <v>2437.71950000001</v>
      </c>
      <c r="AE459" s="17" t="n">
        <f aca="false">AA459+AD459</f>
        <v>12298.4</v>
      </c>
      <c r="AF459" s="19" t="n">
        <f aca="false">IF(Z459&gt;0,AE459/Z459,0)</f>
        <v>0.031180403827099</v>
      </c>
      <c r="AG459" s="16" t="n">
        <f aca="false">(U459-W459)*INDEX(Parametros!$H$2:$H$9,MATCH($E459,Parametros!$A$2:$A$9,0))+W459*INDEX(Parametros!$H$2:$H$9,MATCH($E459,Parametros!$A$2:$A$9,0))*Parametros!$N$3</f>
        <v>63322.875</v>
      </c>
      <c r="AH459" s="13" t="n">
        <v>34945</v>
      </c>
      <c r="AI459" s="16" t="n">
        <f aca="false">AH459*Parametros!$N$2</f>
        <v>3214.94</v>
      </c>
      <c r="AJ459" s="18" t="n">
        <v>14150</v>
      </c>
      <c r="AK459" s="18" t="n">
        <v>1341</v>
      </c>
      <c r="AL459" s="17" t="n">
        <f aca="false">AG459+AI459+AJ459+AK459</f>
        <v>82028.815</v>
      </c>
      <c r="AM459" s="20" t="n">
        <f aca="false">IF(L459&gt;0,AL459/L459,0)</f>
        <v>0.126861369126603</v>
      </c>
      <c r="AN459" s="16" t="n">
        <f aca="false">L459*INDEX(Parametros!$G$2:$G$9,MATCH($E459,Parametros!$A$2:$A$9,0))</f>
        <v>620737.92</v>
      </c>
      <c r="AO459" s="17" t="n">
        <f aca="false">AN459-AC459-AL459</f>
        <v>131983.485</v>
      </c>
      <c r="AP459" s="15" t="n">
        <f aca="false">IF(AN459&gt;0,AO459/AN459,0)</f>
        <v>0.212623525561319</v>
      </c>
      <c r="AQ459" s="16" t="n">
        <f aca="false">INDEX(Parametros!$I$2:$I$9,MATCH($E459,Parametros!$A$2:$A$9,0))</f>
        <v>29700000</v>
      </c>
      <c r="AR459" s="19" t="n">
        <f aca="false">IF(AQ459&gt;0,AO459/AQ459,0)</f>
        <v>0.00444388838383838</v>
      </c>
    </row>
    <row r="460" customFormat="false" ht="15" hidden="false" customHeight="false" outlineLevel="0" collapsed="false">
      <c r="A460" s="5" t="s">
        <v>595</v>
      </c>
      <c r="B460" s="9" t="n">
        <v>45950</v>
      </c>
      <c r="C460" s="2" t="str">
        <f aca="false">TEXT(B460,"yyyy")</f>
        <v>2025</v>
      </c>
      <c r="D460" s="2" t="n">
        <f aca="false">WEEKNUM(B460,2)</f>
        <v>43</v>
      </c>
      <c r="E460" s="5" t="s">
        <v>134</v>
      </c>
      <c r="F460" s="6" t="str">
        <f aca="false">INDEX(Parametros!$B$2:$B$9,MATCH($E460,Parametros!$A$2:$A$9,0))</f>
        <v>Aderezos vertibles</v>
      </c>
      <c r="G460" s="10" t="n">
        <v>104</v>
      </c>
      <c r="H460" s="10" t="n">
        <v>7.9</v>
      </c>
      <c r="I460" s="11" t="n">
        <f aca="false">SUMIFS(Eventos_Paro!$J$2:$J$2186,Eventos_Paro!$D$2:$D$2186,$E460,Eventos_Paro!$B$2:$B$2186,$B460)</f>
        <v>1.61666666666667</v>
      </c>
      <c r="J460" s="12" t="n">
        <f aca="false">G460-H460-I460</f>
        <v>94.4833333333333</v>
      </c>
      <c r="K460" s="13" t="n">
        <v>396901</v>
      </c>
      <c r="L460" s="13" t="n">
        <v>395113</v>
      </c>
      <c r="M460" s="13" t="n">
        <v>11585</v>
      </c>
      <c r="N460" s="14" t="n">
        <f aca="false">L460+M460</f>
        <v>406698</v>
      </c>
      <c r="O460" s="11" t="n">
        <f aca="false">INDEX(Parametros!$D$2:$D$9,MATCH($E460,Parametros!$A$2:$A$9,0))</f>
        <v>5200</v>
      </c>
      <c r="P460" s="15" t="n">
        <f aca="false">IF((G460-H460)&gt;0,J460/(G460-H460),0)</f>
        <v>0.983177245924384</v>
      </c>
      <c r="Q460" s="15" t="n">
        <f aca="false">IF(J460*O460&gt;0,N460/(O460*J460),0)</f>
        <v>0.827777250091591</v>
      </c>
      <c r="R460" s="15" t="n">
        <f aca="false">IF(N460&gt;0,L460/N460,0)</f>
        <v>0.971514489867174</v>
      </c>
      <c r="S460" s="15" t="n">
        <f aca="false">P460*Q460*R460</f>
        <v>0.790668774513728</v>
      </c>
      <c r="T460" s="15" t="n">
        <f aca="false">IF(K460&gt;0,L460/K460,0)</f>
        <v>0.995495098273877</v>
      </c>
      <c r="U460" s="10" t="n">
        <v>1357.9</v>
      </c>
      <c r="V460" s="5" t="n">
        <v>12</v>
      </c>
      <c r="W460" s="10" t="n">
        <v>109.9</v>
      </c>
      <c r="X460" s="15" t="n">
        <f aca="false">IF(U460&gt;0,W460/U460,0)</f>
        <v>0.0809337948302526</v>
      </c>
      <c r="Y460" s="12" t="n">
        <f aca="false">IF(U460&gt;0,L460/U460,0)</f>
        <v>290.973562117976</v>
      </c>
      <c r="Z460" s="16" t="n">
        <f aca="false">L460*INDEX(Parametros!$E$2:$E$9,MATCH($E460,Parametros!$A$2:$A$9,0))</f>
        <v>217312.15</v>
      </c>
      <c r="AA460" s="16" t="n">
        <f aca="false">Z460*INDEX(Parametros!$F$2:$F$9,MATCH($E460,Parametros!$A$2:$A$9,0))</f>
        <v>6519.3645</v>
      </c>
      <c r="AB460" s="17" t="n">
        <f aca="false">Z460+AA460</f>
        <v>223831.5145</v>
      </c>
      <c r="AC460" s="18" t="n">
        <v>226449.21</v>
      </c>
      <c r="AD460" s="17" t="n">
        <f aca="false">AC460-AB460</f>
        <v>2617.69549999997</v>
      </c>
      <c r="AE460" s="17" t="n">
        <f aca="false">AA460+AD460</f>
        <v>9137.05999999997</v>
      </c>
      <c r="AF460" s="19" t="n">
        <f aca="false">IF(Z460&gt;0,AE460/Z460,0)</f>
        <v>0.0420457852908821</v>
      </c>
      <c r="AG460" s="16" t="n">
        <f aca="false">(U460-W460)*INDEX(Parametros!$H$2:$H$9,MATCH($E460,Parametros!$A$2:$A$9,0))+W460*INDEX(Parametros!$H$2:$H$9,MATCH($E460,Parametros!$A$2:$A$9,0))*Parametros!$N$3</f>
        <v>44504.775</v>
      </c>
      <c r="AH460" s="13" t="n">
        <v>20019</v>
      </c>
      <c r="AI460" s="16" t="n">
        <f aca="false">AH460*Parametros!$N$2</f>
        <v>1841.748</v>
      </c>
      <c r="AJ460" s="18" t="n">
        <v>9170</v>
      </c>
      <c r="AK460" s="18" t="n">
        <v>1468</v>
      </c>
      <c r="AL460" s="17" t="n">
        <f aca="false">AG460+AI460+AJ460+AK460</f>
        <v>56984.523</v>
      </c>
      <c r="AM460" s="20" t="n">
        <f aca="false">IF(L460&gt;0,AL460/L460,0)</f>
        <v>0.144223356356283</v>
      </c>
      <c r="AN460" s="16" t="n">
        <f aca="false">L460*INDEX(Parametros!$G$2:$G$9,MATCH($E460,Parametros!$A$2:$A$9,0))</f>
        <v>403015.26</v>
      </c>
      <c r="AO460" s="17" t="n">
        <f aca="false">AN460-AC460-AL460</f>
        <v>119581.527</v>
      </c>
      <c r="AP460" s="15" t="n">
        <f aca="false">IF(AN460&gt;0,AO460/AN460,0)</f>
        <v>0.296717119346796</v>
      </c>
      <c r="AQ460" s="16" t="n">
        <f aca="false">INDEX(Parametros!$I$2:$I$9,MATCH($E460,Parametros!$A$2:$A$9,0))</f>
        <v>19300000</v>
      </c>
      <c r="AR460" s="19" t="n">
        <f aca="false">IF(AQ460&gt;0,AO460/AQ460,0)</f>
        <v>0.00619593404145078</v>
      </c>
    </row>
    <row r="461" customFormat="false" ht="15" hidden="false" customHeight="false" outlineLevel="0" collapsed="false">
      <c r="A461" s="5" t="s">
        <v>596</v>
      </c>
      <c r="B461" s="9" t="n">
        <v>45950</v>
      </c>
      <c r="C461" s="2" t="str">
        <f aca="false">TEXT(B461,"yyyy")</f>
        <v>2025</v>
      </c>
      <c r="D461" s="2" t="n">
        <f aca="false">WEEKNUM(B461,2)</f>
        <v>43</v>
      </c>
      <c r="E461" s="5" t="s">
        <v>136</v>
      </c>
      <c r="F461" s="6" t="str">
        <f aca="false">INDEX(Parametros!$B$2:$B$9,MATCH($E461,Parametros!$A$2:$A$9,0))</f>
        <v>Salsa BBQ</v>
      </c>
      <c r="G461" s="10" t="n">
        <v>104.4</v>
      </c>
      <c r="H461" s="10" t="n">
        <v>5.3</v>
      </c>
      <c r="I461" s="11" t="n">
        <f aca="false">SUMIFS(Eventos_Paro!$J$2:$J$2186,Eventos_Paro!$D$2:$D$2186,$E461,Eventos_Paro!$B$2:$B$2186,$B461)</f>
        <v>5.01666666666667</v>
      </c>
      <c r="J461" s="12" t="n">
        <f aca="false">G461-H461-I461</f>
        <v>94.0833333333333</v>
      </c>
      <c r="K461" s="13" t="n">
        <v>368230</v>
      </c>
      <c r="L461" s="13" t="n">
        <v>366381</v>
      </c>
      <c r="M461" s="13" t="n">
        <v>13481</v>
      </c>
      <c r="N461" s="14" t="n">
        <f aca="false">L461+M461</f>
        <v>379862</v>
      </c>
      <c r="O461" s="11" t="n">
        <f aca="false">INDEX(Parametros!$D$2:$D$9,MATCH($E461,Parametros!$A$2:$A$9,0))</f>
        <v>4800</v>
      </c>
      <c r="P461" s="15" t="n">
        <f aca="false">IF((G461-H461)&gt;0,J461/(G461-H461),0)</f>
        <v>0.949377732929701</v>
      </c>
      <c r="Q461" s="15" t="n">
        <f aca="false">IF(J461*O461&gt;0,N461/(O461*J461),0)</f>
        <v>0.841147032772365</v>
      </c>
      <c r="R461" s="15" t="n">
        <f aca="false">IF(N461&gt;0,L461/N461,0)</f>
        <v>0.964510796025925</v>
      </c>
      <c r="S461" s="15" t="n">
        <f aca="false">P461*Q461*R461</f>
        <v>0.770225782038345</v>
      </c>
      <c r="T461" s="15" t="n">
        <f aca="false">IF(K461&gt;0,L461/K461,0)</f>
        <v>0.994978681802135</v>
      </c>
      <c r="U461" s="10" t="n">
        <v>1196.4</v>
      </c>
      <c r="V461" s="5" t="n">
        <v>11</v>
      </c>
      <c r="W461" s="10" t="n">
        <v>48</v>
      </c>
      <c r="X461" s="15" t="n">
        <f aca="false">IF(U461&gt;0,W461/U461,0)</f>
        <v>0.0401203610832498</v>
      </c>
      <c r="Y461" s="12" t="n">
        <f aca="false">IF(U461&gt;0,L461/U461,0)</f>
        <v>306.236208625878</v>
      </c>
      <c r="Z461" s="16" t="n">
        <f aca="false">L461*INDEX(Parametros!$E$2:$E$9,MATCH($E461,Parametros!$A$2:$A$9,0))</f>
        <v>212500.98</v>
      </c>
      <c r="AA461" s="16" t="n">
        <f aca="false">Z461*INDEX(Parametros!$F$2:$F$9,MATCH($E461,Parametros!$A$2:$A$9,0))</f>
        <v>5950.02744</v>
      </c>
      <c r="AB461" s="17" t="n">
        <f aca="false">Z461+AA461</f>
        <v>218451.00744</v>
      </c>
      <c r="AC461" s="18" t="n">
        <v>220358.46</v>
      </c>
      <c r="AD461" s="17" t="n">
        <f aca="false">AC461-AB461</f>
        <v>1907.45256000001</v>
      </c>
      <c r="AE461" s="17" t="n">
        <f aca="false">AA461+AD461</f>
        <v>7857.48000000001</v>
      </c>
      <c r="AF461" s="19" t="n">
        <f aca="false">IF(Z461&gt;0,AE461/Z461,0)</f>
        <v>0.0369762059450267</v>
      </c>
      <c r="AG461" s="16" t="n">
        <f aca="false">(U461-W461)*INDEX(Parametros!$H$2:$H$9,MATCH($E461,Parametros!$A$2:$A$9,0))+W461*INDEX(Parametros!$H$2:$H$9,MATCH($E461,Parametros!$A$2:$A$9,0))*Parametros!$N$3</f>
        <v>38442.6</v>
      </c>
      <c r="AH461" s="13" t="n">
        <v>18267</v>
      </c>
      <c r="AI461" s="16" t="n">
        <f aca="false">AH461*Parametros!$N$2</f>
        <v>1680.564</v>
      </c>
      <c r="AJ461" s="18" t="n">
        <v>8896</v>
      </c>
      <c r="AK461" s="18" t="n">
        <v>3092</v>
      </c>
      <c r="AL461" s="17" t="n">
        <f aca="false">AG461+AI461+AJ461+AK461</f>
        <v>52111.164</v>
      </c>
      <c r="AM461" s="20" t="n">
        <f aca="false">IF(L461&gt;0,AL461/L461,0)</f>
        <v>0.142232168152825</v>
      </c>
      <c r="AN461" s="16" t="n">
        <f aca="false">L461*INDEX(Parametros!$G$2:$G$9,MATCH($E461,Parametros!$A$2:$A$9,0))</f>
        <v>359053.38</v>
      </c>
      <c r="AO461" s="17" t="n">
        <f aca="false">AN461-AC461-AL461</f>
        <v>86583.756</v>
      </c>
      <c r="AP461" s="15" t="n">
        <f aca="false">IF(AN461&gt;0,AO461/AN461,0)</f>
        <v>0.241144522856184</v>
      </c>
      <c r="AQ461" s="16" t="n">
        <f aca="false">INDEX(Parametros!$I$2:$I$9,MATCH($E461,Parametros!$A$2:$A$9,0))</f>
        <v>17000000</v>
      </c>
      <c r="AR461" s="19" t="n">
        <f aca="false">IF(AQ461&gt;0,AO461/AQ461,0)</f>
        <v>0.00509316211764706</v>
      </c>
    </row>
    <row r="462" customFormat="false" ht="15" hidden="false" customHeight="false" outlineLevel="0" collapsed="false">
      <c r="A462" s="5" t="s">
        <v>597</v>
      </c>
      <c r="B462" s="9" t="n">
        <v>45950</v>
      </c>
      <c r="C462" s="2" t="str">
        <f aca="false">TEXT(B462,"yyyy")</f>
        <v>2025</v>
      </c>
      <c r="D462" s="2" t="n">
        <f aca="false">WEEKNUM(B462,2)</f>
        <v>43</v>
      </c>
      <c r="E462" s="5" t="s">
        <v>138</v>
      </c>
      <c r="F462" s="6" t="str">
        <f aca="false">INDEX(Parametros!$B$2:$B$9,MATCH($E462,Parametros!$A$2:$A$9,0))</f>
        <v>Queso crema</v>
      </c>
      <c r="G462" s="10" t="n">
        <v>118.4</v>
      </c>
      <c r="H462" s="10" t="n">
        <v>5.5</v>
      </c>
      <c r="I462" s="11" t="n">
        <f aca="false">SUMIFS(Eventos_Paro!$J$2:$J$2186,Eventos_Paro!$D$2:$D$2186,$E462,Eventos_Paro!$B$2:$B$2186,$B462)</f>
        <v>3.53333333333333</v>
      </c>
      <c r="J462" s="12" t="n">
        <f aca="false">G462-H462-I462</f>
        <v>109.366666666667</v>
      </c>
      <c r="K462" s="13" t="n">
        <v>340748</v>
      </c>
      <c r="L462" s="13" t="n">
        <v>332530</v>
      </c>
      <c r="M462" s="13" t="n">
        <v>13129</v>
      </c>
      <c r="N462" s="14" t="n">
        <f aca="false">L462+M462</f>
        <v>345659</v>
      </c>
      <c r="O462" s="11" t="n">
        <f aca="false">INDEX(Parametros!$D$2:$D$9,MATCH($E462,Parametros!$A$2:$A$9,0))</f>
        <v>3800</v>
      </c>
      <c r="P462" s="15" t="n">
        <f aca="false">IF((G462-H462)&gt;0,J462/(G462-H462),0)</f>
        <v>0.968703867729554</v>
      </c>
      <c r="Q462" s="15" t="n">
        <f aca="false">IF(J462*O462&gt;0,N462/(O462*J462),0)</f>
        <v>0.831724121336563</v>
      </c>
      <c r="R462" s="15" t="n">
        <f aca="false">IF(N462&gt;0,L462/N462,0)</f>
        <v>0.962017479654804</v>
      </c>
      <c r="S462" s="15" t="n">
        <f aca="false">P462*Q462*R462</f>
        <v>0.775092070299753</v>
      </c>
      <c r="T462" s="15" t="n">
        <f aca="false">IF(K462&gt;0,L462/K462,0)</f>
        <v>0.97588247032998</v>
      </c>
      <c r="U462" s="10" t="n">
        <v>1907.7</v>
      </c>
      <c r="V462" s="5" t="n">
        <v>15</v>
      </c>
      <c r="W462" s="10" t="n">
        <v>131.7</v>
      </c>
      <c r="X462" s="15" t="n">
        <f aca="false">IF(U462&gt;0,W462/U462,0)</f>
        <v>0.0690360119515647</v>
      </c>
      <c r="Y462" s="12" t="n">
        <f aca="false">IF(U462&gt;0,L462/U462,0)</f>
        <v>174.309377784767</v>
      </c>
      <c r="Z462" s="16" t="n">
        <f aca="false">L462*INDEX(Parametros!$E$2:$E$9,MATCH($E462,Parametros!$A$2:$A$9,0))</f>
        <v>372433.6</v>
      </c>
      <c r="AA462" s="16" t="n">
        <f aca="false">Z462*INDEX(Parametros!$F$2:$F$9,MATCH($E462,Parametros!$A$2:$A$9,0))</f>
        <v>13035.176</v>
      </c>
      <c r="AB462" s="17" t="n">
        <f aca="false">Z462+AA462</f>
        <v>385468.776</v>
      </c>
      <c r="AC462" s="18" t="n">
        <v>386256.22</v>
      </c>
      <c r="AD462" s="17" t="n">
        <f aca="false">AC462-AB462</f>
        <v>787.44399999996</v>
      </c>
      <c r="AE462" s="17" t="n">
        <f aca="false">AA462+AD462</f>
        <v>13822.62</v>
      </c>
      <c r="AF462" s="19" t="n">
        <f aca="false">IF(Z462&gt;0,AE462/Z462,0)</f>
        <v>0.0371143205124349</v>
      </c>
      <c r="AG462" s="16" t="n">
        <f aca="false">(U462-W462)*INDEX(Parametros!$H$2:$H$9,MATCH($E462,Parametros!$A$2:$A$9,0))+W462*INDEX(Parametros!$H$2:$H$9,MATCH($E462,Parametros!$A$2:$A$9,0))*Parametros!$N$3</f>
        <v>65127.15</v>
      </c>
      <c r="AH462" s="13" t="n">
        <v>17204</v>
      </c>
      <c r="AI462" s="16" t="n">
        <f aca="false">AH462*Parametros!$N$2</f>
        <v>1582.768</v>
      </c>
      <c r="AJ462" s="18" t="n">
        <v>19145</v>
      </c>
      <c r="AK462" s="18" t="n">
        <v>2948</v>
      </c>
      <c r="AL462" s="17" t="n">
        <f aca="false">AG462+AI462+AJ462+AK462</f>
        <v>88802.918</v>
      </c>
      <c r="AM462" s="20" t="n">
        <f aca="false">IF(L462&gt;0,AL462/L462,0)</f>
        <v>0.267052350163895</v>
      </c>
      <c r="AN462" s="16" t="n">
        <f aca="false">L462*INDEX(Parametros!$G$2:$G$9,MATCH($E462,Parametros!$A$2:$A$9,0))</f>
        <v>595228.7</v>
      </c>
      <c r="AO462" s="17" t="n">
        <f aca="false">AN462-AC462-AL462</f>
        <v>120169.562</v>
      </c>
      <c r="AP462" s="15" t="n">
        <f aca="false">IF(AN462&gt;0,AO462/AN462,0)</f>
        <v>0.201888050760993</v>
      </c>
      <c r="AQ462" s="16" t="n">
        <f aca="false">INDEX(Parametros!$I$2:$I$9,MATCH($E462,Parametros!$A$2:$A$9,0))</f>
        <v>33200000</v>
      </c>
      <c r="AR462" s="19" t="n">
        <f aca="false">IF(AQ462&gt;0,AO462/AQ462,0)</f>
        <v>0.00361956512048193</v>
      </c>
    </row>
    <row r="463" customFormat="false" ht="15" hidden="false" customHeight="false" outlineLevel="0" collapsed="false">
      <c r="A463" s="5" t="s">
        <v>598</v>
      </c>
      <c r="B463" s="9" t="n">
        <v>45950</v>
      </c>
      <c r="C463" s="2" t="str">
        <f aca="false">TEXT(B463,"yyyy")</f>
        <v>2025</v>
      </c>
      <c r="D463" s="2" t="n">
        <f aca="false">WEEKNUM(B463,2)</f>
        <v>43</v>
      </c>
      <c r="E463" s="5" t="s">
        <v>140</v>
      </c>
      <c r="F463" s="6" t="str">
        <f aca="false">INDEX(Parametros!$B$2:$B$9,MATCH($E463,Parametros!$A$2:$A$9,0))</f>
        <v>Crema de cacahuate</v>
      </c>
      <c r="G463" s="10" t="n">
        <v>106.8</v>
      </c>
      <c r="H463" s="10" t="n">
        <v>7.1</v>
      </c>
      <c r="I463" s="11" t="n">
        <f aca="false">SUMIFS(Eventos_Paro!$J$2:$J$2186,Eventos_Paro!$D$2:$D$2186,$E463,Eventos_Paro!$B$2:$B$2186,$B463)</f>
        <v>1.33333333333333</v>
      </c>
      <c r="J463" s="12" t="n">
        <f aca="false">G463-H463-I463</f>
        <v>98.3666666666667</v>
      </c>
      <c r="K463" s="13" t="n">
        <v>332583</v>
      </c>
      <c r="L463" s="13" t="n">
        <v>338328</v>
      </c>
      <c r="M463" s="13" t="n">
        <v>9273</v>
      </c>
      <c r="N463" s="14" t="n">
        <f aca="false">L463+M463</f>
        <v>347601</v>
      </c>
      <c r="O463" s="11" t="n">
        <f aca="false">INDEX(Parametros!$D$2:$D$9,MATCH($E463,Parametros!$A$2:$A$9,0))</f>
        <v>4200</v>
      </c>
      <c r="P463" s="15" t="n">
        <f aca="false">IF((G463-H463)&gt;0,J463/(G463-H463),0)</f>
        <v>0.986626546305583</v>
      </c>
      <c r="Q463" s="15" t="n">
        <f aca="false">IF(J463*O463&gt;0,N463/(O463*J463),0)</f>
        <v>0.841363702376918</v>
      </c>
      <c r="R463" s="15" t="n">
        <f aca="false">IF(N463&gt;0,L463/N463,0)</f>
        <v>0.973322861556785</v>
      </c>
      <c r="S463" s="15" t="n">
        <f aca="false">P463*Q463*R463</f>
        <v>0.807966757415102</v>
      </c>
      <c r="T463" s="15" t="n">
        <f aca="false">IF(K463&gt;0,L463/K463,0)</f>
        <v>1.01727388351179</v>
      </c>
      <c r="U463" s="10" t="n">
        <v>1460.3</v>
      </c>
      <c r="V463" s="5" t="n">
        <v>13</v>
      </c>
      <c r="W463" s="10" t="n">
        <v>71.9</v>
      </c>
      <c r="X463" s="15" t="n">
        <f aca="false">IF(U463&gt;0,W463/U463,0)</f>
        <v>0.049236458262001</v>
      </c>
      <c r="Y463" s="12" t="n">
        <f aca="false">IF(U463&gt;0,L463/U463,0)</f>
        <v>231.683900568376</v>
      </c>
      <c r="Z463" s="16" t="n">
        <f aca="false">L463*INDEX(Parametros!$E$2:$E$9,MATCH($E463,Parametros!$A$2:$A$9,0))</f>
        <v>328178.16</v>
      </c>
      <c r="AA463" s="16" t="n">
        <f aca="false">Z463*INDEX(Parametros!$F$2:$F$9,MATCH($E463,Parametros!$A$2:$A$9,0))</f>
        <v>7219.91952</v>
      </c>
      <c r="AB463" s="17" t="n">
        <f aca="false">Z463+AA463</f>
        <v>335398.07952</v>
      </c>
      <c r="AC463" s="18" t="n">
        <v>333503.04</v>
      </c>
      <c r="AD463" s="17" t="n">
        <f aca="false">AC463-AB463</f>
        <v>-1895.03951999999</v>
      </c>
      <c r="AE463" s="17" t="n">
        <f aca="false">AA463+AD463</f>
        <v>5324.88000000001</v>
      </c>
      <c r="AF463" s="19" t="n">
        <f aca="false">IF(Z463&gt;0,AE463/Z463,0)</f>
        <v>0.0162255769853789</v>
      </c>
      <c r="AG463" s="16" t="n">
        <f aca="false">(U463-W463)*INDEX(Parametros!$H$2:$H$9,MATCH($E463,Parametros!$A$2:$A$9,0))+W463*INDEX(Parametros!$H$2:$H$9,MATCH($E463,Parametros!$A$2:$A$9,0))*Parametros!$N$3</f>
        <v>47131.875</v>
      </c>
      <c r="AH463" s="13" t="n">
        <v>17027</v>
      </c>
      <c r="AI463" s="16" t="n">
        <f aca="false">AH463*Parametros!$N$2</f>
        <v>1566.484</v>
      </c>
      <c r="AJ463" s="18" t="n">
        <v>13663</v>
      </c>
      <c r="AK463" s="18" t="n">
        <v>857</v>
      </c>
      <c r="AL463" s="17" t="n">
        <f aca="false">AG463+AI463+AJ463+AK463</f>
        <v>63218.359</v>
      </c>
      <c r="AM463" s="20" t="n">
        <f aca="false">IF(L463&gt;0,AL463/L463,0)</f>
        <v>0.186855238112128</v>
      </c>
      <c r="AN463" s="16" t="n">
        <f aca="false">L463*INDEX(Parametros!$G$2:$G$9,MATCH($E463,Parametros!$A$2:$A$9,0))</f>
        <v>548091.36</v>
      </c>
      <c r="AO463" s="17" t="n">
        <f aca="false">AN463-AC463-AL463</f>
        <v>151369.961</v>
      </c>
      <c r="AP463" s="15" t="n">
        <f aca="false">IF(AN463&gt;0,AO463/AN463,0)</f>
        <v>0.276176513711145</v>
      </c>
      <c r="AQ463" s="16" t="n">
        <f aca="false">INDEX(Parametros!$I$2:$I$9,MATCH($E463,Parametros!$A$2:$A$9,0))</f>
        <v>28000000</v>
      </c>
      <c r="AR463" s="19" t="n">
        <f aca="false">IF(AQ463&gt;0,AO463/AQ463,0)</f>
        <v>0.00540607003571429</v>
      </c>
    </row>
    <row r="464" customFormat="false" ht="15" hidden="false" customHeight="false" outlineLevel="0" collapsed="false">
      <c r="A464" s="5" t="s">
        <v>599</v>
      </c>
      <c r="B464" s="9" t="n">
        <v>45950</v>
      </c>
      <c r="C464" s="2" t="str">
        <f aca="false">TEXT(B464,"yyyy")</f>
        <v>2025</v>
      </c>
      <c r="D464" s="2" t="n">
        <f aca="false">WEEKNUM(B464,2)</f>
        <v>43</v>
      </c>
      <c r="E464" s="5" t="s">
        <v>142</v>
      </c>
      <c r="F464" s="6" t="str">
        <f aca="false">INDEX(Parametros!$B$2:$B$9,MATCH($E464,Parametros!$A$2:$A$9,0))</f>
        <v>Porciones single serve</v>
      </c>
      <c r="G464" s="10" t="n">
        <v>109.6</v>
      </c>
      <c r="H464" s="10" t="n">
        <v>6</v>
      </c>
      <c r="I464" s="11" t="n">
        <f aca="false">SUMIFS(Eventos_Paro!$J$2:$J$2186,Eventos_Paro!$D$2:$D$2186,$E464,Eventos_Paro!$B$2:$B$2186,$B464)</f>
        <v>8.63333333333333</v>
      </c>
      <c r="J464" s="12" t="n">
        <f aca="false">G464-H464-I464</f>
        <v>94.9666666666667</v>
      </c>
      <c r="K464" s="13" t="n">
        <v>213938</v>
      </c>
      <c r="L464" s="13" t="n">
        <v>182361</v>
      </c>
      <c r="M464" s="13" t="n">
        <v>10469</v>
      </c>
      <c r="N464" s="14" t="n">
        <f aca="false">L464+M464</f>
        <v>192830</v>
      </c>
      <c r="O464" s="11" t="n">
        <f aca="false">INDEX(Parametros!$D$2:$D$9,MATCH($E464,Parametros!$A$2:$A$9,0))</f>
        <v>2600</v>
      </c>
      <c r="P464" s="15" t="n">
        <f aca="false">IF((G464-H464)&gt;0,J464/(G464-H464),0)</f>
        <v>0.916666666666667</v>
      </c>
      <c r="Q464" s="15" t="n">
        <f aca="false">IF(J464*O464&gt;0,N464/(O464*J464),0)</f>
        <v>0.780962280962281</v>
      </c>
      <c r="R464" s="15" t="n">
        <f aca="false">IF(N464&gt;0,L464/N464,0)</f>
        <v>0.945708655292226</v>
      </c>
      <c r="S464" s="15" t="n">
        <f aca="false">P464*Q464*R464</f>
        <v>0.67701588951589</v>
      </c>
      <c r="T464" s="15" t="n">
        <f aca="false">IF(K464&gt;0,L464/K464,0)</f>
        <v>0.852401162953753</v>
      </c>
      <c r="U464" s="10" t="n">
        <v>1810.4</v>
      </c>
      <c r="V464" s="5" t="n">
        <v>16</v>
      </c>
      <c r="W464" s="10" t="n">
        <v>56.8</v>
      </c>
      <c r="X464" s="15" t="n">
        <f aca="false">IF(U464&gt;0,W464/U464,0)</f>
        <v>0.031374281926646</v>
      </c>
      <c r="Y464" s="12" t="n">
        <f aca="false">IF(U464&gt;0,L464/U464,0)</f>
        <v>100.729673000442</v>
      </c>
      <c r="Z464" s="16" t="n">
        <f aca="false">L464*INDEX(Parametros!$E$2:$E$9,MATCH($E464,Parametros!$A$2:$A$9,0))</f>
        <v>134947.14</v>
      </c>
      <c r="AA464" s="16" t="n">
        <f aca="false">Z464*INDEX(Parametros!$F$2:$F$9,MATCH($E464,Parametros!$A$2:$A$9,0))</f>
        <v>6072.6213</v>
      </c>
      <c r="AB464" s="17" t="n">
        <f aca="false">Z464+AA464</f>
        <v>141019.7613</v>
      </c>
      <c r="AC464" s="18" t="n">
        <v>139431.65</v>
      </c>
      <c r="AD464" s="17" t="n">
        <f aca="false">AC464-AB464</f>
        <v>-1588.11129999999</v>
      </c>
      <c r="AE464" s="17" t="n">
        <f aca="false">AA464+AD464</f>
        <v>4484.51000000001</v>
      </c>
      <c r="AF464" s="19" t="n">
        <f aca="false">IF(Z464&gt;0,AE464/Z464,0)</f>
        <v>0.0332316046119985</v>
      </c>
      <c r="AG464" s="16" t="n">
        <f aca="false">(U464-W464)*INDEX(Parametros!$H$2:$H$9,MATCH($E464,Parametros!$A$2:$A$9,0))+W464*INDEX(Parametros!$H$2:$H$9,MATCH($E464,Parametros!$A$2:$A$9,0))*Parametros!$N$3</f>
        <v>55164</v>
      </c>
      <c r="AH464" s="13" t="n">
        <v>9935</v>
      </c>
      <c r="AI464" s="16" t="n">
        <f aca="false">AH464*Parametros!$N$2</f>
        <v>914.02</v>
      </c>
      <c r="AJ464" s="18" t="n">
        <v>11527</v>
      </c>
      <c r="AK464" s="18" t="n">
        <v>7164</v>
      </c>
      <c r="AL464" s="17" t="n">
        <f aca="false">AG464+AI464+AJ464+AK464</f>
        <v>74769.02</v>
      </c>
      <c r="AM464" s="20" t="n">
        <f aca="false">IF(L464&gt;0,AL464/L464,0)</f>
        <v>0.410005538464913</v>
      </c>
      <c r="AN464" s="16" t="n">
        <f aca="false">L464*INDEX(Parametros!$G$2:$G$9,MATCH($E464,Parametros!$A$2:$A$9,0))</f>
        <v>313660.92</v>
      </c>
      <c r="AO464" s="17" t="n">
        <f aca="false">AN464-AC464-AL464</f>
        <v>99460.25</v>
      </c>
      <c r="AP464" s="15" t="n">
        <f aca="false">IF(AN464&gt;0,AO464/AN464,0)</f>
        <v>0.317094810536168</v>
      </c>
      <c r="AQ464" s="16" t="n">
        <f aca="false">INDEX(Parametros!$I$2:$I$9,MATCH($E464,Parametros!$A$2:$A$9,0))</f>
        <v>15900000</v>
      </c>
      <c r="AR464" s="19" t="n">
        <f aca="false">IF(AQ464&gt;0,AO464/AQ464,0)</f>
        <v>0.00625536163522013</v>
      </c>
    </row>
    <row r="465" customFormat="false" ht="15" hidden="false" customHeight="false" outlineLevel="0" collapsed="false">
      <c r="A465" s="5" t="s">
        <v>600</v>
      </c>
      <c r="B465" s="9" t="n">
        <v>45950</v>
      </c>
      <c r="C465" s="2" t="str">
        <f aca="false">TEXT(B465,"yyyy")</f>
        <v>2025</v>
      </c>
      <c r="D465" s="2" t="n">
        <f aca="false">WEEKNUM(B465,2)</f>
        <v>43</v>
      </c>
      <c r="E465" s="5" t="s">
        <v>144</v>
      </c>
      <c r="F465" s="6" t="str">
        <f aca="false">INDEX(Parametros!$B$2:$B$9,MATCH($E465,Parametros!$A$2:$A$9,0))</f>
        <v>Salsas picantes</v>
      </c>
      <c r="G465" s="10" t="n">
        <v>93.3</v>
      </c>
      <c r="H465" s="10" t="n">
        <v>8.1</v>
      </c>
      <c r="I465" s="11" t="n">
        <f aca="false">SUMIFS(Eventos_Paro!$J$2:$J$2186,Eventos_Paro!$D$2:$D$2186,$E465,Eventos_Paro!$B$2:$B$2186,$B465)</f>
        <v>2.78333333333333</v>
      </c>
      <c r="J465" s="12" t="n">
        <f aca="false">G465-H465-I465</f>
        <v>82.4166666666667</v>
      </c>
      <c r="K465" s="13" t="n">
        <v>214109</v>
      </c>
      <c r="L465" s="13" t="n">
        <v>220108</v>
      </c>
      <c r="M465" s="13" t="n">
        <v>3315</v>
      </c>
      <c r="N465" s="14" t="n">
        <f aca="false">L465+M465</f>
        <v>223423</v>
      </c>
      <c r="O465" s="11" t="n">
        <f aca="false">INDEX(Parametros!$D$2:$D$9,MATCH($E465,Parametros!$A$2:$A$9,0))</f>
        <v>3100</v>
      </c>
      <c r="P465" s="15" t="n">
        <f aca="false">IF((G465-H465)&gt;0,J465/(G465-H465),0)</f>
        <v>0.967331768388106</v>
      </c>
      <c r="Q465" s="15" t="n">
        <f aca="false">IF(J465*O465&gt;0,N465/(O465*J465),0)</f>
        <v>0.874482533676897</v>
      </c>
      <c r="R465" s="15" t="n">
        <f aca="false">IF(N465&gt;0,L465/N465,0)</f>
        <v>0.985162673493776</v>
      </c>
      <c r="S465" s="15" t="n">
        <f aca="false">P465*Q465*R465</f>
        <v>0.83336362259579</v>
      </c>
      <c r="T465" s="15" t="n">
        <f aca="false">IF(K465&gt;0,L465/K465,0)</f>
        <v>1.0280184392062</v>
      </c>
      <c r="U465" s="10" t="n">
        <v>981.6</v>
      </c>
      <c r="V465" s="5" t="n">
        <v>10</v>
      </c>
      <c r="W465" s="10" t="n">
        <v>48.6</v>
      </c>
      <c r="X465" s="15" t="n">
        <f aca="false">IF(U465&gt;0,W465/U465,0)</f>
        <v>0.0495110024449878</v>
      </c>
      <c r="Y465" s="12" t="n">
        <f aca="false">IF(U465&gt;0,L465/U465,0)</f>
        <v>224.233903830481</v>
      </c>
      <c r="Z465" s="16" t="n">
        <f aca="false">L465*INDEX(Parametros!$E$2:$E$9,MATCH($E465,Parametros!$A$2:$A$9,0))</f>
        <v>145271.28</v>
      </c>
      <c r="AA465" s="16" t="n">
        <f aca="false">Z465*INDEX(Parametros!$F$2:$F$9,MATCH($E465,Parametros!$A$2:$A$9,0))</f>
        <v>3777.05328</v>
      </c>
      <c r="AB465" s="17" t="n">
        <f aca="false">Z465+AA465</f>
        <v>149048.33328</v>
      </c>
      <c r="AC465" s="18" t="n">
        <v>148913.19</v>
      </c>
      <c r="AD465" s="17" t="n">
        <f aca="false">AC465-AB465</f>
        <v>-135.143279999989</v>
      </c>
      <c r="AE465" s="17" t="n">
        <f aca="false">AA465+AD465</f>
        <v>3641.91000000001</v>
      </c>
      <c r="AF465" s="19" t="n">
        <f aca="false">IF(Z465&gt;0,AE465/Z465,0)</f>
        <v>0.0250697178409938</v>
      </c>
      <c r="AG465" s="16" t="n">
        <f aca="false">(U465-W465)*INDEX(Parametros!$H$2:$H$9,MATCH($E465,Parametros!$A$2:$A$9,0))+W465*INDEX(Parametros!$H$2:$H$9,MATCH($E465,Parametros!$A$2:$A$9,0))*Parametros!$N$3</f>
        <v>31685.85</v>
      </c>
      <c r="AH465" s="13" t="n">
        <v>12291</v>
      </c>
      <c r="AI465" s="16" t="n">
        <f aca="false">AH465*Parametros!$N$2</f>
        <v>1130.772</v>
      </c>
      <c r="AJ465" s="18" t="n">
        <v>6550</v>
      </c>
      <c r="AK465" s="18" t="n">
        <v>2742</v>
      </c>
      <c r="AL465" s="17" t="n">
        <f aca="false">AG465+AI465+AJ465+AK465</f>
        <v>42108.622</v>
      </c>
      <c r="AM465" s="20" t="n">
        <f aca="false">IF(L465&gt;0,AL465/L465,0)</f>
        <v>0.19130891198866</v>
      </c>
      <c r="AN465" s="16" t="n">
        <f aca="false">L465*INDEX(Parametros!$G$2:$G$9,MATCH($E465,Parametros!$A$2:$A$9,0))</f>
        <v>275135</v>
      </c>
      <c r="AO465" s="17" t="n">
        <f aca="false">AN465-AC465-AL465</f>
        <v>84113.188</v>
      </c>
      <c r="AP465" s="15" t="n">
        <f aca="false">IF(AN465&gt;0,AO465/AN465,0)</f>
        <v>0.305716059389027</v>
      </c>
      <c r="AQ465" s="16" t="n">
        <f aca="false">INDEX(Parametros!$I$2:$I$9,MATCH($E465,Parametros!$A$2:$A$9,0))</f>
        <v>13300000</v>
      </c>
      <c r="AR465" s="19" t="n">
        <f aca="false">IF(AQ465&gt;0,AO465/AQ465,0)</f>
        <v>0.00632429984962406</v>
      </c>
    </row>
    <row r="466" customFormat="false" ht="15" hidden="false" customHeight="false" outlineLevel="0" collapsed="false">
      <c r="A466" s="5" t="s">
        <v>601</v>
      </c>
      <c r="B466" s="9" t="n">
        <v>45957</v>
      </c>
      <c r="C466" s="2" t="str">
        <f aca="false">TEXT(B466,"yyyy")</f>
        <v>2025</v>
      </c>
      <c r="D466" s="2" t="n">
        <f aca="false">WEEKNUM(B466,2)</f>
        <v>44</v>
      </c>
      <c r="E466" s="5" t="s">
        <v>130</v>
      </c>
      <c r="F466" s="6" t="str">
        <f aca="false">INDEX(Parametros!$B$2:$B$9,MATCH($E466,Parametros!$A$2:$A$9,0))</f>
        <v>Ketchup botella</v>
      </c>
      <c r="G466" s="10" t="n">
        <v>114.9</v>
      </c>
      <c r="H466" s="10" t="n">
        <v>6.8</v>
      </c>
      <c r="I466" s="11" t="n">
        <f aca="false">SUMIFS(Eventos_Paro!$J$2:$J$2186,Eventos_Paro!$D$2:$D$2186,$E466,Eventos_Paro!$B$2:$B$2186,$B466)</f>
        <v>0.45</v>
      </c>
      <c r="J466" s="12" t="n">
        <f aca="false">G466-H466-I466</f>
        <v>107.65</v>
      </c>
      <c r="K466" s="13" t="n">
        <v>769082</v>
      </c>
      <c r="L466" s="13" t="n">
        <v>831034</v>
      </c>
      <c r="M466" s="13" t="n">
        <v>21442</v>
      </c>
      <c r="N466" s="14" t="n">
        <f aca="false">L466+M466</f>
        <v>852476</v>
      </c>
      <c r="O466" s="11" t="n">
        <f aca="false">INDEX(Parametros!$D$2:$D$9,MATCH($E466,Parametros!$A$2:$A$9,0))</f>
        <v>9000</v>
      </c>
      <c r="P466" s="15" t="n">
        <f aca="false">IF((G466-H466)&gt;0,J466/(G466-H466),0)</f>
        <v>0.995837187789084</v>
      </c>
      <c r="Q466" s="15" t="n">
        <f aca="false">IF(J466*O466&gt;0,N466/(O466*J466),0)</f>
        <v>0.879884399029778</v>
      </c>
      <c r="R466" s="15" t="n">
        <f aca="false">IF(N466&gt;0,L466/N466,0)</f>
        <v>0.974847385732854</v>
      </c>
      <c r="S466" s="15" t="n">
        <f aca="false">P466*Q466*R466</f>
        <v>0.854182341453387</v>
      </c>
      <c r="T466" s="15" t="n">
        <f aca="false">IF(K466&gt;0,L466/K466,0)</f>
        <v>1.08055317898482</v>
      </c>
      <c r="U466" s="10" t="n">
        <v>1791.4</v>
      </c>
      <c r="V466" s="5" t="n">
        <v>14</v>
      </c>
      <c r="W466" s="10" t="n">
        <v>182.8</v>
      </c>
      <c r="X466" s="15" t="n">
        <f aca="false">IF(U466&gt;0,W466/U466,0)</f>
        <v>0.102043094786201</v>
      </c>
      <c r="Y466" s="12" t="n">
        <f aca="false">IF(U466&gt;0,L466/U466,0)</f>
        <v>463.901976108072</v>
      </c>
      <c r="Z466" s="16" t="n">
        <f aca="false">L466*INDEX(Parametros!$E$2:$E$9,MATCH($E466,Parametros!$A$2:$A$9,0))</f>
        <v>349034.28</v>
      </c>
      <c r="AA466" s="16" t="n">
        <f aca="false">Z466*INDEX(Parametros!$F$2:$F$9,MATCH($E466,Parametros!$A$2:$A$9,0))</f>
        <v>6980.6856</v>
      </c>
      <c r="AB466" s="17" t="n">
        <f aca="false">Z466+AA466</f>
        <v>356014.9656</v>
      </c>
      <c r="AC466" s="18" t="n">
        <v>355270.46</v>
      </c>
      <c r="AD466" s="17" t="n">
        <f aca="false">AC466-AB466</f>
        <v>-744.505599999975</v>
      </c>
      <c r="AE466" s="17" t="n">
        <f aca="false">AA466+AD466</f>
        <v>6236.18000000003</v>
      </c>
      <c r="AF466" s="19" t="n">
        <f aca="false">IF(Z466&gt;0,AE466/Z466,0)</f>
        <v>0.0178669556468781</v>
      </c>
      <c r="AG466" s="16" t="n">
        <f aca="false">(U466-W466)*INDEX(Parametros!$H$2:$H$9,MATCH($E466,Parametros!$A$2:$A$9,0))+W466*INDEX(Parametros!$H$2:$H$9,MATCH($E466,Parametros!$A$2:$A$9,0))*Parametros!$N$3</f>
        <v>59308.2</v>
      </c>
      <c r="AH466" s="13" t="n">
        <v>43952</v>
      </c>
      <c r="AI466" s="16" t="n">
        <f aca="false">AH466*Parametros!$N$2</f>
        <v>4043.584</v>
      </c>
      <c r="AJ466" s="18" t="n">
        <v>12825</v>
      </c>
      <c r="AK466" s="18" t="n">
        <v>324</v>
      </c>
      <c r="AL466" s="17" t="n">
        <f aca="false">AG466+AI466+AJ466+AK466</f>
        <v>76500.784</v>
      </c>
      <c r="AM466" s="20" t="n">
        <f aca="false">IF(L466&gt;0,AL466/L466,0)</f>
        <v>0.0920549387871014</v>
      </c>
      <c r="AN466" s="16" t="n">
        <f aca="false">L466*INDEX(Parametros!$G$2:$G$9,MATCH($E466,Parametros!$A$2:$A$9,0))</f>
        <v>590034.14</v>
      </c>
      <c r="AO466" s="17" t="n">
        <f aca="false">AN466-AC466-AL466</f>
        <v>158262.896</v>
      </c>
      <c r="AP466" s="15" t="n">
        <f aca="false">IF(AN466&gt;0,AO466/AN466,0)</f>
        <v>0.26822667583269</v>
      </c>
      <c r="AQ466" s="16" t="n">
        <f aca="false">INDEX(Parametros!$I$2:$I$9,MATCH($E466,Parametros!$A$2:$A$9,0))</f>
        <v>29300000</v>
      </c>
      <c r="AR466" s="19" t="n">
        <f aca="false">IF(AQ466&gt;0,AO466/AQ466,0)</f>
        <v>0.00540146402730375</v>
      </c>
    </row>
    <row r="467" customFormat="false" ht="15" hidden="false" customHeight="false" outlineLevel="0" collapsed="false">
      <c r="A467" s="5" t="s">
        <v>602</v>
      </c>
      <c r="B467" s="9" t="n">
        <v>45957</v>
      </c>
      <c r="C467" s="2" t="str">
        <f aca="false">TEXT(B467,"yyyy")</f>
        <v>2025</v>
      </c>
      <c r="D467" s="2" t="n">
        <f aca="false">WEEKNUM(B467,2)</f>
        <v>44</v>
      </c>
      <c r="E467" s="5" t="s">
        <v>132</v>
      </c>
      <c r="F467" s="6" t="str">
        <f aca="false">INDEX(Parametros!$B$2:$B$9,MATCH($E467,Parametros!$A$2:$A$9,0))</f>
        <v>Mayonesa frasco</v>
      </c>
      <c r="G467" s="10" t="n">
        <v>119.3</v>
      </c>
      <c r="H467" s="10" t="n">
        <v>9</v>
      </c>
      <c r="I467" s="11" t="n">
        <f aca="false">SUMIFS(Eventos_Paro!$J$2:$J$2186,Eventos_Paro!$D$2:$D$2186,$E467,Eventos_Paro!$B$2:$B$2186,$B467)</f>
        <v>2.76666666666667</v>
      </c>
      <c r="J467" s="12" t="n">
        <f aca="false">G467-H467-I467</f>
        <v>107.533333333333</v>
      </c>
      <c r="K467" s="13" t="n">
        <v>566753</v>
      </c>
      <c r="L467" s="13" t="n">
        <v>581255</v>
      </c>
      <c r="M467" s="13" t="n">
        <v>18652</v>
      </c>
      <c r="N467" s="14" t="n">
        <f aca="false">L467+M467</f>
        <v>599907</v>
      </c>
      <c r="O467" s="11" t="n">
        <f aca="false">INDEX(Parametros!$D$2:$D$9,MATCH($E467,Parametros!$A$2:$A$9,0))</f>
        <v>6500</v>
      </c>
      <c r="P467" s="15" t="n">
        <f aca="false">IF((G467-H467)&gt;0,J467/(G467-H467),0)</f>
        <v>0.974916893321245</v>
      </c>
      <c r="Q467" s="15" t="n">
        <f aca="false">IF(J467*O467&gt;0,N467/(O467*J467),0)</f>
        <v>0.858276980304259</v>
      </c>
      <c r="R467" s="15" t="n">
        <f aca="false">IF(N467&gt;0,L467/N467,0)</f>
        <v>0.968908514153027</v>
      </c>
      <c r="S467" s="15" t="n">
        <f aca="false">P467*Q467*R467</f>
        <v>0.810732966036683</v>
      </c>
      <c r="T467" s="15" t="n">
        <f aca="false">IF(K467&gt;0,L467/K467,0)</f>
        <v>1.02558786631919</v>
      </c>
      <c r="U467" s="10" t="n">
        <v>1813.3</v>
      </c>
      <c r="V467" s="5" t="n">
        <v>14</v>
      </c>
      <c r="W467" s="10" t="n">
        <v>143.1</v>
      </c>
      <c r="X467" s="15" t="n">
        <f aca="false">IF(U467&gt;0,W467/U467,0)</f>
        <v>0.0789168918546297</v>
      </c>
      <c r="Y467" s="12" t="n">
        <f aca="false">IF(U467&gt;0,L467/U467,0)</f>
        <v>320.550929245023</v>
      </c>
      <c r="Z467" s="16" t="n">
        <f aca="false">L467*INDEX(Parametros!$E$2:$E$9,MATCH($E467,Parametros!$A$2:$A$9,0))</f>
        <v>354565.55</v>
      </c>
      <c r="AA467" s="16" t="n">
        <f aca="false">Z467*INDEX(Parametros!$F$2:$F$9,MATCH($E467,Parametros!$A$2:$A$9,0))</f>
        <v>8864.13875</v>
      </c>
      <c r="AB467" s="17" t="n">
        <f aca="false">Z467+AA467</f>
        <v>363429.68875</v>
      </c>
      <c r="AC467" s="18" t="n">
        <v>365417.88</v>
      </c>
      <c r="AD467" s="17" t="n">
        <f aca="false">AC467-AB467</f>
        <v>1988.19125000003</v>
      </c>
      <c r="AE467" s="17" t="n">
        <f aca="false">AA467+AD467</f>
        <v>10852.33</v>
      </c>
      <c r="AF467" s="19" t="n">
        <f aca="false">IF(Z467&gt;0,AE467/Z467,0)</f>
        <v>0.0306074010856386</v>
      </c>
      <c r="AG467" s="16" t="n">
        <f aca="false">(U467-W467)*INDEX(Parametros!$H$2:$H$9,MATCH($E467,Parametros!$A$2:$A$9,0))+W467*INDEX(Parametros!$H$2:$H$9,MATCH($E467,Parametros!$A$2:$A$9,0))*Parametros!$N$3</f>
        <v>59372.775</v>
      </c>
      <c r="AH467" s="13" t="n">
        <v>30350</v>
      </c>
      <c r="AI467" s="16" t="n">
        <f aca="false">AH467*Parametros!$N$2</f>
        <v>2792.2</v>
      </c>
      <c r="AJ467" s="18" t="n">
        <v>13344</v>
      </c>
      <c r="AK467" s="18" t="n">
        <v>1940</v>
      </c>
      <c r="AL467" s="17" t="n">
        <f aca="false">AG467+AI467+AJ467+AK467</f>
        <v>77448.975</v>
      </c>
      <c r="AM467" s="20" t="n">
        <f aca="false">IF(L467&gt;0,AL467/L467,0)</f>
        <v>0.133244402198691</v>
      </c>
      <c r="AN467" s="16" t="n">
        <f aca="false">L467*INDEX(Parametros!$G$2:$G$9,MATCH($E467,Parametros!$A$2:$A$9,0))</f>
        <v>558004.8</v>
      </c>
      <c r="AO467" s="17" t="n">
        <f aca="false">AN467-AC467-AL467</f>
        <v>115137.945</v>
      </c>
      <c r="AP467" s="15" t="n">
        <f aca="false">IF(AN467&gt;0,AO467/AN467,0)</f>
        <v>0.206338628269864</v>
      </c>
      <c r="AQ467" s="16" t="n">
        <f aca="false">INDEX(Parametros!$I$2:$I$9,MATCH($E467,Parametros!$A$2:$A$9,0))</f>
        <v>29700000</v>
      </c>
      <c r="AR467" s="19" t="n">
        <f aca="false">IF(AQ467&gt;0,AO467/AQ467,0)</f>
        <v>0.00387669848484848</v>
      </c>
    </row>
    <row r="468" customFormat="false" ht="15" hidden="false" customHeight="false" outlineLevel="0" collapsed="false">
      <c r="A468" s="5" t="s">
        <v>603</v>
      </c>
      <c r="B468" s="9" t="n">
        <v>45957</v>
      </c>
      <c r="C468" s="2" t="str">
        <f aca="false">TEXT(B468,"yyyy")</f>
        <v>2025</v>
      </c>
      <c r="D468" s="2" t="n">
        <f aca="false">WEEKNUM(B468,2)</f>
        <v>44</v>
      </c>
      <c r="E468" s="5" t="s">
        <v>134</v>
      </c>
      <c r="F468" s="6" t="str">
        <f aca="false">INDEX(Parametros!$B$2:$B$9,MATCH($E468,Parametros!$A$2:$A$9,0))</f>
        <v>Aderezos vertibles</v>
      </c>
      <c r="G468" s="10" t="n">
        <v>112.7</v>
      </c>
      <c r="H468" s="10" t="n">
        <v>8.2</v>
      </c>
      <c r="I468" s="11" t="n">
        <f aca="false">SUMIFS(Eventos_Paro!$J$2:$J$2186,Eventos_Paro!$D$2:$D$2186,$E468,Eventos_Paro!$B$2:$B$2186,$B468)</f>
        <v>1.01666666666667</v>
      </c>
      <c r="J468" s="12" t="n">
        <f aca="false">G468-H468-I468</f>
        <v>103.483333333333</v>
      </c>
      <c r="K468" s="13" t="n">
        <v>429561</v>
      </c>
      <c r="L468" s="13" t="n">
        <v>479871</v>
      </c>
      <c r="M468" s="13" t="n">
        <v>17143</v>
      </c>
      <c r="N468" s="14" t="n">
        <f aca="false">L468+M468</f>
        <v>497014</v>
      </c>
      <c r="O468" s="11" t="n">
        <f aca="false">INDEX(Parametros!$D$2:$D$9,MATCH($E468,Parametros!$A$2:$A$9,0))</f>
        <v>5200</v>
      </c>
      <c r="P468" s="15" t="n">
        <f aca="false">IF((G468-H468)&gt;0,J468/(G468-H468),0)</f>
        <v>0.990271132376396</v>
      </c>
      <c r="Q468" s="15" t="n">
        <f aca="false">IF(J468*O468&gt;0,N468/(O468*J468),0)</f>
        <v>0.923623276385396</v>
      </c>
      <c r="R468" s="15" t="n">
        <f aca="false">IF(N468&gt;0,L468/N468,0)</f>
        <v>0.965508013858765</v>
      </c>
      <c r="S468" s="15" t="n">
        <f aca="false">P468*Q468*R468</f>
        <v>0.88308980493191</v>
      </c>
      <c r="T468" s="15" t="n">
        <f aca="false">IF(K468&gt;0,L468/K468,0)</f>
        <v>1.11711957091077</v>
      </c>
      <c r="U468" s="10" t="n">
        <v>1332.3</v>
      </c>
      <c r="V468" s="5" t="n">
        <v>11</v>
      </c>
      <c r="W468" s="10" t="n">
        <v>92.6</v>
      </c>
      <c r="X468" s="15" t="n">
        <f aca="false">IF(U468&gt;0,W468/U468,0)</f>
        <v>0.0695038654957592</v>
      </c>
      <c r="Y468" s="12" t="n">
        <f aca="false">IF(U468&gt;0,L468/U468,0)</f>
        <v>360.182391353299</v>
      </c>
      <c r="Z468" s="16" t="n">
        <f aca="false">L468*INDEX(Parametros!$E$2:$E$9,MATCH($E468,Parametros!$A$2:$A$9,0))</f>
        <v>263929.05</v>
      </c>
      <c r="AA468" s="16" t="n">
        <f aca="false">Z468*INDEX(Parametros!$F$2:$F$9,MATCH($E468,Parametros!$A$2:$A$9,0))</f>
        <v>7917.8715</v>
      </c>
      <c r="AB468" s="17" t="n">
        <f aca="false">Z468+AA468</f>
        <v>271846.9215</v>
      </c>
      <c r="AC468" s="18" t="n">
        <v>266765.67</v>
      </c>
      <c r="AD468" s="17" t="n">
        <f aca="false">AC468-AB468</f>
        <v>-5081.25150000007</v>
      </c>
      <c r="AE468" s="17" t="n">
        <f aca="false">AA468+AD468</f>
        <v>2836.61999999993</v>
      </c>
      <c r="AF468" s="19" t="n">
        <f aca="false">IF(Z468&gt;0,AE468/Z468,0)</f>
        <v>0.0107476611612095</v>
      </c>
      <c r="AG468" s="16" t="n">
        <f aca="false">(U468-W468)*INDEX(Parametros!$H$2:$H$9,MATCH($E468,Parametros!$A$2:$A$9,0))+W468*INDEX(Parametros!$H$2:$H$9,MATCH($E468,Parametros!$A$2:$A$9,0))*Parametros!$N$3</f>
        <v>43425.9</v>
      </c>
      <c r="AH468" s="13" t="n">
        <v>23604</v>
      </c>
      <c r="AI468" s="16" t="n">
        <f aca="false">AH468*Parametros!$N$2</f>
        <v>2171.568</v>
      </c>
      <c r="AJ468" s="18" t="n">
        <v>11052</v>
      </c>
      <c r="AK468" s="18" t="n">
        <v>1303</v>
      </c>
      <c r="AL468" s="17" t="n">
        <f aca="false">AG468+AI468+AJ468+AK468</f>
        <v>57952.468</v>
      </c>
      <c r="AM468" s="20" t="n">
        <f aca="false">IF(L468&gt;0,AL468/L468,0)</f>
        <v>0.120766764401266</v>
      </c>
      <c r="AN468" s="16" t="n">
        <f aca="false">L468*INDEX(Parametros!$G$2:$G$9,MATCH($E468,Parametros!$A$2:$A$9,0))</f>
        <v>489468.42</v>
      </c>
      <c r="AO468" s="17" t="n">
        <f aca="false">AN468-AC468-AL468</f>
        <v>164750.282</v>
      </c>
      <c r="AP468" s="15" t="n">
        <f aca="false">IF(AN468&gt;0,AO468/AN468,0)</f>
        <v>0.33659021760791</v>
      </c>
      <c r="AQ468" s="16" t="n">
        <f aca="false">INDEX(Parametros!$I$2:$I$9,MATCH($E468,Parametros!$A$2:$A$9,0))</f>
        <v>19300000</v>
      </c>
      <c r="AR468" s="19" t="n">
        <f aca="false">IF(AQ468&gt;0,AO468/AQ468,0)</f>
        <v>0.00853628404145078</v>
      </c>
    </row>
    <row r="469" customFormat="false" ht="15" hidden="false" customHeight="false" outlineLevel="0" collapsed="false">
      <c r="A469" s="5" t="s">
        <v>604</v>
      </c>
      <c r="B469" s="9" t="n">
        <v>45957</v>
      </c>
      <c r="C469" s="2" t="str">
        <f aca="false">TEXT(B469,"yyyy")</f>
        <v>2025</v>
      </c>
      <c r="D469" s="2" t="n">
        <f aca="false">WEEKNUM(B469,2)</f>
        <v>44</v>
      </c>
      <c r="E469" s="5" t="s">
        <v>136</v>
      </c>
      <c r="F469" s="6" t="str">
        <f aca="false">INDEX(Parametros!$B$2:$B$9,MATCH($E469,Parametros!$A$2:$A$9,0))</f>
        <v>Salsa BBQ</v>
      </c>
      <c r="G469" s="10" t="n">
        <v>87.9</v>
      </c>
      <c r="H469" s="10" t="n">
        <v>6.4</v>
      </c>
      <c r="I469" s="11" t="n">
        <f aca="false">SUMIFS(Eventos_Paro!$J$2:$J$2186,Eventos_Paro!$D$2:$D$2186,$E469,Eventos_Paro!$B$2:$B$2186,$B469)</f>
        <v>3.15</v>
      </c>
      <c r="J469" s="12" t="n">
        <f aca="false">G469-H469-I469</f>
        <v>78.35</v>
      </c>
      <c r="K469" s="13" t="n">
        <v>296245</v>
      </c>
      <c r="L469" s="13" t="n">
        <v>307820</v>
      </c>
      <c r="M469" s="13" t="n">
        <v>12653</v>
      </c>
      <c r="N469" s="14" t="n">
        <f aca="false">L469+M469</f>
        <v>320473</v>
      </c>
      <c r="O469" s="11" t="n">
        <f aca="false">INDEX(Parametros!$D$2:$D$9,MATCH($E469,Parametros!$A$2:$A$9,0))</f>
        <v>4800</v>
      </c>
      <c r="P469" s="15" t="n">
        <f aca="false">IF((G469-H469)&gt;0,J469/(G469-H469),0)</f>
        <v>0.961349693251534</v>
      </c>
      <c r="Q469" s="15" t="n">
        <f aca="false">IF(J469*O469&gt;0,N469/(O469*J469),0)</f>
        <v>0.852140502020847</v>
      </c>
      <c r="R469" s="15" t="n">
        <f aca="false">IF(N469&gt;0,L469/N469,0)</f>
        <v>0.960517734723362</v>
      </c>
      <c r="S469" s="15" t="n">
        <f aca="false">P469*Q469*R469</f>
        <v>0.786860940695296</v>
      </c>
      <c r="T469" s="15" t="n">
        <f aca="false">IF(K469&gt;0,L469/K469,0)</f>
        <v>1.03907238940742</v>
      </c>
      <c r="U469" s="10" t="n">
        <v>1130.6</v>
      </c>
      <c r="V469" s="5" t="n">
        <v>12</v>
      </c>
      <c r="W469" s="10" t="n">
        <v>75.8</v>
      </c>
      <c r="X469" s="15" t="n">
        <f aca="false">IF(U469&gt;0,W469/U469,0)</f>
        <v>0.0670440474084557</v>
      </c>
      <c r="Y469" s="12" t="n">
        <f aca="false">IF(U469&gt;0,L469/U469,0)</f>
        <v>272.262515478507</v>
      </c>
      <c r="Z469" s="16" t="n">
        <f aca="false">L469*INDEX(Parametros!$E$2:$E$9,MATCH($E469,Parametros!$A$2:$A$9,0))</f>
        <v>178535.6</v>
      </c>
      <c r="AA469" s="16" t="n">
        <f aca="false">Z469*INDEX(Parametros!$F$2:$F$9,MATCH($E469,Parametros!$A$2:$A$9,0))</f>
        <v>4998.9968</v>
      </c>
      <c r="AB469" s="17" t="n">
        <f aca="false">Z469+AA469</f>
        <v>183534.5968</v>
      </c>
      <c r="AC469" s="18" t="n">
        <v>186761.13</v>
      </c>
      <c r="AD469" s="17" t="n">
        <f aca="false">AC469-AB469</f>
        <v>3226.53320000003</v>
      </c>
      <c r="AE469" s="17" t="n">
        <f aca="false">AA469+AD469</f>
        <v>8225.53000000004</v>
      </c>
      <c r="AF469" s="19" t="n">
        <f aca="false">IF(Z469&gt;0,AE469/Z469,0)</f>
        <v>0.0460722119286016</v>
      </c>
      <c r="AG469" s="16" t="n">
        <f aca="false">(U469-W469)*INDEX(Parametros!$H$2:$H$9,MATCH($E469,Parametros!$A$2:$A$9,0))+W469*INDEX(Parametros!$H$2:$H$9,MATCH($E469,Parametros!$A$2:$A$9,0))*Parametros!$N$3</f>
        <v>36807.75</v>
      </c>
      <c r="AH469" s="13" t="n">
        <v>16503</v>
      </c>
      <c r="AI469" s="16" t="n">
        <f aca="false">AH469*Parametros!$N$2</f>
        <v>1518.276</v>
      </c>
      <c r="AJ469" s="18" t="n">
        <v>11029</v>
      </c>
      <c r="AK469" s="18" t="n">
        <v>2824</v>
      </c>
      <c r="AL469" s="17" t="n">
        <f aca="false">AG469+AI469+AJ469+AK469</f>
        <v>52179.026</v>
      </c>
      <c r="AM469" s="20" t="n">
        <f aca="false">IF(L469&gt;0,AL469/L469,0)</f>
        <v>0.169511487232798</v>
      </c>
      <c r="AN469" s="16" t="n">
        <f aca="false">L469*INDEX(Parametros!$G$2:$G$9,MATCH($E469,Parametros!$A$2:$A$9,0))</f>
        <v>301663.6</v>
      </c>
      <c r="AO469" s="17" t="n">
        <f aca="false">AN469-AC469-AL469</f>
        <v>62723.444</v>
      </c>
      <c r="AP469" s="15" t="n">
        <f aca="false">IF(AN469&gt;0,AO469/AN469,0)</f>
        <v>0.207925132498584</v>
      </c>
      <c r="AQ469" s="16" t="n">
        <f aca="false">INDEX(Parametros!$I$2:$I$9,MATCH($E469,Parametros!$A$2:$A$9,0))</f>
        <v>17000000</v>
      </c>
      <c r="AR469" s="19" t="n">
        <f aca="false">IF(AQ469&gt;0,AO469/AQ469,0)</f>
        <v>0.00368961435294118</v>
      </c>
    </row>
    <row r="470" customFormat="false" ht="15" hidden="false" customHeight="false" outlineLevel="0" collapsed="false">
      <c r="A470" s="5" t="s">
        <v>605</v>
      </c>
      <c r="B470" s="9" t="n">
        <v>45957</v>
      </c>
      <c r="C470" s="2" t="str">
        <f aca="false">TEXT(B470,"yyyy")</f>
        <v>2025</v>
      </c>
      <c r="D470" s="2" t="n">
        <f aca="false">WEEKNUM(B470,2)</f>
        <v>44</v>
      </c>
      <c r="E470" s="5" t="s">
        <v>138</v>
      </c>
      <c r="F470" s="6" t="str">
        <f aca="false">INDEX(Parametros!$B$2:$B$9,MATCH($E470,Parametros!$A$2:$A$9,0))</f>
        <v>Queso crema</v>
      </c>
      <c r="G470" s="10" t="n">
        <v>113.1</v>
      </c>
      <c r="H470" s="10" t="n">
        <v>6.4</v>
      </c>
      <c r="I470" s="11" t="n">
        <f aca="false">SUMIFS(Eventos_Paro!$J$2:$J$2186,Eventos_Paro!$D$2:$D$2186,$E470,Eventos_Paro!$B$2:$B$2186,$B470)</f>
        <v>6.9</v>
      </c>
      <c r="J470" s="12" t="n">
        <f aca="false">G470-H470-I470</f>
        <v>99.8</v>
      </c>
      <c r="K470" s="13" t="n">
        <v>320518</v>
      </c>
      <c r="L470" s="13" t="n">
        <v>299721</v>
      </c>
      <c r="M470" s="13" t="n">
        <v>12896</v>
      </c>
      <c r="N470" s="14" t="n">
        <f aca="false">L470+M470</f>
        <v>312617</v>
      </c>
      <c r="O470" s="11" t="n">
        <f aca="false">INDEX(Parametros!$D$2:$D$9,MATCH($E470,Parametros!$A$2:$A$9,0))</f>
        <v>3800</v>
      </c>
      <c r="P470" s="15" t="n">
        <f aca="false">IF((G470-H470)&gt;0,J470/(G470-H470),0)</f>
        <v>0.935332708528585</v>
      </c>
      <c r="Q470" s="15" t="n">
        <f aca="false">IF(J470*O470&gt;0,N470/(O470*J470),0)</f>
        <v>0.824324965720916</v>
      </c>
      <c r="R470" s="15" t="n">
        <f aca="false">IF(N470&gt;0,L470/N470,0)</f>
        <v>0.9587482446572</v>
      </c>
      <c r="S470" s="15" t="n">
        <f aca="false">P470*Q470*R470</f>
        <v>0.739212252749963</v>
      </c>
      <c r="T470" s="15" t="n">
        <f aca="false">IF(K470&gt;0,L470/K470,0)</f>
        <v>0.935114408551158</v>
      </c>
      <c r="U470" s="10" t="n">
        <v>1786.7</v>
      </c>
      <c r="V470" s="5" t="n">
        <v>14</v>
      </c>
      <c r="W470" s="10" t="n">
        <v>203.3</v>
      </c>
      <c r="X470" s="15" t="n">
        <f aca="false">IF(U470&gt;0,W470/U470,0)</f>
        <v>0.113785190574803</v>
      </c>
      <c r="Y470" s="12" t="n">
        <f aca="false">IF(U470&gt;0,L470/U470,0)</f>
        <v>167.75116135893</v>
      </c>
      <c r="Z470" s="16" t="n">
        <f aca="false">L470*INDEX(Parametros!$E$2:$E$9,MATCH($E470,Parametros!$A$2:$A$9,0))</f>
        <v>335687.52</v>
      </c>
      <c r="AA470" s="16" t="n">
        <f aca="false">Z470*INDEX(Parametros!$F$2:$F$9,MATCH($E470,Parametros!$A$2:$A$9,0))</f>
        <v>11749.0632</v>
      </c>
      <c r="AB470" s="17" t="n">
        <f aca="false">Z470+AA470</f>
        <v>347436.5832</v>
      </c>
      <c r="AC470" s="18" t="n">
        <v>348001.05</v>
      </c>
      <c r="AD470" s="17" t="n">
        <f aca="false">AC470-AB470</f>
        <v>564.466799999995</v>
      </c>
      <c r="AE470" s="17" t="n">
        <f aca="false">AA470+AD470</f>
        <v>12313.53</v>
      </c>
      <c r="AF470" s="19" t="n">
        <f aca="false">IF(Z470&gt;0,AE470/Z470,0)</f>
        <v>0.0366815245321006</v>
      </c>
      <c r="AG470" s="16" t="n">
        <f aca="false">(U470-W470)*INDEX(Parametros!$H$2:$H$9,MATCH($E470,Parametros!$A$2:$A$9,0))+W470*INDEX(Parametros!$H$2:$H$9,MATCH($E470,Parametros!$A$2:$A$9,0))*Parametros!$N$3</f>
        <v>62315.55</v>
      </c>
      <c r="AH470" s="13" t="n">
        <v>15361</v>
      </c>
      <c r="AI470" s="16" t="n">
        <f aca="false">AH470*Parametros!$N$2</f>
        <v>1413.212</v>
      </c>
      <c r="AJ470" s="18" t="n">
        <v>16359</v>
      </c>
      <c r="AK470" s="18" t="n">
        <v>5332</v>
      </c>
      <c r="AL470" s="17" t="n">
        <f aca="false">AG470+AI470+AJ470+AK470</f>
        <v>85419.762</v>
      </c>
      <c r="AM470" s="20" t="n">
        <f aca="false">IF(L470&gt;0,AL470/L470,0)</f>
        <v>0.284997587756614</v>
      </c>
      <c r="AN470" s="16" t="n">
        <f aca="false">L470*INDEX(Parametros!$G$2:$G$9,MATCH($E470,Parametros!$A$2:$A$9,0))</f>
        <v>536500.59</v>
      </c>
      <c r="AO470" s="17" t="n">
        <f aca="false">AN470-AC470-AL470</f>
        <v>103079.778</v>
      </c>
      <c r="AP470" s="15" t="n">
        <f aca="false">IF(AN470&gt;0,AO470/AN470,0)</f>
        <v>0.192133578082365</v>
      </c>
      <c r="AQ470" s="16" t="n">
        <f aca="false">INDEX(Parametros!$I$2:$I$9,MATCH($E470,Parametros!$A$2:$A$9,0))</f>
        <v>33200000</v>
      </c>
      <c r="AR470" s="19" t="n">
        <f aca="false">IF(AQ470&gt;0,AO470/AQ470,0)</f>
        <v>0.00310481259036145</v>
      </c>
    </row>
    <row r="471" customFormat="false" ht="15" hidden="false" customHeight="false" outlineLevel="0" collapsed="false">
      <c r="A471" s="5" t="s">
        <v>606</v>
      </c>
      <c r="B471" s="9" t="n">
        <v>45957</v>
      </c>
      <c r="C471" s="2" t="str">
        <f aca="false">TEXT(B471,"yyyy")</f>
        <v>2025</v>
      </c>
      <c r="D471" s="2" t="n">
        <f aca="false">WEEKNUM(B471,2)</f>
        <v>44</v>
      </c>
      <c r="E471" s="5" t="s">
        <v>140</v>
      </c>
      <c r="F471" s="6" t="str">
        <f aca="false">INDEX(Parametros!$B$2:$B$9,MATCH($E471,Parametros!$A$2:$A$9,0))</f>
        <v>Crema de cacahuate</v>
      </c>
      <c r="G471" s="10" t="n">
        <v>103</v>
      </c>
      <c r="H471" s="10" t="n">
        <v>7.3</v>
      </c>
      <c r="I471" s="11" t="n">
        <f aca="false">SUMIFS(Eventos_Paro!$J$2:$J$2186,Eventos_Paro!$D$2:$D$2186,$E471,Eventos_Paro!$B$2:$B$2186,$B471)</f>
        <v>1.1</v>
      </c>
      <c r="J471" s="12" t="n">
        <f aca="false">G471-H471-I471</f>
        <v>94.6</v>
      </c>
      <c r="K471" s="13" t="n">
        <v>317736</v>
      </c>
      <c r="L471" s="13" t="n">
        <v>332089</v>
      </c>
      <c r="M471" s="13" t="n">
        <v>7894</v>
      </c>
      <c r="N471" s="14" t="n">
        <f aca="false">L471+M471</f>
        <v>339983</v>
      </c>
      <c r="O471" s="11" t="n">
        <f aca="false">INDEX(Parametros!$D$2:$D$9,MATCH($E471,Parametros!$A$2:$A$9,0))</f>
        <v>4200</v>
      </c>
      <c r="P471" s="15" t="n">
        <f aca="false">IF((G471-H471)&gt;0,J471/(G471-H471),0)</f>
        <v>0.988505747126437</v>
      </c>
      <c r="Q471" s="15" t="n">
        <f aca="false">IF(J471*O471&gt;0,N471/(O471*J471),0)</f>
        <v>0.855690627202255</v>
      </c>
      <c r="R471" s="15" t="n">
        <f aca="false">IF(N471&gt;0,L471/N471,0)</f>
        <v>0.976781192000777</v>
      </c>
      <c r="S471" s="15" t="n">
        <f aca="false">P471*Q471*R471</f>
        <v>0.8262153555257</v>
      </c>
      <c r="T471" s="15" t="n">
        <f aca="false">IF(K471&gt;0,L471/K471,0)</f>
        <v>1.04517272200821</v>
      </c>
      <c r="U471" s="10" t="n">
        <v>1354.9</v>
      </c>
      <c r="V471" s="5" t="n">
        <v>12</v>
      </c>
      <c r="W471" s="10" t="n">
        <v>118.9</v>
      </c>
      <c r="X471" s="15" t="n">
        <f aca="false">IF(U471&gt;0,W471/U471,0)</f>
        <v>0.0877555539154181</v>
      </c>
      <c r="Y471" s="12" t="n">
        <f aca="false">IF(U471&gt;0,L471/U471,0)</f>
        <v>245.102221566167</v>
      </c>
      <c r="Z471" s="16" t="n">
        <f aca="false">L471*INDEX(Parametros!$E$2:$E$9,MATCH($E471,Parametros!$A$2:$A$9,0))</f>
        <v>322126.33</v>
      </c>
      <c r="AA471" s="16" t="n">
        <f aca="false">Z471*INDEX(Parametros!$F$2:$F$9,MATCH($E471,Parametros!$A$2:$A$9,0))</f>
        <v>7086.77926</v>
      </c>
      <c r="AB471" s="17" t="n">
        <f aca="false">Z471+AA471</f>
        <v>329213.10926</v>
      </c>
      <c r="AC471" s="18" t="n">
        <v>334094.64</v>
      </c>
      <c r="AD471" s="17" t="n">
        <f aca="false">AC471-AB471</f>
        <v>4881.53074000002</v>
      </c>
      <c r="AE471" s="17" t="n">
        <f aca="false">AA471+AD471</f>
        <v>11968.31</v>
      </c>
      <c r="AF471" s="19" t="n">
        <f aca="false">IF(Z471&gt;0,AE471/Z471,0)</f>
        <v>0.037154087962943</v>
      </c>
      <c r="AG471" s="16" t="n">
        <f aca="false">(U471-W471)*INDEX(Parametros!$H$2:$H$9,MATCH($E471,Parametros!$A$2:$A$9,0))+W471*INDEX(Parametros!$H$2:$H$9,MATCH($E471,Parametros!$A$2:$A$9,0))*Parametros!$N$3</f>
        <v>44552.025</v>
      </c>
      <c r="AH471" s="13" t="n">
        <v>16893</v>
      </c>
      <c r="AI471" s="16" t="n">
        <f aca="false">AH471*Parametros!$N$2</f>
        <v>1554.156</v>
      </c>
      <c r="AJ471" s="18" t="n">
        <v>12818</v>
      </c>
      <c r="AK471" s="18" t="n">
        <v>1192</v>
      </c>
      <c r="AL471" s="17" t="n">
        <f aca="false">AG471+AI471+AJ471+AK471</f>
        <v>60116.181</v>
      </c>
      <c r="AM471" s="20" t="n">
        <f aca="false">IF(L471&gt;0,AL471/L471,0)</f>
        <v>0.181024306737049</v>
      </c>
      <c r="AN471" s="16" t="n">
        <f aca="false">L471*INDEX(Parametros!$G$2:$G$9,MATCH($E471,Parametros!$A$2:$A$9,0))</f>
        <v>537984.18</v>
      </c>
      <c r="AO471" s="17" t="n">
        <f aca="false">AN471-AC471-AL471</f>
        <v>143773.359</v>
      </c>
      <c r="AP471" s="15" t="n">
        <f aca="false">IF(AN471&gt;0,AO471/AN471,0)</f>
        <v>0.267244585147467</v>
      </c>
      <c r="AQ471" s="16" t="n">
        <f aca="false">INDEX(Parametros!$I$2:$I$9,MATCH($E471,Parametros!$A$2:$A$9,0))</f>
        <v>28000000</v>
      </c>
      <c r="AR471" s="19" t="n">
        <f aca="false">IF(AQ471&gt;0,AO471/AQ471,0)</f>
        <v>0.00513476282142857</v>
      </c>
    </row>
    <row r="472" customFormat="false" ht="15" hidden="false" customHeight="false" outlineLevel="0" collapsed="false">
      <c r="A472" s="5" t="s">
        <v>607</v>
      </c>
      <c r="B472" s="9" t="n">
        <v>45957</v>
      </c>
      <c r="C472" s="2" t="str">
        <f aca="false">TEXT(B472,"yyyy")</f>
        <v>2025</v>
      </c>
      <c r="D472" s="2" t="n">
        <f aca="false">WEEKNUM(B472,2)</f>
        <v>44</v>
      </c>
      <c r="E472" s="5" t="s">
        <v>142</v>
      </c>
      <c r="F472" s="6" t="str">
        <f aca="false">INDEX(Parametros!$B$2:$B$9,MATCH($E472,Parametros!$A$2:$A$9,0))</f>
        <v>Porciones single serve</v>
      </c>
      <c r="G472" s="10" t="n">
        <v>128.2</v>
      </c>
      <c r="H472" s="10" t="n">
        <v>8</v>
      </c>
      <c r="I472" s="11" t="n">
        <f aca="false">SUMIFS(Eventos_Paro!$J$2:$J$2186,Eventos_Paro!$D$2:$D$2186,$E472,Eventos_Paro!$B$2:$B$2186,$B472)</f>
        <v>4.58333333333333</v>
      </c>
      <c r="J472" s="12" t="n">
        <f aca="false">G472-H472-I472</f>
        <v>115.616666666667</v>
      </c>
      <c r="K472" s="13" t="n">
        <v>247049</v>
      </c>
      <c r="L472" s="13" t="n">
        <v>224370</v>
      </c>
      <c r="M472" s="13" t="n">
        <v>10815</v>
      </c>
      <c r="N472" s="14" t="n">
        <f aca="false">L472+M472</f>
        <v>235185</v>
      </c>
      <c r="O472" s="11" t="n">
        <f aca="false">INDEX(Parametros!$D$2:$D$9,MATCH($E472,Parametros!$A$2:$A$9,0))</f>
        <v>2600</v>
      </c>
      <c r="P472" s="15" t="n">
        <f aca="false">IF((G472-H472)&gt;0,J472/(G472-H472),0)</f>
        <v>0.961869107043816</v>
      </c>
      <c r="Q472" s="15" t="n">
        <f aca="false">IF(J472*O472&gt;0,N472/(O472*J472),0)</f>
        <v>0.782376553819541</v>
      </c>
      <c r="R472" s="15" t="n">
        <f aca="false">IF(N472&gt;0,L472/N472,0)</f>
        <v>0.9540149244212</v>
      </c>
      <c r="S472" s="15" t="n">
        <f aca="false">P472*Q472*R472</f>
        <v>0.717938051964674</v>
      </c>
      <c r="T472" s="15" t="n">
        <f aca="false">IF(K472&gt;0,L472/K472,0)</f>
        <v>0.908200397491996</v>
      </c>
      <c r="U472" s="10" t="n">
        <v>2276.6</v>
      </c>
      <c r="V472" s="5" t="n">
        <v>16</v>
      </c>
      <c r="W472" s="10" t="n">
        <v>225.4</v>
      </c>
      <c r="X472" s="15" t="n">
        <f aca="false">IF(U472&gt;0,W472/U472,0)</f>
        <v>0.0990072915751559</v>
      </c>
      <c r="Y472" s="12" t="n">
        <f aca="false">IF(U472&gt;0,L472/U472,0)</f>
        <v>98.5548625142757</v>
      </c>
      <c r="Z472" s="16" t="n">
        <f aca="false">L472*INDEX(Parametros!$E$2:$E$9,MATCH($E472,Parametros!$A$2:$A$9,0))</f>
        <v>166033.8</v>
      </c>
      <c r="AA472" s="16" t="n">
        <f aca="false">Z472*INDEX(Parametros!$F$2:$F$9,MATCH($E472,Parametros!$A$2:$A$9,0))</f>
        <v>7471.521</v>
      </c>
      <c r="AB472" s="17" t="n">
        <f aca="false">Z472+AA472</f>
        <v>173505.321</v>
      </c>
      <c r="AC472" s="18" t="n">
        <v>170506.82</v>
      </c>
      <c r="AD472" s="17" t="n">
        <f aca="false">AC472-AB472</f>
        <v>-2998.50099999999</v>
      </c>
      <c r="AE472" s="17" t="n">
        <f aca="false">AA472+AD472</f>
        <v>4473.02000000001</v>
      </c>
      <c r="AF472" s="19" t="n">
        <f aca="false">IF(Z472&gt;0,AE472/Z472,0)</f>
        <v>0.0269404181558213</v>
      </c>
      <c r="AG472" s="16" t="n">
        <f aca="false">(U472-W472)*INDEX(Parametros!$H$2:$H$9,MATCH($E472,Parametros!$A$2:$A$9,0))+W472*INDEX(Parametros!$H$2:$H$9,MATCH($E472,Parametros!$A$2:$A$9,0))*Parametros!$N$3</f>
        <v>71679</v>
      </c>
      <c r="AH472" s="13" t="n">
        <v>12595</v>
      </c>
      <c r="AI472" s="16" t="n">
        <f aca="false">AH472*Parametros!$N$2</f>
        <v>1158.74</v>
      </c>
      <c r="AJ472" s="18" t="n">
        <v>11781</v>
      </c>
      <c r="AK472" s="18" t="n">
        <v>3395</v>
      </c>
      <c r="AL472" s="17" t="n">
        <f aca="false">AG472+AI472+AJ472+AK472</f>
        <v>88013.74</v>
      </c>
      <c r="AM472" s="20" t="n">
        <f aca="false">IF(L472&gt;0,AL472/L472,0)</f>
        <v>0.392270535276552</v>
      </c>
      <c r="AN472" s="16" t="n">
        <f aca="false">L472*INDEX(Parametros!$G$2:$G$9,MATCH($E472,Parametros!$A$2:$A$9,0))</f>
        <v>385916.4</v>
      </c>
      <c r="AO472" s="17" t="n">
        <f aca="false">AN472-AC472-AL472</f>
        <v>127395.84</v>
      </c>
      <c r="AP472" s="15" t="n">
        <f aca="false">IF(AN472&gt;0,AO472/AN472,0)</f>
        <v>0.330112532144267</v>
      </c>
      <c r="AQ472" s="16" t="n">
        <f aca="false">INDEX(Parametros!$I$2:$I$9,MATCH($E472,Parametros!$A$2:$A$9,0))</f>
        <v>15900000</v>
      </c>
      <c r="AR472" s="19" t="n">
        <f aca="false">IF(AQ472&gt;0,AO472/AQ472,0)</f>
        <v>0.00801231698113207</v>
      </c>
    </row>
    <row r="473" customFormat="false" ht="15" hidden="false" customHeight="false" outlineLevel="0" collapsed="false">
      <c r="A473" s="5" t="s">
        <v>608</v>
      </c>
      <c r="B473" s="9" t="n">
        <v>45957</v>
      </c>
      <c r="C473" s="2" t="str">
        <f aca="false">TEXT(B473,"yyyy")</f>
        <v>2025</v>
      </c>
      <c r="D473" s="2" t="n">
        <f aca="false">WEEKNUM(B473,2)</f>
        <v>44</v>
      </c>
      <c r="E473" s="5" t="s">
        <v>144</v>
      </c>
      <c r="F473" s="6" t="str">
        <f aca="false">INDEX(Parametros!$B$2:$B$9,MATCH($E473,Parametros!$A$2:$A$9,0))</f>
        <v>Salsas picantes</v>
      </c>
      <c r="G473" s="10" t="n">
        <v>102.1</v>
      </c>
      <c r="H473" s="10" t="n">
        <v>5.5</v>
      </c>
      <c r="I473" s="11" t="n">
        <f aca="false">SUMIFS(Eventos_Paro!$J$2:$J$2186,Eventos_Paro!$D$2:$D$2186,$E473,Eventos_Paro!$B$2:$B$2186,$B473)</f>
        <v>4.75</v>
      </c>
      <c r="J473" s="12" t="n">
        <f aca="false">G473-H473-I473</f>
        <v>91.85</v>
      </c>
      <c r="K473" s="13" t="n">
        <v>244420</v>
      </c>
      <c r="L473" s="13" t="n">
        <v>225753</v>
      </c>
      <c r="M473" s="13" t="n">
        <v>5010</v>
      </c>
      <c r="N473" s="14" t="n">
        <f aca="false">L473+M473</f>
        <v>230763</v>
      </c>
      <c r="O473" s="11" t="n">
        <f aca="false">INDEX(Parametros!$D$2:$D$9,MATCH($E473,Parametros!$A$2:$A$9,0))</f>
        <v>3100</v>
      </c>
      <c r="P473" s="15" t="n">
        <f aca="false">IF((G473-H473)&gt;0,J473/(G473-H473),0)</f>
        <v>0.950828157349897</v>
      </c>
      <c r="Q473" s="15" t="n">
        <f aca="false">IF(J473*O473&gt;0,N473/(O473*J473),0)</f>
        <v>0.810448311587968</v>
      </c>
      <c r="R473" s="15" t="n">
        <f aca="false">IF(N473&gt;0,L473/N473,0)</f>
        <v>0.978289413814173</v>
      </c>
      <c r="S473" s="15" t="n">
        <f aca="false">P473*Q473*R473</f>
        <v>0.753866960528952</v>
      </c>
      <c r="T473" s="15" t="n">
        <f aca="false">IF(K473&gt;0,L473/K473,0)</f>
        <v>0.923627362736274</v>
      </c>
      <c r="U473" s="10" t="n">
        <v>1001.9</v>
      </c>
      <c r="V473" s="5" t="n">
        <v>9</v>
      </c>
      <c r="W473" s="10" t="n">
        <v>83</v>
      </c>
      <c r="X473" s="15" t="n">
        <f aca="false">IF(U473&gt;0,W473/U473,0)</f>
        <v>0.0828425990617826</v>
      </c>
      <c r="Y473" s="12" t="n">
        <f aca="false">IF(U473&gt;0,L473/U473,0)</f>
        <v>225.324882722827</v>
      </c>
      <c r="Z473" s="16" t="n">
        <f aca="false">L473*INDEX(Parametros!$E$2:$E$9,MATCH($E473,Parametros!$A$2:$A$9,0))</f>
        <v>148996.98</v>
      </c>
      <c r="AA473" s="16" t="n">
        <f aca="false">Z473*INDEX(Parametros!$F$2:$F$9,MATCH($E473,Parametros!$A$2:$A$9,0))</f>
        <v>3873.92148</v>
      </c>
      <c r="AB473" s="17" t="n">
        <f aca="false">Z473+AA473</f>
        <v>152870.90148</v>
      </c>
      <c r="AC473" s="18" t="n">
        <v>153332.15</v>
      </c>
      <c r="AD473" s="17" t="n">
        <f aca="false">AC473-AB473</f>
        <v>461.248519999994</v>
      </c>
      <c r="AE473" s="17" t="n">
        <f aca="false">AA473+AD473</f>
        <v>4335.16999999999</v>
      </c>
      <c r="AF473" s="19" t="n">
        <f aca="false">IF(Z473&gt;0,AE473/Z473,0)</f>
        <v>0.0290956903958724</v>
      </c>
      <c r="AG473" s="16" t="n">
        <f aca="false">(U473-W473)*INDEX(Parametros!$H$2:$H$9,MATCH($E473,Parametros!$A$2:$A$9,0))+W473*INDEX(Parametros!$H$2:$H$9,MATCH($E473,Parametros!$A$2:$A$9,0))*Parametros!$N$3</f>
        <v>32867.1</v>
      </c>
      <c r="AH473" s="13" t="n">
        <v>11274</v>
      </c>
      <c r="AI473" s="16" t="n">
        <f aca="false">AH473*Parametros!$N$2</f>
        <v>1037.208</v>
      </c>
      <c r="AJ473" s="18" t="n">
        <v>6128</v>
      </c>
      <c r="AK473" s="18" t="n">
        <v>5176</v>
      </c>
      <c r="AL473" s="17" t="n">
        <f aca="false">AG473+AI473+AJ473+AK473</f>
        <v>45208.308</v>
      </c>
      <c r="AM473" s="20" t="n">
        <f aca="false">IF(L473&gt;0,AL473/L473,0)</f>
        <v>0.200255624509973</v>
      </c>
      <c r="AN473" s="16" t="n">
        <f aca="false">L473*INDEX(Parametros!$G$2:$G$9,MATCH($E473,Parametros!$A$2:$A$9,0))</f>
        <v>282191.25</v>
      </c>
      <c r="AO473" s="17" t="n">
        <f aca="false">AN473-AC473-AL473</f>
        <v>83650.792</v>
      </c>
      <c r="AP473" s="15" t="n">
        <f aca="false">IF(AN473&gt;0,AO473/AN473,0)</f>
        <v>0.296432975863001</v>
      </c>
      <c r="AQ473" s="16" t="n">
        <f aca="false">INDEX(Parametros!$I$2:$I$9,MATCH($E473,Parametros!$A$2:$A$9,0))</f>
        <v>13300000</v>
      </c>
      <c r="AR473" s="19" t="n">
        <f aca="false">IF(AQ473&gt;0,AO473/AQ473,0)</f>
        <v>0.00628953323308271</v>
      </c>
    </row>
    <row r="474" customFormat="false" ht="15" hidden="false" customHeight="false" outlineLevel="0" collapsed="false">
      <c r="A474" s="5" t="s">
        <v>609</v>
      </c>
      <c r="B474" s="9" t="n">
        <v>45964</v>
      </c>
      <c r="C474" s="2" t="str">
        <f aca="false">TEXT(B474,"yyyy")</f>
        <v>2025</v>
      </c>
      <c r="D474" s="2" t="n">
        <f aca="false">WEEKNUM(B474,2)</f>
        <v>45</v>
      </c>
      <c r="E474" s="5" t="s">
        <v>130</v>
      </c>
      <c r="F474" s="6" t="str">
        <f aca="false">INDEX(Parametros!$B$2:$B$9,MATCH($E474,Parametros!$A$2:$A$9,0))</f>
        <v>Ketchup botella</v>
      </c>
      <c r="G474" s="10" t="n">
        <v>126.4</v>
      </c>
      <c r="H474" s="10" t="n">
        <v>8.3</v>
      </c>
      <c r="I474" s="11" t="n">
        <f aca="false">SUMIFS(Eventos_Paro!$J$2:$J$2186,Eventos_Paro!$D$2:$D$2186,$E474,Eventos_Paro!$B$2:$B$2186,$B474)</f>
        <v>0.3</v>
      </c>
      <c r="J474" s="12" t="n">
        <f aca="false">G474-H474-I474</f>
        <v>117.8</v>
      </c>
      <c r="K474" s="13" t="n">
        <v>836397</v>
      </c>
      <c r="L474" s="13" t="n">
        <v>887058</v>
      </c>
      <c r="M474" s="13" t="n">
        <v>18867</v>
      </c>
      <c r="N474" s="14" t="n">
        <f aca="false">L474+M474</f>
        <v>905925</v>
      </c>
      <c r="O474" s="11" t="n">
        <f aca="false">INDEX(Parametros!$D$2:$D$9,MATCH($E474,Parametros!$A$2:$A$9,0))</f>
        <v>9000</v>
      </c>
      <c r="P474" s="15" t="n">
        <f aca="false">IF((G474-H474)&gt;0,J474/(G474-H474),0)</f>
        <v>0.997459779847587</v>
      </c>
      <c r="Q474" s="15" t="n">
        <f aca="false">IF(J474*O474&gt;0,N474/(O474*J474),0)</f>
        <v>0.854485002829655</v>
      </c>
      <c r="R474" s="15" t="n">
        <f aca="false">IF(N474&gt;0,L474/N474,0)</f>
        <v>0.9791737726633</v>
      </c>
      <c r="S474" s="15" t="n">
        <f aca="false">P474*Q474*R474</f>
        <v>0.834563928873836</v>
      </c>
      <c r="T474" s="15" t="n">
        <f aca="false">IF(K474&gt;0,L474/K474,0)</f>
        <v>1.06057051854562</v>
      </c>
      <c r="U474" s="10" t="n">
        <v>1979.4</v>
      </c>
      <c r="V474" s="5" t="n">
        <v>14</v>
      </c>
      <c r="W474" s="10" t="n">
        <v>209.8</v>
      </c>
      <c r="X474" s="15" t="n">
        <f aca="false">IF(U474&gt;0,W474/U474,0)</f>
        <v>0.105991714661008</v>
      </c>
      <c r="Y474" s="12" t="n">
        <f aca="false">IF(U474&gt;0,L474/U474,0)</f>
        <v>448.144892391634</v>
      </c>
      <c r="Z474" s="16" t="n">
        <f aca="false">L474*INDEX(Parametros!$E$2:$E$9,MATCH($E474,Parametros!$A$2:$A$9,0))</f>
        <v>372564.36</v>
      </c>
      <c r="AA474" s="16" t="n">
        <f aca="false">Z474*INDEX(Parametros!$F$2:$F$9,MATCH($E474,Parametros!$A$2:$A$9,0))</f>
        <v>7451.2872</v>
      </c>
      <c r="AB474" s="17" t="n">
        <f aca="false">Z474+AA474</f>
        <v>380015.6472</v>
      </c>
      <c r="AC474" s="18" t="n">
        <v>375412.65</v>
      </c>
      <c r="AD474" s="17" t="n">
        <f aca="false">AC474-AB474</f>
        <v>-4602.99719999998</v>
      </c>
      <c r="AE474" s="17" t="n">
        <f aca="false">AA474+AD474</f>
        <v>2848.29000000002</v>
      </c>
      <c r="AF474" s="19" t="n">
        <f aca="false">IF(Z474&gt;0,AE474/Z474,0)</f>
        <v>0.00764509519912215</v>
      </c>
      <c r="AG474" s="16" t="n">
        <f aca="false">(U474-W474)*INDEX(Parametros!$H$2:$H$9,MATCH($E474,Parametros!$A$2:$A$9,0))+W474*INDEX(Parametros!$H$2:$H$9,MATCH($E474,Parametros!$A$2:$A$9,0))*Parametros!$N$3</f>
        <v>65655.45</v>
      </c>
      <c r="AH474" s="13" t="n">
        <v>45729</v>
      </c>
      <c r="AI474" s="16" t="n">
        <f aca="false">AH474*Parametros!$N$2</f>
        <v>4207.068</v>
      </c>
      <c r="AJ474" s="18" t="n">
        <v>12681</v>
      </c>
      <c r="AK474" s="18" t="n">
        <v>359</v>
      </c>
      <c r="AL474" s="17" t="n">
        <f aca="false">AG474+AI474+AJ474+AK474</f>
        <v>82902.518</v>
      </c>
      <c r="AM474" s="20" t="n">
        <f aca="false">IF(L474&gt;0,AL474/L474,0)</f>
        <v>0.0934578325205342</v>
      </c>
      <c r="AN474" s="16" t="n">
        <f aca="false">L474*INDEX(Parametros!$G$2:$G$9,MATCH($E474,Parametros!$A$2:$A$9,0))</f>
        <v>629811.18</v>
      </c>
      <c r="AO474" s="17" t="n">
        <f aca="false">AN474-AC474-AL474</f>
        <v>171496.012</v>
      </c>
      <c r="AP474" s="15" t="n">
        <f aca="false">IF(AN474&gt;0,AO474/AN474,0)</f>
        <v>0.27229750351526</v>
      </c>
      <c r="AQ474" s="16" t="n">
        <f aca="false">INDEX(Parametros!$I$2:$I$9,MATCH($E474,Parametros!$A$2:$A$9,0))</f>
        <v>29300000</v>
      </c>
      <c r="AR474" s="19" t="n">
        <f aca="false">IF(AQ474&gt;0,AO474/AQ474,0)</f>
        <v>0.00585310621160409</v>
      </c>
    </row>
    <row r="475" customFormat="false" ht="15" hidden="false" customHeight="false" outlineLevel="0" collapsed="false">
      <c r="A475" s="5" t="s">
        <v>610</v>
      </c>
      <c r="B475" s="9" t="n">
        <v>45964</v>
      </c>
      <c r="C475" s="2" t="str">
        <f aca="false">TEXT(B475,"yyyy")</f>
        <v>2025</v>
      </c>
      <c r="D475" s="2" t="n">
        <f aca="false">WEEKNUM(B475,2)</f>
        <v>45</v>
      </c>
      <c r="E475" s="5" t="s">
        <v>132</v>
      </c>
      <c r="F475" s="6" t="str">
        <f aca="false">INDEX(Parametros!$B$2:$B$9,MATCH($E475,Parametros!$A$2:$A$9,0))</f>
        <v>Mayonesa frasco</v>
      </c>
      <c r="G475" s="10" t="n">
        <v>116.8</v>
      </c>
      <c r="H475" s="10" t="n">
        <v>5.7</v>
      </c>
      <c r="I475" s="11" t="n">
        <f aca="false">SUMIFS(Eventos_Paro!$J$2:$J$2186,Eventos_Paro!$D$2:$D$2186,$E475,Eventos_Paro!$B$2:$B$2186,$B475)</f>
        <v>1.21666666666667</v>
      </c>
      <c r="J475" s="12" t="n">
        <f aca="false">G475-H475-I475</f>
        <v>109.883333333333</v>
      </c>
      <c r="K475" s="13" t="n">
        <v>568260</v>
      </c>
      <c r="L475" s="13" t="n">
        <v>598447</v>
      </c>
      <c r="M475" s="13" t="n">
        <v>20203</v>
      </c>
      <c r="N475" s="14" t="n">
        <f aca="false">L475+M475</f>
        <v>618650</v>
      </c>
      <c r="O475" s="11" t="n">
        <f aca="false">INDEX(Parametros!$D$2:$D$9,MATCH($E475,Parametros!$A$2:$A$9,0))</f>
        <v>6500</v>
      </c>
      <c r="P475" s="15" t="n">
        <f aca="false">IF((G475-H475)&gt;0,J475/(G475-H475),0)</f>
        <v>0.989048904890489</v>
      </c>
      <c r="Q475" s="15" t="n">
        <f aca="false">IF(J475*O475&gt;0,N475/(O475*J475),0)</f>
        <v>0.866163413410494</v>
      </c>
      <c r="R475" s="15" t="n">
        <f aca="false">IF(N475&gt;0,L475/N475,0)</f>
        <v>0.967343409035804</v>
      </c>
      <c r="S475" s="15" t="n">
        <f aca="false">P475*Q475*R475</f>
        <v>0.828701793256249</v>
      </c>
      <c r="T475" s="15" t="n">
        <f aca="false">IF(K475&gt;0,L475/K475,0)</f>
        <v>1.05312181043888</v>
      </c>
      <c r="U475" s="10" t="n">
        <v>1473.3</v>
      </c>
      <c r="V475" s="5" t="n">
        <v>12</v>
      </c>
      <c r="W475" s="10" t="n">
        <v>71.7</v>
      </c>
      <c r="X475" s="15" t="n">
        <f aca="false">IF(U475&gt;0,W475/U475,0)</f>
        <v>0.0486662594176339</v>
      </c>
      <c r="Y475" s="12" t="n">
        <f aca="false">IF(U475&gt;0,L475/U475,0)</f>
        <v>406.194936537026</v>
      </c>
      <c r="Z475" s="16" t="n">
        <f aca="false">L475*INDEX(Parametros!$E$2:$E$9,MATCH($E475,Parametros!$A$2:$A$9,0))</f>
        <v>365052.67</v>
      </c>
      <c r="AA475" s="16" t="n">
        <f aca="false">Z475*INDEX(Parametros!$F$2:$F$9,MATCH($E475,Parametros!$A$2:$A$9,0))</f>
        <v>9126.31675</v>
      </c>
      <c r="AB475" s="17" t="n">
        <f aca="false">Z475+AA475</f>
        <v>374178.98675</v>
      </c>
      <c r="AC475" s="18" t="n">
        <v>374045.16</v>
      </c>
      <c r="AD475" s="17" t="n">
        <f aca="false">AC475-AB475</f>
        <v>-133.826750000007</v>
      </c>
      <c r="AE475" s="17" t="n">
        <f aca="false">AA475+AD475</f>
        <v>8992.48999999999</v>
      </c>
      <c r="AF475" s="19" t="n">
        <f aca="false">IF(Z475&gt;0,AE475/Z475,0)</f>
        <v>0.024633404270129</v>
      </c>
      <c r="AG475" s="16" t="n">
        <f aca="false">(U475-W475)*INDEX(Parametros!$H$2:$H$9,MATCH($E475,Parametros!$A$2:$A$9,0))+W475*INDEX(Parametros!$H$2:$H$9,MATCH($E475,Parametros!$A$2:$A$9,0))*Parametros!$N$3</f>
        <v>47538.225</v>
      </c>
      <c r="AH475" s="13" t="n">
        <v>31218</v>
      </c>
      <c r="AI475" s="16" t="n">
        <f aca="false">AH475*Parametros!$N$2</f>
        <v>2872.056</v>
      </c>
      <c r="AJ475" s="18" t="n">
        <v>12718</v>
      </c>
      <c r="AK475" s="18" t="n">
        <v>935</v>
      </c>
      <c r="AL475" s="17" t="n">
        <f aca="false">AG475+AI475+AJ475+AK475</f>
        <v>64063.281</v>
      </c>
      <c r="AM475" s="20" t="n">
        <f aca="false">IF(L475&gt;0,AL475/L475,0)</f>
        <v>0.10704921404903</v>
      </c>
      <c r="AN475" s="16" t="n">
        <f aca="false">L475*INDEX(Parametros!$G$2:$G$9,MATCH($E475,Parametros!$A$2:$A$9,0))</f>
        <v>574509.12</v>
      </c>
      <c r="AO475" s="17" t="n">
        <f aca="false">AN475-AC475-AL475</f>
        <v>136400.679</v>
      </c>
      <c r="AP475" s="15" t="n">
        <f aca="false">IF(AN475&gt;0,AO475/AN475,0)</f>
        <v>0.237421259735616</v>
      </c>
      <c r="AQ475" s="16" t="n">
        <f aca="false">INDEX(Parametros!$I$2:$I$9,MATCH($E475,Parametros!$A$2:$A$9,0))</f>
        <v>29700000</v>
      </c>
      <c r="AR475" s="19" t="n">
        <f aca="false">IF(AQ475&gt;0,AO475/AQ475,0)</f>
        <v>0.00459261545454546</v>
      </c>
    </row>
    <row r="476" customFormat="false" ht="15" hidden="false" customHeight="false" outlineLevel="0" collapsed="false">
      <c r="A476" s="5" t="s">
        <v>611</v>
      </c>
      <c r="B476" s="9" t="n">
        <v>45964</v>
      </c>
      <c r="C476" s="2" t="str">
        <f aca="false">TEXT(B476,"yyyy")</f>
        <v>2025</v>
      </c>
      <c r="D476" s="2" t="n">
        <f aca="false">WEEKNUM(B476,2)</f>
        <v>45</v>
      </c>
      <c r="E476" s="5" t="s">
        <v>134</v>
      </c>
      <c r="F476" s="6" t="str">
        <f aca="false">INDEX(Parametros!$B$2:$B$9,MATCH($E476,Parametros!$A$2:$A$9,0))</f>
        <v>Aderezos vertibles</v>
      </c>
      <c r="G476" s="10" t="n">
        <v>104.3</v>
      </c>
      <c r="H476" s="10" t="n">
        <v>6.3</v>
      </c>
      <c r="I476" s="11" t="n">
        <f aca="false">SUMIFS(Eventos_Paro!$J$2:$J$2186,Eventos_Paro!$D$2:$D$2186,$E476,Eventos_Paro!$B$2:$B$2186,$B476)</f>
        <v>5.35</v>
      </c>
      <c r="J476" s="12" t="n">
        <f aca="false">G476-H476-I476</f>
        <v>92.65</v>
      </c>
      <c r="K476" s="13" t="n">
        <v>401005</v>
      </c>
      <c r="L476" s="13" t="n">
        <v>422026</v>
      </c>
      <c r="M476" s="13" t="n">
        <v>12871</v>
      </c>
      <c r="N476" s="14" t="n">
        <f aca="false">L476+M476</f>
        <v>434897</v>
      </c>
      <c r="O476" s="11" t="n">
        <f aca="false">INDEX(Parametros!$D$2:$D$9,MATCH($E476,Parametros!$A$2:$A$9,0))</f>
        <v>5200</v>
      </c>
      <c r="P476" s="15" t="n">
        <f aca="false">IF((G476-H476)&gt;0,J476/(G476-H476),0)</f>
        <v>0.945408163265306</v>
      </c>
      <c r="Q476" s="15" t="n">
        <f aca="false">IF(J476*O476&gt;0,N476/(O476*J476),0)</f>
        <v>0.902687948856324</v>
      </c>
      <c r="R476" s="15" t="n">
        <f aca="false">IF(N476&gt;0,L476/N476,0)</f>
        <v>0.970404486579581</v>
      </c>
      <c r="S476" s="15" t="n">
        <f aca="false">P476*Q476*R476</f>
        <v>0.828151491365777</v>
      </c>
      <c r="T476" s="15" t="n">
        <f aca="false">IF(K476&gt;0,L476/K476,0)</f>
        <v>1.0524207927582</v>
      </c>
      <c r="U476" s="10" t="n">
        <v>1393.6</v>
      </c>
      <c r="V476" s="5" t="n">
        <v>12</v>
      </c>
      <c r="W476" s="10" t="n">
        <v>142</v>
      </c>
      <c r="X476" s="15" t="n">
        <f aca="false">IF(U476&gt;0,W476/U476,0)</f>
        <v>0.101894374282434</v>
      </c>
      <c r="Y476" s="12" t="n">
        <f aca="false">IF(U476&gt;0,L476/U476,0)</f>
        <v>302.831515499426</v>
      </c>
      <c r="Z476" s="16" t="n">
        <f aca="false">L476*INDEX(Parametros!$E$2:$E$9,MATCH($E476,Parametros!$A$2:$A$9,0))</f>
        <v>232114.3</v>
      </c>
      <c r="AA476" s="16" t="n">
        <f aca="false">Z476*INDEX(Parametros!$F$2:$F$9,MATCH($E476,Parametros!$A$2:$A$9,0))</f>
        <v>6963.429</v>
      </c>
      <c r="AB476" s="17" t="n">
        <f aca="false">Z476+AA476</f>
        <v>239077.729</v>
      </c>
      <c r="AC476" s="18" t="n">
        <v>248351.6</v>
      </c>
      <c r="AD476" s="17" t="n">
        <f aca="false">AC476-AB476</f>
        <v>9273.87099999999</v>
      </c>
      <c r="AE476" s="17" t="n">
        <f aca="false">AA476+AD476</f>
        <v>16237.3</v>
      </c>
      <c r="AF476" s="19" t="n">
        <f aca="false">IF(Z476&gt;0,AE476/Z476,0)</f>
        <v>0.0699538977133248</v>
      </c>
      <c r="AG476" s="16" t="n">
        <f aca="false">(U476-W476)*INDEX(Parametros!$H$2:$H$9,MATCH($E476,Parametros!$A$2:$A$9,0))+W476*INDEX(Parametros!$H$2:$H$9,MATCH($E476,Parametros!$A$2:$A$9,0))*Parametros!$N$3</f>
        <v>46134.9</v>
      </c>
      <c r="AH476" s="13" t="n">
        <v>21925</v>
      </c>
      <c r="AI476" s="16" t="n">
        <f aca="false">AH476*Parametros!$N$2</f>
        <v>2017.1</v>
      </c>
      <c r="AJ476" s="18" t="n">
        <v>10580</v>
      </c>
      <c r="AK476" s="18" t="n">
        <v>4681</v>
      </c>
      <c r="AL476" s="17" t="n">
        <f aca="false">AG476+AI476+AJ476+AK476</f>
        <v>63413</v>
      </c>
      <c r="AM476" s="20" t="n">
        <f aca="false">IF(L476&gt;0,AL476/L476,0)</f>
        <v>0.15025851487823</v>
      </c>
      <c r="AN476" s="16" t="n">
        <f aca="false">L476*INDEX(Parametros!$G$2:$G$9,MATCH($E476,Parametros!$A$2:$A$9,0))</f>
        <v>430466.52</v>
      </c>
      <c r="AO476" s="17" t="n">
        <f aca="false">AN476-AC476-AL476</f>
        <v>118701.92</v>
      </c>
      <c r="AP476" s="15" t="n">
        <f aca="false">IF(AN476&gt;0,AO476/AN476,0)</f>
        <v>0.275751805273962</v>
      </c>
      <c r="AQ476" s="16" t="n">
        <f aca="false">INDEX(Parametros!$I$2:$I$9,MATCH($E476,Parametros!$A$2:$A$9,0))</f>
        <v>19300000</v>
      </c>
      <c r="AR476" s="19" t="n">
        <f aca="false">IF(AQ476&gt;0,AO476/AQ476,0)</f>
        <v>0.0061503585492228</v>
      </c>
    </row>
    <row r="477" customFormat="false" ht="15" hidden="false" customHeight="false" outlineLevel="0" collapsed="false">
      <c r="A477" s="5" t="s">
        <v>612</v>
      </c>
      <c r="B477" s="9" t="n">
        <v>45964</v>
      </c>
      <c r="C477" s="2" t="str">
        <f aca="false">TEXT(B477,"yyyy")</f>
        <v>2025</v>
      </c>
      <c r="D477" s="2" t="n">
        <f aca="false">WEEKNUM(B477,2)</f>
        <v>45</v>
      </c>
      <c r="E477" s="5" t="s">
        <v>136</v>
      </c>
      <c r="F477" s="6" t="str">
        <f aca="false">INDEX(Parametros!$B$2:$B$9,MATCH($E477,Parametros!$A$2:$A$9,0))</f>
        <v>Salsa BBQ</v>
      </c>
      <c r="G477" s="10" t="n">
        <v>66.7</v>
      </c>
      <c r="H477" s="10" t="n">
        <v>6.3</v>
      </c>
      <c r="I477" s="11" t="n">
        <f aca="false">SUMIFS(Eventos_Paro!$J$2:$J$2186,Eventos_Paro!$D$2:$D$2186,$E477,Eventos_Paro!$B$2:$B$2186,$B477)</f>
        <v>5.05</v>
      </c>
      <c r="J477" s="12" t="n">
        <f aca="false">G477-H477-I477</f>
        <v>55.35</v>
      </c>
      <c r="K477" s="13" t="n">
        <v>214846</v>
      </c>
      <c r="L477" s="13" t="n">
        <v>193508</v>
      </c>
      <c r="M477" s="13" t="n">
        <v>8489</v>
      </c>
      <c r="N477" s="14" t="n">
        <f aca="false">L477+M477</f>
        <v>201997</v>
      </c>
      <c r="O477" s="11" t="n">
        <f aca="false">INDEX(Parametros!$D$2:$D$9,MATCH($E477,Parametros!$A$2:$A$9,0))</f>
        <v>4800</v>
      </c>
      <c r="P477" s="15" t="n">
        <f aca="false">IF((G477-H477)&gt;0,J477/(G477-H477),0)</f>
        <v>0.916390728476821</v>
      </c>
      <c r="Q477" s="15" t="n">
        <f aca="false">IF(J477*O477&gt;0,N477/(O477*J477),0)</f>
        <v>0.760301866907558</v>
      </c>
      <c r="R477" s="15" t="n">
        <f aca="false">IF(N477&gt;0,L477/N477,0)</f>
        <v>0.957974623385496</v>
      </c>
      <c r="S477" s="15" t="n">
        <f aca="false">P477*Q477*R477</f>
        <v>0.667453090507726</v>
      </c>
      <c r="T477" s="15" t="n">
        <f aca="false">IF(K477&gt;0,L477/K477,0)</f>
        <v>0.900682349217579</v>
      </c>
      <c r="U477" s="10" t="n">
        <v>835.1</v>
      </c>
      <c r="V477" s="5" t="n">
        <v>12</v>
      </c>
      <c r="W477" s="10" t="n">
        <v>34.7</v>
      </c>
      <c r="X477" s="15" t="n">
        <f aca="false">IF(U477&gt;0,W477/U477,0)</f>
        <v>0.0415519099509041</v>
      </c>
      <c r="Y477" s="12" t="n">
        <f aca="false">IF(U477&gt;0,L477/U477,0)</f>
        <v>231.718357082984</v>
      </c>
      <c r="Z477" s="16" t="n">
        <f aca="false">L477*INDEX(Parametros!$E$2:$E$9,MATCH($E477,Parametros!$A$2:$A$9,0))</f>
        <v>112234.64</v>
      </c>
      <c r="AA477" s="16" t="n">
        <f aca="false">Z477*INDEX(Parametros!$F$2:$F$9,MATCH($E477,Parametros!$A$2:$A$9,0))</f>
        <v>3142.56992</v>
      </c>
      <c r="AB477" s="17" t="n">
        <f aca="false">Z477+AA477</f>
        <v>115377.20992</v>
      </c>
      <c r="AC477" s="18" t="n">
        <v>114287.33</v>
      </c>
      <c r="AD477" s="17" t="n">
        <f aca="false">AC477-AB477</f>
        <v>-1089.87991999999</v>
      </c>
      <c r="AE477" s="17" t="n">
        <f aca="false">AA477+AD477</f>
        <v>2052.69000000001</v>
      </c>
      <c r="AF477" s="19" t="n">
        <f aca="false">IF(Z477&gt;0,AE477/Z477,0)</f>
        <v>0.0182892732582383</v>
      </c>
      <c r="AG477" s="16" t="n">
        <f aca="false">(U477-W477)*INDEX(Parametros!$H$2:$H$9,MATCH($E477,Parametros!$A$2:$A$9,0))+W477*INDEX(Parametros!$H$2:$H$9,MATCH($E477,Parametros!$A$2:$A$9,0))*Parametros!$N$3</f>
        <v>26852.175</v>
      </c>
      <c r="AH477" s="13" t="n">
        <v>11050</v>
      </c>
      <c r="AI477" s="16" t="n">
        <f aca="false">AH477*Parametros!$N$2</f>
        <v>1016.6</v>
      </c>
      <c r="AJ477" s="18" t="n">
        <v>9081</v>
      </c>
      <c r="AK477" s="18" t="n">
        <v>5719</v>
      </c>
      <c r="AL477" s="17" t="n">
        <f aca="false">AG477+AI477+AJ477+AK477</f>
        <v>42668.775</v>
      </c>
      <c r="AM477" s="20" t="n">
        <f aca="false">IF(L477&gt;0,AL477/L477,0)</f>
        <v>0.220501348781446</v>
      </c>
      <c r="AN477" s="16" t="n">
        <f aca="false">L477*INDEX(Parametros!$G$2:$G$9,MATCH($E477,Parametros!$A$2:$A$9,0))</f>
        <v>189637.84</v>
      </c>
      <c r="AO477" s="17" t="n">
        <f aca="false">AN477-AC477-AL477</f>
        <v>32681.735</v>
      </c>
      <c r="AP477" s="15" t="n">
        <f aca="false">IF(AN477&gt;0,AO477/AN477,0)</f>
        <v>0.172337625233445</v>
      </c>
      <c r="AQ477" s="16" t="n">
        <f aca="false">INDEX(Parametros!$I$2:$I$9,MATCH($E477,Parametros!$A$2:$A$9,0))</f>
        <v>17000000</v>
      </c>
      <c r="AR477" s="19" t="n">
        <f aca="false">IF(AQ477&gt;0,AO477/AQ477,0)</f>
        <v>0.001922455</v>
      </c>
    </row>
    <row r="478" customFormat="false" ht="15" hidden="false" customHeight="false" outlineLevel="0" collapsed="false">
      <c r="A478" s="5" t="s">
        <v>613</v>
      </c>
      <c r="B478" s="9" t="n">
        <v>45964</v>
      </c>
      <c r="C478" s="2" t="str">
        <f aca="false">TEXT(B478,"yyyy")</f>
        <v>2025</v>
      </c>
      <c r="D478" s="2" t="n">
        <f aca="false">WEEKNUM(B478,2)</f>
        <v>45</v>
      </c>
      <c r="E478" s="5" t="s">
        <v>138</v>
      </c>
      <c r="F478" s="6" t="str">
        <f aca="false">INDEX(Parametros!$B$2:$B$9,MATCH($E478,Parametros!$A$2:$A$9,0))</f>
        <v>Queso crema</v>
      </c>
      <c r="G478" s="10" t="n">
        <v>119.2</v>
      </c>
      <c r="H478" s="10" t="n">
        <v>5.4</v>
      </c>
      <c r="I478" s="11" t="n">
        <f aca="false">SUMIFS(Eventos_Paro!$J$2:$J$2186,Eventos_Paro!$D$2:$D$2186,$E478,Eventos_Paro!$B$2:$B$2186,$B478)</f>
        <v>2.58333333333333</v>
      </c>
      <c r="J478" s="12" t="n">
        <f aca="false">G478-H478-I478</f>
        <v>111.216666666667</v>
      </c>
      <c r="K478" s="13" t="n">
        <v>340287</v>
      </c>
      <c r="L478" s="13" t="n">
        <v>316969</v>
      </c>
      <c r="M478" s="13" t="n">
        <v>16376</v>
      </c>
      <c r="N478" s="14" t="n">
        <f aca="false">L478+M478</f>
        <v>333345</v>
      </c>
      <c r="O478" s="11" t="n">
        <f aca="false">INDEX(Parametros!$D$2:$D$9,MATCH($E478,Parametros!$A$2:$A$9,0))</f>
        <v>3800</v>
      </c>
      <c r="P478" s="15" t="n">
        <f aca="false">IF((G478-H478)&gt;0,J478/(G478-H478),0)</f>
        <v>0.977299355594611</v>
      </c>
      <c r="Q478" s="15" t="n">
        <f aca="false">IF(J478*O478&gt;0,N478/(O478*J478),0)</f>
        <v>0.788752001388155</v>
      </c>
      <c r="R478" s="15" t="n">
        <f aca="false">IF(N478&gt;0,L478/N478,0)</f>
        <v>0.95087371941982</v>
      </c>
      <c r="S478" s="15" t="n">
        <f aca="false">P478*Q478*R478</f>
        <v>0.732977985385256</v>
      </c>
      <c r="T478" s="15" t="n">
        <f aca="false">IF(K478&gt;0,L478/K478,0)</f>
        <v>0.931475489807133</v>
      </c>
      <c r="U478" s="10" t="n">
        <v>1863.9</v>
      </c>
      <c r="V478" s="5" t="n">
        <v>15</v>
      </c>
      <c r="W478" s="10" t="n">
        <v>75.9</v>
      </c>
      <c r="X478" s="15" t="n">
        <f aca="false">IF(U478&gt;0,W478/U478,0)</f>
        <v>0.040721068726863</v>
      </c>
      <c r="Y478" s="12" t="n">
        <f aca="false">IF(U478&gt;0,L478/U478,0)</f>
        <v>170.056870003756</v>
      </c>
      <c r="Z478" s="16" t="n">
        <f aca="false">L478*INDEX(Parametros!$E$2:$E$9,MATCH($E478,Parametros!$A$2:$A$9,0))</f>
        <v>355005.28</v>
      </c>
      <c r="AA478" s="16" t="n">
        <f aca="false">Z478*INDEX(Parametros!$F$2:$F$9,MATCH($E478,Parametros!$A$2:$A$9,0))</f>
        <v>12425.1848</v>
      </c>
      <c r="AB478" s="17" t="n">
        <f aca="false">Z478+AA478</f>
        <v>367430.4648</v>
      </c>
      <c r="AC478" s="18" t="n">
        <v>362558.28</v>
      </c>
      <c r="AD478" s="17" t="n">
        <f aca="false">AC478-AB478</f>
        <v>-4872.18479999999</v>
      </c>
      <c r="AE478" s="17" t="n">
        <f aca="false">AA478+AD478</f>
        <v>7553.00000000002</v>
      </c>
      <c r="AF478" s="19" t="n">
        <f aca="false">IF(Z478&gt;0,AE478/Z478,0)</f>
        <v>0.0212757398988545</v>
      </c>
      <c r="AG478" s="16" t="n">
        <f aca="false">(U478-W478)*INDEX(Parametros!$H$2:$H$9,MATCH($E478,Parametros!$A$2:$A$9,0))+W478*INDEX(Parametros!$H$2:$H$9,MATCH($E478,Parametros!$A$2:$A$9,0))*Parametros!$N$3</f>
        <v>62761.05</v>
      </c>
      <c r="AH478" s="13" t="n">
        <v>16800</v>
      </c>
      <c r="AI478" s="16" t="n">
        <f aca="false">AH478*Parametros!$N$2</f>
        <v>1545.6</v>
      </c>
      <c r="AJ478" s="18" t="n">
        <v>19485</v>
      </c>
      <c r="AK478" s="18" t="n">
        <v>1675</v>
      </c>
      <c r="AL478" s="17" t="n">
        <f aca="false">AG478+AI478+AJ478+AK478</f>
        <v>85466.65</v>
      </c>
      <c r="AM478" s="20" t="n">
        <f aca="false">IF(L478&gt;0,AL478/L478,0)</f>
        <v>0.269637251592427</v>
      </c>
      <c r="AN478" s="16" t="n">
        <f aca="false">L478*INDEX(Parametros!$G$2:$G$9,MATCH($E478,Parametros!$A$2:$A$9,0))</f>
        <v>567374.51</v>
      </c>
      <c r="AO478" s="17" t="n">
        <f aca="false">AN478-AC478-AL478</f>
        <v>119349.58</v>
      </c>
      <c r="AP478" s="15" t="n">
        <f aca="false">IF(AN478&gt;0,AO478/AN478,0)</f>
        <v>0.21035414509545</v>
      </c>
      <c r="AQ478" s="16" t="n">
        <f aca="false">INDEX(Parametros!$I$2:$I$9,MATCH($E478,Parametros!$A$2:$A$9,0))</f>
        <v>33200000</v>
      </c>
      <c r="AR478" s="19" t="n">
        <f aca="false">IF(AQ478&gt;0,AO478/AQ478,0)</f>
        <v>0.00359486686746988</v>
      </c>
    </row>
    <row r="479" customFormat="false" ht="15" hidden="false" customHeight="false" outlineLevel="0" collapsed="false">
      <c r="A479" s="5" t="s">
        <v>614</v>
      </c>
      <c r="B479" s="9" t="n">
        <v>45964</v>
      </c>
      <c r="C479" s="2" t="str">
        <f aca="false">TEXT(B479,"yyyy")</f>
        <v>2025</v>
      </c>
      <c r="D479" s="2" t="n">
        <f aca="false">WEEKNUM(B479,2)</f>
        <v>45</v>
      </c>
      <c r="E479" s="5" t="s">
        <v>140</v>
      </c>
      <c r="F479" s="6" t="str">
        <f aca="false">INDEX(Parametros!$B$2:$B$9,MATCH($E479,Parametros!$A$2:$A$9,0))</f>
        <v>Crema de cacahuate</v>
      </c>
      <c r="G479" s="10" t="n">
        <v>103.5</v>
      </c>
      <c r="H479" s="10" t="n">
        <v>5</v>
      </c>
      <c r="I479" s="11" t="n">
        <f aca="false">SUMIFS(Eventos_Paro!$J$2:$J$2186,Eventos_Paro!$D$2:$D$2186,$E479,Eventos_Paro!$B$2:$B$2186,$B479)</f>
        <v>0.55</v>
      </c>
      <c r="J479" s="12" t="n">
        <f aca="false">G479-H479-I479</f>
        <v>97.95</v>
      </c>
      <c r="K479" s="13" t="n">
        <v>325541</v>
      </c>
      <c r="L479" s="13" t="n">
        <v>347889</v>
      </c>
      <c r="M479" s="13" t="n">
        <v>7639</v>
      </c>
      <c r="N479" s="14" t="n">
        <f aca="false">L479+M479</f>
        <v>355528</v>
      </c>
      <c r="O479" s="11" t="n">
        <f aca="false">INDEX(Parametros!$D$2:$D$9,MATCH($E479,Parametros!$A$2:$A$9,0))</f>
        <v>4200</v>
      </c>
      <c r="P479" s="15" t="n">
        <f aca="false">IF((G479-H479)&gt;0,J479/(G479-H479),0)</f>
        <v>0.994416243654822</v>
      </c>
      <c r="Q479" s="15" t="n">
        <f aca="false">IF(J479*O479&gt;0,N479/(O479*J479),0)</f>
        <v>0.864211575390748</v>
      </c>
      <c r="R479" s="15" t="n">
        <f aca="false">IF(N479&gt;0,L479/N479,0)</f>
        <v>0.978513647307666</v>
      </c>
      <c r="S479" s="15" t="n">
        <f aca="false">P479*Q479*R479</f>
        <v>0.840920957215374</v>
      </c>
      <c r="T479" s="15" t="n">
        <f aca="false">IF(K479&gt;0,L479/K479,0)</f>
        <v>1.06864880306935</v>
      </c>
      <c r="U479" s="10" t="n">
        <v>1406.1</v>
      </c>
      <c r="V479" s="5" t="n">
        <v>12</v>
      </c>
      <c r="W479" s="10" t="n">
        <v>164.1</v>
      </c>
      <c r="X479" s="15" t="n">
        <f aca="false">IF(U479&gt;0,W479/U479,0)</f>
        <v>0.116705781950075</v>
      </c>
      <c r="Y479" s="12" t="n">
        <f aca="false">IF(U479&gt;0,L479/U479,0)</f>
        <v>247.414124173245</v>
      </c>
      <c r="Z479" s="16" t="n">
        <f aca="false">L479*INDEX(Parametros!$E$2:$E$9,MATCH($E479,Parametros!$A$2:$A$9,0))</f>
        <v>337452.33</v>
      </c>
      <c r="AA479" s="16" t="n">
        <f aca="false">Z479*INDEX(Parametros!$F$2:$F$9,MATCH($E479,Parametros!$A$2:$A$9,0))</f>
        <v>7423.95126</v>
      </c>
      <c r="AB479" s="17" t="n">
        <f aca="false">Z479+AA479</f>
        <v>344876.28126</v>
      </c>
      <c r="AC479" s="18" t="n">
        <v>351509.31</v>
      </c>
      <c r="AD479" s="17" t="n">
        <f aca="false">AC479-AB479</f>
        <v>6633.02873999998</v>
      </c>
      <c r="AE479" s="17" t="n">
        <f aca="false">AA479+AD479</f>
        <v>14056.98</v>
      </c>
      <c r="AF479" s="19" t="n">
        <f aca="false">IF(Z479&gt;0,AE479/Z479,0)</f>
        <v>0.0416561948172057</v>
      </c>
      <c r="AG479" s="16" t="n">
        <f aca="false">(U479-W479)*INDEX(Parametros!$H$2:$H$9,MATCH($E479,Parametros!$A$2:$A$9,0))+W479*INDEX(Parametros!$H$2:$H$9,MATCH($E479,Parametros!$A$2:$A$9,0))*Parametros!$N$3</f>
        <v>46876.725</v>
      </c>
      <c r="AH479" s="13" t="n">
        <v>17637</v>
      </c>
      <c r="AI479" s="16" t="n">
        <f aca="false">AH479*Parametros!$N$2</f>
        <v>1622.604</v>
      </c>
      <c r="AJ479" s="18" t="n">
        <v>14434</v>
      </c>
      <c r="AK479" s="18" t="n">
        <v>606</v>
      </c>
      <c r="AL479" s="17" t="n">
        <f aca="false">AG479+AI479+AJ479+AK479</f>
        <v>63539.329</v>
      </c>
      <c r="AM479" s="20" t="n">
        <f aca="false">IF(L479&gt;0,AL479/L479,0)</f>
        <v>0.182642535406408</v>
      </c>
      <c r="AN479" s="16" t="n">
        <f aca="false">L479*INDEX(Parametros!$G$2:$G$9,MATCH($E479,Parametros!$A$2:$A$9,0))</f>
        <v>563580.18</v>
      </c>
      <c r="AO479" s="17" t="n">
        <f aca="false">AN479-AC479-AL479</f>
        <v>148531.541</v>
      </c>
      <c r="AP479" s="15" t="n">
        <f aca="false">IF(AN479&gt;0,AO479/AN479,0)</f>
        <v>0.263549972605495</v>
      </c>
      <c r="AQ479" s="16" t="n">
        <f aca="false">INDEX(Parametros!$I$2:$I$9,MATCH($E479,Parametros!$A$2:$A$9,0))</f>
        <v>28000000</v>
      </c>
      <c r="AR479" s="19" t="n">
        <f aca="false">IF(AQ479&gt;0,AO479/AQ479,0)</f>
        <v>0.00530469789285715</v>
      </c>
    </row>
    <row r="480" customFormat="false" ht="15" hidden="false" customHeight="false" outlineLevel="0" collapsed="false">
      <c r="A480" s="5" t="s">
        <v>615</v>
      </c>
      <c r="B480" s="9" t="n">
        <v>45964</v>
      </c>
      <c r="C480" s="2" t="str">
        <f aca="false">TEXT(B480,"yyyy")</f>
        <v>2025</v>
      </c>
      <c r="D480" s="2" t="n">
        <f aca="false">WEEKNUM(B480,2)</f>
        <v>45</v>
      </c>
      <c r="E480" s="5" t="s">
        <v>142</v>
      </c>
      <c r="F480" s="6" t="str">
        <f aca="false">INDEX(Parametros!$B$2:$B$9,MATCH($E480,Parametros!$A$2:$A$9,0))</f>
        <v>Porciones single serve</v>
      </c>
      <c r="G480" s="10" t="n">
        <v>121.3</v>
      </c>
      <c r="H480" s="10" t="n">
        <v>8.9</v>
      </c>
      <c r="I480" s="11" t="n">
        <f aca="false">SUMIFS(Eventos_Paro!$J$2:$J$2186,Eventos_Paro!$D$2:$D$2186,$E480,Eventos_Paro!$B$2:$B$2186,$B480)</f>
        <v>5.58333333333333</v>
      </c>
      <c r="J480" s="12" t="n">
        <f aca="false">G480-H480-I480</f>
        <v>106.816666666667</v>
      </c>
      <c r="K480" s="13" t="n">
        <v>229964</v>
      </c>
      <c r="L480" s="13" t="n">
        <v>192450</v>
      </c>
      <c r="M480" s="13" t="n">
        <v>8239</v>
      </c>
      <c r="N480" s="14" t="n">
        <f aca="false">L480+M480</f>
        <v>200689</v>
      </c>
      <c r="O480" s="11" t="n">
        <f aca="false">INDEX(Parametros!$D$2:$D$9,MATCH($E480,Parametros!$A$2:$A$9,0))</f>
        <v>2600</v>
      </c>
      <c r="P480" s="15" t="n">
        <f aca="false">IF((G480-H480)&gt;0,J480/(G480-H480),0)</f>
        <v>0.950326215895611</v>
      </c>
      <c r="Q480" s="15" t="n">
        <f aca="false">IF(J480*O480&gt;0,N480/(O480*J480),0)</f>
        <v>0.722622033918648</v>
      </c>
      <c r="R480" s="15" t="n">
        <f aca="false">IF(N480&gt;0,L480/N480,0)</f>
        <v>0.9589464295502</v>
      </c>
      <c r="S480" s="15" t="n">
        <f aca="false">P480*Q480*R480</f>
        <v>0.658534081576786</v>
      </c>
      <c r="T480" s="15" t="n">
        <f aca="false">IF(K480&gt;0,L480/K480,0)</f>
        <v>0.836870118801204</v>
      </c>
      <c r="U480" s="10" t="n">
        <v>1978</v>
      </c>
      <c r="V480" s="5" t="n">
        <v>15</v>
      </c>
      <c r="W480" s="10" t="n">
        <v>158.5</v>
      </c>
      <c r="X480" s="15" t="n">
        <f aca="false">IF(U480&gt;0,W480/U480,0)</f>
        <v>0.0801314459049545</v>
      </c>
      <c r="Y480" s="12" t="n">
        <f aca="false">IF(U480&gt;0,L480/U480,0)</f>
        <v>97.2952477249747</v>
      </c>
      <c r="Z480" s="16" t="n">
        <f aca="false">L480*INDEX(Parametros!$E$2:$E$9,MATCH($E480,Parametros!$A$2:$A$9,0))</f>
        <v>142413</v>
      </c>
      <c r="AA480" s="16" t="n">
        <f aca="false">Z480*INDEX(Parametros!$F$2:$F$9,MATCH($E480,Parametros!$A$2:$A$9,0))</f>
        <v>6408.585</v>
      </c>
      <c r="AB480" s="17" t="n">
        <f aca="false">Z480+AA480</f>
        <v>148821.585</v>
      </c>
      <c r="AC480" s="18" t="n">
        <v>151006.69</v>
      </c>
      <c r="AD480" s="17" t="n">
        <f aca="false">AC480-AB480</f>
        <v>2185.10500000001</v>
      </c>
      <c r="AE480" s="17" t="n">
        <f aca="false">AA480+AD480</f>
        <v>8593.69000000001</v>
      </c>
      <c r="AF480" s="19" t="n">
        <f aca="false">IF(Z480&gt;0,AE480/Z480,0)</f>
        <v>0.0603434377479585</v>
      </c>
      <c r="AG480" s="16" t="n">
        <f aca="false">(U480-W480)*INDEX(Parametros!$H$2:$H$9,MATCH($E480,Parametros!$A$2:$A$9,0))+W480*INDEX(Parametros!$H$2:$H$9,MATCH($E480,Parametros!$A$2:$A$9,0))*Parametros!$N$3</f>
        <v>61717.5</v>
      </c>
      <c r="AH480" s="13" t="n">
        <v>10591</v>
      </c>
      <c r="AI480" s="16" t="n">
        <f aca="false">AH480*Parametros!$N$2</f>
        <v>974.372</v>
      </c>
      <c r="AJ480" s="18" t="n">
        <v>12281</v>
      </c>
      <c r="AK480" s="18" t="n">
        <v>3079</v>
      </c>
      <c r="AL480" s="17" t="n">
        <f aca="false">AG480+AI480+AJ480+AK480</f>
        <v>78051.872</v>
      </c>
      <c r="AM480" s="20" t="n">
        <f aca="false">IF(L480&gt;0,AL480/L480,0)</f>
        <v>0.405569612886464</v>
      </c>
      <c r="AN480" s="16" t="n">
        <f aca="false">L480*INDEX(Parametros!$G$2:$G$9,MATCH($E480,Parametros!$A$2:$A$9,0))</f>
        <v>331014</v>
      </c>
      <c r="AO480" s="17" t="n">
        <f aca="false">AN480-AC480-AL480</f>
        <v>101955.438</v>
      </c>
      <c r="AP480" s="15" t="n">
        <f aca="false">IF(AN480&gt;0,AO480/AN480,0)</f>
        <v>0.30800944370933</v>
      </c>
      <c r="AQ480" s="16" t="n">
        <f aca="false">INDEX(Parametros!$I$2:$I$9,MATCH($E480,Parametros!$A$2:$A$9,0))</f>
        <v>15900000</v>
      </c>
      <c r="AR480" s="19" t="n">
        <f aca="false">IF(AQ480&gt;0,AO480/AQ480,0)</f>
        <v>0.00641229169811321</v>
      </c>
    </row>
    <row r="481" customFormat="false" ht="15" hidden="false" customHeight="false" outlineLevel="0" collapsed="false">
      <c r="A481" s="5" t="s">
        <v>616</v>
      </c>
      <c r="B481" s="9" t="n">
        <v>45964</v>
      </c>
      <c r="C481" s="2" t="str">
        <f aca="false">TEXT(B481,"yyyy")</f>
        <v>2025</v>
      </c>
      <c r="D481" s="2" t="n">
        <f aca="false">WEEKNUM(B481,2)</f>
        <v>45</v>
      </c>
      <c r="E481" s="5" t="s">
        <v>144</v>
      </c>
      <c r="F481" s="6" t="str">
        <f aca="false">INDEX(Parametros!$B$2:$B$9,MATCH($E481,Parametros!$A$2:$A$9,0))</f>
        <v>Salsas picantes</v>
      </c>
      <c r="G481" s="10" t="n">
        <v>79.4</v>
      </c>
      <c r="H481" s="10" t="n">
        <v>5.5</v>
      </c>
      <c r="I481" s="11" t="n">
        <f aca="false">SUMIFS(Eventos_Paro!$J$2:$J$2186,Eventos_Paro!$D$2:$D$2186,$E481,Eventos_Paro!$B$2:$B$2186,$B481)</f>
        <v>1.98333333333333</v>
      </c>
      <c r="J481" s="12" t="n">
        <f aca="false">G481-H481-I481</f>
        <v>71.9166666666667</v>
      </c>
      <c r="K481" s="13" t="n">
        <v>188201</v>
      </c>
      <c r="L481" s="13" t="n">
        <v>181248</v>
      </c>
      <c r="M481" s="13" t="n">
        <v>5317</v>
      </c>
      <c r="N481" s="14" t="n">
        <f aca="false">L481+M481</f>
        <v>186565</v>
      </c>
      <c r="O481" s="11" t="n">
        <f aca="false">INDEX(Parametros!$D$2:$D$9,MATCH($E481,Parametros!$A$2:$A$9,0))</f>
        <v>3100</v>
      </c>
      <c r="P481" s="15" t="n">
        <f aca="false">IF((G481-H481)&gt;0,J481/(G481-H481),0)</f>
        <v>0.973161930536761</v>
      </c>
      <c r="Q481" s="15" t="n">
        <f aca="false">IF(J481*O481&gt;0,N481/(O481*J481),0)</f>
        <v>0.836833252345531</v>
      </c>
      <c r="R481" s="15" t="n">
        <f aca="false">IF(N481&gt;0,L481/N481,0)</f>
        <v>0.971500549406373</v>
      </c>
      <c r="S481" s="15" t="n">
        <f aca="false">P481*Q481*R481</f>
        <v>0.791165044305731</v>
      </c>
      <c r="T481" s="15" t="n">
        <f aca="false">IF(K481&gt;0,L481/K481,0)</f>
        <v>0.963055456666011</v>
      </c>
      <c r="U481" s="10" t="n">
        <v>808.5</v>
      </c>
      <c r="V481" s="5" t="n">
        <v>9</v>
      </c>
      <c r="W481" s="10" t="n">
        <v>93.9</v>
      </c>
      <c r="X481" s="15" t="n">
        <f aca="false">IF(U481&gt;0,W481/U481,0)</f>
        <v>0.116141001855288</v>
      </c>
      <c r="Y481" s="12" t="n">
        <f aca="false">IF(U481&gt;0,L481/U481,0)</f>
        <v>224.178107606679</v>
      </c>
      <c r="Z481" s="16" t="n">
        <f aca="false">L481*INDEX(Parametros!$E$2:$E$9,MATCH($E481,Parametros!$A$2:$A$9,0))</f>
        <v>119623.68</v>
      </c>
      <c r="AA481" s="16" t="n">
        <f aca="false">Z481*INDEX(Parametros!$F$2:$F$9,MATCH($E481,Parametros!$A$2:$A$9,0))</f>
        <v>3110.21568</v>
      </c>
      <c r="AB481" s="17" t="n">
        <f aca="false">Z481+AA481</f>
        <v>122733.89568</v>
      </c>
      <c r="AC481" s="18" t="n">
        <v>121845.37</v>
      </c>
      <c r="AD481" s="17" t="n">
        <f aca="false">AC481-AB481</f>
        <v>-888.525680000006</v>
      </c>
      <c r="AE481" s="17" t="n">
        <f aca="false">AA481+AD481</f>
        <v>2221.68999999999</v>
      </c>
      <c r="AF481" s="19" t="n">
        <f aca="false">IF(Z481&gt;0,AE481/Z481,0)</f>
        <v>0.0185723261481338</v>
      </c>
      <c r="AG481" s="16" t="n">
        <f aca="false">(U481-W481)*INDEX(Parametros!$H$2:$H$9,MATCH($E481,Parametros!$A$2:$A$9,0))+W481*INDEX(Parametros!$H$2:$H$9,MATCH($E481,Parametros!$A$2:$A$9,0))*Parametros!$N$3</f>
        <v>26946.675</v>
      </c>
      <c r="AH481" s="13" t="n">
        <v>9186</v>
      </c>
      <c r="AI481" s="16" t="n">
        <f aca="false">AH481*Parametros!$N$2</f>
        <v>845.112</v>
      </c>
      <c r="AJ481" s="18" t="n">
        <v>6342</v>
      </c>
      <c r="AK481" s="18" t="n">
        <v>2335</v>
      </c>
      <c r="AL481" s="17" t="n">
        <f aca="false">AG481+AI481+AJ481+AK481</f>
        <v>36468.787</v>
      </c>
      <c r="AM481" s="20" t="n">
        <f aca="false">IF(L481&gt;0,AL481/L481,0)</f>
        <v>0.201209320930438</v>
      </c>
      <c r="AN481" s="16" t="n">
        <f aca="false">L481*INDEX(Parametros!$G$2:$G$9,MATCH($E481,Parametros!$A$2:$A$9,0))</f>
        <v>226560</v>
      </c>
      <c r="AO481" s="17" t="n">
        <f aca="false">AN481-AC481-AL481</f>
        <v>68245.843</v>
      </c>
      <c r="AP481" s="15" t="n">
        <f aca="false">IF(AN481&gt;0,AO481/AN481,0)</f>
        <v>0.301226355049435</v>
      </c>
      <c r="AQ481" s="16" t="n">
        <f aca="false">INDEX(Parametros!$I$2:$I$9,MATCH($E481,Parametros!$A$2:$A$9,0))</f>
        <v>13300000</v>
      </c>
      <c r="AR481" s="19" t="n">
        <f aca="false">IF(AQ481&gt;0,AO481/AQ481,0)</f>
        <v>0.00513126639097744</v>
      </c>
    </row>
    <row r="482" customFormat="false" ht="15" hidden="false" customHeight="false" outlineLevel="0" collapsed="false">
      <c r="A482" s="5" t="s">
        <v>617</v>
      </c>
      <c r="B482" s="9" t="n">
        <v>45971</v>
      </c>
      <c r="C482" s="2" t="str">
        <f aca="false">TEXT(B482,"yyyy")</f>
        <v>2025</v>
      </c>
      <c r="D482" s="2" t="n">
        <f aca="false">WEEKNUM(B482,2)</f>
        <v>46</v>
      </c>
      <c r="E482" s="5" t="s">
        <v>130</v>
      </c>
      <c r="F482" s="6" t="str">
        <f aca="false">INDEX(Parametros!$B$2:$B$9,MATCH($E482,Parametros!$A$2:$A$9,0))</f>
        <v>Ketchup botella</v>
      </c>
      <c r="G482" s="10" t="n">
        <v>127.3</v>
      </c>
      <c r="H482" s="10" t="n">
        <v>8.4</v>
      </c>
      <c r="I482" s="11" t="n">
        <f aca="false">SUMIFS(Eventos_Paro!$J$2:$J$2186,Eventos_Paro!$D$2:$D$2186,$E482,Eventos_Paro!$B$2:$B$2186,$B482)</f>
        <v>0.6</v>
      </c>
      <c r="J482" s="12" t="n">
        <f aca="false">G482-H482-I482</f>
        <v>118.3</v>
      </c>
      <c r="K482" s="13" t="n">
        <v>838408</v>
      </c>
      <c r="L482" s="13" t="n">
        <v>905130</v>
      </c>
      <c r="M482" s="13" t="n">
        <v>28535</v>
      </c>
      <c r="N482" s="14" t="n">
        <f aca="false">L482+M482</f>
        <v>933665</v>
      </c>
      <c r="O482" s="11" t="n">
        <f aca="false">INDEX(Parametros!$D$2:$D$9,MATCH($E482,Parametros!$A$2:$A$9,0))</f>
        <v>9000</v>
      </c>
      <c r="P482" s="15" t="n">
        <f aca="false">IF((G482-H482)&gt;0,J482/(G482-H482),0)</f>
        <v>0.994953742640875</v>
      </c>
      <c r="Q482" s="15" t="n">
        <f aca="false">IF(J482*O482&gt;0,N482/(O482*J482),0)</f>
        <v>0.876927773081619</v>
      </c>
      <c r="R482" s="15" t="n">
        <f aca="false">IF(N482&gt;0,L482/N482,0)</f>
        <v>0.969437646264988</v>
      </c>
      <c r="S482" s="15" t="n">
        <f aca="false">P482*Q482*R482</f>
        <v>0.845836837678722</v>
      </c>
      <c r="T482" s="15" t="n">
        <f aca="false">IF(K482&gt;0,L482/K482,0)</f>
        <v>1.07958177879982</v>
      </c>
      <c r="U482" s="10" t="n">
        <v>1974.6</v>
      </c>
      <c r="V482" s="5" t="n">
        <v>14</v>
      </c>
      <c r="W482" s="10" t="n">
        <v>192.4</v>
      </c>
      <c r="X482" s="15" t="n">
        <f aca="false">IF(U482&gt;0,W482/U482,0)</f>
        <v>0.0974374556872278</v>
      </c>
      <c r="Y482" s="12" t="n">
        <f aca="false">IF(U482&gt;0,L482/U482,0)</f>
        <v>458.386508659982</v>
      </c>
      <c r="Z482" s="16" t="n">
        <f aca="false">L482*INDEX(Parametros!$E$2:$E$9,MATCH($E482,Parametros!$A$2:$A$9,0))</f>
        <v>380154.6</v>
      </c>
      <c r="AA482" s="16" t="n">
        <f aca="false">Z482*INDEX(Parametros!$F$2:$F$9,MATCH($E482,Parametros!$A$2:$A$9,0))</f>
        <v>7603.092</v>
      </c>
      <c r="AB482" s="17" t="n">
        <f aca="false">Z482+AA482</f>
        <v>387757.692</v>
      </c>
      <c r="AC482" s="18" t="n">
        <v>390873.83</v>
      </c>
      <c r="AD482" s="17" t="n">
        <f aca="false">AC482-AB482</f>
        <v>3116.13800000004</v>
      </c>
      <c r="AE482" s="17" t="n">
        <f aca="false">AA482+AD482</f>
        <v>10719.23</v>
      </c>
      <c r="AF482" s="19" t="n">
        <f aca="false">IF(Z482&gt;0,AE482/Z482,0)</f>
        <v>0.02819702826166</v>
      </c>
      <c r="AG482" s="16" t="n">
        <f aca="false">(U482-W482)*INDEX(Parametros!$H$2:$H$9,MATCH($E482,Parametros!$A$2:$A$9,0))+W482*INDEX(Parametros!$H$2:$H$9,MATCH($E482,Parametros!$A$2:$A$9,0))*Parametros!$N$3</f>
        <v>65230.2</v>
      </c>
      <c r="AH482" s="13" t="n">
        <v>48681</v>
      </c>
      <c r="AI482" s="16" t="n">
        <f aca="false">AH482*Parametros!$N$2</f>
        <v>4478.652</v>
      </c>
      <c r="AJ482" s="18" t="n">
        <v>16118</v>
      </c>
      <c r="AK482" s="18" t="n">
        <v>742</v>
      </c>
      <c r="AL482" s="17" t="n">
        <f aca="false">AG482+AI482+AJ482+AK482</f>
        <v>86568.852</v>
      </c>
      <c r="AM482" s="20" t="n">
        <f aca="false">IF(L482&gt;0,AL482/L482,0)</f>
        <v>0.095642451360578</v>
      </c>
      <c r="AN482" s="16" t="n">
        <f aca="false">L482*INDEX(Parametros!$G$2:$G$9,MATCH($E482,Parametros!$A$2:$A$9,0))</f>
        <v>642642.3</v>
      </c>
      <c r="AO482" s="17" t="n">
        <f aca="false">AN482-AC482-AL482</f>
        <v>165199.618</v>
      </c>
      <c r="AP482" s="15" t="n">
        <f aca="false">IF(AN482&gt;0,AO482/AN482,0)</f>
        <v>0.257063094041584</v>
      </c>
      <c r="AQ482" s="16" t="n">
        <f aca="false">INDEX(Parametros!$I$2:$I$9,MATCH($E482,Parametros!$A$2:$A$9,0))</f>
        <v>29300000</v>
      </c>
      <c r="AR482" s="19" t="n">
        <f aca="false">IF(AQ482&gt;0,AO482/AQ482,0)</f>
        <v>0.00563821221843003</v>
      </c>
    </row>
    <row r="483" customFormat="false" ht="15" hidden="false" customHeight="false" outlineLevel="0" collapsed="false">
      <c r="A483" s="5" t="s">
        <v>618</v>
      </c>
      <c r="B483" s="9" t="n">
        <v>45971</v>
      </c>
      <c r="C483" s="2" t="str">
        <f aca="false">TEXT(B483,"yyyy")</f>
        <v>2025</v>
      </c>
      <c r="D483" s="2" t="n">
        <f aca="false">WEEKNUM(B483,2)</f>
        <v>46</v>
      </c>
      <c r="E483" s="5" t="s">
        <v>132</v>
      </c>
      <c r="F483" s="6" t="str">
        <f aca="false">INDEX(Parametros!$B$2:$B$9,MATCH($E483,Parametros!$A$2:$A$9,0))</f>
        <v>Mayonesa frasco</v>
      </c>
      <c r="G483" s="10" t="n">
        <v>124.3</v>
      </c>
      <c r="H483" s="10" t="n">
        <v>7.6</v>
      </c>
      <c r="I483" s="11" t="n">
        <f aca="false">SUMIFS(Eventos_Paro!$J$2:$J$2186,Eventos_Paro!$D$2:$D$2186,$E483,Eventos_Paro!$B$2:$B$2186,$B483)</f>
        <v>2.3</v>
      </c>
      <c r="J483" s="12" t="n">
        <f aca="false">G483-H483-I483</f>
        <v>114.4</v>
      </c>
      <c r="K483" s="13" t="n">
        <v>594313</v>
      </c>
      <c r="L483" s="13" t="n">
        <v>632365</v>
      </c>
      <c r="M483" s="13" t="n">
        <v>20949</v>
      </c>
      <c r="N483" s="14" t="n">
        <f aca="false">L483+M483</f>
        <v>653314</v>
      </c>
      <c r="O483" s="11" t="n">
        <f aca="false">INDEX(Parametros!$D$2:$D$9,MATCH($E483,Parametros!$A$2:$A$9,0))</f>
        <v>6500</v>
      </c>
      <c r="P483" s="15" t="n">
        <f aca="false">IF((G483-H483)&gt;0,J483/(G483-H483),0)</f>
        <v>0.980291345329906</v>
      </c>
      <c r="Q483" s="15" t="n">
        <f aca="false">IF(J483*O483&gt;0,N483/(O483*J483),0)</f>
        <v>0.878582571274879</v>
      </c>
      <c r="R483" s="15" t="n">
        <f aca="false">IF(N483&gt;0,L483/N483,0)</f>
        <v>0.967934255197348</v>
      </c>
      <c r="S483" s="15" t="n">
        <f aca="false">P483*Q483*R483</f>
        <v>0.833649726451783</v>
      </c>
      <c r="T483" s="15" t="n">
        <f aca="false">IF(K483&gt;0,L483/K483,0)</f>
        <v>1.06402686799717</v>
      </c>
      <c r="U483" s="10" t="n">
        <v>1615.3</v>
      </c>
      <c r="V483" s="5" t="n">
        <v>12</v>
      </c>
      <c r="W483" s="10" t="n">
        <v>123.7</v>
      </c>
      <c r="X483" s="15" t="n">
        <f aca="false">IF(U483&gt;0,W483/U483,0)</f>
        <v>0.0765802018200953</v>
      </c>
      <c r="Y483" s="12" t="n">
        <f aca="false">IF(U483&gt;0,L483/U483,0)</f>
        <v>391.484553952826</v>
      </c>
      <c r="Z483" s="16" t="n">
        <f aca="false">L483*INDEX(Parametros!$E$2:$E$9,MATCH($E483,Parametros!$A$2:$A$9,0))</f>
        <v>385742.65</v>
      </c>
      <c r="AA483" s="16" t="n">
        <f aca="false">Z483*INDEX(Parametros!$F$2:$F$9,MATCH($E483,Parametros!$A$2:$A$9,0))</f>
        <v>9643.56625</v>
      </c>
      <c r="AB483" s="17" t="n">
        <f aca="false">Z483+AA483</f>
        <v>395386.21625</v>
      </c>
      <c r="AC483" s="18" t="n">
        <v>393062.57</v>
      </c>
      <c r="AD483" s="17" t="n">
        <f aca="false">AC483-AB483</f>
        <v>-2323.64624999993</v>
      </c>
      <c r="AE483" s="17" t="n">
        <f aca="false">AA483+AD483</f>
        <v>7319.92000000007</v>
      </c>
      <c r="AF483" s="19" t="n">
        <f aca="false">IF(Z483&gt;0,AE483/Z483,0)</f>
        <v>0.0189761749186927</v>
      </c>
      <c r="AG483" s="16" t="n">
        <f aca="false">(U483-W483)*INDEX(Parametros!$H$2:$H$9,MATCH($E483,Parametros!$A$2:$A$9,0))+W483*INDEX(Parametros!$H$2:$H$9,MATCH($E483,Parametros!$A$2:$A$9,0))*Parametros!$N$3</f>
        <v>52830.225</v>
      </c>
      <c r="AH483" s="13" t="n">
        <v>33967</v>
      </c>
      <c r="AI483" s="16" t="n">
        <f aca="false">AH483*Parametros!$N$2</f>
        <v>3124.964</v>
      </c>
      <c r="AJ483" s="18" t="n">
        <v>13713</v>
      </c>
      <c r="AK483" s="18" t="n">
        <v>2003</v>
      </c>
      <c r="AL483" s="17" t="n">
        <f aca="false">AG483+AI483+AJ483+AK483</f>
        <v>71671.189</v>
      </c>
      <c r="AM483" s="20" t="n">
        <f aca="false">IF(L483&gt;0,AL483/L483,0)</f>
        <v>0.113338323594759</v>
      </c>
      <c r="AN483" s="16" t="n">
        <f aca="false">L483*INDEX(Parametros!$G$2:$G$9,MATCH($E483,Parametros!$A$2:$A$9,0))</f>
        <v>607070.4</v>
      </c>
      <c r="AO483" s="17" t="n">
        <f aca="false">AN483-AC483-AL483</f>
        <v>142336.641</v>
      </c>
      <c r="AP483" s="15" t="n">
        <f aca="false">IF(AN483&gt;0,AO483/AN483,0)</f>
        <v>0.234464801775873</v>
      </c>
      <c r="AQ483" s="16" t="n">
        <f aca="false">INDEX(Parametros!$I$2:$I$9,MATCH($E483,Parametros!$A$2:$A$9,0))</f>
        <v>29700000</v>
      </c>
      <c r="AR483" s="19" t="n">
        <f aca="false">IF(AQ483&gt;0,AO483/AQ483,0)</f>
        <v>0.0047924794949495</v>
      </c>
    </row>
    <row r="484" customFormat="false" ht="15" hidden="false" customHeight="false" outlineLevel="0" collapsed="false">
      <c r="A484" s="5" t="s">
        <v>619</v>
      </c>
      <c r="B484" s="9" t="n">
        <v>45971</v>
      </c>
      <c r="C484" s="2" t="str">
        <f aca="false">TEXT(B484,"yyyy")</f>
        <v>2025</v>
      </c>
      <c r="D484" s="2" t="n">
        <f aca="false">WEEKNUM(B484,2)</f>
        <v>46</v>
      </c>
      <c r="E484" s="5" t="s">
        <v>134</v>
      </c>
      <c r="F484" s="6" t="str">
        <f aca="false">INDEX(Parametros!$B$2:$B$9,MATCH($E484,Parametros!$A$2:$A$9,0))</f>
        <v>Aderezos vertibles</v>
      </c>
      <c r="G484" s="10" t="n">
        <v>100.5</v>
      </c>
      <c r="H484" s="10" t="n">
        <v>6.8</v>
      </c>
      <c r="I484" s="11" t="n">
        <f aca="false">SUMIFS(Eventos_Paro!$J$2:$J$2186,Eventos_Paro!$D$2:$D$2186,$E484,Eventos_Paro!$B$2:$B$2186,$B484)</f>
        <v>3.31666666666667</v>
      </c>
      <c r="J484" s="12" t="n">
        <f aca="false">G484-H484-I484</f>
        <v>90.3833333333333</v>
      </c>
      <c r="K484" s="13" t="n">
        <v>381746</v>
      </c>
      <c r="L484" s="13" t="n">
        <v>380521</v>
      </c>
      <c r="M484" s="13" t="n">
        <v>10998</v>
      </c>
      <c r="N484" s="14" t="n">
        <f aca="false">L484+M484</f>
        <v>391519</v>
      </c>
      <c r="O484" s="11" t="n">
        <f aca="false">INDEX(Parametros!$D$2:$D$9,MATCH($E484,Parametros!$A$2:$A$9,0))</f>
        <v>5200</v>
      </c>
      <c r="P484" s="15" t="n">
        <f aca="false">IF((G484-H484)&gt;0,J484/(G484-H484),0)</f>
        <v>0.964603344005692</v>
      </c>
      <c r="Q484" s="15" t="n">
        <f aca="false">IF(J484*O484&gt;0,N484/(O484*J484),0)</f>
        <v>0.833030964978227</v>
      </c>
      <c r="R484" s="15" t="n">
        <f aca="false">IF(N484&gt;0,L484/N484,0)</f>
        <v>0.971909409249615</v>
      </c>
      <c r="S484" s="15" t="n">
        <f aca="false">P484*Q484*R484</f>
        <v>0.780972416057795</v>
      </c>
      <c r="T484" s="15" t="n">
        <f aca="false">IF(K484&gt;0,L484/K484,0)</f>
        <v>0.996791060024205</v>
      </c>
      <c r="U484" s="10" t="n">
        <v>1141.9</v>
      </c>
      <c r="V484" s="5" t="n">
        <v>11</v>
      </c>
      <c r="W484" s="10" t="n">
        <v>36.4</v>
      </c>
      <c r="X484" s="15" t="n">
        <f aca="false">IF(U484&gt;0,W484/U484,0)</f>
        <v>0.0318766967335143</v>
      </c>
      <c r="Y484" s="12" t="n">
        <f aca="false">IF(U484&gt;0,L484/U484,0)</f>
        <v>333.234959278396</v>
      </c>
      <c r="Z484" s="16" t="n">
        <f aca="false">L484*INDEX(Parametros!$E$2:$E$9,MATCH($E484,Parametros!$A$2:$A$9,0))</f>
        <v>209286.55</v>
      </c>
      <c r="AA484" s="16" t="n">
        <f aca="false">Z484*INDEX(Parametros!$F$2:$F$9,MATCH($E484,Parametros!$A$2:$A$9,0))</f>
        <v>6278.5965</v>
      </c>
      <c r="AB484" s="17" t="n">
        <f aca="false">Z484+AA484</f>
        <v>215565.1465</v>
      </c>
      <c r="AC484" s="18" t="n">
        <v>226222.68</v>
      </c>
      <c r="AD484" s="17" t="n">
        <f aca="false">AC484-AB484</f>
        <v>10657.5335</v>
      </c>
      <c r="AE484" s="17" t="n">
        <f aca="false">AA484+AD484</f>
        <v>16936.13</v>
      </c>
      <c r="AF484" s="19" t="n">
        <f aca="false">IF(Z484&gt;0,AE484/Z484,0)</f>
        <v>0.0809231649143242</v>
      </c>
      <c r="AG484" s="16" t="n">
        <f aca="false">(U484-W484)*INDEX(Parametros!$H$2:$H$9,MATCH($E484,Parametros!$A$2:$A$9,0))+W484*INDEX(Parametros!$H$2:$H$9,MATCH($E484,Parametros!$A$2:$A$9,0))*Parametros!$N$3</f>
        <v>36543.15</v>
      </c>
      <c r="AH484" s="13" t="n">
        <v>21266</v>
      </c>
      <c r="AI484" s="16" t="n">
        <f aca="false">AH484*Parametros!$N$2</f>
        <v>1956.472</v>
      </c>
      <c r="AJ484" s="18" t="n">
        <v>8860</v>
      </c>
      <c r="AK484" s="18" t="n">
        <v>778</v>
      </c>
      <c r="AL484" s="17" t="n">
        <f aca="false">AG484+AI484+AJ484+AK484</f>
        <v>48137.622</v>
      </c>
      <c r="AM484" s="20" t="n">
        <f aca="false">IF(L484&gt;0,AL484/L484,0)</f>
        <v>0.126504508292578</v>
      </c>
      <c r="AN484" s="16" t="n">
        <f aca="false">L484*INDEX(Parametros!$G$2:$G$9,MATCH($E484,Parametros!$A$2:$A$9,0))</f>
        <v>388131.42</v>
      </c>
      <c r="AO484" s="17" t="n">
        <f aca="false">AN484-AC484-AL484</f>
        <v>113771.118</v>
      </c>
      <c r="AP484" s="15" t="n">
        <f aca="false">IF(AN484&gt;0,AO484/AN484,0)</f>
        <v>0.293125246082886</v>
      </c>
      <c r="AQ484" s="16" t="n">
        <f aca="false">INDEX(Parametros!$I$2:$I$9,MATCH($E484,Parametros!$A$2:$A$9,0))</f>
        <v>19300000</v>
      </c>
      <c r="AR484" s="19" t="n">
        <f aca="false">IF(AQ484&gt;0,AO484/AQ484,0)</f>
        <v>0.00589487658031088</v>
      </c>
    </row>
    <row r="485" customFormat="false" ht="15" hidden="false" customHeight="false" outlineLevel="0" collapsed="false">
      <c r="A485" s="5" t="s">
        <v>620</v>
      </c>
      <c r="B485" s="9" t="n">
        <v>45971</v>
      </c>
      <c r="C485" s="2" t="str">
        <f aca="false">TEXT(B485,"yyyy")</f>
        <v>2025</v>
      </c>
      <c r="D485" s="2" t="n">
        <f aca="false">WEEKNUM(B485,2)</f>
        <v>46</v>
      </c>
      <c r="E485" s="5" t="s">
        <v>136</v>
      </c>
      <c r="F485" s="6" t="str">
        <f aca="false">INDEX(Parametros!$B$2:$B$9,MATCH($E485,Parametros!$A$2:$A$9,0))</f>
        <v>Salsa BBQ</v>
      </c>
      <c r="G485" s="10" t="n">
        <v>62</v>
      </c>
      <c r="H485" s="10" t="n">
        <v>8</v>
      </c>
      <c r="I485" s="11" t="n">
        <f aca="false">SUMIFS(Eventos_Paro!$J$2:$J$2186,Eventos_Paro!$D$2:$D$2186,$E485,Eventos_Paro!$B$2:$B$2186,$B485)</f>
        <v>3.51666666666667</v>
      </c>
      <c r="J485" s="12" t="n">
        <f aca="false">G485-H485-I485</f>
        <v>50.4833333333333</v>
      </c>
      <c r="K485" s="13" t="n">
        <v>188098</v>
      </c>
      <c r="L485" s="13" t="n">
        <v>197782</v>
      </c>
      <c r="M485" s="13" t="n">
        <v>7878</v>
      </c>
      <c r="N485" s="14" t="n">
        <f aca="false">L485+M485</f>
        <v>205660</v>
      </c>
      <c r="O485" s="11" t="n">
        <f aca="false">INDEX(Parametros!$D$2:$D$9,MATCH($E485,Parametros!$A$2:$A$9,0))</f>
        <v>4800</v>
      </c>
      <c r="P485" s="15" t="n">
        <f aca="false">IF((G485-H485)&gt;0,J485/(G485-H485),0)</f>
        <v>0.934876543209877</v>
      </c>
      <c r="Q485" s="15" t="n">
        <f aca="false">IF(J485*O485&gt;0,N485/(O485*J485),0)</f>
        <v>0.848712446351931</v>
      </c>
      <c r="R485" s="15" t="n">
        <f aca="false">IF(N485&gt;0,L485/N485,0)</f>
        <v>0.961694058154235</v>
      </c>
      <c r="S485" s="15" t="n">
        <f aca="false">P485*Q485*R485</f>
        <v>0.763047839506173</v>
      </c>
      <c r="T485" s="15" t="n">
        <f aca="false">IF(K485&gt;0,L485/K485,0)</f>
        <v>1.05148380099735</v>
      </c>
      <c r="U485" s="10" t="n">
        <v>635.5</v>
      </c>
      <c r="V485" s="5" t="n">
        <v>10</v>
      </c>
      <c r="W485" s="10" t="n">
        <v>15.5</v>
      </c>
      <c r="X485" s="15" t="n">
        <f aca="false">IF(U485&gt;0,W485/U485,0)</f>
        <v>0.024390243902439</v>
      </c>
      <c r="Y485" s="12" t="n">
        <f aca="false">IF(U485&gt;0,L485/U485,0)</f>
        <v>311.222659323367</v>
      </c>
      <c r="Z485" s="16" t="n">
        <f aca="false">L485*INDEX(Parametros!$E$2:$E$9,MATCH($E485,Parametros!$A$2:$A$9,0))</f>
        <v>114713.56</v>
      </c>
      <c r="AA485" s="16" t="n">
        <f aca="false">Z485*INDEX(Parametros!$F$2:$F$9,MATCH($E485,Parametros!$A$2:$A$9,0))</f>
        <v>3211.97968</v>
      </c>
      <c r="AB485" s="17" t="n">
        <f aca="false">Z485+AA485</f>
        <v>117925.53968</v>
      </c>
      <c r="AC485" s="18" t="n">
        <v>117755.88</v>
      </c>
      <c r="AD485" s="17" t="n">
        <f aca="false">AC485-AB485</f>
        <v>-169.659679999997</v>
      </c>
      <c r="AE485" s="17" t="n">
        <f aca="false">AA485+AD485</f>
        <v>3042.32</v>
      </c>
      <c r="AF485" s="19" t="n">
        <f aca="false">IF(Z485&gt;0,AE485/Z485,0)</f>
        <v>0.026521014603679</v>
      </c>
      <c r="AG485" s="16" t="n">
        <f aca="false">(U485-W485)*INDEX(Parametros!$H$2:$H$9,MATCH($E485,Parametros!$A$2:$A$9,0))+W485*INDEX(Parametros!$H$2:$H$9,MATCH($E485,Parametros!$A$2:$A$9,0))*Parametros!$N$3</f>
        <v>20262.375</v>
      </c>
      <c r="AH485" s="13" t="n">
        <v>10931</v>
      </c>
      <c r="AI485" s="16" t="n">
        <f aca="false">AH485*Parametros!$N$2</f>
        <v>1005.652</v>
      </c>
      <c r="AJ485" s="18" t="n">
        <v>8679</v>
      </c>
      <c r="AK485" s="18" t="n">
        <v>3602</v>
      </c>
      <c r="AL485" s="17" t="n">
        <f aca="false">AG485+AI485+AJ485+AK485</f>
        <v>33549.027</v>
      </c>
      <c r="AM485" s="20" t="n">
        <f aca="false">IF(L485&gt;0,AL485/L485,0)</f>
        <v>0.169626290562336</v>
      </c>
      <c r="AN485" s="16" t="n">
        <f aca="false">L485*INDEX(Parametros!$G$2:$G$9,MATCH($E485,Parametros!$A$2:$A$9,0))</f>
        <v>193826.36</v>
      </c>
      <c r="AO485" s="17" t="n">
        <f aca="false">AN485-AC485-AL485</f>
        <v>42521.453</v>
      </c>
      <c r="AP485" s="15" t="n">
        <f aca="false">IF(AN485&gt;0,AO485/AN485,0)</f>
        <v>0.219379103028092</v>
      </c>
      <c r="AQ485" s="16" t="n">
        <f aca="false">INDEX(Parametros!$I$2:$I$9,MATCH($E485,Parametros!$A$2:$A$9,0))</f>
        <v>17000000</v>
      </c>
      <c r="AR485" s="19" t="n">
        <f aca="false">IF(AQ485&gt;0,AO485/AQ485,0)</f>
        <v>0.00250126194117647</v>
      </c>
    </row>
    <row r="486" customFormat="false" ht="15" hidden="false" customHeight="false" outlineLevel="0" collapsed="false">
      <c r="A486" s="5" t="s">
        <v>621</v>
      </c>
      <c r="B486" s="9" t="n">
        <v>45971</v>
      </c>
      <c r="C486" s="2" t="str">
        <f aca="false">TEXT(B486,"yyyy")</f>
        <v>2025</v>
      </c>
      <c r="D486" s="2" t="n">
        <f aca="false">WEEKNUM(B486,2)</f>
        <v>46</v>
      </c>
      <c r="E486" s="5" t="s">
        <v>138</v>
      </c>
      <c r="F486" s="6" t="str">
        <f aca="false">INDEX(Parametros!$B$2:$B$9,MATCH($E486,Parametros!$A$2:$A$9,0))</f>
        <v>Queso crema</v>
      </c>
      <c r="G486" s="10" t="n">
        <v>122.3</v>
      </c>
      <c r="H486" s="10" t="n">
        <v>8.6</v>
      </c>
      <c r="I486" s="11" t="n">
        <f aca="false">SUMIFS(Eventos_Paro!$J$2:$J$2186,Eventos_Paro!$D$2:$D$2186,$E486,Eventos_Paro!$B$2:$B$2186,$B486)</f>
        <v>1.53333333333333</v>
      </c>
      <c r="J486" s="12" t="n">
        <f aca="false">G486-H486-I486</f>
        <v>112.166666666667</v>
      </c>
      <c r="K486" s="13" t="n">
        <v>338513</v>
      </c>
      <c r="L486" s="13" t="n">
        <v>327034</v>
      </c>
      <c r="M486" s="13" t="n">
        <v>16158</v>
      </c>
      <c r="N486" s="14" t="n">
        <f aca="false">L486+M486</f>
        <v>343192</v>
      </c>
      <c r="O486" s="11" t="n">
        <f aca="false">INDEX(Parametros!$D$2:$D$9,MATCH($E486,Parametros!$A$2:$A$9,0))</f>
        <v>3800</v>
      </c>
      <c r="P486" s="15" t="n">
        <f aca="false">IF((G486-H486)&gt;0,J486/(G486-H486),0)</f>
        <v>0.986514218704192</v>
      </c>
      <c r="Q486" s="15" t="n">
        <f aca="false">IF(J486*O486&gt;0,N486/(O486*J486),0)</f>
        <v>0.805174004848674</v>
      </c>
      <c r="R486" s="15" t="n">
        <f aca="false">IF(N486&gt;0,L486/N486,0)</f>
        <v>0.952918482948321</v>
      </c>
      <c r="S486" s="15" t="n">
        <f aca="false">P486*Q486*R486</f>
        <v>0.756918020645281</v>
      </c>
      <c r="T486" s="15" t="n">
        <f aca="false">IF(K486&gt;0,L486/K486,0)</f>
        <v>0.966089928599493</v>
      </c>
      <c r="U486" s="10" t="n">
        <v>1806</v>
      </c>
      <c r="V486" s="5" t="n">
        <v>14</v>
      </c>
      <c r="W486" s="10" t="n">
        <v>93.8</v>
      </c>
      <c r="X486" s="15" t="n">
        <f aca="false">IF(U486&gt;0,W486/U486,0)</f>
        <v>0.051937984496124</v>
      </c>
      <c r="Y486" s="12" t="n">
        <f aca="false">IF(U486&gt;0,L486/U486,0)</f>
        <v>181.081949058693</v>
      </c>
      <c r="Z486" s="16" t="n">
        <f aca="false">L486*INDEX(Parametros!$E$2:$E$9,MATCH($E486,Parametros!$A$2:$A$9,0))</f>
        <v>366278.08</v>
      </c>
      <c r="AA486" s="16" t="n">
        <f aca="false">Z486*INDEX(Parametros!$F$2:$F$9,MATCH($E486,Parametros!$A$2:$A$9,0))</f>
        <v>12819.7328</v>
      </c>
      <c r="AB486" s="17" t="n">
        <f aca="false">Z486+AA486</f>
        <v>379097.8128</v>
      </c>
      <c r="AC486" s="18" t="n">
        <v>381026.47</v>
      </c>
      <c r="AD486" s="17" t="n">
        <f aca="false">AC486-AB486</f>
        <v>1928.65719999996</v>
      </c>
      <c r="AE486" s="17" t="n">
        <f aca="false">AA486+AD486</f>
        <v>14748.39</v>
      </c>
      <c r="AF486" s="19" t="n">
        <f aca="false">IF(Z486&gt;0,AE486/Z486,0)</f>
        <v>0.0402655545207618</v>
      </c>
      <c r="AG486" s="16" t="n">
        <f aca="false">(U486-W486)*INDEX(Parametros!$H$2:$H$9,MATCH($E486,Parametros!$A$2:$A$9,0))+W486*INDEX(Parametros!$H$2:$H$9,MATCH($E486,Parametros!$A$2:$A$9,0))*Parametros!$N$3</f>
        <v>61145.7</v>
      </c>
      <c r="AH486" s="13" t="n">
        <v>17123</v>
      </c>
      <c r="AI486" s="16" t="n">
        <f aca="false">AH486*Parametros!$N$2</f>
        <v>1575.316</v>
      </c>
      <c r="AJ486" s="18" t="n">
        <v>16772</v>
      </c>
      <c r="AK486" s="18" t="n">
        <v>1152</v>
      </c>
      <c r="AL486" s="17" t="n">
        <f aca="false">AG486+AI486+AJ486+AK486</f>
        <v>80645.016</v>
      </c>
      <c r="AM486" s="20" t="n">
        <f aca="false">IF(L486&gt;0,AL486/L486,0)</f>
        <v>0.246595204168374</v>
      </c>
      <c r="AN486" s="16" t="n">
        <f aca="false">L486*INDEX(Parametros!$G$2:$G$9,MATCH($E486,Parametros!$A$2:$A$9,0))</f>
        <v>585390.86</v>
      </c>
      <c r="AO486" s="17" t="n">
        <f aca="false">AN486-AC486-AL486</f>
        <v>123719.374</v>
      </c>
      <c r="AP486" s="15" t="n">
        <f aca="false">IF(AN486&gt;0,AO486/AN486,0)</f>
        <v>0.211344902105236</v>
      </c>
      <c r="AQ486" s="16" t="n">
        <f aca="false">INDEX(Parametros!$I$2:$I$9,MATCH($E486,Parametros!$A$2:$A$9,0))</f>
        <v>33200000</v>
      </c>
      <c r="AR486" s="19" t="n">
        <f aca="false">IF(AQ486&gt;0,AO486/AQ486,0)</f>
        <v>0.0037264871686747</v>
      </c>
    </row>
    <row r="487" customFormat="false" ht="15" hidden="false" customHeight="false" outlineLevel="0" collapsed="false">
      <c r="A487" s="5" t="s">
        <v>622</v>
      </c>
      <c r="B487" s="9" t="n">
        <v>45971</v>
      </c>
      <c r="C487" s="2" t="str">
        <f aca="false">TEXT(B487,"yyyy")</f>
        <v>2025</v>
      </c>
      <c r="D487" s="2" t="n">
        <f aca="false">WEEKNUM(B487,2)</f>
        <v>46</v>
      </c>
      <c r="E487" s="5" t="s">
        <v>140</v>
      </c>
      <c r="F487" s="6" t="str">
        <f aca="false">INDEX(Parametros!$B$2:$B$9,MATCH($E487,Parametros!$A$2:$A$9,0))</f>
        <v>Crema de cacahuate</v>
      </c>
      <c r="G487" s="10" t="n">
        <v>113.1</v>
      </c>
      <c r="H487" s="10" t="n">
        <v>5.1</v>
      </c>
      <c r="I487" s="11" t="n">
        <f aca="false">SUMIFS(Eventos_Paro!$J$2:$J$2186,Eventos_Paro!$D$2:$D$2186,$E487,Eventos_Paro!$B$2:$B$2186,$B487)</f>
        <v>1.66666666666667</v>
      </c>
      <c r="J487" s="12" t="n">
        <f aca="false">G487-H487-I487</f>
        <v>106.333333333333</v>
      </c>
      <c r="K487" s="13" t="n">
        <v>355389</v>
      </c>
      <c r="L487" s="13" t="n">
        <v>374196</v>
      </c>
      <c r="M487" s="13" t="n">
        <v>10057</v>
      </c>
      <c r="N487" s="14" t="n">
        <f aca="false">L487+M487</f>
        <v>384253</v>
      </c>
      <c r="O487" s="11" t="n">
        <f aca="false">INDEX(Parametros!$D$2:$D$9,MATCH($E487,Parametros!$A$2:$A$9,0))</f>
        <v>4200</v>
      </c>
      <c r="P487" s="15" t="n">
        <f aca="false">IF((G487-H487)&gt;0,J487/(G487-H487),0)</f>
        <v>0.984567901234568</v>
      </c>
      <c r="Q487" s="15" t="n">
        <f aca="false">IF(J487*O487&gt;0,N487/(O487*J487),0)</f>
        <v>0.860396327810121</v>
      </c>
      <c r="R487" s="15" t="n">
        <f aca="false">IF(N487&gt;0,L487/N487,0)</f>
        <v>0.973827139931243</v>
      </c>
      <c r="S487" s="15" t="n">
        <f aca="false">P487*Q487*R487</f>
        <v>0.82494708994709</v>
      </c>
      <c r="T487" s="15" t="n">
        <f aca="false">IF(K487&gt;0,L487/K487,0)</f>
        <v>1.05291947696749</v>
      </c>
      <c r="U487" s="10" t="n">
        <v>1357.2</v>
      </c>
      <c r="V487" s="5" t="n">
        <v>12</v>
      </c>
      <c r="W487" s="10" t="n">
        <v>0</v>
      </c>
      <c r="X487" s="15" t="n">
        <f aca="false">IF(U487&gt;0,W487/U487,0)</f>
        <v>0</v>
      </c>
      <c r="Y487" s="12" t="n">
        <f aca="false">IF(U487&gt;0,L487/U487,0)</f>
        <v>275.711759504863</v>
      </c>
      <c r="Z487" s="16" t="n">
        <f aca="false">L487*INDEX(Parametros!$E$2:$E$9,MATCH($E487,Parametros!$A$2:$A$9,0))</f>
        <v>362970.12</v>
      </c>
      <c r="AA487" s="16" t="n">
        <f aca="false">Z487*INDEX(Parametros!$F$2:$F$9,MATCH($E487,Parametros!$A$2:$A$9,0))</f>
        <v>7985.34264</v>
      </c>
      <c r="AB487" s="17" t="n">
        <f aca="false">Z487+AA487</f>
        <v>370955.46264</v>
      </c>
      <c r="AC487" s="18" t="n">
        <v>367738.95</v>
      </c>
      <c r="AD487" s="17" t="n">
        <f aca="false">AC487-AB487</f>
        <v>-3216.51263999997</v>
      </c>
      <c r="AE487" s="17" t="n">
        <f aca="false">AA487+AD487</f>
        <v>4768.83000000003</v>
      </c>
      <c r="AF487" s="19" t="n">
        <f aca="false">IF(Z487&gt;0,AE487/Z487,0)</f>
        <v>0.0131383541984118</v>
      </c>
      <c r="AG487" s="16" t="n">
        <f aca="false">(U487-W487)*INDEX(Parametros!$H$2:$H$9,MATCH($E487,Parametros!$A$2:$A$9,0))+W487*INDEX(Parametros!$H$2:$H$9,MATCH($E487,Parametros!$A$2:$A$9,0))*Parametros!$N$3</f>
        <v>42751.8</v>
      </c>
      <c r="AH487" s="13" t="n">
        <v>18997</v>
      </c>
      <c r="AI487" s="16" t="n">
        <f aca="false">AH487*Parametros!$N$2</f>
        <v>1747.724</v>
      </c>
      <c r="AJ487" s="18" t="n">
        <v>11413</v>
      </c>
      <c r="AK487" s="18" t="n">
        <v>1450</v>
      </c>
      <c r="AL487" s="17" t="n">
        <f aca="false">AG487+AI487+AJ487+AK487</f>
        <v>57362.524</v>
      </c>
      <c r="AM487" s="20" t="n">
        <f aca="false">IF(L487&gt;0,AL487/L487,0)</f>
        <v>0.153295395995681</v>
      </c>
      <c r="AN487" s="16" t="n">
        <f aca="false">L487*INDEX(Parametros!$G$2:$G$9,MATCH($E487,Parametros!$A$2:$A$9,0))</f>
        <v>606197.52</v>
      </c>
      <c r="AO487" s="17" t="n">
        <f aca="false">AN487-AC487-AL487</f>
        <v>181096.046</v>
      </c>
      <c r="AP487" s="15" t="n">
        <f aca="false">IF(AN487&gt;0,AO487/AN487,0)</f>
        <v>0.298740987920901</v>
      </c>
      <c r="AQ487" s="16" t="n">
        <f aca="false">INDEX(Parametros!$I$2:$I$9,MATCH($E487,Parametros!$A$2:$A$9,0))</f>
        <v>28000000</v>
      </c>
      <c r="AR487" s="19" t="n">
        <f aca="false">IF(AQ487&gt;0,AO487/AQ487,0)</f>
        <v>0.00646771592857143</v>
      </c>
    </row>
    <row r="488" customFormat="false" ht="15" hidden="false" customHeight="false" outlineLevel="0" collapsed="false">
      <c r="A488" s="5" t="s">
        <v>623</v>
      </c>
      <c r="B488" s="9" t="n">
        <v>45971</v>
      </c>
      <c r="C488" s="2" t="str">
        <f aca="false">TEXT(B488,"yyyy")</f>
        <v>2025</v>
      </c>
      <c r="D488" s="2" t="n">
        <f aca="false">WEEKNUM(B488,2)</f>
        <v>46</v>
      </c>
      <c r="E488" s="5" t="s">
        <v>142</v>
      </c>
      <c r="F488" s="6" t="str">
        <f aca="false">INDEX(Parametros!$B$2:$B$9,MATCH($E488,Parametros!$A$2:$A$9,0))</f>
        <v>Porciones single serve</v>
      </c>
      <c r="G488" s="10" t="n">
        <v>149</v>
      </c>
      <c r="H488" s="10" t="n">
        <v>5.6</v>
      </c>
      <c r="I488" s="11" t="n">
        <f aca="false">SUMIFS(Eventos_Paro!$J$2:$J$2186,Eventos_Paro!$D$2:$D$2186,$E488,Eventos_Paro!$B$2:$B$2186,$B488)</f>
        <v>3.1</v>
      </c>
      <c r="J488" s="12" t="n">
        <f aca="false">G488-H488-I488</f>
        <v>140.3</v>
      </c>
      <c r="K488" s="13" t="n">
        <v>292115</v>
      </c>
      <c r="L488" s="13" t="n">
        <v>262669</v>
      </c>
      <c r="M488" s="13" t="n">
        <v>15434</v>
      </c>
      <c r="N488" s="14" t="n">
        <f aca="false">L488+M488</f>
        <v>278103</v>
      </c>
      <c r="O488" s="11" t="n">
        <f aca="false">INDEX(Parametros!$D$2:$D$9,MATCH($E488,Parametros!$A$2:$A$9,0))</f>
        <v>2600</v>
      </c>
      <c r="P488" s="15" t="n">
        <f aca="false">IF((G488-H488)&gt;0,J488/(G488-H488),0)</f>
        <v>0.978382147838215</v>
      </c>
      <c r="Q488" s="15" t="n">
        <f aca="false">IF(J488*O488&gt;0,N488/(O488*J488),0)</f>
        <v>0.762385547453259</v>
      </c>
      <c r="R488" s="15" t="n">
        <f aca="false">IF(N488&gt;0,L488/N488,0)</f>
        <v>0.94450257638357</v>
      </c>
      <c r="S488" s="15" t="n">
        <f aca="false">P488*Q488*R488</f>
        <v>0.704508636412402</v>
      </c>
      <c r="T488" s="15" t="n">
        <f aca="false">IF(K488&gt;0,L488/K488,0)</f>
        <v>0.899197233966075</v>
      </c>
      <c r="U488" s="10" t="n">
        <v>2676.4</v>
      </c>
      <c r="V488" s="5" t="n">
        <v>17</v>
      </c>
      <c r="W488" s="10" t="n">
        <v>143.4</v>
      </c>
      <c r="X488" s="15" t="n">
        <f aca="false">IF(U488&gt;0,W488/U488,0)</f>
        <v>0.0535794350620236</v>
      </c>
      <c r="Y488" s="12" t="n">
        <f aca="false">IF(U488&gt;0,L488/U488,0)</f>
        <v>98.1426543117621</v>
      </c>
      <c r="Z488" s="16" t="n">
        <f aca="false">L488*INDEX(Parametros!$E$2:$E$9,MATCH($E488,Parametros!$A$2:$A$9,0))</f>
        <v>194375.06</v>
      </c>
      <c r="AA488" s="16" t="n">
        <f aca="false">Z488*INDEX(Parametros!$F$2:$F$9,MATCH($E488,Parametros!$A$2:$A$9,0))</f>
        <v>8746.8777</v>
      </c>
      <c r="AB488" s="17" t="n">
        <f aca="false">Z488+AA488</f>
        <v>203121.9377</v>
      </c>
      <c r="AC488" s="18" t="n">
        <v>203771.55</v>
      </c>
      <c r="AD488" s="17" t="n">
        <f aca="false">AC488-AB488</f>
        <v>649.612299999979</v>
      </c>
      <c r="AE488" s="17" t="n">
        <f aca="false">AA488+AD488</f>
        <v>9396.48999999998</v>
      </c>
      <c r="AF488" s="19" t="n">
        <f aca="false">IF(Z488&gt;0,AE488/Z488,0)</f>
        <v>0.0483420558172431</v>
      </c>
      <c r="AG488" s="16" t="n">
        <f aca="false">(U488-W488)*INDEX(Parametros!$H$2:$H$9,MATCH($E488,Parametros!$A$2:$A$9,0))+W488*INDEX(Parametros!$H$2:$H$9,MATCH($E488,Parametros!$A$2:$A$9,0))*Parametros!$N$3</f>
        <v>82443</v>
      </c>
      <c r="AH488" s="13" t="n">
        <v>14249</v>
      </c>
      <c r="AI488" s="16" t="n">
        <f aca="false">AH488*Parametros!$N$2</f>
        <v>1310.908</v>
      </c>
      <c r="AJ488" s="18" t="n">
        <v>13286</v>
      </c>
      <c r="AK488" s="18" t="n">
        <v>4569</v>
      </c>
      <c r="AL488" s="17" t="n">
        <f aca="false">AG488+AI488+AJ488+AK488</f>
        <v>101608.908</v>
      </c>
      <c r="AM488" s="20" t="n">
        <f aca="false">IF(L488&gt;0,AL488/L488,0)</f>
        <v>0.386832507833052</v>
      </c>
      <c r="AN488" s="16" t="n">
        <f aca="false">L488*INDEX(Parametros!$G$2:$G$9,MATCH($E488,Parametros!$A$2:$A$9,0))</f>
        <v>451790.68</v>
      </c>
      <c r="AO488" s="17" t="n">
        <f aca="false">AN488-AC488-AL488</f>
        <v>146410.222</v>
      </c>
      <c r="AP488" s="15" t="n">
        <f aca="false">IF(AN488&gt;0,AO488/AN488,0)</f>
        <v>0.324066494687319</v>
      </c>
      <c r="AQ488" s="16" t="n">
        <f aca="false">INDEX(Parametros!$I$2:$I$9,MATCH($E488,Parametros!$A$2:$A$9,0))</f>
        <v>15900000</v>
      </c>
      <c r="AR488" s="19" t="n">
        <f aca="false">IF(AQ488&gt;0,AO488/AQ488,0)</f>
        <v>0.00920819006289308</v>
      </c>
    </row>
    <row r="489" customFormat="false" ht="15" hidden="false" customHeight="false" outlineLevel="0" collapsed="false">
      <c r="A489" s="5" t="s">
        <v>624</v>
      </c>
      <c r="B489" s="9" t="n">
        <v>45971</v>
      </c>
      <c r="C489" s="2" t="str">
        <f aca="false">TEXT(B489,"yyyy")</f>
        <v>2025</v>
      </c>
      <c r="D489" s="2" t="n">
        <f aca="false">WEEKNUM(B489,2)</f>
        <v>46</v>
      </c>
      <c r="E489" s="5" t="s">
        <v>144</v>
      </c>
      <c r="F489" s="6" t="str">
        <f aca="false">INDEX(Parametros!$B$2:$B$9,MATCH($E489,Parametros!$A$2:$A$9,0))</f>
        <v>Salsas picantes</v>
      </c>
      <c r="G489" s="10" t="n">
        <v>120</v>
      </c>
      <c r="H489" s="10" t="n">
        <v>6.6</v>
      </c>
      <c r="I489" s="11" t="n">
        <f aca="false">SUMIFS(Eventos_Paro!$J$2:$J$2186,Eventos_Paro!$D$2:$D$2186,$E489,Eventos_Paro!$B$2:$B$2186,$B489)</f>
        <v>0.316666666666667</v>
      </c>
      <c r="J489" s="12" t="n">
        <f aca="false">G489-H489-I489</f>
        <v>113.083333333333</v>
      </c>
      <c r="K489" s="13" t="n">
        <v>290554</v>
      </c>
      <c r="L489" s="13" t="n">
        <v>286451</v>
      </c>
      <c r="M489" s="13" t="n">
        <v>6910</v>
      </c>
      <c r="N489" s="14" t="n">
        <f aca="false">L489+M489</f>
        <v>293361</v>
      </c>
      <c r="O489" s="11" t="n">
        <f aca="false">INDEX(Parametros!$D$2:$D$9,MATCH($E489,Parametros!$A$2:$A$9,0))</f>
        <v>3100</v>
      </c>
      <c r="P489" s="15" t="n">
        <f aca="false">IF((G489-H489)&gt;0,J489/(G489-H489),0)</f>
        <v>0.997207524985303</v>
      </c>
      <c r="Q489" s="15" t="n">
        <f aca="false">IF(J489*O489&gt;0,N489/(O489*J489),0)</f>
        <v>0.836839327739083</v>
      </c>
      <c r="R489" s="15" t="n">
        <f aca="false">IF(N489&gt;0,L489/N489,0)</f>
        <v>0.976445403444902</v>
      </c>
      <c r="S489" s="15" t="n">
        <f aca="false">P489*Q489*R489</f>
        <v>0.814846105706321</v>
      </c>
      <c r="T489" s="15" t="n">
        <f aca="false">IF(K489&gt;0,L489/K489,0)</f>
        <v>0.985878700689029</v>
      </c>
      <c r="U489" s="10" t="n">
        <v>1221.3</v>
      </c>
      <c r="V489" s="5" t="n">
        <v>10</v>
      </c>
      <c r="W489" s="10" t="n">
        <v>21.3</v>
      </c>
      <c r="X489" s="15" t="n">
        <f aca="false">IF(U489&gt;0,W489/U489,0)</f>
        <v>0.0174404323262098</v>
      </c>
      <c r="Y489" s="12" t="n">
        <f aca="false">IF(U489&gt;0,L489/U489,0)</f>
        <v>234.545975599771</v>
      </c>
      <c r="Z489" s="16" t="n">
        <f aca="false">L489*INDEX(Parametros!$E$2:$E$9,MATCH($E489,Parametros!$A$2:$A$9,0))</f>
        <v>189057.66</v>
      </c>
      <c r="AA489" s="16" t="n">
        <f aca="false">Z489*INDEX(Parametros!$F$2:$F$9,MATCH($E489,Parametros!$A$2:$A$9,0))</f>
        <v>4915.49916</v>
      </c>
      <c r="AB489" s="17" t="n">
        <f aca="false">Z489+AA489</f>
        <v>193973.15916</v>
      </c>
      <c r="AC489" s="18" t="n">
        <v>196408.54</v>
      </c>
      <c r="AD489" s="17" t="n">
        <f aca="false">AC489-AB489</f>
        <v>2435.38084</v>
      </c>
      <c r="AE489" s="17" t="n">
        <f aca="false">AA489+AD489</f>
        <v>7350.88</v>
      </c>
      <c r="AF489" s="19" t="n">
        <f aca="false">IF(Z489&gt;0,AE489/Z489,0)</f>
        <v>0.0388816829743899</v>
      </c>
      <c r="AG489" s="16" t="n">
        <f aca="false">(U489-W489)*INDEX(Parametros!$H$2:$H$9,MATCH($E489,Parametros!$A$2:$A$9,0))+W489*INDEX(Parametros!$H$2:$H$9,MATCH($E489,Parametros!$A$2:$A$9,0))*Parametros!$N$3</f>
        <v>38806.425</v>
      </c>
      <c r="AH489" s="13" t="n">
        <v>14521</v>
      </c>
      <c r="AI489" s="16" t="n">
        <f aca="false">AH489*Parametros!$N$2</f>
        <v>1335.932</v>
      </c>
      <c r="AJ489" s="18" t="n">
        <v>5529</v>
      </c>
      <c r="AK489" s="18" t="n">
        <v>204</v>
      </c>
      <c r="AL489" s="17" t="n">
        <f aca="false">AG489+AI489+AJ489+AK489</f>
        <v>45875.357</v>
      </c>
      <c r="AM489" s="20" t="n">
        <f aca="false">IF(L489&gt;0,AL489/L489,0)</f>
        <v>0.160150800660497</v>
      </c>
      <c r="AN489" s="16" t="n">
        <f aca="false">L489*INDEX(Parametros!$G$2:$G$9,MATCH($E489,Parametros!$A$2:$A$9,0))</f>
        <v>358063.75</v>
      </c>
      <c r="AO489" s="17" t="n">
        <f aca="false">AN489-AC489-AL489</f>
        <v>115779.853</v>
      </c>
      <c r="AP489" s="15" t="n">
        <f aca="false">IF(AN489&gt;0,AO489/AN489,0)</f>
        <v>0.323349830861125</v>
      </c>
      <c r="AQ489" s="16" t="n">
        <f aca="false">INDEX(Parametros!$I$2:$I$9,MATCH($E489,Parametros!$A$2:$A$9,0))</f>
        <v>13300000</v>
      </c>
      <c r="AR489" s="19" t="n">
        <f aca="false">IF(AQ489&gt;0,AO489/AQ489,0)</f>
        <v>0.00870525210526316</v>
      </c>
    </row>
    <row r="490" customFormat="false" ht="15" hidden="false" customHeight="false" outlineLevel="0" collapsed="false">
      <c r="A490" s="5" t="s">
        <v>625</v>
      </c>
      <c r="B490" s="9" t="n">
        <v>45978</v>
      </c>
      <c r="C490" s="2" t="str">
        <f aca="false">TEXT(B490,"yyyy")</f>
        <v>2025</v>
      </c>
      <c r="D490" s="2" t="n">
        <f aca="false">WEEKNUM(B490,2)</f>
        <v>47</v>
      </c>
      <c r="E490" s="5" t="s">
        <v>130</v>
      </c>
      <c r="F490" s="6" t="str">
        <f aca="false">INDEX(Parametros!$B$2:$B$9,MATCH($E490,Parametros!$A$2:$A$9,0))</f>
        <v>Ketchup botella</v>
      </c>
      <c r="G490" s="10" t="n">
        <v>129</v>
      </c>
      <c r="H490" s="10" t="n">
        <v>6.4</v>
      </c>
      <c r="I490" s="11" t="n">
        <f aca="false">SUMIFS(Eventos_Paro!$J$2:$J$2186,Eventos_Paro!$D$2:$D$2186,$E490,Eventos_Paro!$B$2:$B$2186,$B490)</f>
        <v>3.98333333333333</v>
      </c>
      <c r="J490" s="12" t="n">
        <f aca="false">G490-H490-I490</f>
        <v>118.616666666667</v>
      </c>
      <c r="K490" s="13" t="n">
        <v>860995</v>
      </c>
      <c r="L490" s="13" t="n">
        <v>888197</v>
      </c>
      <c r="M490" s="13" t="n">
        <v>26644</v>
      </c>
      <c r="N490" s="14" t="n">
        <f aca="false">L490+M490</f>
        <v>914841</v>
      </c>
      <c r="O490" s="11" t="n">
        <f aca="false">INDEX(Parametros!$D$2:$D$9,MATCH($E490,Parametros!$A$2:$A$9,0))</f>
        <v>9000</v>
      </c>
      <c r="P490" s="15" t="n">
        <f aca="false">IF((G490-H490)&gt;0,J490/(G490-H490),0)</f>
        <v>0.967509516041327</v>
      </c>
      <c r="Q490" s="15" t="n">
        <f aca="false">IF(J490*O490&gt;0,N490/(O490*J490),0)</f>
        <v>0.856953772657018</v>
      </c>
      <c r="R490" s="15" t="n">
        <f aca="false">IF(N490&gt;0,L490/N490,0)</f>
        <v>0.97087581339271</v>
      </c>
      <c r="S490" s="15" t="n">
        <f aca="false">P490*Q490*R490</f>
        <v>0.804963748413993</v>
      </c>
      <c r="T490" s="15" t="n">
        <f aca="false">IF(K490&gt;0,L490/K490,0)</f>
        <v>1.0315936794058</v>
      </c>
      <c r="U490" s="10" t="n">
        <v>2008.4</v>
      </c>
      <c r="V490" s="5" t="n">
        <v>14</v>
      </c>
      <c r="W490" s="10" t="n">
        <v>202.4</v>
      </c>
      <c r="X490" s="15" t="n">
        <f aca="false">IF(U490&gt;0,W490/U490,0)</f>
        <v>0.100776737701653</v>
      </c>
      <c r="Y490" s="12" t="n">
        <f aca="false">IF(U490&gt;0,L490/U490,0)</f>
        <v>442.241087432782</v>
      </c>
      <c r="Z490" s="16" t="n">
        <f aca="false">L490*INDEX(Parametros!$E$2:$E$9,MATCH($E490,Parametros!$A$2:$A$9,0))</f>
        <v>373042.74</v>
      </c>
      <c r="AA490" s="16" t="n">
        <f aca="false">Z490*INDEX(Parametros!$F$2:$F$9,MATCH($E490,Parametros!$A$2:$A$9,0))</f>
        <v>7460.8548</v>
      </c>
      <c r="AB490" s="17" t="n">
        <f aca="false">Z490+AA490</f>
        <v>380503.5948</v>
      </c>
      <c r="AC490" s="18" t="n">
        <v>384174.69</v>
      </c>
      <c r="AD490" s="17" t="n">
        <f aca="false">AC490-AB490</f>
        <v>3671.09520000004</v>
      </c>
      <c r="AE490" s="17" t="n">
        <f aca="false">AA490+AD490</f>
        <v>11131.95</v>
      </c>
      <c r="AF490" s="19" t="n">
        <f aca="false">IF(Z490&gt;0,AE490/Z490,0)</f>
        <v>0.0298409506642591</v>
      </c>
      <c r="AG490" s="16" t="n">
        <f aca="false">(U490-W490)*INDEX(Parametros!$H$2:$H$9,MATCH($E490,Parametros!$A$2:$A$9,0))+W490*INDEX(Parametros!$H$2:$H$9,MATCH($E490,Parametros!$A$2:$A$9,0))*Parametros!$N$3</f>
        <v>66452.4</v>
      </c>
      <c r="AH490" s="13" t="n">
        <v>48150</v>
      </c>
      <c r="AI490" s="16" t="n">
        <f aca="false">AH490*Parametros!$N$2</f>
        <v>4429.8</v>
      </c>
      <c r="AJ490" s="18" t="n">
        <v>17161</v>
      </c>
      <c r="AK490" s="18" t="n">
        <v>4033</v>
      </c>
      <c r="AL490" s="17" t="n">
        <f aca="false">AG490+AI490+AJ490+AK490</f>
        <v>92076.2</v>
      </c>
      <c r="AM490" s="20" t="n">
        <f aca="false">IF(L490&gt;0,AL490/L490,0)</f>
        <v>0.103666416346824</v>
      </c>
      <c r="AN490" s="16" t="n">
        <f aca="false">L490*INDEX(Parametros!$G$2:$G$9,MATCH($E490,Parametros!$A$2:$A$9,0))</f>
        <v>630619.87</v>
      </c>
      <c r="AO490" s="17" t="n">
        <f aca="false">AN490-AC490-AL490</f>
        <v>154368.98</v>
      </c>
      <c r="AP490" s="15" t="n">
        <f aca="false">IF(AN490&gt;0,AO490/AN490,0)</f>
        <v>0.244789273766461</v>
      </c>
      <c r="AQ490" s="16" t="n">
        <f aca="false">INDEX(Parametros!$I$2:$I$9,MATCH($E490,Parametros!$A$2:$A$9,0))</f>
        <v>29300000</v>
      </c>
      <c r="AR490" s="19" t="n">
        <f aca="false">IF(AQ490&gt;0,AO490/AQ490,0)</f>
        <v>0.00526856587030717</v>
      </c>
    </row>
    <row r="491" customFormat="false" ht="15" hidden="false" customHeight="false" outlineLevel="0" collapsed="false">
      <c r="A491" s="5" t="s">
        <v>626</v>
      </c>
      <c r="B491" s="9" t="n">
        <v>45978</v>
      </c>
      <c r="C491" s="2" t="str">
        <f aca="false">TEXT(B491,"yyyy")</f>
        <v>2025</v>
      </c>
      <c r="D491" s="2" t="n">
        <f aca="false">WEEKNUM(B491,2)</f>
        <v>47</v>
      </c>
      <c r="E491" s="5" t="s">
        <v>132</v>
      </c>
      <c r="F491" s="6" t="str">
        <f aca="false">INDEX(Parametros!$B$2:$B$9,MATCH($E491,Parametros!$A$2:$A$9,0))</f>
        <v>Mayonesa frasco</v>
      </c>
      <c r="G491" s="10" t="n">
        <v>107.6</v>
      </c>
      <c r="H491" s="10" t="n">
        <v>7.6</v>
      </c>
      <c r="I491" s="11" t="n">
        <f aca="false">SUMIFS(Eventos_Paro!$J$2:$J$2186,Eventos_Paro!$D$2:$D$2186,$E491,Eventos_Paro!$B$2:$B$2186,$B491)</f>
        <v>2.16666666666667</v>
      </c>
      <c r="J491" s="12" t="n">
        <f aca="false">G491-H491-I491</f>
        <v>97.8333333333333</v>
      </c>
      <c r="K491" s="13" t="n">
        <v>507202</v>
      </c>
      <c r="L491" s="13" t="n">
        <v>533279</v>
      </c>
      <c r="M491" s="13" t="n">
        <v>17433</v>
      </c>
      <c r="N491" s="14" t="n">
        <f aca="false">L491+M491</f>
        <v>550712</v>
      </c>
      <c r="O491" s="11" t="n">
        <f aca="false">INDEX(Parametros!$D$2:$D$9,MATCH($E491,Parametros!$A$2:$A$9,0))</f>
        <v>6500</v>
      </c>
      <c r="P491" s="15" t="n">
        <f aca="false">IF((G491-H491)&gt;0,J491/(G491-H491),0)</f>
        <v>0.978333333333333</v>
      </c>
      <c r="Q491" s="15" t="n">
        <f aca="false">IF(J491*O491&gt;0,N491/(O491*J491),0)</f>
        <v>0.866012842353558</v>
      </c>
      <c r="R491" s="15" t="n">
        <f aca="false">IF(N491&gt;0,L491/N491,0)</f>
        <v>0.968344615697497</v>
      </c>
      <c r="S491" s="15" t="n">
        <f aca="false">P491*Q491*R491</f>
        <v>0.820429230769231</v>
      </c>
      <c r="T491" s="15" t="n">
        <f aca="false">IF(K491&gt;0,L491/K491,0)</f>
        <v>1.05141344079874</v>
      </c>
      <c r="U491" s="10" t="n">
        <v>1619.9</v>
      </c>
      <c r="V491" s="5" t="n">
        <v>14</v>
      </c>
      <c r="W491" s="10" t="n">
        <v>113.5</v>
      </c>
      <c r="X491" s="15" t="n">
        <f aca="false">IF(U491&gt;0,W491/U491,0)</f>
        <v>0.0700660534600901</v>
      </c>
      <c r="Y491" s="12" t="n">
        <f aca="false">IF(U491&gt;0,L491/U491,0)</f>
        <v>329.204889190691</v>
      </c>
      <c r="Z491" s="16" t="n">
        <f aca="false">L491*INDEX(Parametros!$E$2:$E$9,MATCH($E491,Parametros!$A$2:$A$9,0))</f>
        <v>325300.19</v>
      </c>
      <c r="AA491" s="16" t="n">
        <f aca="false">Z491*INDEX(Parametros!$F$2:$F$9,MATCH($E491,Parametros!$A$2:$A$9,0))</f>
        <v>8132.50475</v>
      </c>
      <c r="AB491" s="17" t="n">
        <f aca="false">Z491+AA491</f>
        <v>333432.69475</v>
      </c>
      <c r="AC491" s="18" t="n">
        <v>332872.86</v>
      </c>
      <c r="AD491" s="17" t="n">
        <f aca="false">AC491-AB491</f>
        <v>-559.834750000038</v>
      </c>
      <c r="AE491" s="17" t="n">
        <f aca="false">AA491+AD491</f>
        <v>7572.66999999996</v>
      </c>
      <c r="AF491" s="19" t="n">
        <f aca="false">IF(Z491&gt;0,AE491/Z491,0)</f>
        <v>0.0232790211404425</v>
      </c>
      <c r="AG491" s="16" t="n">
        <f aca="false">(U491-W491)*INDEX(Parametros!$H$2:$H$9,MATCH($E491,Parametros!$A$2:$A$9,0))+W491*INDEX(Parametros!$H$2:$H$9,MATCH($E491,Parametros!$A$2:$A$9,0))*Parametros!$N$3</f>
        <v>52814.475</v>
      </c>
      <c r="AH491" s="13" t="n">
        <v>25066</v>
      </c>
      <c r="AI491" s="16" t="n">
        <f aca="false">AH491*Parametros!$N$2</f>
        <v>2306.072</v>
      </c>
      <c r="AJ491" s="18" t="n">
        <v>17390</v>
      </c>
      <c r="AK491" s="18" t="n">
        <v>1522</v>
      </c>
      <c r="AL491" s="17" t="n">
        <f aca="false">AG491+AI491+AJ491+AK491</f>
        <v>74032.547</v>
      </c>
      <c r="AM491" s="20" t="n">
        <f aca="false">IF(L491&gt;0,AL491/L491,0)</f>
        <v>0.138825168439035</v>
      </c>
      <c r="AN491" s="16" t="n">
        <f aca="false">L491*INDEX(Parametros!$G$2:$G$9,MATCH($E491,Parametros!$A$2:$A$9,0))</f>
        <v>511947.84</v>
      </c>
      <c r="AO491" s="17" t="n">
        <f aca="false">AN491-AC491-AL491</f>
        <v>105042.433</v>
      </c>
      <c r="AP491" s="15" t="n">
        <f aca="false">IF(AN491&gt;0,AO491/AN491,0)</f>
        <v>0.205181904859683</v>
      </c>
      <c r="AQ491" s="16" t="n">
        <f aca="false">INDEX(Parametros!$I$2:$I$9,MATCH($E491,Parametros!$A$2:$A$9,0))</f>
        <v>29700000</v>
      </c>
      <c r="AR491" s="19" t="n">
        <f aca="false">IF(AQ491&gt;0,AO491/AQ491,0)</f>
        <v>0.00353678225589226</v>
      </c>
    </row>
    <row r="492" customFormat="false" ht="15" hidden="false" customHeight="false" outlineLevel="0" collapsed="false">
      <c r="A492" s="5" t="s">
        <v>627</v>
      </c>
      <c r="B492" s="9" t="n">
        <v>45978</v>
      </c>
      <c r="C492" s="2" t="str">
        <f aca="false">TEXT(B492,"yyyy")</f>
        <v>2025</v>
      </c>
      <c r="D492" s="2" t="n">
        <f aca="false">WEEKNUM(B492,2)</f>
        <v>47</v>
      </c>
      <c r="E492" s="5" t="s">
        <v>134</v>
      </c>
      <c r="F492" s="6" t="str">
        <f aca="false">INDEX(Parametros!$B$2:$B$9,MATCH($E492,Parametros!$A$2:$A$9,0))</f>
        <v>Aderezos vertibles</v>
      </c>
      <c r="G492" s="10" t="n">
        <v>88.7</v>
      </c>
      <c r="H492" s="10" t="n">
        <v>8.4</v>
      </c>
      <c r="I492" s="11" t="n">
        <f aca="false">SUMIFS(Eventos_Paro!$J$2:$J$2186,Eventos_Paro!$D$2:$D$2186,$E492,Eventos_Paro!$B$2:$B$2186,$B492)</f>
        <v>1.83333333333333</v>
      </c>
      <c r="J492" s="12" t="n">
        <f aca="false">G492-H492-I492</f>
        <v>78.4666666666667</v>
      </c>
      <c r="K492" s="13" t="n">
        <v>325827</v>
      </c>
      <c r="L492" s="13" t="n">
        <v>356076</v>
      </c>
      <c r="M492" s="13" t="n">
        <v>9962</v>
      </c>
      <c r="N492" s="14" t="n">
        <f aca="false">L492+M492</f>
        <v>366038</v>
      </c>
      <c r="O492" s="11" t="n">
        <f aca="false">INDEX(Parametros!$D$2:$D$9,MATCH($E492,Parametros!$A$2:$A$9,0))</f>
        <v>5200</v>
      </c>
      <c r="P492" s="15" t="n">
        <f aca="false">IF((G492-H492)&gt;0,J492/(G492-H492),0)</f>
        <v>0.97716894977169</v>
      </c>
      <c r="Q492" s="15" t="n">
        <f aca="false">IF(J492*O492&gt;0,N492/(O492*J492),0)</f>
        <v>0.897093327233514</v>
      </c>
      <c r="R492" s="15" t="n">
        <f aca="false">IF(N492&gt;0,L492/N492,0)</f>
        <v>0.972784246444358</v>
      </c>
      <c r="S492" s="15" t="n">
        <f aca="false">P492*Q492*R492</f>
        <v>0.852754095219849</v>
      </c>
      <c r="T492" s="15" t="n">
        <f aca="false">IF(K492&gt;0,L492/K492,0)</f>
        <v>1.09283761014281</v>
      </c>
      <c r="U492" s="10" t="n">
        <v>1034.2</v>
      </c>
      <c r="V492" s="5" t="n">
        <v>11</v>
      </c>
      <c r="W492" s="10" t="n">
        <v>58.5</v>
      </c>
      <c r="X492" s="15" t="n">
        <f aca="false">IF(U492&gt;0,W492/U492,0)</f>
        <v>0.0565654612260685</v>
      </c>
      <c r="Y492" s="12" t="n">
        <f aca="false">IF(U492&gt;0,L492/U492,0)</f>
        <v>344.300908915103</v>
      </c>
      <c r="Z492" s="16" t="n">
        <f aca="false">L492*INDEX(Parametros!$E$2:$E$9,MATCH($E492,Parametros!$A$2:$A$9,0))</f>
        <v>195841.8</v>
      </c>
      <c r="AA492" s="16" t="n">
        <f aca="false">Z492*INDEX(Parametros!$F$2:$F$9,MATCH($E492,Parametros!$A$2:$A$9,0))</f>
        <v>5875.254</v>
      </c>
      <c r="AB492" s="17" t="n">
        <f aca="false">Z492+AA492</f>
        <v>201717.054</v>
      </c>
      <c r="AC492" s="18" t="n">
        <v>204990.99</v>
      </c>
      <c r="AD492" s="17" t="n">
        <f aca="false">AC492-AB492</f>
        <v>3273.93599999999</v>
      </c>
      <c r="AE492" s="17" t="n">
        <f aca="false">AA492+AD492</f>
        <v>9149.18999999999</v>
      </c>
      <c r="AF492" s="19" t="n">
        <f aca="false">IF(Z492&gt;0,AE492/Z492,0)</f>
        <v>0.0467172483096049</v>
      </c>
      <c r="AG492" s="16" t="n">
        <f aca="false">(U492-W492)*INDEX(Parametros!$H$2:$H$9,MATCH($E492,Parametros!$A$2:$A$9,0))+W492*INDEX(Parametros!$H$2:$H$9,MATCH($E492,Parametros!$A$2:$A$9,0))*Parametros!$N$3</f>
        <v>33498.675</v>
      </c>
      <c r="AH492" s="13" t="n">
        <v>17479</v>
      </c>
      <c r="AI492" s="16" t="n">
        <f aca="false">AH492*Parametros!$N$2</f>
        <v>1608.068</v>
      </c>
      <c r="AJ492" s="18" t="n">
        <v>10726</v>
      </c>
      <c r="AK492" s="18" t="n">
        <v>2136</v>
      </c>
      <c r="AL492" s="17" t="n">
        <f aca="false">AG492+AI492+AJ492+AK492</f>
        <v>47968.743</v>
      </c>
      <c r="AM492" s="20" t="n">
        <f aca="false">IF(L492&gt;0,AL492/L492,0)</f>
        <v>0.134714900751525</v>
      </c>
      <c r="AN492" s="16" t="n">
        <f aca="false">L492*INDEX(Parametros!$G$2:$G$9,MATCH($E492,Parametros!$A$2:$A$9,0))</f>
        <v>363197.52</v>
      </c>
      <c r="AO492" s="17" t="n">
        <f aca="false">AN492-AC492-AL492</f>
        <v>110237.787</v>
      </c>
      <c r="AP492" s="15" t="n">
        <f aca="false">IF(AN492&gt;0,AO492/AN492,0)</f>
        <v>0.303520208508032</v>
      </c>
      <c r="AQ492" s="16" t="n">
        <f aca="false">INDEX(Parametros!$I$2:$I$9,MATCH($E492,Parametros!$A$2:$A$9,0))</f>
        <v>19300000</v>
      </c>
      <c r="AR492" s="19" t="n">
        <f aca="false">IF(AQ492&gt;0,AO492/AQ492,0)</f>
        <v>0.00571180243523316</v>
      </c>
    </row>
    <row r="493" customFormat="false" ht="15" hidden="false" customHeight="false" outlineLevel="0" collapsed="false">
      <c r="A493" s="5" t="s">
        <v>628</v>
      </c>
      <c r="B493" s="9" t="n">
        <v>45978</v>
      </c>
      <c r="C493" s="2" t="str">
        <f aca="false">TEXT(B493,"yyyy")</f>
        <v>2025</v>
      </c>
      <c r="D493" s="2" t="n">
        <f aca="false">WEEKNUM(B493,2)</f>
        <v>47</v>
      </c>
      <c r="E493" s="5" t="s">
        <v>136</v>
      </c>
      <c r="F493" s="6" t="str">
        <f aca="false">INDEX(Parametros!$B$2:$B$9,MATCH($E493,Parametros!$A$2:$A$9,0))</f>
        <v>Salsa BBQ</v>
      </c>
      <c r="G493" s="10" t="n">
        <v>83.4</v>
      </c>
      <c r="H493" s="10" t="n">
        <v>8.3</v>
      </c>
      <c r="I493" s="11" t="n">
        <f aca="false">SUMIFS(Eventos_Paro!$J$2:$J$2186,Eventos_Paro!$D$2:$D$2186,$E493,Eventos_Paro!$B$2:$B$2186,$B493)</f>
        <v>3.3</v>
      </c>
      <c r="J493" s="12" t="n">
        <f aca="false">G493-H493-I493</f>
        <v>71.8</v>
      </c>
      <c r="K493" s="13" t="n">
        <v>256445</v>
      </c>
      <c r="L493" s="13" t="n">
        <v>283437</v>
      </c>
      <c r="M493" s="13" t="n">
        <v>9694</v>
      </c>
      <c r="N493" s="14" t="n">
        <f aca="false">L493+M493</f>
        <v>293131</v>
      </c>
      <c r="O493" s="11" t="n">
        <f aca="false">INDEX(Parametros!$D$2:$D$9,MATCH($E493,Parametros!$A$2:$A$9,0))</f>
        <v>4800</v>
      </c>
      <c r="P493" s="15" t="n">
        <f aca="false">IF((G493-H493)&gt;0,J493/(G493-H493),0)</f>
        <v>0.956058588548602</v>
      </c>
      <c r="Q493" s="15" t="n">
        <f aca="false">IF(J493*O493&gt;0,N493/(O493*J493),0)</f>
        <v>0.850542595171773</v>
      </c>
      <c r="R493" s="15" t="n">
        <f aca="false">IF(N493&gt;0,L493/N493,0)</f>
        <v>0.966929461571789</v>
      </c>
      <c r="S493" s="15" t="n">
        <f aca="false">P493*Q493*R493</f>
        <v>0.786276631158455</v>
      </c>
      <c r="T493" s="15" t="n">
        <f aca="false">IF(K493&gt;0,L493/K493,0)</f>
        <v>1.1052545380101</v>
      </c>
      <c r="U493" s="10" t="n">
        <v>978.4</v>
      </c>
      <c r="V493" s="5" t="n">
        <v>11</v>
      </c>
      <c r="W493" s="10" t="n">
        <v>61</v>
      </c>
      <c r="X493" s="15" t="n">
        <f aca="false">IF(U493&gt;0,W493/U493,0)</f>
        <v>0.062346688470973</v>
      </c>
      <c r="Y493" s="12" t="n">
        <f aca="false">IF(U493&gt;0,L493/U493,0)</f>
        <v>289.694399018806</v>
      </c>
      <c r="Z493" s="16" t="n">
        <f aca="false">L493*INDEX(Parametros!$E$2:$E$9,MATCH($E493,Parametros!$A$2:$A$9,0))</f>
        <v>164393.46</v>
      </c>
      <c r="AA493" s="16" t="n">
        <f aca="false">Z493*INDEX(Parametros!$F$2:$F$9,MATCH($E493,Parametros!$A$2:$A$9,0))</f>
        <v>4603.01688</v>
      </c>
      <c r="AB493" s="17" t="n">
        <f aca="false">Z493+AA493</f>
        <v>168996.47688</v>
      </c>
      <c r="AC493" s="18" t="n">
        <v>169109.69</v>
      </c>
      <c r="AD493" s="17" t="n">
        <f aca="false">AC493-AB493</f>
        <v>113.21312</v>
      </c>
      <c r="AE493" s="17" t="n">
        <f aca="false">AA493+AD493</f>
        <v>4716.23</v>
      </c>
      <c r="AF493" s="19" t="n">
        <f aca="false">IF(Z493&gt;0,AE493/Z493,0)</f>
        <v>0.0286886716783016</v>
      </c>
      <c r="AG493" s="16" t="n">
        <f aca="false">(U493-W493)*INDEX(Parametros!$H$2:$H$9,MATCH($E493,Parametros!$A$2:$A$9,0))+W493*INDEX(Parametros!$H$2:$H$9,MATCH($E493,Parametros!$A$2:$A$9,0))*Parametros!$N$3</f>
        <v>31780.35</v>
      </c>
      <c r="AH493" s="13" t="n">
        <v>14721</v>
      </c>
      <c r="AI493" s="16" t="n">
        <f aca="false">AH493*Parametros!$N$2</f>
        <v>1354.332</v>
      </c>
      <c r="AJ493" s="18" t="n">
        <v>9988</v>
      </c>
      <c r="AK493" s="18" t="n">
        <v>3769</v>
      </c>
      <c r="AL493" s="17" t="n">
        <f aca="false">AG493+AI493+AJ493+AK493</f>
        <v>46891.682</v>
      </c>
      <c r="AM493" s="20" t="n">
        <f aca="false">IF(L493&gt;0,AL493/L493,0)</f>
        <v>0.165439522715806</v>
      </c>
      <c r="AN493" s="16" t="n">
        <f aca="false">L493*INDEX(Parametros!$G$2:$G$9,MATCH($E493,Parametros!$A$2:$A$9,0))</f>
        <v>277768.26</v>
      </c>
      <c r="AO493" s="17" t="n">
        <f aca="false">AN493-AC493-AL493</f>
        <v>61766.888</v>
      </c>
      <c r="AP493" s="15" t="n">
        <f aca="false">IF(AN493&gt;0,AO493/AN493,0)</f>
        <v>0.222368416031407</v>
      </c>
      <c r="AQ493" s="16" t="n">
        <f aca="false">INDEX(Parametros!$I$2:$I$9,MATCH($E493,Parametros!$A$2:$A$9,0))</f>
        <v>17000000</v>
      </c>
      <c r="AR493" s="19" t="n">
        <f aca="false">IF(AQ493&gt;0,AO493/AQ493,0)</f>
        <v>0.00363334635294118</v>
      </c>
    </row>
    <row r="494" customFormat="false" ht="15" hidden="false" customHeight="false" outlineLevel="0" collapsed="false">
      <c r="A494" s="5" t="s">
        <v>629</v>
      </c>
      <c r="B494" s="9" t="n">
        <v>45978</v>
      </c>
      <c r="C494" s="2" t="str">
        <f aca="false">TEXT(B494,"yyyy")</f>
        <v>2025</v>
      </c>
      <c r="D494" s="2" t="n">
        <f aca="false">WEEKNUM(B494,2)</f>
        <v>47</v>
      </c>
      <c r="E494" s="5" t="s">
        <v>138</v>
      </c>
      <c r="F494" s="6" t="str">
        <f aca="false">INDEX(Parametros!$B$2:$B$9,MATCH($E494,Parametros!$A$2:$A$9,0))</f>
        <v>Queso crema</v>
      </c>
      <c r="G494" s="10" t="n">
        <v>119.4</v>
      </c>
      <c r="H494" s="10" t="n">
        <v>5.9</v>
      </c>
      <c r="I494" s="11" t="n">
        <f aca="false">SUMIFS(Eventos_Paro!$J$2:$J$2186,Eventos_Paro!$D$2:$D$2186,$E494,Eventos_Paro!$B$2:$B$2186,$B494)</f>
        <v>4.95</v>
      </c>
      <c r="J494" s="12" t="n">
        <f aca="false">G494-H494-I494</f>
        <v>108.55</v>
      </c>
      <c r="K494" s="13" t="n">
        <v>336548</v>
      </c>
      <c r="L494" s="13" t="n">
        <v>349151</v>
      </c>
      <c r="M494" s="13" t="n">
        <v>17516</v>
      </c>
      <c r="N494" s="14" t="n">
        <f aca="false">L494+M494</f>
        <v>366667</v>
      </c>
      <c r="O494" s="11" t="n">
        <f aca="false">INDEX(Parametros!$D$2:$D$9,MATCH($E494,Parametros!$A$2:$A$9,0))</f>
        <v>3800</v>
      </c>
      <c r="P494" s="15" t="n">
        <f aca="false">IF((G494-H494)&gt;0,J494/(G494-H494),0)</f>
        <v>0.956387665198238</v>
      </c>
      <c r="Q494" s="15" t="n">
        <f aca="false">IF(J494*O494&gt;0,N494/(O494*J494),0)</f>
        <v>0.888911246333245</v>
      </c>
      <c r="R494" s="15" t="n">
        <f aca="false">IF(N494&gt;0,L494/N494,0)</f>
        <v>0.952229134337151</v>
      </c>
      <c r="S494" s="15" t="n">
        <f aca="false">P494*Q494*R494</f>
        <v>0.809531648504521</v>
      </c>
      <c r="T494" s="15" t="n">
        <f aca="false">IF(K494&gt;0,L494/K494,0)</f>
        <v>1.03744785290657</v>
      </c>
      <c r="U494" s="10" t="n">
        <v>2025.4</v>
      </c>
      <c r="V494" s="5" t="n">
        <v>16</v>
      </c>
      <c r="W494" s="10" t="n">
        <v>115</v>
      </c>
      <c r="X494" s="15" t="n">
        <f aca="false">IF(U494&gt;0,W494/U494,0)</f>
        <v>0.0567789078700504</v>
      </c>
      <c r="Y494" s="12" t="n">
        <f aca="false">IF(U494&gt;0,L494/U494,0)</f>
        <v>172.386195319443</v>
      </c>
      <c r="Z494" s="16" t="n">
        <f aca="false">L494*INDEX(Parametros!$E$2:$E$9,MATCH($E494,Parametros!$A$2:$A$9,0))</f>
        <v>391049.12</v>
      </c>
      <c r="AA494" s="16" t="n">
        <f aca="false">Z494*INDEX(Parametros!$F$2:$F$9,MATCH($E494,Parametros!$A$2:$A$9,0))</f>
        <v>13686.7192</v>
      </c>
      <c r="AB494" s="17" t="n">
        <f aca="false">Z494+AA494</f>
        <v>404735.8392</v>
      </c>
      <c r="AC494" s="18" t="n">
        <v>407333.33</v>
      </c>
      <c r="AD494" s="17" t="n">
        <f aca="false">AC494-AB494</f>
        <v>2597.49079999997</v>
      </c>
      <c r="AE494" s="17" t="n">
        <f aca="false">AA494+AD494</f>
        <v>16284.21</v>
      </c>
      <c r="AF494" s="19" t="n">
        <f aca="false">IF(Z494&gt;0,AE494/Z494,0)</f>
        <v>0.0416423645193217</v>
      </c>
      <c r="AG494" s="16" t="n">
        <f aca="false">(U494-W494)*INDEX(Parametros!$H$2:$H$9,MATCH($E494,Parametros!$A$2:$A$9,0))+W494*INDEX(Parametros!$H$2:$H$9,MATCH($E494,Parametros!$A$2:$A$9,0))*Parametros!$N$3</f>
        <v>68735.7</v>
      </c>
      <c r="AH494" s="13" t="n">
        <v>17298</v>
      </c>
      <c r="AI494" s="16" t="n">
        <f aca="false">AH494*Parametros!$N$2</f>
        <v>1591.416</v>
      </c>
      <c r="AJ494" s="18" t="n">
        <v>15966</v>
      </c>
      <c r="AK494" s="18" t="n">
        <v>3341</v>
      </c>
      <c r="AL494" s="17" t="n">
        <f aca="false">AG494+AI494+AJ494+AK494</f>
        <v>89634.116</v>
      </c>
      <c r="AM494" s="20" t="n">
        <f aca="false">IF(L494&gt;0,AL494/L494,0)</f>
        <v>0.256720204152358</v>
      </c>
      <c r="AN494" s="16" t="n">
        <f aca="false">L494*INDEX(Parametros!$G$2:$G$9,MATCH($E494,Parametros!$A$2:$A$9,0))</f>
        <v>624980.29</v>
      </c>
      <c r="AO494" s="17" t="n">
        <f aca="false">AN494-AC494-AL494</f>
        <v>128012.844</v>
      </c>
      <c r="AP494" s="15" t="n">
        <f aca="false">IF(AN494&gt;0,AO494/AN494,0)</f>
        <v>0.204827009824582</v>
      </c>
      <c r="AQ494" s="16" t="n">
        <f aca="false">INDEX(Parametros!$I$2:$I$9,MATCH($E494,Parametros!$A$2:$A$9,0))</f>
        <v>33200000</v>
      </c>
      <c r="AR494" s="19" t="n">
        <f aca="false">IF(AQ494&gt;0,AO494/AQ494,0)</f>
        <v>0.00385580855421687</v>
      </c>
    </row>
    <row r="495" customFormat="false" ht="15" hidden="false" customHeight="false" outlineLevel="0" collapsed="false">
      <c r="A495" s="5" t="s">
        <v>630</v>
      </c>
      <c r="B495" s="9" t="n">
        <v>45978</v>
      </c>
      <c r="C495" s="2" t="str">
        <f aca="false">TEXT(B495,"yyyy")</f>
        <v>2025</v>
      </c>
      <c r="D495" s="2" t="n">
        <f aca="false">WEEKNUM(B495,2)</f>
        <v>47</v>
      </c>
      <c r="E495" s="5" t="s">
        <v>140</v>
      </c>
      <c r="F495" s="6" t="str">
        <f aca="false">INDEX(Parametros!$B$2:$B$9,MATCH($E495,Parametros!$A$2:$A$9,0))</f>
        <v>Crema de cacahuate</v>
      </c>
      <c r="G495" s="10" t="n">
        <v>106</v>
      </c>
      <c r="H495" s="10" t="n">
        <v>6.3</v>
      </c>
      <c r="I495" s="11" t="n">
        <f aca="false">SUMIFS(Eventos_Paro!$J$2:$J$2186,Eventos_Paro!$D$2:$D$2186,$E495,Eventos_Paro!$B$2:$B$2186,$B495)</f>
        <v>1.83333333333333</v>
      </c>
      <c r="J495" s="12" t="n">
        <f aca="false">G495-H495-I495</f>
        <v>97.8666666666667</v>
      </c>
      <c r="K495" s="13" t="n">
        <v>326747</v>
      </c>
      <c r="L495" s="13" t="n">
        <v>353345</v>
      </c>
      <c r="M495" s="13" t="n">
        <v>10428</v>
      </c>
      <c r="N495" s="14" t="n">
        <f aca="false">L495+M495</f>
        <v>363773</v>
      </c>
      <c r="O495" s="11" t="n">
        <f aca="false">INDEX(Parametros!$D$2:$D$9,MATCH($E495,Parametros!$A$2:$A$9,0))</f>
        <v>4200</v>
      </c>
      <c r="P495" s="15" t="n">
        <f aca="false">IF((G495-H495)&gt;0,J495/(G495-H495),0)</f>
        <v>0.981611501170177</v>
      </c>
      <c r="Q495" s="15" t="n">
        <f aca="false">IF(J495*O495&gt;0,N495/(O495*J495),0)</f>
        <v>0.885006325418451</v>
      </c>
      <c r="R495" s="15" t="n">
        <f aca="false">IF(N495&gt;0,L495/N495,0)</f>
        <v>0.971333771335421</v>
      </c>
      <c r="S495" s="15" t="n">
        <f aca="false">P495*Q495*R495</f>
        <v>0.843829106366719</v>
      </c>
      <c r="T495" s="15" t="n">
        <f aca="false">IF(K495&gt;0,L495/K495,0)</f>
        <v>1.08140243062675</v>
      </c>
      <c r="U495" s="10" t="n">
        <v>1416</v>
      </c>
      <c r="V495" s="5" t="n">
        <v>13</v>
      </c>
      <c r="W495" s="10" t="n">
        <v>38</v>
      </c>
      <c r="X495" s="15" t="n">
        <f aca="false">IF(U495&gt;0,W495/U495,0)</f>
        <v>0.0268361581920904</v>
      </c>
      <c r="Y495" s="12" t="n">
        <f aca="false">IF(U495&gt;0,L495/U495,0)</f>
        <v>249.537429378531</v>
      </c>
      <c r="Z495" s="16" t="n">
        <f aca="false">L495*INDEX(Parametros!$E$2:$E$9,MATCH($E495,Parametros!$A$2:$A$9,0))</f>
        <v>342744.65</v>
      </c>
      <c r="AA495" s="16" t="n">
        <f aca="false">Z495*INDEX(Parametros!$F$2:$F$9,MATCH($E495,Parametros!$A$2:$A$9,0))</f>
        <v>7540.3823</v>
      </c>
      <c r="AB495" s="17" t="n">
        <f aca="false">Z495+AA495</f>
        <v>350285.0323</v>
      </c>
      <c r="AC495" s="18" t="n">
        <v>356256.47</v>
      </c>
      <c r="AD495" s="17" t="n">
        <f aca="false">AC495-AB495</f>
        <v>5971.43770000001</v>
      </c>
      <c r="AE495" s="17" t="n">
        <f aca="false">AA495+AD495</f>
        <v>13511.82</v>
      </c>
      <c r="AF495" s="19" t="n">
        <f aca="false">IF(Z495&gt;0,AE495/Z495,0)</f>
        <v>0.0394224096568685</v>
      </c>
      <c r="AG495" s="16" t="n">
        <f aca="false">(U495-W495)*INDEX(Parametros!$H$2:$H$9,MATCH($E495,Parametros!$A$2:$A$9,0))+W495*INDEX(Parametros!$H$2:$H$9,MATCH($E495,Parametros!$A$2:$A$9,0))*Parametros!$N$3</f>
        <v>45202.5</v>
      </c>
      <c r="AH495" s="13" t="n">
        <v>17333</v>
      </c>
      <c r="AI495" s="16" t="n">
        <f aca="false">AH495*Parametros!$N$2</f>
        <v>1594.636</v>
      </c>
      <c r="AJ495" s="18" t="n">
        <v>13405</v>
      </c>
      <c r="AK495" s="18" t="n">
        <v>938</v>
      </c>
      <c r="AL495" s="17" t="n">
        <f aca="false">AG495+AI495+AJ495+AK495</f>
        <v>61140.136</v>
      </c>
      <c r="AM495" s="20" t="n">
        <f aca="false">IF(L495&gt;0,AL495/L495,0)</f>
        <v>0.17303240742051</v>
      </c>
      <c r="AN495" s="16" t="n">
        <f aca="false">L495*INDEX(Parametros!$G$2:$G$9,MATCH($E495,Parametros!$A$2:$A$9,0))</f>
        <v>572418.9</v>
      </c>
      <c r="AO495" s="17" t="n">
        <f aca="false">AN495-AC495-AL495</f>
        <v>155022.294</v>
      </c>
      <c r="AP495" s="15" t="n">
        <f aca="false">IF(AN495&gt;0,AO495/AN495,0)</f>
        <v>0.270819663711314</v>
      </c>
      <c r="AQ495" s="16" t="n">
        <f aca="false">INDEX(Parametros!$I$2:$I$9,MATCH($E495,Parametros!$A$2:$A$9,0))</f>
        <v>28000000</v>
      </c>
      <c r="AR495" s="19" t="n">
        <f aca="false">IF(AQ495&gt;0,AO495/AQ495,0)</f>
        <v>0.0055365105</v>
      </c>
    </row>
    <row r="496" customFormat="false" ht="15" hidden="false" customHeight="false" outlineLevel="0" collapsed="false">
      <c r="A496" s="5" t="s">
        <v>631</v>
      </c>
      <c r="B496" s="9" t="n">
        <v>45978</v>
      </c>
      <c r="C496" s="2" t="str">
        <f aca="false">TEXT(B496,"yyyy")</f>
        <v>2025</v>
      </c>
      <c r="D496" s="2" t="n">
        <f aca="false">WEEKNUM(B496,2)</f>
        <v>47</v>
      </c>
      <c r="E496" s="5" t="s">
        <v>142</v>
      </c>
      <c r="F496" s="6" t="str">
        <f aca="false">INDEX(Parametros!$B$2:$B$9,MATCH($E496,Parametros!$A$2:$A$9,0))</f>
        <v>Porciones single serve</v>
      </c>
      <c r="G496" s="10" t="n">
        <v>150</v>
      </c>
      <c r="H496" s="10" t="n">
        <v>5.5</v>
      </c>
      <c r="I496" s="11" t="n">
        <f aca="false">SUMIFS(Eventos_Paro!$J$2:$J$2186,Eventos_Paro!$D$2:$D$2186,$E496,Eventos_Paro!$B$2:$B$2186,$B496)</f>
        <v>1.26666666666667</v>
      </c>
      <c r="J496" s="12" t="n">
        <f aca="false">G496-H496-I496</f>
        <v>143.233333333333</v>
      </c>
      <c r="K496" s="13" t="n">
        <v>293163</v>
      </c>
      <c r="L496" s="13" t="n">
        <v>282294</v>
      </c>
      <c r="M496" s="13" t="n">
        <v>12830</v>
      </c>
      <c r="N496" s="14" t="n">
        <f aca="false">L496+M496</f>
        <v>295124</v>
      </c>
      <c r="O496" s="11" t="n">
        <f aca="false">INDEX(Parametros!$D$2:$D$9,MATCH($E496,Parametros!$A$2:$A$9,0))</f>
        <v>2600</v>
      </c>
      <c r="P496" s="15" t="n">
        <f aca="false">IF((G496-H496)&gt;0,J496/(G496-H496),0)</f>
        <v>0.99123414071511</v>
      </c>
      <c r="Q496" s="15" t="n">
        <f aca="false">IF(J496*O496&gt;0,N496/(O496*J496),0)</f>
        <v>0.792477757290417</v>
      </c>
      <c r="R496" s="15" t="n">
        <f aca="false">IF(N496&gt;0,L496/N496,0)</f>
        <v>0.956526748078774</v>
      </c>
      <c r="S496" s="15" t="n">
        <f aca="false">P496*Q496*R496</f>
        <v>0.751381421346819</v>
      </c>
      <c r="T496" s="15" t="n">
        <f aca="false">IF(K496&gt;0,L496/K496,0)</f>
        <v>0.962925062166781</v>
      </c>
      <c r="U496" s="10" t="n">
        <v>2163</v>
      </c>
      <c r="V496" s="5" t="n">
        <v>14</v>
      </c>
      <c r="W496" s="10" t="n">
        <v>63</v>
      </c>
      <c r="X496" s="15" t="n">
        <f aca="false">IF(U496&gt;0,W496/U496,0)</f>
        <v>0.029126213592233</v>
      </c>
      <c r="Y496" s="12" t="n">
        <f aca="false">IF(U496&gt;0,L496/U496,0)</f>
        <v>130.51040221914</v>
      </c>
      <c r="Z496" s="16" t="n">
        <f aca="false">L496*INDEX(Parametros!$E$2:$E$9,MATCH($E496,Parametros!$A$2:$A$9,0))</f>
        <v>208897.56</v>
      </c>
      <c r="AA496" s="16" t="n">
        <f aca="false">Z496*INDEX(Parametros!$F$2:$F$9,MATCH($E496,Parametros!$A$2:$A$9,0))</f>
        <v>9400.3902</v>
      </c>
      <c r="AB496" s="17" t="n">
        <f aca="false">Z496+AA496</f>
        <v>218297.9502</v>
      </c>
      <c r="AC496" s="18" t="n">
        <v>215353.44</v>
      </c>
      <c r="AD496" s="17" t="n">
        <f aca="false">AC496-AB496</f>
        <v>-2944.51019999999</v>
      </c>
      <c r="AE496" s="17" t="n">
        <f aca="false">AA496+AD496</f>
        <v>6455.88000000001</v>
      </c>
      <c r="AF496" s="19" t="n">
        <f aca="false">IF(Z496&gt;0,AE496/Z496,0)</f>
        <v>0.0309045256440526</v>
      </c>
      <c r="AG496" s="16" t="n">
        <f aca="false">(U496-W496)*INDEX(Parametros!$H$2:$H$9,MATCH($E496,Parametros!$A$2:$A$9,0))+W496*INDEX(Parametros!$H$2:$H$9,MATCH($E496,Parametros!$A$2:$A$9,0))*Parametros!$N$3</f>
        <v>65835</v>
      </c>
      <c r="AH496" s="13" t="n">
        <v>15627</v>
      </c>
      <c r="AI496" s="16" t="n">
        <f aca="false">AH496*Parametros!$N$2</f>
        <v>1437.684</v>
      </c>
      <c r="AJ496" s="18" t="n">
        <v>11405</v>
      </c>
      <c r="AK496" s="18" t="n">
        <v>842</v>
      </c>
      <c r="AL496" s="17" t="n">
        <f aca="false">AG496+AI496+AJ496+AK496</f>
        <v>79519.684</v>
      </c>
      <c r="AM496" s="20" t="n">
        <f aca="false">IF(L496&gt;0,AL496/L496,0)</f>
        <v>0.2816910171665</v>
      </c>
      <c r="AN496" s="16" t="n">
        <f aca="false">L496*INDEX(Parametros!$G$2:$G$9,MATCH($E496,Parametros!$A$2:$A$9,0))</f>
        <v>485545.68</v>
      </c>
      <c r="AO496" s="17" t="n">
        <f aca="false">AN496-AC496-AL496</f>
        <v>190672.556</v>
      </c>
      <c r="AP496" s="15" t="n">
        <f aca="false">IF(AN496&gt;0,AO496/AN496,0)</f>
        <v>0.39269746154471</v>
      </c>
      <c r="AQ496" s="16" t="n">
        <f aca="false">INDEX(Parametros!$I$2:$I$9,MATCH($E496,Parametros!$A$2:$A$9,0))</f>
        <v>15900000</v>
      </c>
      <c r="AR496" s="19" t="n">
        <f aca="false">IF(AQ496&gt;0,AO496/AQ496,0)</f>
        <v>0.0119919846540881</v>
      </c>
    </row>
    <row r="497" customFormat="false" ht="15" hidden="false" customHeight="false" outlineLevel="0" collapsed="false">
      <c r="A497" s="5" t="s">
        <v>632</v>
      </c>
      <c r="B497" s="9" t="n">
        <v>45978</v>
      </c>
      <c r="C497" s="2" t="str">
        <f aca="false">TEXT(B497,"yyyy")</f>
        <v>2025</v>
      </c>
      <c r="D497" s="2" t="n">
        <f aca="false">WEEKNUM(B497,2)</f>
        <v>47</v>
      </c>
      <c r="E497" s="5" t="s">
        <v>144</v>
      </c>
      <c r="F497" s="6" t="str">
        <f aca="false">INDEX(Parametros!$B$2:$B$9,MATCH($E497,Parametros!$A$2:$A$9,0))</f>
        <v>Salsas picantes</v>
      </c>
      <c r="G497" s="10" t="n">
        <v>105.6</v>
      </c>
      <c r="H497" s="10" t="n">
        <v>5.7</v>
      </c>
      <c r="I497" s="11" t="n">
        <f aca="false">SUMIFS(Eventos_Paro!$J$2:$J$2186,Eventos_Paro!$D$2:$D$2186,$E497,Eventos_Paro!$B$2:$B$2186,$B497)</f>
        <v>0</v>
      </c>
      <c r="J497" s="12" t="n">
        <f aca="false">G497-H497-I497</f>
        <v>99.9</v>
      </c>
      <c r="K497" s="13" t="n">
        <v>257394</v>
      </c>
      <c r="L497" s="13" t="n">
        <v>252529</v>
      </c>
      <c r="M497" s="13" t="n">
        <v>5983</v>
      </c>
      <c r="N497" s="14" t="n">
        <f aca="false">L497+M497</f>
        <v>258512</v>
      </c>
      <c r="O497" s="11" t="n">
        <f aca="false">INDEX(Parametros!$D$2:$D$9,MATCH($E497,Parametros!$A$2:$A$9,0))</f>
        <v>3100</v>
      </c>
      <c r="P497" s="15" t="n">
        <f aca="false">IF((G497-H497)&gt;0,J497/(G497-H497),0)</f>
        <v>1</v>
      </c>
      <c r="Q497" s="15" t="n">
        <f aca="false">IF(J497*O497&gt;0,N497/(O497*J497),0)</f>
        <v>0.834744421841196</v>
      </c>
      <c r="R497" s="15" t="n">
        <f aca="false">IF(N497&gt;0,L497/N497,0)</f>
        <v>0.976856006684409</v>
      </c>
      <c r="S497" s="15" t="n">
        <f aca="false">P497*Q497*R497</f>
        <v>0.815425102521877</v>
      </c>
      <c r="T497" s="15" t="n">
        <f aca="false">IF(K497&gt;0,L497/K497,0)</f>
        <v>0.981099015517067</v>
      </c>
      <c r="U497" s="10" t="n">
        <v>985.5</v>
      </c>
      <c r="V497" s="5" t="n">
        <v>9</v>
      </c>
      <c r="W497" s="10" t="n">
        <v>35.1</v>
      </c>
      <c r="X497" s="15" t="n">
        <f aca="false">IF(U497&gt;0,W497/U497,0)</f>
        <v>0.0356164383561644</v>
      </c>
      <c r="Y497" s="12" t="n">
        <f aca="false">IF(U497&gt;0,L497/U497,0)</f>
        <v>256.244545915779</v>
      </c>
      <c r="Z497" s="16" t="n">
        <f aca="false">L497*INDEX(Parametros!$E$2:$E$9,MATCH($E497,Parametros!$A$2:$A$9,0))</f>
        <v>166669.14</v>
      </c>
      <c r="AA497" s="16" t="n">
        <f aca="false">Z497*INDEX(Parametros!$F$2:$F$9,MATCH($E497,Parametros!$A$2:$A$9,0))</f>
        <v>4333.39764</v>
      </c>
      <c r="AB497" s="17" t="n">
        <f aca="false">Z497+AA497</f>
        <v>171002.53764</v>
      </c>
      <c r="AC497" s="18" t="n">
        <v>173342.14</v>
      </c>
      <c r="AD497" s="17" t="n">
        <f aca="false">AC497-AB497</f>
        <v>2339.60235999999</v>
      </c>
      <c r="AE497" s="17" t="n">
        <f aca="false">AA497+AD497</f>
        <v>6672.99999999999</v>
      </c>
      <c r="AF497" s="19" t="n">
        <f aca="false">IF(Z497&gt;0,AE497/Z497,0)</f>
        <v>0.0400374058448972</v>
      </c>
      <c r="AG497" s="16" t="n">
        <f aca="false">(U497-W497)*INDEX(Parametros!$H$2:$H$9,MATCH($E497,Parametros!$A$2:$A$9,0))+W497*INDEX(Parametros!$H$2:$H$9,MATCH($E497,Parametros!$A$2:$A$9,0))*Parametros!$N$3</f>
        <v>31596.075</v>
      </c>
      <c r="AH497" s="13" t="n">
        <v>13658</v>
      </c>
      <c r="AI497" s="16" t="n">
        <f aca="false">AH497*Parametros!$N$2</f>
        <v>1256.536</v>
      </c>
      <c r="AJ497" s="18" t="n">
        <v>6197</v>
      </c>
      <c r="AK497" s="18" t="n">
        <v>0</v>
      </c>
      <c r="AL497" s="17" t="n">
        <f aca="false">AG497+AI497+AJ497+AK497</f>
        <v>39049.611</v>
      </c>
      <c r="AM497" s="20" t="n">
        <f aca="false">IF(L497&gt;0,AL497/L497,0)</f>
        <v>0.154634164788995</v>
      </c>
      <c r="AN497" s="16" t="n">
        <f aca="false">L497*INDEX(Parametros!$G$2:$G$9,MATCH($E497,Parametros!$A$2:$A$9,0))</f>
        <v>315661.25</v>
      </c>
      <c r="AO497" s="17" t="n">
        <f aca="false">AN497-AC497-AL497</f>
        <v>103269.499</v>
      </c>
      <c r="AP497" s="15" t="n">
        <f aca="false">IF(AN497&gt;0,AO497/AN497,0)</f>
        <v>0.327152917882699</v>
      </c>
      <c r="AQ497" s="16" t="n">
        <f aca="false">INDEX(Parametros!$I$2:$I$9,MATCH($E497,Parametros!$A$2:$A$9,0))</f>
        <v>13300000</v>
      </c>
      <c r="AR497" s="19" t="n">
        <f aca="false">IF(AQ497&gt;0,AO497/AQ497,0)</f>
        <v>0.00776462398496241</v>
      </c>
    </row>
    <row r="498" customFormat="false" ht="15" hidden="false" customHeight="false" outlineLevel="0" collapsed="false">
      <c r="A498" s="5" t="s">
        <v>633</v>
      </c>
      <c r="B498" s="9" t="n">
        <v>45985</v>
      </c>
      <c r="C498" s="2" t="str">
        <f aca="false">TEXT(B498,"yyyy")</f>
        <v>2025</v>
      </c>
      <c r="D498" s="2" t="n">
        <f aca="false">WEEKNUM(B498,2)</f>
        <v>48</v>
      </c>
      <c r="E498" s="5" t="s">
        <v>130</v>
      </c>
      <c r="F498" s="6" t="str">
        <f aca="false">INDEX(Parametros!$B$2:$B$9,MATCH($E498,Parametros!$A$2:$A$9,0))</f>
        <v>Ketchup botella</v>
      </c>
      <c r="G498" s="10" t="n">
        <v>115.6</v>
      </c>
      <c r="H498" s="10" t="n">
        <v>6.3</v>
      </c>
      <c r="I498" s="11" t="n">
        <f aca="false">SUMIFS(Eventos_Paro!$J$2:$J$2186,Eventos_Paro!$D$2:$D$2186,$E498,Eventos_Paro!$B$2:$B$2186,$B498)</f>
        <v>0.7</v>
      </c>
      <c r="J498" s="12" t="n">
        <f aca="false">G498-H498-I498</f>
        <v>108.6</v>
      </c>
      <c r="K498" s="13" t="n">
        <v>764749</v>
      </c>
      <c r="L498" s="13" t="n">
        <v>829651</v>
      </c>
      <c r="M498" s="13" t="n">
        <v>14997</v>
      </c>
      <c r="N498" s="14" t="n">
        <f aca="false">L498+M498</f>
        <v>844648</v>
      </c>
      <c r="O498" s="11" t="n">
        <f aca="false">INDEX(Parametros!$D$2:$D$9,MATCH($E498,Parametros!$A$2:$A$9,0))</f>
        <v>9000</v>
      </c>
      <c r="P498" s="15" t="n">
        <f aca="false">IF((G498-H498)&gt;0,J498/(G498-H498),0)</f>
        <v>0.9935956084172</v>
      </c>
      <c r="Q498" s="15" t="n">
        <f aca="false">IF(J498*O498&gt;0,N498/(O498*J498),0)</f>
        <v>0.864178432576223</v>
      </c>
      <c r="R498" s="15" t="n">
        <f aca="false">IF(N498&gt;0,L498/N498,0)</f>
        <v>0.982244674704729</v>
      </c>
      <c r="S498" s="15" t="n">
        <f aca="false">P498*Q498*R498</f>
        <v>0.843398393819254</v>
      </c>
      <c r="T498" s="15" t="n">
        <f aca="false">IF(K498&gt;0,L498/K498,0)</f>
        <v>1.08486706095726</v>
      </c>
      <c r="U498" s="10" t="n">
        <v>1702.9</v>
      </c>
      <c r="V498" s="5" t="n">
        <v>14</v>
      </c>
      <c r="W498" s="10" t="n">
        <v>84.5</v>
      </c>
      <c r="X498" s="15" t="n">
        <f aca="false">IF(U498&gt;0,W498/U498,0)</f>
        <v>0.0496212343649069</v>
      </c>
      <c r="Y498" s="12" t="n">
        <f aca="false">IF(U498&gt;0,L498/U498,0)</f>
        <v>487.19889600094</v>
      </c>
      <c r="Z498" s="16" t="n">
        <f aca="false">L498*INDEX(Parametros!$E$2:$E$9,MATCH($E498,Parametros!$A$2:$A$9,0))</f>
        <v>348453.42</v>
      </c>
      <c r="AA498" s="16" t="n">
        <f aca="false">Z498*INDEX(Parametros!$F$2:$F$9,MATCH($E498,Parametros!$A$2:$A$9,0))</f>
        <v>6969.0684</v>
      </c>
      <c r="AB498" s="17" t="n">
        <f aca="false">Z498+AA498</f>
        <v>355422.4884</v>
      </c>
      <c r="AC498" s="18" t="n">
        <v>357968.7</v>
      </c>
      <c r="AD498" s="17" t="n">
        <f aca="false">AC498-AB498</f>
        <v>2546.21160000004</v>
      </c>
      <c r="AE498" s="17" t="n">
        <f aca="false">AA498+AD498</f>
        <v>9515.28000000004</v>
      </c>
      <c r="AF498" s="19" t="n">
        <f aca="false">IF(Z498&gt;0,AE498/Z498,0)</f>
        <v>0.0273071792493816</v>
      </c>
      <c r="AG498" s="16" t="n">
        <f aca="false">(U498-W498)*INDEX(Parametros!$H$2:$H$9,MATCH($E498,Parametros!$A$2:$A$9,0))+W498*INDEX(Parametros!$H$2:$H$9,MATCH($E498,Parametros!$A$2:$A$9,0))*Parametros!$N$3</f>
        <v>54972.225</v>
      </c>
      <c r="AH498" s="13" t="n">
        <v>42257</v>
      </c>
      <c r="AI498" s="16" t="n">
        <f aca="false">AH498*Parametros!$N$2</f>
        <v>3887.644</v>
      </c>
      <c r="AJ498" s="18" t="n">
        <v>13337</v>
      </c>
      <c r="AK498" s="18" t="n">
        <v>650</v>
      </c>
      <c r="AL498" s="17" t="n">
        <f aca="false">AG498+AI498+AJ498+AK498</f>
        <v>72846.869</v>
      </c>
      <c r="AM498" s="20" t="n">
        <f aca="false">IF(L498&gt;0,AL498/L498,0)</f>
        <v>0.0878042321409846</v>
      </c>
      <c r="AN498" s="16" t="n">
        <f aca="false">L498*INDEX(Parametros!$G$2:$G$9,MATCH($E498,Parametros!$A$2:$A$9,0))</f>
        <v>589052.21</v>
      </c>
      <c r="AO498" s="17" t="n">
        <f aca="false">AN498-AC498-AL498</f>
        <v>158236.641</v>
      </c>
      <c r="AP498" s="15" t="n">
        <f aca="false">IF(AN498&gt;0,AO498/AN498,0)</f>
        <v>0.268629228977852</v>
      </c>
      <c r="AQ498" s="16" t="n">
        <f aca="false">INDEX(Parametros!$I$2:$I$9,MATCH($E498,Parametros!$A$2:$A$9,0))</f>
        <v>29300000</v>
      </c>
      <c r="AR498" s="19" t="n">
        <f aca="false">IF(AQ498&gt;0,AO498/AQ498,0)</f>
        <v>0.00540056795221843</v>
      </c>
    </row>
    <row r="499" customFormat="false" ht="15" hidden="false" customHeight="false" outlineLevel="0" collapsed="false">
      <c r="A499" s="5" t="s">
        <v>634</v>
      </c>
      <c r="B499" s="9" t="n">
        <v>45985</v>
      </c>
      <c r="C499" s="2" t="str">
        <f aca="false">TEXT(B499,"yyyy")</f>
        <v>2025</v>
      </c>
      <c r="D499" s="2" t="n">
        <f aca="false">WEEKNUM(B499,2)</f>
        <v>48</v>
      </c>
      <c r="E499" s="5" t="s">
        <v>132</v>
      </c>
      <c r="F499" s="6" t="str">
        <f aca="false">INDEX(Parametros!$B$2:$B$9,MATCH($E499,Parametros!$A$2:$A$9,0))</f>
        <v>Mayonesa frasco</v>
      </c>
      <c r="G499" s="10" t="n">
        <v>117.6</v>
      </c>
      <c r="H499" s="10" t="n">
        <v>7.4</v>
      </c>
      <c r="I499" s="11" t="n">
        <f aca="false">SUMIFS(Eventos_Paro!$J$2:$J$2186,Eventos_Paro!$D$2:$D$2186,$E499,Eventos_Paro!$B$2:$B$2186,$B499)</f>
        <v>0</v>
      </c>
      <c r="J499" s="12" t="n">
        <f aca="false">G499-H499-I499</f>
        <v>110.2</v>
      </c>
      <c r="K499" s="13" t="n">
        <v>556867</v>
      </c>
      <c r="L499" s="13" t="n">
        <v>598193</v>
      </c>
      <c r="M499" s="13" t="n">
        <v>18979</v>
      </c>
      <c r="N499" s="14" t="n">
        <f aca="false">L499+M499</f>
        <v>617172</v>
      </c>
      <c r="O499" s="11" t="n">
        <f aca="false">INDEX(Parametros!$D$2:$D$9,MATCH($E499,Parametros!$A$2:$A$9,0))</f>
        <v>6500</v>
      </c>
      <c r="P499" s="15" t="n">
        <f aca="false">IF((G499-H499)&gt;0,J499/(G499-H499),0)</f>
        <v>1</v>
      </c>
      <c r="Q499" s="15" t="n">
        <f aca="false">IF(J499*O499&gt;0,N499/(O499*J499),0)</f>
        <v>0.861611056819768</v>
      </c>
      <c r="R499" s="15" t="n">
        <f aca="false">IF(N499&gt;0,L499/N499,0)</f>
        <v>0.969248442897604</v>
      </c>
      <c r="S499" s="15" t="n">
        <f aca="false">P499*Q499*R499</f>
        <v>0.835115175205919</v>
      </c>
      <c r="T499" s="15" t="n">
        <f aca="false">IF(K499&gt;0,L499/K499,0)</f>
        <v>1.07421161605913</v>
      </c>
      <c r="U499" s="10" t="n">
        <v>1611.7</v>
      </c>
      <c r="V499" s="5" t="n">
        <v>13</v>
      </c>
      <c r="W499" s="10" t="n">
        <v>82.9</v>
      </c>
      <c r="X499" s="15" t="n">
        <f aca="false">IF(U499&gt;0,W499/U499,0)</f>
        <v>0.0514363715331637</v>
      </c>
      <c r="Y499" s="12" t="n">
        <f aca="false">IF(U499&gt;0,L499/U499,0)</f>
        <v>371.156542780915</v>
      </c>
      <c r="Z499" s="16" t="n">
        <f aca="false">L499*INDEX(Parametros!$E$2:$E$9,MATCH($E499,Parametros!$A$2:$A$9,0))</f>
        <v>364897.73</v>
      </c>
      <c r="AA499" s="16" t="n">
        <f aca="false">Z499*INDEX(Parametros!$F$2:$F$9,MATCH($E499,Parametros!$A$2:$A$9,0))</f>
        <v>9122.44325</v>
      </c>
      <c r="AB499" s="17" t="n">
        <f aca="false">Z499+AA499</f>
        <v>374020.17325</v>
      </c>
      <c r="AC499" s="18" t="n">
        <v>369615.42</v>
      </c>
      <c r="AD499" s="17" t="n">
        <f aca="false">AC499-AB499</f>
        <v>-4404.75325000001</v>
      </c>
      <c r="AE499" s="17" t="n">
        <f aca="false">AA499+AD499</f>
        <v>4717.68999999999</v>
      </c>
      <c r="AF499" s="19" t="n">
        <f aca="false">IF(Z499&gt;0,AE499/Z499,0)</f>
        <v>0.012928800625863</v>
      </c>
      <c r="AG499" s="16" t="n">
        <f aca="false">(U499-W499)*INDEX(Parametros!$H$2:$H$9,MATCH($E499,Parametros!$A$2:$A$9,0))+W499*INDEX(Parametros!$H$2:$H$9,MATCH($E499,Parametros!$A$2:$A$9,0))*Parametros!$N$3</f>
        <v>52074.225</v>
      </c>
      <c r="AH499" s="13" t="n">
        <v>32063</v>
      </c>
      <c r="AI499" s="16" t="n">
        <f aca="false">AH499*Parametros!$N$2</f>
        <v>2949.796</v>
      </c>
      <c r="AJ499" s="18" t="n">
        <v>17205</v>
      </c>
      <c r="AK499" s="18" t="n">
        <v>0</v>
      </c>
      <c r="AL499" s="17" t="n">
        <f aca="false">AG499+AI499+AJ499+AK499</f>
        <v>72229.021</v>
      </c>
      <c r="AM499" s="20" t="n">
        <f aca="false">IF(L499&gt;0,AL499/L499,0)</f>
        <v>0.120745346401579</v>
      </c>
      <c r="AN499" s="16" t="n">
        <f aca="false">L499*INDEX(Parametros!$G$2:$G$9,MATCH($E499,Parametros!$A$2:$A$9,0))</f>
        <v>574265.28</v>
      </c>
      <c r="AO499" s="17" t="n">
        <f aca="false">AN499-AC499-AL499</f>
        <v>132420.839</v>
      </c>
      <c r="AP499" s="15" t="n">
        <f aca="false">IF(AN499&gt;0,AO499/AN499,0)</f>
        <v>0.230591755434004</v>
      </c>
      <c r="AQ499" s="16" t="n">
        <f aca="false">INDEX(Parametros!$I$2:$I$9,MATCH($E499,Parametros!$A$2:$A$9,0))</f>
        <v>29700000</v>
      </c>
      <c r="AR499" s="19" t="n">
        <f aca="false">IF(AQ499&gt;0,AO499/AQ499,0)</f>
        <v>0.00445861410774411</v>
      </c>
    </row>
    <row r="500" customFormat="false" ht="15" hidden="false" customHeight="false" outlineLevel="0" collapsed="false">
      <c r="A500" s="5" t="s">
        <v>635</v>
      </c>
      <c r="B500" s="9" t="n">
        <v>45985</v>
      </c>
      <c r="C500" s="2" t="str">
        <f aca="false">TEXT(B500,"yyyy")</f>
        <v>2025</v>
      </c>
      <c r="D500" s="2" t="n">
        <f aca="false">WEEKNUM(B500,2)</f>
        <v>48</v>
      </c>
      <c r="E500" s="5" t="s">
        <v>134</v>
      </c>
      <c r="F500" s="6" t="str">
        <f aca="false">INDEX(Parametros!$B$2:$B$9,MATCH($E500,Parametros!$A$2:$A$9,0))</f>
        <v>Aderezos vertibles</v>
      </c>
      <c r="G500" s="10" t="n">
        <v>109.8</v>
      </c>
      <c r="H500" s="10" t="n">
        <v>7</v>
      </c>
      <c r="I500" s="11" t="n">
        <f aca="false">SUMIFS(Eventos_Paro!$J$2:$J$2186,Eventos_Paro!$D$2:$D$2186,$E500,Eventos_Paro!$B$2:$B$2186,$B500)</f>
        <v>4.38333333333333</v>
      </c>
      <c r="J500" s="12" t="n">
        <f aca="false">G500-H500-I500</f>
        <v>98.4166666666667</v>
      </c>
      <c r="K500" s="13" t="n">
        <v>415578</v>
      </c>
      <c r="L500" s="13" t="n">
        <v>410294</v>
      </c>
      <c r="M500" s="13" t="n">
        <v>13164</v>
      </c>
      <c r="N500" s="14" t="n">
        <f aca="false">L500+M500</f>
        <v>423458</v>
      </c>
      <c r="O500" s="11" t="n">
        <f aca="false">INDEX(Parametros!$D$2:$D$9,MATCH($E500,Parametros!$A$2:$A$9,0))</f>
        <v>5200</v>
      </c>
      <c r="P500" s="15" t="n">
        <f aca="false">IF((G500-H500)&gt;0,J500/(G500-H500),0)</f>
        <v>0.957360570687419</v>
      </c>
      <c r="Q500" s="15" t="n">
        <f aca="false">IF(J500*O500&gt;0,N500/(O500*J500),0)</f>
        <v>0.827443496385071</v>
      </c>
      <c r="R500" s="15" t="n">
        <f aca="false">IF(N500&gt;0,L500/N500,0)</f>
        <v>0.96891309173519</v>
      </c>
      <c r="S500" s="15" t="n">
        <f aca="false">P500*Q500*R500</f>
        <v>0.767535917390003</v>
      </c>
      <c r="T500" s="15" t="n">
        <f aca="false">IF(K500&gt;0,L500/K500,0)</f>
        <v>0.987285178714946</v>
      </c>
      <c r="U500" s="10" t="n">
        <v>1472.7</v>
      </c>
      <c r="V500" s="5" t="n">
        <v>13</v>
      </c>
      <c r="W500" s="10" t="n">
        <v>45.3</v>
      </c>
      <c r="X500" s="15" t="n">
        <f aca="false">IF(U500&gt;0,W500/U500,0)</f>
        <v>0.0307598288857201</v>
      </c>
      <c r="Y500" s="12" t="n">
        <f aca="false">IF(U500&gt;0,L500/U500,0)</f>
        <v>278.599850614518</v>
      </c>
      <c r="Z500" s="16" t="n">
        <f aca="false">L500*INDEX(Parametros!$E$2:$E$9,MATCH($E500,Parametros!$A$2:$A$9,0))</f>
        <v>225661.7</v>
      </c>
      <c r="AA500" s="16" t="n">
        <f aca="false">Z500*INDEX(Parametros!$F$2:$F$9,MATCH($E500,Parametros!$A$2:$A$9,0))</f>
        <v>6769.851</v>
      </c>
      <c r="AB500" s="17" t="n">
        <f aca="false">Z500+AA500</f>
        <v>232431.551</v>
      </c>
      <c r="AC500" s="18" t="n">
        <v>239831.28</v>
      </c>
      <c r="AD500" s="17" t="n">
        <f aca="false">AC500-AB500</f>
        <v>7399.72899999999</v>
      </c>
      <c r="AE500" s="17" t="n">
        <f aca="false">AA500+AD500</f>
        <v>14169.58</v>
      </c>
      <c r="AF500" s="19" t="n">
        <f aca="false">IF(Z500&gt;0,AE500/Z500,0)</f>
        <v>0.0627912490245354</v>
      </c>
      <c r="AG500" s="16" t="n">
        <f aca="false">(U500-W500)*INDEX(Parametros!$H$2:$H$9,MATCH($E500,Parametros!$A$2:$A$9,0))+W500*INDEX(Parametros!$H$2:$H$9,MATCH($E500,Parametros!$A$2:$A$9,0))*Parametros!$N$3</f>
        <v>47103.525</v>
      </c>
      <c r="AH500" s="13" t="n">
        <v>22055</v>
      </c>
      <c r="AI500" s="16" t="n">
        <f aca="false">AH500*Parametros!$N$2</f>
        <v>2029.06</v>
      </c>
      <c r="AJ500" s="18" t="n">
        <v>9116</v>
      </c>
      <c r="AK500" s="18" t="n">
        <v>3539</v>
      </c>
      <c r="AL500" s="17" t="n">
        <f aca="false">AG500+AI500+AJ500+AK500</f>
        <v>61787.585</v>
      </c>
      <c r="AM500" s="20" t="n">
        <f aca="false">IF(L500&gt;0,AL500/L500,0)</f>
        <v>0.150593440313531</v>
      </c>
      <c r="AN500" s="16" t="n">
        <f aca="false">L500*INDEX(Parametros!$G$2:$G$9,MATCH($E500,Parametros!$A$2:$A$9,0))</f>
        <v>418499.88</v>
      </c>
      <c r="AO500" s="17" t="n">
        <f aca="false">AN500-AC500-AL500</f>
        <v>116881.015</v>
      </c>
      <c r="AP500" s="15" t="n">
        <f aca="false">IF(AN500&gt;0,AO500/AN500,0)</f>
        <v>0.279285659532328</v>
      </c>
      <c r="AQ500" s="16" t="n">
        <f aca="false">INDEX(Parametros!$I$2:$I$9,MATCH($E500,Parametros!$A$2:$A$9,0))</f>
        <v>19300000</v>
      </c>
      <c r="AR500" s="19" t="n">
        <f aca="false">IF(AQ500&gt;0,AO500/AQ500,0)</f>
        <v>0.00605601113989637</v>
      </c>
    </row>
    <row r="501" customFormat="false" ht="15" hidden="false" customHeight="false" outlineLevel="0" collapsed="false">
      <c r="A501" s="5" t="s">
        <v>636</v>
      </c>
      <c r="B501" s="9" t="n">
        <v>45985</v>
      </c>
      <c r="C501" s="2" t="str">
        <f aca="false">TEXT(B501,"yyyy")</f>
        <v>2025</v>
      </c>
      <c r="D501" s="2" t="n">
        <f aca="false">WEEKNUM(B501,2)</f>
        <v>48</v>
      </c>
      <c r="E501" s="5" t="s">
        <v>136</v>
      </c>
      <c r="F501" s="6" t="str">
        <f aca="false">INDEX(Parametros!$B$2:$B$9,MATCH($E501,Parametros!$A$2:$A$9,0))</f>
        <v>Salsa BBQ</v>
      </c>
      <c r="G501" s="10" t="n">
        <v>83.5</v>
      </c>
      <c r="H501" s="10" t="n">
        <v>6.5</v>
      </c>
      <c r="I501" s="11" t="n">
        <f aca="false">SUMIFS(Eventos_Paro!$J$2:$J$2186,Eventos_Paro!$D$2:$D$2186,$E501,Eventos_Paro!$B$2:$B$2186,$B501)</f>
        <v>1.06666666666667</v>
      </c>
      <c r="J501" s="12" t="n">
        <f aca="false">G501-H501-I501</f>
        <v>75.9333333333333</v>
      </c>
      <c r="K501" s="13" t="n">
        <v>258127</v>
      </c>
      <c r="L501" s="13" t="n">
        <v>299254</v>
      </c>
      <c r="M501" s="13" t="n">
        <v>9338</v>
      </c>
      <c r="N501" s="14" t="n">
        <f aca="false">L501+M501</f>
        <v>308592</v>
      </c>
      <c r="O501" s="11" t="n">
        <f aca="false">INDEX(Parametros!$D$2:$D$9,MATCH($E501,Parametros!$A$2:$A$9,0))</f>
        <v>4800</v>
      </c>
      <c r="P501" s="15" t="n">
        <f aca="false">IF((G501-H501)&gt;0,J501/(G501-H501),0)</f>
        <v>0.986147186147186</v>
      </c>
      <c r="Q501" s="15" t="n">
        <f aca="false">IF(J501*O501&gt;0,N501/(O501*J501),0)</f>
        <v>0.846663740122915</v>
      </c>
      <c r="R501" s="15" t="n">
        <f aca="false">IF(N501&gt;0,L501/N501,0)</f>
        <v>0.96973998029761</v>
      </c>
      <c r="S501" s="15" t="n">
        <f aca="false">P501*Q501*R501</f>
        <v>0.809669913419914</v>
      </c>
      <c r="T501" s="15" t="n">
        <f aca="false">IF(K501&gt;0,L501/K501,0)</f>
        <v>1.15932854757542</v>
      </c>
      <c r="U501" s="10" t="n">
        <v>870.2</v>
      </c>
      <c r="V501" s="5" t="n">
        <v>10</v>
      </c>
      <c r="W501" s="10" t="n">
        <v>35.2</v>
      </c>
      <c r="X501" s="15" t="n">
        <f aca="false">IF(U501&gt;0,W501/U501,0)</f>
        <v>0.0404504711560561</v>
      </c>
      <c r="Y501" s="12" t="n">
        <f aca="false">IF(U501&gt;0,L501/U501,0)</f>
        <v>343.891059526546</v>
      </c>
      <c r="Z501" s="16" t="n">
        <f aca="false">L501*INDEX(Parametros!$E$2:$E$9,MATCH($E501,Parametros!$A$2:$A$9,0))</f>
        <v>173567.32</v>
      </c>
      <c r="AA501" s="16" t="n">
        <f aca="false">Z501*INDEX(Parametros!$F$2:$F$9,MATCH($E501,Parametros!$A$2:$A$9,0))</f>
        <v>4859.88496</v>
      </c>
      <c r="AB501" s="17" t="n">
        <f aca="false">Z501+AA501</f>
        <v>178427.20496</v>
      </c>
      <c r="AC501" s="18" t="n">
        <v>176709.68</v>
      </c>
      <c r="AD501" s="17" t="n">
        <f aca="false">AC501-AB501</f>
        <v>-1717.52495999998</v>
      </c>
      <c r="AE501" s="17" t="n">
        <f aca="false">AA501+AD501</f>
        <v>3142.36000000002</v>
      </c>
      <c r="AF501" s="19" t="n">
        <f aca="false">IF(Z501&gt;0,AE501/Z501,0)</f>
        <v>0.0181045602363395</v>
      </c>
      <c r="AG501" s="16" t="n">
        <f aca="false">(U501-W501)*INDEX(Parametros!$H$2:$H$9,MATCH($E501,Parametros!$A$2:$A$9,0))+W501*INDEX(Parametros!$H$2:$H$9,MATCH($E501,Parametros!$A$2:$A$9,0))*Parametros!$N$3</f>
        <v>27965.7</v>
      </c>
      <c r="AH501" s="13" t="n">
        <v>15764</v>
      </c>
      <c r="AI501" s="16" t="n">
        <f aca="false">AH501*Parametros!$N$2</f>
        <v>1450.288</v>
      </c>
      <c r="AJ501" s="18" t="n">
        <v>8256</v>
      </c>
      <c r="AK501" s="18" t="n">
        <v>1124</v>
      </c>
      <c r="AL501" s="17" t="n">
        <f aca="false">AG501+AI501+AJ501+AK501</f>
        <v>38795.988</v>
      </c>
      <c r="AM501" s="20" t="n">
        <f aca="false">IF(L501&gt;0,AL501/L501,0)</f>
        <v>0.1296423372787</v>
      </c>
      <c r="AN501" s="16" t="n">
        <f aca="false">L501*INDEX(Parametros!$G$2:$G$9,MATCH($E501,Parametros!$A$2:$A$9,0))</f>
        <v>293268.92</v>
      </c>
      <c r="AO501" s="17" t="n">
        <f aca="false">AN501-AC501-AL501</f>
        <v>77763.252</v>
      </c>
      <c r="AP501" s="15" t="n">
        <f aca="false">IF(AN501&gt;0,AO501/AN501,0)</f>
        <v>0.265160222228799</v>
      </c>
      <c r="AQ501" s="16" t="n">
        <f aca="false">INDEX(Parametros!$I$2:$I$9,MATCH($E501,Parametros!$A$2:$A$9,0))</f>
        <v>17000000</v>
      </c>
      <c r="AR501" s="19" t="n">
        <f aca="false">IF(AQ501&gt;0,AO501/AQ501,0)</f>
        <v>0.00457430894117647</v>
      </c>
    </row>
    <row r="502" customFormat="false" ht="15" hidden="false" customHeight="false" outlineLevel="0" collapsed="false">
      <c r="A502" s="5" t="s">
        <v>637</v>
      </c>
      <c r="B502" s="9" t="n">
        <v>45985</v>
      </c>
      <c r="C502" s="2" t="str">
        <f aca="false">TEXT(B502,"yyyy")</f>
        <v>2025</v>
      </c>
      <c r="D502" s="2" t="n">
        <f aca="false">WEEKNUM(B502,2)</f>
        <v>48</v>
      </c>
      <c r="E502" s="5" t="s">
        <v>138</v>
      </c>
      <c r="F502" s="6" t="str">
        <f aca="false">INDEX(Parametros!$B$2:$B$9,MATCH($E502,Parametros!$A$2:$A$9,0))</f>
        <v>Queso crema</v>
      </c>
      <c r="G502" s="10" t="n">
        <v>115.4</v>
      </c>
      <c r="H502" s="10" t="n">
        <v>5.8</v>
      </c>
      <c r="I502" s="11" t="n">
        <f aca="false">SUMIFS(Eventos_Paro!$J$2:$J$2186,Eventos_Paro!$D$2:$D$2186,$E502,Eventos_Paro!$B$2:$B$2186,$B502)</f>
        <v>0</v>
      </c>
      <c r="J502" s="12" t="n">
        <f aca="false">G502-H502-I502</f>
        <v>109.6</v>
      </c>
      <c r="K502" s="13" t="n">
        <v>323780</v>
      </c>
      <c r="L502" s="13" t="n">
        <v>310419</v>
      </c>
      <c r="M502" s="13" t="n">
        <v>9495</v>
      </c>
      <c r="N502" s="14" t="n">
        <f aca="false">L502+M502</f>
        <v>319914</v>
      </c>
      <c r="O502" s="11" t="n">
        <f aca="false">INDEX(Parametros!$D$2:$D$9,MATCH($E502,Parametros!$A$2:$A$9,0))</f>
        <v>3800</v>
      </c>
      <c r="P502" s="15" t="n">
        <f aca="false">IF((G502-H502)&gt;0,J502/(G502-H502),0)</f>
        <v>1</v>
      </c>
      <c r="Q502" s="15" t="n">
        <f aca="false">IF(J502*O502&gt;0,N502/(O502*J502),0)</f>
        <v>0.768137725701114</v>
      </c>
      <c r="R502" s="15" t="n">
        <f aca="false">IF(N502&gt;0,L502/N502,0)</f>
        <v>0.97032014853992</v>
      </c>
      <c r="S502" s="15" t="n">
        <f aca="false">P502*Q502*R502</f>
        <v>0.745339512101421</v>
      </c>
      <c r="T502" s="15" t="n">
        <f aca="false">IF(K502&gt;0,L502/K502,0)</f>
        <v>0.958734325776762</v>
      </c>
      <c r="U502" s="10" t="n">
        <v>1841.6</v>
      </c>
      <c r="V502" s="5" t="n">
        <v>15</v>
      </c>
      <c r="W502" s="10" t="n">
        <v>110.6</v>
      </c>
      <c r="X502" s="15" t="n">
        <f aca="false">IF(U502&gt;0,W502/U502,0)</f>
        <v>0.0600564726324935</v>
      </c>
      <c r="Y502" s="12" t="n">
        <f aca="false">IF(U502&gt;0,L502/U502,0)</f>
        <v>168.559404865335</v>
      </c>
      <c r="Z502" s="16" t="n">
        <f aca="false">L502*INDEX(Parametros!$E$2:$E$9,MATCH($E502,Parametros!$A$2:$A$9,0))</f>
        <v>347669.28</v>
      </c>
      <c r="AA502" s="16" t="n">
        <f aca="false">Z502*INDEX(Parametros!$F$2:$F$9,MATCH($E502,Parametros!$A$2:$A$9,0))</f>
        <v>12168.4248</v>
      </c>
      <c r="AB502" s="17" t="n">
        <f aca="false">Z502+AA502</f>
        <v>359837.7048</v>
      </c>
      <c r="AC502" s="18" t="n">
        <v>358935.87</v>
      </c>
      <c r="AD502" s="17" t="n">
        <f aca="false">AC502-AB502</f>
        <v>-901.834800000012</v>
      </c>
      <c r="AE502" s="17" t="n">
        <f aca="false">AA502+AD502</f>
        <v>11266.59</v>
      </c>
      <c r="AF502" s="19" t="n">
        <f aca="false">IF(Z502&gt;0,AE502/Z502,0)</f>
        <v>0.0324060555479621</v>
      </c>
      <c r="AG502" s="16" t="n">
        <f aca="false">(U502-W502)*INDEX(Parametros!$H$2:$H$9,MATCH($E502,Parametros!$A$2:$A$9,0))+W502*INDEX(Parametros!$H$2:$H$9,MATCH($E502,Parametros!$A$2:$A$9,0))*Parametros!$N$3</f>
        <v>62597.7</v>
      </c>
      <c r="AH502" s="13" t="n">
        <v>15833</v>
      </c>
      <c r="AI502" s="16" t="n">
        <f aca="false">AH502*Parametros!$N$2</f>
        <v>1456.636</v>
      </c>
      <c r="AJ502" s="18" t="n">
        <v>15929</v>
      </c>
      <c r="AK502" s="18" t="n">
        <v>0</v>
      </c>
      <c r="AL502" s="17" t="n">
        <f aca="false">AG502+AI502+AJ502+AK502</f>
        <v>79983.336</v>
      </c>
      <c r="AM502" s="20" t="n">
        <f aca="false">IF(L502&gt;0,AL502/L502,0)</f>
        <v>0.257662501328849</v>
      </c>
      <c r="AN502" s="16" t="n">
        <f aca="false">L502*INDEX(Parametros!$G$2:$G$9,MATCH($E502,Parametros!$A$2:$A$9,0))</f>
        <v>555650.01</v>
      </c>
      <c r="AO502" s="17" t="n">
        <f aca="false">AN502-AC502-AL502</f>
        <v>116730.804</v>
      </c>
      <c r="AP502" s="15" t="n">
        <f aca="false">IF(AN502&gt;0,AO502/AN502,0)</f>
        <v>0.210079729864488</v>
      </c>
      <c r="AQ502" s="16" t="n">
        <f aca="false">INDEX(Parametros!$I$2:$I$9,MATCH($E502,Parametros!$A$2:$A$9,0))</f>
        <v>33200000</v>
      </c>
      <c r="AR502" s="19" t="n">
        <f aca="false">IF(AQ502&gt;0,AO502/AQ502,0)</f>
        <v>0.00351598807228916</v>
      </c>
    </row>
    <row r="503" customFormat="false" ht="15" hidden="false" customHeight="false" outlineLevel="0" collapsed="false">
      <c r="A503" s="5" t="s">
        <v>638</v>
      </c>
      <c r="B503" s="9" t="n">
        <v>45985</v>
      </c>
      <c r="C503" s="2" t="str">
        <f aca="false">TEXT(B503,"yyyy")</f>
        <v>2025</v>
      </c>
      <c r="D503" s="2" t="n">
        <f aca="false">WEEKNUM(B503,2)</f>
        <v>48</v>
      </c>
      <c r="E503" s="5" t="s">
        <v>140</v>
      </c>
      <c r="F503" s="6" t="str">
        <f aca="false">INDEX(Parametros!$B$2:$B$9,MATCH($E503,Parametros!$A$2:$A$9,0))</f>
        <v>Crema de cacahuate</v>
      </c>
      <c r="G503" s="10" t="n">
        <v>106.1</v>
      </c>
      <c r="H503" s="10" t="n">
        <v>8.7</v>
      </c>
      <c r="I503" s="11" t="n">
        <f aca="false">SUMIFS(Eventos_Paro!$J$2:$J$2186,Eventos_Paro!$D$2:$D$2186,$E503,Eventos_Paro!$B$2:$B$2186,$B503)</f>
        <v>1.11666666666667</v>
      </c>
      <c r="J503" s="12" t="n">
        <f aca="false">G503-H503-I503</f>
        <v>96.2833333333333</v>
      </c>
      <c r="K503" s="13" t="n">
        <v>318028</v>
      </c>
      <c r="L503" s="13" t="n">
        <v>342845</v>
      </c>
      <c r="M503" s="13" t="n">
        <v>8557</v>
      </c>
      <c r="N503" s="14" t="n">
        <f aca="false">L503+M503</f>
        <v>351402</v>
      </c>
      <c r="O503" s="11" t="n">
        <f aca="false">INDEX(Parametros!$D$2:$D$9,MATCH($E503,Parametros!$A$2:$A$9,0))</f>
        <v>4200</v>
      </c>
      <c r="P503" s="15" t="n">
        <f aca="false">IF((G503-H503)&gt;0,J503/(G503-H503),0)</f>
        <v>0.988535249828884</v>
      </c>
      <c r="Q503" s="15" t="n">
        <f aca="false">IF(J503*O503&gt;0,N503/(O503*J503),0)</f>
        <v>0.868968075372784</v>
      </c>
      <c r="R503" s="15" t="n">
        <f aca="false">IF(N503&gt;0,L503/N503,0)</f>
        <v>0.97564897183283</v>
      </c>
      <c r="S503" s="15" t="n">
        <f aca="false">P503*Q503*R503</f>
        <v>0.838087904566344</v>
      </c>
      <c r="T503" s="15" t="n">
        <f aca="false">IF(K503&gt;0,L503/K503,0)</f>
        <v>1.07803400958406</v>
      </c>
      <c r="U503" s="10" t="n">
        <v>1362.8</v>
      </c>
      <c r="V503" s="5" t="n">
        <v>12</v>
      </c>
      <c r="W503" s="10" t="n">
        <v>89.6</v>
      </c>
      <c r="X503" s="15" t="n">
        <f aca="false">IF(U503&gt;0,W503/U503,0)</f>
        <v>0.0657469914881127</v>
      </c>
      <c r="Y503" s="12" t="n">
        <f aca="false">IF(U503&gt;0,L503/U503,0)</f>
        <v>251.573965365424</v>
      </c>
      <c r="Z503" s="16" t="n">
        <f aca="false">L503*INDEX(Parametros!$E$2:$E$9,MATCH($E503,Parametros!$A$2:$A$9,0))</f>
        <v>332559.65</v>
      </c>
      <c r="AA503" s="16" t="n">
        <f aca="false">Z503*INDEX(Parametros!$F$2:$F$9,MATCH($E503,Parametros!$A$2:$A$9,0))</f>
        <v>7316.3123</v>
      </c>
      <c r="AB503" s="17" t="n">
        <f aca="false">Z503+AA503</f>
        <v>339875.9623</v>
      </c>
      <c r="AC503" s="18" t="n">
        <v>342594.22</v>
      </c>
      <c r="AD503" s="17" t="n">
        <f aca="false">AC503-AB503</f>
        <v>2718.25770000002</v>
      </c>
      <c r="AE503" s="17" t="n">
        <f aca="false">AA503+AD503</f>
        <v>10034.57</v>
      </c>
      <c r="AF503" s="19" t="n">
        <f aca="false">IF(Z503&gt;0,AE503/Z503,0)</f>
        <v>0.0301737447702992</v>
      </c>
      <c r="AG503" s="16" t="n">
        <f aca="false">(U503-W503)*INDEX(Parametros!$H$2:$H$9,MATCH($E503,Parametros!$A$2:$A$9,0))+W503*INDEX(Parametros!$H$2:$H$9,MATCH($E503,Parametros!$A$2:$A$9,0))*Parametros!$N$3</f>
        <v>44339.4</v>
      </c>
      <c r="AH503" s="13" t="n">
        <v>18803</v>
      </c>
      <c r="AI503" s="16" t="n">
        <f aca="false">AH503*Parametros!$N$2</f>
        <v>1729.876</v>
      </c>
      <c r="AJ503" s="18" t="n">
        <v>14163</v>
      </c>
      <c r="AK503" s="18" t="n">
        <v>1092</v>
      </c>
      <c r="AL503" s="17" t="n">
        <f aca="false">AG503+AI503+AJ503+AK503</f>
        <v>61324.276</v>
      </c>
      <c r="AM503" s="20" t="n">
        <f aca="false">IF(L503&gt;0,AL503/L503,0)</f>
        <v>0.178868806603567</v>
      </c>
      <c r="AN503" s="16" t="n">
        <f aca="false">L503*INDEX(Parametros!$G$2:$G$9,MATCH($E503,Parametros!$A$2:$A$9,0))</f>
        <v>555408.9</v>
      </c>
      <c r="AO503" s="17" t="n">
        <f aca="false">AN503-AC503-AL503</f>
        <v>151490.404</v>
      </c>
      <c r="AP503" s="15" t="n">
        <f aca="false">IF(AN503&gt;0,AO503/AN503,0)</f>
        <v>0.27275472899336</v>
      </c>
      <c r="AQ503" s="16" t="n">
        <f aca="false">INDEX(Parametros!$I$2:$I$9,MATCH($E503,Parametros!$A$2:$A$9,0))</f>
        <v>28000000</v>
      </c>
      <c r="AR503" s="19" t="n">
        <f aca="false">IF(AQ503&gt;0,AO503/AQ503,0)</f>
        <v>0.00541037157142857</v>
      </c>
    </row>
    <row r="504" customFormat="false" ht="15" hidden="false" customHeight="false" outlineLevel="0" collapsed="false">
      <c r="A504" s="5" t="s">
        <v>639</v>
      </c>
      <c r="B504" s="9" t="n">
        <v>45985</v>
      </c>
      <c r="C504" s="2" t="str">
        <f aca="false">TEXT(B504,"yyyy")</f>
        <v>2025</v>
      </c>
      <c r="D504" s="2" t="n">
        <f aca="false">WEEKNUM(B504,2)</f>
        <v>48</v>
      </c>
      <c r="E504" s="5" t="s">
        <v>142</v>
      </c>
      <c r="F504" s="6" t="str">
        <f aca="false">INDEX(Parametros!$B$2:$B$9,MATCH($E504,Parametros!$A$2:$A$9,0))</f>
        <v>Porciones single serve</v>
      </c>
      <c r="G504" s="10" t="n">
        <v>115.5</v>
      </c>
      <c r="H504" s="10" t="n">
        <v>7.6</v>
      </c>
      <c r="I504" s="11" t="n">
        <f aca="false">SUMIFS(Eventos_Paro!$J$2:$J$2186,Eventos_Paro!$D$2:$D$2186,$E504,Eventos_Paro!$B$2:$B$2186,$B504)</f>
        <v>4.75</v>
      </c>
      <c r="J504" s="12" t="n">
        <f aca="false">G504-H504-I504</f>
        <v>103.15</v>
      </c>
      <c r="K504" s="13" t="n">
        <v>218098</v>
      </c>
      <c r="L504" s="13" t="n">
        <v>192990</v>
      </c>
      <c r="M504" s="13" t="n">
        <v>8641</v>
      </c>
      <c r="N504" s="14" t="n">
        <f aca="false">L504+M504</f>
        <v>201631</v>
      </c>
      <c r="O504" s="11" t="n">
        <f aca="false">INDEX(Parametros!$D$2:$D$9,MATCH($E504,Parametros!$A$2:$A$9,0))</f>
        <v>2600</v>
      </c>
      <c r="P504" s="15" t="n">
        <f aca="false">IF((G504-H504)&gt;0,J504/(G504-H504),0)</f>
        <v>0.955977757182577</v>
      </c>
      <c r="Q504" s="15" t="n">
        <f aca="false">IF(J504*O504&gt;0,N504/(O504*J504),0)</f>
        <v>0.751821469853462</v>
      </c>
      <c r="R504" s="15" t="n">
        <f aca="false">IF(N504&gt;0,L504/N504,0)</f>
        <v>0.957144486710873</v>
      </c>
      <c r="S504" s="15" t="n">
        <f aca="false">P504*Q504*R504</f>
        <v>0.687923290796321</v>
      </c>
      <c r="T504" s="15" t="n">
        <f aca="false">IF(K504&gt;0,L504/K504,0)</f>
        <v>0.884877440416693</v>
      </c>
      <c r="U504" s="10" t="n">
        <v>1824.2</v>
      </c>
      <c r="V504" s="5" t="n">
        <v>15</v>
      </c>
      <c r="W504" s="10" t="n">
        <v>91.7</v>
      </c>
      <c r="X504" s="15" t="n">
        <f aca="false">IF(U504&gt;0,W504/U504,0)</f>
        <v>0.0502686108979279</v>
      </c>
      <c r="Y504" s="12" t="n">
        <f aca="false">IF(U504&gt;0,L504/U504,0)</f>
        <v>105.794320798158</v>
      </c>
      <c r="Z504" s="16" t="n">
        <f aca="false">L504*INDEX(Parametros!$E$2:$E$9,MATCH($E504,Parametros!$A$2:$A$9,0))</f>
        <v>142812.6</v>
      </c>
      <c r="AA504" s="16" t="n">
        <f aca="false">Z504*INDEX(Parametros!$F$2:$F$9,MATCH($E504,Parametros!$A$2:$A$9,0))</f>
        <v>6426.567</v>
      </c>
      <c r="AB504" s="17" t="n">
        <f aca="false">Z504+AA504</f>
        <v>149239.167</v>
      </c>
      <c r="AC504" s="18" t="n">
        <v>149817.3</v>
      </c>
      <c r="AD504" s="17" t="n">
        <f aca="false">AC504-AB504</f>
        <v>578.132999999973</v>
      </c>
      <c r="AE504" s="17" t="n">
        <f aca="false">AA504+AD504</f>
        <v>7004.69999999997</v>
      </c>
      <c r="AF504" s="19" t="n">
        <f aca="false">IF(Z504&gt;0,AE504/Z504,0)</f>
        <v>0.0490481932266479</v>
      </c>
      <c r="AG504" s="16" t="n">
        <f aca="false">(U504-W504)*INDEX(Parametros!$H$2:$H$9,MATCH($E504,Parametros!$A$2:$A$9,0))+W504*INDEX(Parametros!$H$2:$H$9,MATCH($E504,Parametros!$A$2:$A$9,0))*Parametros!$N$3</f>
        <v>56101.5</v>
      </c>
      <c r="AH504" s="13" t="n">
        <v>10103</v>
      </c>
      <c r="AI504" s="16" t="n">
        <f aca="false">AH504*Parametros!$N$2</f>
        <v>929.476</v>
      </c>
      <c r="AJ504" s="18" t="n">
        <v>10707</v>
      </c>
      <c r="AK504" s="18" t="n">
        <v>4284</v>
      </c>
      <c r="AL504" s="17" t="n">
        <f aca="false">AG504+AI504+AJ504+AK504</f>
        <v>72021.976</v>
      </c>
      <c r="AM504" s="20" t="n">
        <f aca="false">IF(L504&gt;0,AL504/L504,0)</f>
        <v>0.373190196383232</v>
      </c>
      <c r="AN504" s="16" t="n">
        <f aca="false">L504*INDEX(Parametros!$G$2:$G$9,MATCH($E504,Parametros!$A$2:$A$9,0))</f>
        <v>331942.8</v>
      </c>
      <c r="AO504" s="17" t="n">
        <f aca="false">AN504-AC504-AL504</f>
        <v>110103.524</v>
      </c>
      <c r="AP504" s="15" t="n">
        <f aca="false">IF(AN504&gt;0,AO504/AN504,0)</f>
        <v>0.331694267807586</v>
      </c>
      <c r="AQ504" s="16" t="n">
        <f aca="false">INDEX(Parametros!$I$2:$I$9,MATCH($E504,Parametros!$A$2:$A$9,0))</f>
        <v>15900000</v>
      </c>
      <c r="AR504" s="19" t="n">
        <f aca="false">IF(AQ504&gt;0,AO504/AQ504,0)</f>
        <v>0.00692474993710692</v>
      </c>
    </row>
    <row r="505" customFormat="false" ht="15" hidden="false" customHeight="false" outlineLevel="0" collapsed="false">
      <c r="A505" s="5" t="s">
        <v>640</v>
      </c>
      <c r="B505" s="9" t="n">
        <v>45985</v>
      </c>
      <c r="C505" s="2" t="str">
        <f aca="false">TEXT(B505,"yyyy")</f>
        <v>2025</v>
      </c>
      <c r="D505" s="2" t="n">
        <f aca="false">WEEKNUM(B505,2)</f>
        <v>48</v>
      </c>
      <c r="E505" s="5" t="s">
        <v>144</v>
      </c>
      <c r="F505" s="6" t="str">
        <f aca="false">INDEX(Parametros!$B$2:$B$9,MATCH($E505,Parametros!$A$2:$A$9,0))</f>
        <v>Salsas picantes</v>
      </c>
      <c r="G505" s="10" t="n">
        <v>84.8</v>
      </c>
      <c r="H505" s="10" t="n">
        <v>7.7</v>
      </c>
      <c r="I505" s="11" t="n">
        <f aca="false">SUMIFS(Eventos_Paro!$J$2:$J$2186,Eventos_Paro!$D$2:$D$2186,$E505,Eventos_Paro!$B$2:$B$2186,$B505)</f>
        <v>1.68333333333333</v>
      </c>
      <c r="J505" s="12" t="n">
        <f aca="false">G505-H505-I505</f>
        <v>75.4166666666667</v>
      </c>
      <c r="K505" s="13" t="n">
        <v>199645</v>
      </c>
      <c r="L505" s="13" t="n">
        <v>211500</v>
      </c>
      <c r="M505" s="13" t="n">
        <v>4960</v>
      </c>
      <c r="N505" s="14" t="n">
        <f aca="false">L505+M505</f>
        <v>216460</v>
      </c>
      <c r="O505" s="11" t="n">
        <f aca="false">INDEX(Parametros!$D$2:$D$9,MATCH($E505,Parametros!$A$2:$A$9,0))</f>
        <v>3100</v>
      </c>
      <c r="P505" s="15" t="n">
        <f aca="false">IF((G505-H505)&gt;0,J505/(G505-H505),0)</f>
        <v>0.978166882836144</v>
      </c>
      <c r="Q505" s="15" t="n">
        <f aca="false">IF(J505*O505&gt;0,N505/(O505*J505),0)</f>
        <v>0.925867046872215</v>
      </c>
      <c r="R505" s="15" t="n">
        <f aca="false">IF(N505&gt;0,L505/N505,0)</f>
        <v>0.977085835720225</v>
      </c>
      <c r="S505" s="15" t="n">
        <f aca="false">P505*Q505*R505</f>
        <v>0.884900213380193</v>
      </c>
      <c r="T505" s="15" t="n">
        <f aca="false">IF(K505&gt;0,L505/K505,0)</f>
        <v>1.05938040021037</v>
      </c>
      <c r="U505" s="10" t="n">
        <v>811.2</v>
      </c>
      <c r="V505" s="5" t="n">
        <v>9</v>
      </c>
      <c r="W505" s="10" t="n">
        <v>48</v>
      </c>
      <c r="X505" s="15" t="n">
        <f aca="false">IF(U505&gt;0,W505/U505,0)</f>
        <v>0.0591715976331361</v>
      </c>
      <c r="Y505" s="12" t="n">
        <f aca="false">IF(U505&gt;0,L505/U505,0)</f>
        <v>260.724852071006</v>
      </c>
      <c r="Z505" s="16" t="n">
        <f aca="false">L505*INDEX(Parametros!$E$2:$E$9,MATCH($E505,Parametros!$A$2:$A$9,0))</f>
        <v>139590</v>
      </c>
      <c r="AA505" s="16" t="n">
        <f aca="false">Z505*INDEX(Parametros!$F$2:$F$9,MATCH($E505,Parametros!$A$2:$A$9,0))</f>
        <v>3629.34</v>
      </c>
      <c r="AB505" s="17" t="n">
        <f aca="false">Z505+AA505</f>
        <v>143219.34</v>
      </c>
      <c r="AC505" s="18" t="n">
        <v>143817.14</v>
      </c>
      <c r="AD505" s="17" t="n">
        <f aca="false">AC505-AB505</f>
        <v>597.800000000018</v>
      </c>
      <c r="AE505" s="17" t="n">
        <f aca="false">AA505+AD505</f>
        <v>4227.14000000002</v>
      </c>
      <c r="AF505" s="19" t="n">
        <f aca="false">IF(Z505&gt;0,AE505/Z505,0)</f>
        <v>0.0302825417293504</v>
      </c>
      <c r="AG505" s="16" t="n">
        <f aca="false">(U505-W505)*INDEX(Parametros!$H$2:$H$9,MATCH($E505,Parametros!$A$2:$A$9,0))+W505*INDEX(Parametros!$H$2:$H$9,MATCH($E505,Parametros!$A$2:$A$9,0))*Parametros!$N$3</f>
        <v>26308.8</v>
      </c>
      <c r="AH505" s="13" t="n">
        <v>10646</v>
      </c>
      <c r="AI505" s="16" t="n">
        <f aca="false">AH505*Parametros!$N$2</f>
        <v>979.432</v>
      </c>
      <c r="AJ505" s="18" t="n">
        <v>5727</v>
      </c>
      <c r="AK505" s="18" t="n">
        <v>1342</v>
      </c>
      <c r="AL505" s="17" t="n">
        <f aca="false">AG505+AI505+AJ505+AK505</f>
        <v>34357.232</v>
      </c>
      <c r="AM505" s="20" t="n">
        <f aca="false">IF(L505&gt;0,AL505/L505,0)</f>
        <v>0.162445541371158</v>
      </c>
      <c r="AN505" s="16" t="n">
        <f aca="false">L505*INDEX(Parametros!$G$2:$G$9,MATCH($E505,Parametros!$A$2:$A$9,0))</f>
        <v>264375</v>
      </c>
      <c r="AO505" s="17" t="n">
        <f aca="false">AN505-AC505-AL505</f>
        <v>86200.628</v>
      </c>
      <c r="AP505" s="15" t="n">
        <f aca="false">IF(AN505&gt;0,AO505/AN505,0)</f>
        <v>0.326054384869976</v>
      </c>
      <c r="AQ505" s="16" t="n">
        <f aca="false">INDEX(Parametros!$I$2:$I$9,MATCH($E505,Parametros!$A$2:$A$9,0))</f>
        <v>13300000</v>
      </c>
      <c r="AR505" s="19" t="n">
        <f aca="false">IF(AQ505&gt;0,AO505/AQ505,0)</f>
        <v>0.00648125022556391</v>
      </c>
    </row>
    <row r="506" customFormat="false" ht="15" hidden="false" customHeight="false" outlineLevel="0" collapsed="false">
      <c r="A506" s="5" t="s">
        <v>641</v>
      </c>
      <c r="B506" s="9" t="n">
        <v>45992</v>
      </c>
      <c r="C506" s="2" t="str">
        <f aca="false">TEXT(B506,"yyyy")</f>
        <v>2025</v>
      </c>
      <c r="D506" s="2" t="n">
        <f aca="false">WEEKNUM(B506,2)</f>
        <v>49</v>
      </c>
      <c r="E506" s="5" t="s">
        <v>130</v>
      </c>
      <c r="F506" s="6" t="str">
        <f aca="false">INDEX(Parametros!$B$2:$B$9,MATCH($E506,Parametros!$A$2:$A$9,0))</f>
        <v>Ketchup botella</v>
      </c>
      <c r="G506" s="10" t="n">
        <v>111.3</v>
      </c>
      <c r="H506" s="10" t="n">
        <v>7.7</v>
      </c>
      <c r="I506" s="11" t="n">
        <f aca="false">SUMIFS(Eventos_Paro!$J$2:$J$2186,Eventos_Paro!$D$2:$D$2186,$E506,Eventos_Paro!$B$2:$B$2186,$B506)</f>
        <v>0</v>
      </c>
      <c r="J506" s="12" t="n">
        <f aca="false">G506-H506-I506</f>
        <v>103.6</v>
      </c>
      <c r="K506" s="13" t="n">
        <v>722479</v>
      </c>
      <c r="L506" s="13" t="n">
        <v>802235</v>
      </c>
      <c r="M506" s="13" t="n">
        <v>29146</v>
      </c>
      <c r="N506" s="14" t="n">
        <f aca="false">L506+M506</f>
        <v>831381</v>
      </c>
      <c r="O506" s="11" t="n">
        <f aca="false">INDEX(Parametros!$D$2:$D$9,MATCH($E506,Parametros!$A$2:$A$9,0))</f>
        <v>9000</v>
      </c>
      <c r="P506" s="15" t="n">
        <f aca="false">IF((G506-H506)&gt;0,J506/(G506-H506),0)</f>
        <v>1</v>
      </c>
      <c r="Q506" s="15" t="n">
        <f aca="false">IF(J506*O506&gt;0,N506/(O506*J506),0)</f>
        <v>0.891657014157014</v>
      </c>
      <c r="R506" s="15" t="n">
        <f aca="false">IF(N506&gt;0,L506/N506,0)</f>
        <v>0.964942667681845</v>
      </c>
      <c r="S506" s="15" t="n">
        <f aca="false">P506*Q506*R506</f>
        <v>0.860397897897898</v>
      </c>
      <c r="T506" s="15" t="n">
        <f aca="false">IF(K506&gt;0,L506/K506,0)</f>
        <v>1.1103921359652</v>
      </c>
      <c r="U506" s="10" t="n">
        <v>1492.3</v>
      </c>
      <c r="V506" s="5" t="n">
        <v>13</v>
      </c>
      <c r="W506" s="10" t="n">
        <v>45.4</v>
      </c>
      <c r="X506" s="15" t="n">
        <f aca="false">IF(U506&gt;0,W506/U506,0)</f>
        <v>0.0304228372311198</v>
      </c>
      <c r="Y506" s="12" t="n">
        <f aca="false">IF(U506&gt;0,L506/U506,0)</f>
        <v>537.582925685184</v>
      </c>
      <c r="Z506" s="16" t="n">
        <f aca="false">L506*INDEX(Parametros!$E$2:$E$9,MATCH($E506,Parametros!$A$2:$A$9,0))</f>
        <v>336938.7</v>
      </c>
      <c r="AA506" s="16" t="n">
        <f aca="false">Z506*INDEX(Parametros!$F$2:$F$9,MATCH($E506,Parametros!$A$2:$A$9,0))</f>
        <v>6738.774</v>
      </c>
      <c r="AB506" s="17" t="n">
        <f aca="false">Z506+AA506</f>
        <v>343677.474</v>
      </c>
      <c r="AC506" s="18" t="n">
        <v>338842.94</v>
      </c>
      <c r="AD506" s="17" t="n">
        <f aca="false">AC506-AB506</f>
        <v>-4834.53399999999</v>
      </c>
      <c r="AE506" s="17" t="n">
        <f aca="false">AA506+AD506</f>
        <v>1904.24000000002</v>
      </c>
      <c r="AF506" s="19" t="n">
        <f aca="false">IF(Z506&gt;0,AE506/Z506,0)</f>
        <v>0.00565159181774019</v>
      </c>
      <c r="AG506" s="16" t="n">
        <f aca="false">(U506-W506)*INDEX(Parametros!$H$2:$H$9,MATCH($E506,Parametros!$A$2:$A$9,0))+W506*INDEX(Parametros!$H$2:$H$9,MATCH($E506,Parametros!$A$2:$A$9,0))*Parametros!$N$3</f>
        <v>47722.5</v>
      </c>
      <c r="AH506" s="13" t="n">
        <v>40165</v>
      </c>
      <c r="AI506" s="16" t="n">
        <f aca="false">AH506*Parametros!$N$2</f>
        <v>3695.18</v>
      </c>
      <c r="AJ506" s="18" t="n">
        <v>15753</v>
      </c>
      <c r="AK506" s="18" t="n">
        <v>0</v>
      </c>
      <c r="AL506" s="17" t="n">
        <f aca="false">AG506+AI506+AJ506+AK506</f>
        <v>67170.68</v>
      </c>
      <c r="AM506" s="20" t="n">
        <f aca="false">IF(L506&gt;0,AL506/L506,0)</f>
        <v>0.0837294309024164</v>
      </c>
      <c r="AN506" s="16" t="n">
        <f aca="false">L506*INDEX(Parametros!$G$2:$G$9,MATCH($E506,Parametros!$A$2:$A$9,0))</f>
        <v>569586.85</v>
      </c>
      <c r="AO506" s="17" t="n">
        <f aca="false">AN506-AC506-AL506</f>
        <v>163573.23</v>
      </c>
      <c r="AP506" s="15" t="n">
        <f aca="false">IF(AN506&gt;0,AO506/AN506,0)</f>
        <v>0.287178733146666</v>
      </c>
      <c r="AQ506" s="16" t="n">
        <f aca="false">INDEX(Parametros!$I$2:$I$9,MATCH($E506,Parametros!$A$2:$A$9,0))</f>
        <v>29300000</v>
      </c>
      <c r="AR506" s="19" t="n">
        <f aca="false">IF(AQ506&gt;0,AO506/AQ506,0)</f>
        <v>0.00558270409556314</v>
      </c>
    </row>
    <row r="507" customFormat="false" ht="15" hidden="false" customHeight="false" outlineLevel="0" collapsed="false">
      <c r="A507" s="5" t="s">
        <v>642</v>
      </c>
      <c r="B507" s="9" t="n">
        <v>45992</v>
      </c>
      <c r="C507" s="2" t="str">
        <f aca="false">TEXT(B507,"yyyy")</f>
        <v>2025</v>
      </c>
      <c r="D507" s="2" t="n">
        <f aca="false">WEEKNUM(B507,2)</f>
        <v>49</v>
      </c>
      <c r="E507" s="5" t="s">
        <v>132</v>
      </c>
      <c r="F507" s="6" t="str">
        <f aca="false">INDEX(Parametros!$B$2:$B$9,MATCH($E507,Parametros!$A$2:$A$9,0))</f>
        <v>Mayonesa frasco</v>
      </c>
      <c r="G507" s="10" t="n">
        <v>123.2</v>
      </c>
      <c r="H507" s="10" t="n">
        <v>5.1</v>
      </c>
      <c r="I507" s="11" t="n">
        <f aca="false">SUMIFS(Eventos_Paro!$J$2:$J$2186,Eventos_Paro!$D$2:$D$2186,$E507,Eventos_Paro!$B$2:$B$2186,$B507)</f>
        <v>5.28333333333333</v>
      </c>
      <c r="J507" s="12" t="n">
        <f aca="false">G507-H507-I507</f>
        <v>112.816666666667</v>
      </c>
      <c r="K507" s="13" t="n">
        <v>594821</v>
      </c>
      <c r="L507" s="13" t="n">
        <v>601758</v>
      </c>
      <c r="M507" s="13" t="n">
        <v>16340</v>
      </c>
      <c r="N507" s="14" t="n">
        <f aca="false">L507+M507</f>
        <v>618098</v>
      </c>
      <c r="O507" s="11" t="n">
        <f aca="false">INDEX(Parametros!$D$2:$D$9,MATCH($E507,Parametros!$A$2:$A$9,0))</f>
        <v>6500</v>
      </c>
      <c r="P507" s="15" t="n">
        <f aca="false">IF((G507-H507)&gt;0,J507/(G507-H507),0)</f>
        <v>0.955263900649167</v>
      </c>
      <c r="Q507" s="15" t="n">
        <f aca="false">IF(J507*O507&gt;0,N507/(O507*J507),0)</f>
        <v>0.842889643965135</v>
      </c>
      <c r="R507" s="15" t="n">
        <f aca="false">IF(N507&gt;0,L507/N507,0)</f>
        <v>0.973564062656731</v>
      </c>
      <c r="S507" s="15" t="n">
        <f aca="false">P507*Q507*R507</f>
        <v>0.783896306910701</v>
      </c>
      <c r="T507" s="15" t="n">
        <f aca="false">IF(K507&gt;0,L507/K507,0)</f>
        <v>1.0116623320293</v>
      </c>
      <c r="U507" s="10" t="n">
        <v>1516.9</v>
      </c>
      <c r="V507" s="5" t="n">
        <v>12</v>
      </c>
      <c r="W507" s="10" t="n">
        <v>38.5</v>
      </c>
      <c r="X507" s="15" t="n">
        <f aca="false">IF(U507&gt;0,W507/U507,0)</f>
        <v>0.0253807106598985</v>
      </c>
      <c r="Y507" s="12" t="n">
        <f aca="false">IF(U507&gt;0,L507/U507,0)</f>
        <v>396.702485331927</v>
      </c>
      <c r="Z507" s="16" t="n">
        <f aca="false">L507*INDEX(Parametros!$E$2:$E$9,MATCH($E507,Parametros!$A$2:$A$9,0))</f>
        <v>367072.38</v>
      </c>
      <c r="AA507" s="16" t="n">
        <f aca="false">Z507*INDEX(Parametros!$F$2:$F$9,MATCH($E507,Parametros!$A$2:$A$9,0))</f>
        <v>9176.8095</v>
      </c>
      <c r="AB507" s="17" t="n">
        <f aca="false">Z507+AA507</f>
        <v>376249.1895</v>
      </c>
      <c r="AC507" s="18" t="n">
        <v>380598.81</v>
      </c>
      <c r="AD507" s="17" t="n">
        <f aca="false">AC507-AB507</f>
        <v>4349.62050000002</v>
      </c>
      <c r="AE507" s="17" t="n">
        <f aca="false">AA507+AD507</f>
        <v>13526.43</v>
      </c>
      <c r="AF507" s="19" t="n">
        <f aca="false">IF(Z507&gt;0,AE507/Z507,0)</f>
        <v>0.0368494900106623</v>
      </c>
      <c r="AG507" s="16" t="n">
        <f aca="false">(U507-W507)*INDEX(Parametros!$H$2:$H$9,MATCH($E507,Parametros!$A$2:$A$9,0))+W507*INDEX(Parametros!$H$2:$H$9,MATCH($E507,Parametros!$A$2:$A$9,0))*Parametros!$N$3</f>
        <v>48388.725</v>
      </c>
      <c r="AH507" s="13" t="n">
        <v>30255</v>
      </c>
      <c r="AI507" s="16" t="n">
        <f aca="false">AH507*Parametros!$N$2</f>
        <v>2783.46</v>
      </c>
      <c r="AJ507" s="18" t="n">
        <v>15060</v>
      </c>
      <c r="AK507" s="18" t="n">
        <v>2342</v>
      </c>
      <c r="AL507" s="17" t="n">
        <f aca="false">AG507+AI507+AJ507+AK507</f>
        <v>68574.185</v>
      </c>
      <c r="AM507" s="20" t="n">
        <f aca="false">IF(L507&gt;0,AL507/L507,0)</f>
        <v>0.113956416034353</v>
      </c>
      <c r="AN507" s="16" t="n">
        <f aca="false">L507*INDEX(Parametros!$G$2:$G$9,MATCH($E507,Parametros!$A$2:$A$9,0))</f>
        <v>577687.68</v>
      </c>
      <c r="AO507" s="17" t="n">
        <f aca="false">AN507-AC507-AL507</f>
        <v>128514.685</v>
      </c>
      <c r="AP507" s="15" t="n">
        <f aca="false">IF(AN507&gt;0,AO507/AN507,0)</f>
        <v>0.222463953186608</v>
      </c>
      <c r="AQ507" s="16" t="n">
        <f aca="false">INDEX(Parametros!$I$2:$I$9,MATCH($E507,Parametros!$A$2:$A$9,0))</f>
        <v>29700000</v>
      </c>
      <c r="AR507" s="19" t="n">
        <f aca="false">IF(AQ507&gt;0,AO507/AQ507,0)</f>
        <v>0.00432709377104377</v>
      </c>
    </row>
    <row r="508" customFormat="false" ht="15" hidden="false" customHeight="false" outlineLevel="0" collapsed="false">
      <c r="A508" s="5" t="s">
        <v>643</v>
      </c>
      <c r="B508" s="9" t="n">
        <v>45992</v>
      </c>
      <c r="C508" s="2" t="str">
        <f aca="false">TEXT(B508,"yyyy")</f>
        <v>2025</v>
      </c>
      <c r="D508" s="2" t="n">
        <f aca="false">WEEKNUM(B508,2)</f>
        <v>49</v>
      </c>
      <c r="E508" s="5" t="s">
        <v>134</v>
      </c>
      <c r="F508" s="6" t="str">
        <f aca="false">INDEX(Parametros!$B$2:$B$9,MATCH($E508,Parametros!$A$2:$A$9,0))</f>
        <v>Aderezos vertibles</v>
      </c>
      <c r="G508" s="10" t="n">
        <v>103.4</v>
      </c>
      <c r="H508" s="10" t="n">
        <v>6.7</v>
      </c>
      <c r="I508" s="11" t="n">
        <f aca="false">SUMIFS(Eventos_Paro!$J$2:$J$2186,Eventos_Paro!$D$2:$D$2186,$E508,Eventos_Paro!$B$2:$B$2186,$B508)</f>
        <v>5.2</v>
      </c>
      <c r="J508" s="12" t="n">
        <f aca="false">G508-H508-I508</f>
        <v>91.5</v>
      </c>
      <c r="K508" s="13" t="n">
        <v>389630</v>
      </c>
      <c r="L508" s="13" t="n">
        <v>415912</v>
      </c>
      <c r="M508" s="13" t="n">
        <v>13606</v>
      </c>
      <c r="N508" s="14" t="n">
        <f aca="false">L508+M508</f>
        <v>429518</v>
      </c>
      <c r="O508" s="11" t="n">
        <f aca="false">INDEX(Parametros!$D$2:$D$9,MATCH($E508,Parametros!$A$2:$A$9,0))</f>
        <v>5200</v>
      </c>
      <c r="P508" s="15" t="n">
        <f aca="false">IF((G508-H508)&gt;0,J508/(G508-H508),0)</f>
        <v>0.946225439503619</v>
      </c>
      <c r="Q508" s="15" t="n">
        <f aca="false">IF(J508*O508&gt;0,N508/(O508*J508),0)</f>
        <v>0.902728036990332</v>
      </c>
      <c r="R508" s="15" t="n">
        <f aca="false">IF(N508&gt;0,L508/N508,0)</f>
        <v>0.968322631414749</v>
      </c>
      <c r="S508" s="15" t="n">
        <f aca="false">P508*Q508*R508</f>
        <v>0.827125924747435</v>
      </c>
      <c r="T508" s="15" t="n">
        <f aca="false">IF(K508&gt;0,L508/K508,0)</f>
        <v>1.06745373816185</v>
      </c>
      <c r="U508" s="10" t="n">
        <v>1365.4</v>
      </c>
      <c r="V508" s="5" t="n">
        <v>12</v>
      </c>
      <c r="W508" s="10" t="n">
        <v>124.6</v>
      </c>
      <c r="X508" s="15" t="n">
        <f aca="false">IF(U508&gt;0,W508/U508,0)</f>
        <v>0.0912553097993262</v>
      </c>
      <c r="Y508" s="12" t="n">
        <f aca="false">IF(U508&gt;0,L508/U508,0)</f>
        <v>304.608173429032</v>
      </c>
      <c r="Z508" s="16" t="n">
        <f aca="false">L508*INDEX(Parametros!$E$2:$E$9,MATCH($E508,Parametros!$A$2:$A$9,0))</f>
        <v>228751.6</v>
      </c>
      <c r="AA508" s="16" t="n">
        <f aca="false">Z508*INDEX(Parametros!$F$2:$F$9,MATCH($E508,Parametros!$A$2:$A$9,0))</f>
        <v>6862.548</v>
      </c>
      <c r="AB508" s="17" t="n">
        <f aca="false">Z508+AA508</f>
        <v>235614.148</v>
      </c>
      <c r="AC508" s="18" t="n">
        <v>247637.48</v>
      </c>
      <c r="AD508" s="17" t="n">
        <f aca="false">AC508-AB508</f>
        <v>12023.332</v>
      </c>
      <c r="AE508" s="17" t="n">
        <f aca="false">AA508+AD508</f>
        <v>18885.88</v>
      </c>
      <c r="AF508" s="19" t="n">
        <f aca="false">IF(Z508&gt;0,AE508/Z508,0)</f>
        <v>0.0825606465703409</v>
      </c>
      <c r="AG508" s="16" t="n">
        <f aca="false">(U508-W508)*INDEX(Parametros!$H$2:$H$9,MATCH($E508,Parametros!$A$2:$A$9,0))+W508*INDEX(Parametros!$H$2:$H$9,MATCH($E508,Parametros!$A$2:$A$9,0))*Parametros!$N$3</f>
        <v>44972.55</v>
      </c>
      <c r="AH508" s="13" t="n">
        <v>21468</v>
      </c>
      <c r="AI508" s="16" t="n">
        <f aca="false">AH508*Parametros!$N$2</f>
        <v>1975.056</v>
      </c>
      <c r="AJ508" s="18" t="n">
        <v>11810</v>
      </c>
      <c r="AK508" s="18" t="n">
        <v>5085</v>
      </c>
      <c r="AL508" s="17" t="n">
        <f aca="false">AG508+AI508+AJ508+AK508</f>
        <v>63842.606</v>
      </c>
      <c r="AM508" s="20" t="n">
        <f aca="false">IF(L508&gt;0,AL508/L508,0)</f>
        <v>0.153500274096443</v>
      </c>
      <c r="AN508" s="16" t="n">
        <f aca="false">L508*INDEX(Parametros!$G$2:$G$9,MATCH($E508,Parametros!$A$2:$A$9,0))</f>
        <v>424230.24</v>
      </c>
      <c r="AO508" s="17" t="n">
        <f aca="false">AN508-AC508-AL508</f>
        <v>112750.154</v>
      </c>
      <c r="AP508" s="15" t="n">
        <f aca="false">IF(AN508&gt;0,AO508/AN508,0)</f>
        <v>0.265775853225362</v>
      </c>
      <c r="AQ508" s="16" t="n">
        <f aca="false">INDEX(Parametros!$I$2:$I$9,MATCH($E508,Parametros!$A$2:$A$9,0))</f>
        <v>19300000</v>
      </c>
      <c r="AR508" s="19" t="n">
        <f aca="false">IF(AQ508&gt;0,AO508/AQ508,0)</f>
        <v>0.00584197689119171</v>
      </c>
    </row>
    <row r="509" customFormat="false" ht="15" hidden="false" customHeight="false" outlineLevel="0" collapsed="false">
      <c r="A509" s="5" t="s">
        <v>644</v>
      </c>
      <c r="B509" s="9" t="n">
        <v>45992</v>
      </c>
      <c r="C509" s="2" t="str">
        <f aca="false">TEXT(B509,"yyyy")</f>
        <v>2025</v>
      </c>
      <c r="D509" s="2" t="n">
        <f aca="false">WEEKNUM(B509,2)</f>
        <v>49</v>
      </c>
      <c r="E509" s="5" t="s">
        <v>136</v>
      </c>
      <c r="F509" s="6" t="str">
        <f aca="false">INDEX(Parametros!$B$2:$B$9,MATCH($E509,Parametros!$A$2:$A$9,0))</f>
        <v>Salsa BBQ</v>
      </c>
      <c r="G509" s="10" t="n">
        <v>80.5</v>
      </c>
      <c r="H509" s="10" t="n">
        <v>6.9</v>
      </c>
      <c r="I509" s="11" t="n">
        <f aca="false">SUMIFS(Eventos_Paro!$J$2:$J$2186,Eventos_Paro!$D$2:$D$2186,$E509,Eventos_Paro!$B$2:$B$2186,$B509)</f>
        <v>2.5</v>
      </c>
      <c r="J509" s="12" t="n">
        <f aca="false">G509-H509-I509</f>
        <v>71.1</v>
      </c>
      <c r="K509" s="13" t="n">
        <v>242656</v>
      </c>
      <c r="L509" s="13" t="n">
        <v>283403</v>
      </c>
      <c r="M509" s="13" t="n">
        <v>12245</v>
      </c>
      <c r="N509" s="14" t="n">
        <f aca="false">L509+M509</f>
        <v>295648</v>
      </c>
      <c r="O509" s="11" t="n">
        <f aca="false">INDEX(Parametros!$D$2:$D$9,MATCH($E509,Parametros!$A$2:$A$9,0))</f>
        <v>4800</v>
      </c>
      <c r="P509" s="15" t="n">
        <f aca="false">IF((G509-H509)&gt;0,J509/(G509-H509),0)</f>
        <v>0.966032608695652</v>
      </c>
      <c r="Q509" s="15" t="n">
        <f aca="false">IF(J509*O509&gt;0,N509/(O509*J509),0)</f>
        <v>0.86629160806376</v>
      </c>
      <c r="R509" s="15" t="n">
        <f aca="false">IF(N509&gt;0,L509/N509,0)</f>
        <v>0.958582503517697</v>
      </c>
      <c r="S509" s="15" t="n">
        <f aca="false">P509*Q509*R509</f>
        <v>0.802205049818841</v>
      </c>
      <c r="T509" s="15" t="n">
        <f aca="false">IF(K509&gt;0,L509/K509,0)</f>
        <v>1.1679208426744</v>
      </c>
      <c r="U509" s="10" t="n">
        <v>954</v>
      </c>
      <c r="V509" s="5" t="n">
        <v>11</v>
      </c>
      <c r="W509" s="10" t="n">
        <v>68.5</v>
      </c>
      <c r="X509" s="15" t="n">
        <f aca="false">IF(U509&gt;0,W509/U509,0)</f>
        <v>0.0718029350104822</v>
      </c>
      <c r="Y509" s="12" t="n">
        <f aca="false">IF(U509&gt;0,L509/U509,0)</f>
        <v>297.068134171908</v>
      </c>
      <c r="Z509" s="16" t="n">
        <f aca="false">L509*INDEX(Parametros!$E$2:$E$9,MATCH($E509,Parametros!$A$2:$A$9,0))</f>
        <v>164373.74</v>
      </c>
      <c r="AA509" s="16" t="n">
        <f aca="false">Z509*INDEX(Parametros!$F$2:$F$9,MATCH($E509,Parametros!$A$2:$A$9,0))</f>
        <v>4602.46472</v>
      </c>
      <c r="AB509" s="17" t="n">
        <f aca="false">Z509+AA509</f>
        <v>168976.20472</v>
      </c>
      <c r="AC509" s="18" t="n">
        <v>171201.18</v>
      </c>
      <c r="AD509" s="17" t="n">
        <f aca="false">AC509-AB509</f>
        <v>2224.97528000001</v>
      </c>
      <c r="AE509" s="17" t="n">
        <f aca="false">AA509+AD509</f>
        <v>6827.44000000001</v>
      </c>
      <c r="AF509" s="19" t="n">
        <f aca="false">IF(Z509&gt;0,AE509/Z509,0)</f>
        <v>0.0415360750445905</v>
      </c>
      <c r="AG509" s="16" t="n">
        <f aca="false">(U509-W509)*INDEX(Parametros!$H$2:$H$9,MATCH($E509,Parametros!$A$2:$A$9,0))+W509*INDEX(Parametros!$H$2:$H$9,MATCH($E509,Parametros!$A$2:$A$9,0))*Parametros!$N$3</f>
        <v>31129.875</v>
      </c>
      <c r="AH509" s="13" t="n">
        <v>14493</v>
      </c>
      <c r="AI509" s="16" t="n">
        <f aca="false">AH509*Parametros!$N$2</f>
        <v>1333.356</v>
      </c>
      <c r="AJ509" s="18" t="n">
        <v>8844</v>
      </c>
      <c r="AK509" s="18" t="n">
        <v>2480</v>
      </c>
      <c r="AL509" s="17" t="n">
        <f aca="false">AG509+AI509+AJ509+AK509</f>
        <v>43787.231</v>
      </c>
      <c r="AM509" s="20" t="n">
        <f aca="false">IF(L509&gt;0,AL509/L509,0)</f>
        <v>0.154505178138552</v>
      </c>
      <c r="AN509" s="16" t="n">
        <f aca="false">L509*INDEX(Parametros!$G$2:$G$9,MATCH($E509,Parametros!$A$2:$A$9,0))</f>
        <v>277734.94</v>
      </c>
      <c r="AO509" s="17" t="n">
        <f aca="false">AN509-AC509-AL509</f>
        <v>62746.529</v>
      </c>
      <c r="AP509" s="15" t="n">
        <f aca="false">IF(AN509&gt;0,AO509/AN509,0)</f>
        <v>0.225922345240394</v>
      </c>
      <c r="AQ509" s="16" t="n">
        <f aca="false">INDEX(Parametros!$I$2:$I$9,MATCH($E509,Parametros!$A$2:$A$9,0))</f>
        <v>17000000</v>
      </c>
      <c r="AR509" s="19" t="n">
        <f aca="false">IF(AQ509&gt;0,AO509/AQ509,0)</f>
        <v>0.00369097229411765</v>
      </c>
    </row>
    <row r="510" customFormat="false" ht="15" hidden="false" customHeight="false" outlineLevel="0" collapsed="false">
      <c r="A510" s="5" t="s">
        <v>645</v>
      </c>
      <c r="B510" s="9" t="n">
        <v>45992</v>
      </c>
      <c r="C510" s="2" t="str">
        <f aca="false">TEXT(B510,"yyyy")</f>
        <v>2025</v>
      </c>
      <c r="D510" s="2" t="n">
        <f aca="false">WEEKNUM(B510,2)</f>
        <v>49</v>
      </c>
      <c r="E510" s="5" t="s">
        <v>138</v>
      </c>
      <c r="F510" s="6" t="str">
        <f aca="false">INDEX(Parametros!$B$2:$B$9,MATCH($E510,Parametros!$A$2:$A$9,0))</f>
        <v>Queso crema</v>
      </c>
      <c r="G510" s="10" t="n">
        <v>105.8</v>
      </c>
      <c r="H510" s="10" t="n">
        <v>7.4</v>
      </c>
      <c r="I510" s="11" t="n">
        <f aca="false">SUMIFS(Eventos_Paro!$J$2:$J$2186,Eventos_Paro!$D$2:$D$2186,$E510,Eventos_Paro!$B$2:$B$2186,$B510)</f>
        <v>4.1</v>
      </c>
      <c r="J510" s="12" t="n">
        <f aca="false">G510-H510-I510</f>
        <v>94.3</v>
      </c>
      <c r="K510" s="13" t="n">
        <v>289735</v>
      </c>
      <c r="L510" s="13" t="n">
        <v>281954</v>
      </c>
      <c r="M510" s="13" t="n">
        <v>10481</v>
      </c>
      <c r="N510" s="14" t="n">
        <f aca="false">L510+M510</f>
        <v>292435</v>
      </c>
      <c r="O510" s="11" t="n">
        <f aca="false">INDEX(Parametros!$D$2:$D$9,MATCH($E510,Parametros!$A$2:$A$9,0))</f>
        <v>3800</v>
      </c>
      <c r="P510" s="15" t="n">
        <f aca="false">IF((G510-H510)&gt;0,J510/(G510-H510),0)</f>
        <v>0.958333333333333</v>
      </c>
      <c r="Q510" s="15" t="n">
        <f aca="false">IF(J510*O510&gt;0,N510/(O510*J510),0)</f>
        <v>0.81608249148853</v>
      </c>
      <c r="R510" s="15" t="n">
        <f aca="false">IF(N510&gt;0,L510/N510,0)</f>
        <v>0.964159556824594</v>
      </c>
      <c r="S510" s="15" t="n">
        <f aca="false">P510*Q510*R510</f>
        <v>0.754048994437313</v>
      </c>
      <c r="T510" s="15" t="n">
        <f aca="false">IF(K510&gt;0,L510/K510,0)</f>
        <v>0.973144425078089</v>
      </c>
      <c r="U510" s="10" t="n">
        <v>1686.9</v>
      </c>
      <c r="V510" s="5" t="n">
        <v>15</v>
      </c>
      <c r="W510" s="10" t="n">
        <v>99.9</v>
      </c>
      <c r="X510" s="15" t="n">
        <f aca="false">IF(U510&gt;0,W510/U510,0)</f>
        <v>0.0592210563756002</v>
      </c>
      <c r="Y510" s="12" t="n">
        <f aca="false">IF(U510&gt;0,L510/U510,0)</f>
        <v>167.143280573834</v>
      </c>
      <c r="Z510" s="16" t="n">
        <f aca="false">L510*INDEX(Parametros!$E$2:$E$9,MATCH($E510,Parametros!$A$2:$A$9,0))</f>
        <v>315788.48</v>
      </c>
      <c r="AA510" s="16" t="n">
        <f aca="false">Z510*INDEX(Parametros!$F$2:$F$9,MATCH($E510,Parametros!$A$2:$A$9,0))</f>
        <v>11052.5968</v>
      </c>
      <c r="AB510" s="17" t="n">
        <f aca="false">Z510+AA510</f>
        <v>326841.0768</v>
      </c>
      <c r="AC510" s="18" t="n">
        <v>328691.13</v>
      </c>
      <c r="AD510" s="17" t="n">
        <f aca="false">AC510-AB510</f>
        <v>1850.05319999997</v>
      </c>
      <c r="AE510" s="17" t="n">
        <f aca="false">AA510+AD510</f>
        <v>12902.65</v>
      </c>
      <c r="AF510" s="19" t="n">
        <f aca="false">IF(Z510&gt;0,AE510/Z510,0)</f>
        <v>0.0408585202348102</v>
      </c>
      <c r="AG510" s="16" t="n">
        <f aca="false">(U510-W510)*INDEX(Parametros!$H$2:$H$9,MATCH($E510,Parametros!$A$2:$A$9,0))+W510*INDEX(Parametros!$H$2:$H$9,MATCH($E510,Parametros!$A$2:$A$9,0))*Parametros!$N$3</f>
        <v>57316.05</v>
      </c>
      <c r="AH510" s="13" t="n">
        <v>16357</v>
      </c>
      <c r="AI510" s="16" t="n">
        <f aca="false">AH510*Parametros!$N$2</f>
        <v>1504.844</v>
      </c>
      <c r="AJ510" s="18" t="n">
        <v>16104</v>
      </c>
      <c r="AK510" s="18" t="n">
        <v>1554</v>
      </c>
      <c r="AL510" s="17" t="n">
        <f aca="false">AG510+AI510+AJ510+AK510</f>
        <v>76478.894</v>
      </c>
      <c r="AM510" s="20" t="n">
        <f aca="false">IF(L510&gt;0,AL510/L510,0)</f>
        <v>0.271245997574072</v>
      </c>
      <c r="AN510" s="16" t="n">
        <f aca="false">L510*INDEX(Parametros!$G$2:$G$9,MATCH($E510,Parametros!$A$2:$A$9,0))</f>
        <v>504697.66</v>
      </c>
      <c r="AO510" s="17" t="n">
        <f aca="false">AN510-AC510-AL510</f>
        <v>99527.636</v>
      </c>
      <c r="AP510" s="15" t="n">
        <f aca="false">IF(AN510&gt;0,AO510/AN510,0)</f>
        <v>0.197202491487676</v>
      </c>
      <c r="AQ510" s="16" t="n">
        <f aca="false">INDEX(Parametros!$I$2:$I$9,MATCH($E510,Parametros!$A$2:$A$9,0))</f>
        <v>33200000</v>
      </c>
      <c r="AR510" s="19" t="n">
        <f aca="false">IF(AQ510&gt;0,AO510/AQ510,0)</f>
        <v>0.00299782036144578</v>
      </c>
    </row>
    <row r="511" customFormat="false" ht="15" hidden="false" customHeight="false" outlineLevel="0" collapsed="false">
      <c r="A511" s="5" t="s">
        <v>646</v>
      </c>
      <c r="B511" s="9" t="n">
        <v>45992</v>
      </c>
      <c r="C511" s="2" t="str">
        <f aca="false">TEXT(B511,"yyyy")</f>
        <v>2025</v>
      </c>
      <c r="D511" s="2" t="n">
        <f aca="false">WEEKNUM(B511,2)</f>
        <v>49</v>
      </c>
      <c r="E511" s="5" t="s">
        <v>140</v>
      </c>
      <c r="F511" s="6" t="str">
        <f aca="false">INDEX(Parametros!$B$2:$B$9,MATCH($E511,Parametros!$A$2:$A$9,0))</f>
        <v>Crema de cacahuate</v>
      </c>
      <c r="G511" s="10" t="n">
        <v>102.9</v>
      </c>
      <c r="H511" s="10" t="n">
        <v>8.1</v>
      </c>
      <c r="I511" s="11" t="n">
        <f aca="false">SUMIFS(Eventos_Paro!$J$2:$J$2186,Eventos_Paro!$D$2:$D$2186,$E511,Eventos_Paro!$B$2:$B$2186,$B511)</f>
        <v>2.28333333333333</v>
      </c>
      <c r="J511" s="12" t="n">
        <f aca="false">G511-H511-I511</f>
        <v>92.5166666666667</v>
      </c>
      <c r="K511" s="13" t="n">
        <v>308518</v>
      </c>
      <c r="L511" s="13" t="n">
        <v>322442</v>
      </c>
      <c r="M511" s="13" t="n">
        <v>8052</v>
      </c>
      <c r="N511" s="14" t="n">
        <f aca="false">L511+M511</f>
        <v>330494</v>
      </c>
      <c r="O511" s="11" t="n">
        <f aca="false">INDEX(Parametros!$D$2:$D$9,MATCH($E511,Parametros!$A$2:$A$9,0))</f>
        <v>4200</v>
      </c>
      <c r="P511" s="15" t="n">
        <f aca="false">IF((G511-H511)&gt;0,J511/(G511-H511),0)</f>
        <v>0.975914205344585</v>
      </c>
      <c r="Q511" s="15" t="n">
        <f aca="false">IF(J511*O511&gt;0,N511/(O511*J511),0)</f>
        <v>0.850539156393957</v>
      </c>
      <c r="R511" s="15" t="n">
        <f aca="false">IF(N511&gt;0,L511/N511,0)</f>
        <v>0.97563647146393</v>
      </c>
      <c r="S511" s="15" t="n">
        <f aca="false">P511*Q511*R511</f>
        <v>0.809830219007434</v>
      </c>
      <c r="T511" s="15" t="n">
        <f aca="false">IF(K511&gt;0,L511/K511,0)</f>
        <v>1.045131888577</v>
      </c>
      <c r="U511" s="10" t="n">
        <v>1354</v>
      </c>
      <c r="V511" s="5" t="n">
        <v>12</v>
      </c>
      <c r="W511" s="10" t="n">
        <v>119.2</v>
      </c>
      <c r="X511" s="15" t="n">
        <f aca="false">IF(U511&gt;0,W511/U511,0)</f>
        <v>0.0880354505169867</v>
      </c>
      <c r="Y511" s="12" t="n">
        <f aca="false">IF(U511&gt;0,L511/U511,0)</f>
        <v>238.140324963072</v>
      </c>
      <c r="Z511" s="16" t="n">
        <f aca="false">L511*INDEX(Parametros!$E$2:$E$9,MATCH($E511,Parametros!$A$2:$A$9,0))</f>
        <v>312768.74</v>
      </c>
      <c r="AA511" s="16" t="n">
        <f aca="false">Z511*INDEX(Parametros!$F$2:$F$9,MATCH($E511,Parametros!$A$2:$A$9,0))</f>
        <v>6880.91228</v>
      </c>
      <c r="AB511" s="17" t="n">
        <f aca="false">Z511+AA511</f>
        <v>319649.65228</v>
      </c>
      <c r="AC511" s="18" t="n">
        <v>323191.94</v>
      </c>
      <c r="AD511" s="17" t="n">
        <f aca="false">AC511-AB511</f>
        <v>3542.28772000002</v>
      </c>
      <c r="AE511" s="17" t="n">
        <f aca="false">AA511+AD511</f>
        <v>10423.2</v>
      </c>
      <c r="AF511" s="19" t="n">
        <f aca="false">IF(Z511&gt;0,AE511/Z511,0)</f>
        <v>0.0333255810667013</v>
      </c>
      <c r="AG511" s="16" t="n">
        <f aca="false">(U511-W511)*INDEX(Parametros!$H$2:$H$9,MATCH($E511,Parametros!$A$2:$A$9,0))+W511*INDEX(Parametros!$H$2:$H$9,MATCH($E511,Parametros!$A$2:$A$9,0))*Parametros!$N$3</f>
        <v>44528.4</v>
      </c>
      <c r="AH511" s="13" t="n">
        <v>16493</v>
      </c>
      <c r="AI511" s="16" t="n">
        <f aca="false">AH511*Parametros!$N$2</f>
        <v>1517.356</v>
      </c>
      <c r="AJ511" s="18" t="n">
        <v>13436</v>
      </c>
      <c r="AK511" s="18" t="n">
        <v>1783</v>
      </c>
      <c r="AL511" s="17" t="n">
        <f aca="false">AG511+AI511+AJ511+AK511</f>
        <v>61264.756</v>
      </c>
      <c r="AM511" s="20" t="n">
        <f aca="false">IF(L511&gt;0,AL511/L511,0)</f>
        <v>0.190002406634371</v>
      </c>
      <c r="AN511" s="16" t="n">
        <f aca="false">L511*INDEX(Parametros!$G$2:$G$9,MATCH($E511,Parametros!$A$2:$A$9,0))</f>
        <v>522356.04</v>
      </c>
      <c r="AO511" s="17" t="n">
        <f aca="false">AN511-AC511-AL511</f>
        <v>137899.344</v>
      </c>
      <c r="AP511" s="15" t="n">
        <f aca="false">IF(AN511&gt;0,AO511/AN511,0)</f>
        <v>0.263994925759832</v>
      </c>
      <c r="AQ511" s="16" t="n">
        <f aca="false">INDEX(Parametros!$I$2:$I$9,MATCH($E511,Parametros!$A$2:$A$9,0))</f>
        <v>28000000</v>
      </c>
      <c r="AR511" s="19" t="n">
        <f aca="false">IF(AQ511&gt;0,AO511/AQ511,0)</f>
        <v>0.00492497657142857</v>
      </c>
    </row>
    <row r="512" customFormat="false" ht="15" hidden="false" customHeight="false" outlineLevel="0" collapsed="false">
      <c r="A512" s="5" t="s">
        <v>647</v>
      </c>
      <c r="B512" s="9" t="n">
        <v>45992</v>
      </c>
      <c r="C512" s="2" t="str">
        <f aca="false">TEXT(B512,"yyyy")</f>
        <v>2025</v>
      </c>
      <c r="D512" s="2" t="n">
        <f aca="false">WEEKNUM(B512,2)</f>
        <v>49</v>
      </c>
      <c r="E512" s="5" t="s">
        <v>142</v>
      </c>
      <c r="F512" s="6" t="str">
        <f aca="false">INDEX(Parametros!$B$2:$B$9,MATCH($E512,Parametros!$A$2:$A$9,0))</f>
        <v>Porciones single serve</v>
      </c>
      <c r="G512" s="10" t="n">
        <v>92.5</v>
      </c>
      <c r="H512" s="10" t="n">
        <v>6.2</v>
      </c>
      <c r="I512" s="11" t="n">
        <f aca="false">SUMIFS(Eventos_Paro!$J$2:$J$2186,Eventos_Paro!$D$2:$D$2186,$E512,Eventos_Paro!$B$2:$B$2186,$B512)</f>
        <v>0.866666666666667</v>
      </c>
      <c r="J512" s="12" t="n">
        <f aca="false">G512-H512-I512</f>
        <v>85.4333333333333</v>
      </c>
      <c r="K512" s="13" t="n">
        <v>173863</v>
      </c>
      <c r="L512" s="13" t="n">
        <v>168193</v>
      </c>
      <c r="M512" s="13" t="n">
        <v>9432</v>
      </c>
      <c r="N512" s="14" t="n">
        <f aca="false">L512+M512</f>
        <v>177625</v>
      </c>
      <c r="O512" s="11" t="n">
        <f aca="false">INDEX(Parametros!$D$2:$D$9,MATCH($E512,Parametros!$A$2:$A$9,0))</f>
        <v>2600</v>
      </c>
      <c r="P512" s="15" t="n">
        <f aca="false">IF((G512-H512)&gt;0,J512/(G512-H512),0)</f>
        <v>0.989957512553109</v>
      </c>
      <c r="Q512" s="15" t="n">
        <f aca="false">IF(J512*O512&gt;0,N512/(O512*J512),0)</f>
        <v>0.79965635223146</v>
      </c>
      <c r="R512" s="15" t="n">
        <f aca="false">IF(N512&gt;0,L512/N512,0)</f>
        <v>0.946899366643209</v>
      </c>
      <c r="S512" s="15" t="n">
        <f aca="false">P512*Q512*R512</f>
        <v>0.749589981281754</v>
      </c>
      <c r="T512" s="15" t="n">
        <f aca="false">IF(K512&gt;0,L512/K512,0)</f>
        <v>0.967388115930359</v>
      </c>
      <c r="U512" s="10" t="n">
        <v>1573.8</v>
      </c>
      <c r="V512" s="5" t="n">
        <v>16</v>
      </c>
      <c r="W512" s="10" t="n">
        <v>93.8</v>
      </c>
      <c r="X512" s="15" t="n">
        <f aca="false">IF(U512&gt;0,W512/U512,0)</f>
        <v>0.0596009658152243</v>
      </c>
      <c r="Y512" s="12" t="n">
        <f aca="false">IF(U512&gt;0,L512/U512,0)</f>
        <v>106.870631592324</v>
      </c>
      <c r="Z512" s="16" t="n">
        <f aca="false">L512*INDEX(Parametros!$E$2:$E$9,MATCH($E512,Parametros!$A$2:$A$9,0))</f>
        <v>124462.82</v>
      </c>
      <c r="AA512" s="16" t="n">
        <f aca="false">Z512*INDEX(Parametros!$F$2:$F$9,MATCH($E512,Parametros!$A$2:$A$9,0))</f>
        <v>5600.8269</v>
      </c>
      <c r="AB512" s="17" t="n">
        <f aca="false">Z512+AA512</f>
        <v>130063.6469</v>
      </c>
      <c r="AC512" s="18" t="n">
        <v>131519.67</v>
      </c>
      <c r="AD512" s="17" t="n">
        <f aca="false">AC512-AB512</f>
        <v>1456.02310000002</v>
      </c>
      <c r="AE512" s="17" t="n">
        <f aca="false">AA512+AD512</f>
        <v>7056.85000000002</v>
      </c>
      <c r="AF512" s="19" t="n">
        <f aca="false">IF(Z512&gt;0,AE512/Z512,0)</f>
        <v>0.056698458222303</v>
      </c>
      <c r="AG512" s="16" t="n">
        <f aca="false">(U512-W512)*INDEX(Parametros!$H$2:$H$9,MATCH($E512,Parametros!$A$2:$A$9,0))+W512*INDEX(Parametros!$H$2:$H$9,MATCH($E512,Parametros!$A$2:$A$9,0))*Parametros!$N$3</f>
        <v>48621</v>
      </c>
      <c r="AH512" s="13" t="n">
        <v>8926</v>
      </c>
      <c r="AI512" s="16" t="n">
        <f aca="false">AH512*Parametros!$N$2</f>
        <v>821.192</v>
      </c>
      <c r="AJ512" s="18" t="n">
        <v>11860</v>
      </c>
      <c r="AK512" s="18" t="n">
        <v>635</v>
      </c>
      <c r="AL512" s="17" t="n">
        <f aca="false">AG512+AI512+AJ512+AK512</f>
        <v>61937.192</v>
      </c>
      <c r="AM512" s="20" t="n">
        <f aca="false">IF(L512&gt;0,AL512/L512,0)</f>
        <v>0.36825071197969</v>
      </c>
      <c r="AN512" s="16" t="n">
        <f aca="false">L512*INDEX(Parametros!$G$2:$G$9,MATCH($E512,Parametros!$A$2:$A$9,0))</f>
        <v>289291.96</v>
      </c>
      <c r="AO512" s="17" t="n">
        <f aca="false">AN512-AC512-AL512</f>
        <v>95835.098</v>
      </c>
      <c r="AP512" s="15" t="n">
        <f aca="false">IF(AN512&gt;0,AO512/AN512,0)</f>
        <v>0.331274667985934</v>
      </c>
      <c r="AQ512" s="16" t="n">
        <f aca="false">INDEX(Parametros!$I$2:$I$9,MATCH($E512,Parametros!$A$2:$A$9,0))</f>
        <v>15900000</v>
      </c>
      <c r="AR512" s="19" t="n">
        <f aca="false">IF(AQ512&gt;0,AO512/AQ512,0)</f>
        <v>0.00602736465408805</v>
      </c>
    </row>
    <row r="513" customFormat="false" ht="15" hidden="false" customHeight="false" outlineLevel="0" collapsed="false">
      <c r="A513" s="5" t="s">
        <v>648</v>
      </c>
      <c r="B513" s="9" t="n">
        <v>45992</v>
      </c>
      <c r="C513" s="2" t="str">
        <f aca="false">TEXT(B513,"yyyy")</f>
        <v>2025</v>
      </c>
      <c r="D513" s="2" t="n">
        <f aca="false">WEEKNUM(B513,2)</f>
        <v>49</v>
      </c>
      <c r="E513" s="5" t="s">
        <v>144</v>
      </c>
      <c r="F513" s="6" t="str">
        <f aca="false">INDEX(Parametros!$B$2:$B$9,MATCH($E513,Parametros!$A$2:$A$9,0))</f>
        <v>Salsas picantes</v>
      </c>
      <c r="G513" s="10" t="n">
        <v>77.5</v>
      </c>
      <c r="H513" s="10" t="n">
        <v>8</v>
      </c>
      <c r="I513" s="11" t="n">
        <f aca="false">SUMIFS(Eventos_Paro!$J$2:$J$2186,Eventos_Paro!$D$2:$D$2186,$E513,Eventos_Paro!$B$2:$B$2186,$B513)</f>
        <v>2.45</v>
      </c>
      <c r="J513" s="12" t="n">
        <f aca="false">G513-H513-I513</f>
        <v>67.05</v>
      </c>
      <c r="K513" s="13" t="n">
        <v>180753</v>
      </c>
      <c r="L513" s="13" t="n">
        <v>171904</v>
      </c>
      <c r="M513" s="13" t="n">
        <v>4517</v>
      </c>
      <c r="N513" s="14" t="n">
        <f aca="false">L513+M513</f>
        <v>176421</v>
      </c>
      <c r="O513" s="11" t="n">
        <f aca="false">INDEX(Parametros!$D$2:$D$9,MATCH($E513,Parametros!$A$2:$A$9,0))</f>
        <v>3100</v>
      </c>
      <c r="P513" s="15" t="n">
        <f aca="false">IF((G513-H513)&gt;0,J513/(G513-H513),0)</f>
        <v>0.964748201438849</v>
      </c>
      <c r="Q513" s="15" t="n">
        <f aca="false">IF(J513*O513&gt;0,N513/(O513*J513),0)</f>
        <v>0.848769574944072</v>
      </c>
      <c r="R513" s="15" t="n">
        <f aca="false">IF(N513&gt;0,L513/N513,0)</f>
        <v>0.97439647207532</v>
      </c>
      <c r="S513" s="15" t="n">
        <f aca="false">P513*Q513*R513</f>
        <v>0.797883499651891</v>
      </c>
      <c r="T513" s="15" t="n">
        <f aca="false">IF(K513&gt;0,L513/K513,0)</f>
        <v>0.95104368945467</v>
      </c>
      <c r="U513" s="10" t="n">
        <v>902.6</v>
      </c>
      <c r="V513" s="5" t="n">
        <v>11</v>
      </c>
      <c r="W513" s="10" t="n">
        <v>50.1</v>
      </c>
      <c r="X513" s="15" t="n">
        <f aca="false">IF(U513&gt;0,W513/U513,0)</f>
        <v>0.0555063150897408</v>
      </c>
      <c r="Y513" s="12" t="n">
        <f aca="false">IF(U513&gt;0,L513/U513,0)</f>
        <v>190.454243297142</v>
      </c>
      <c r="Z513" s="16" t="n">
        <f aca="false">L513*INDEX(Parametros!$E$2:$E$9,MATCH($E513,Parametros!$A$2:$A$9,0))</f>
        <v>113456.64</v>
      </c>
      <c r="AA513" s="16" t="n">
        <f aca="false">Z513*INDEX(Parametros!$F$2:$F$9,MATCH($E513,Parametros!$A$2:$A$9,0))</f>
        <v>2949.87264</v>
      </c>
      <c r="AB513" s="17" t="n">
        <f aca="false">Z513+AA513</f>
        <v>116406.51264</v>
      </c>
      <c r="AC513" s="18" t="n">
        <v>115528.26</v>
      </c>
      <c r="AD513" s="17" t="n">
        <f aca="false">AC513-AB513</f>
        <v>-878.252640000006</v>
      </c>
      <c r="AE513" s="17" t="n">
        <f aca="false">AA513+AD513</f>
        <v>2071.61999999999</v>
      </c>
      <c r="AF513" s="19" t="n">
        <f aca="false">IF(Z513&gt;0,AE513/Z513,0)</f>
        <v>0.0182591340621403</v>
      </c>
      <c r="AG513" s="16" t="n">
        <f aca="false">(U513-W513)*INDEX(Parametros!$H$2:$H$9,MATCH($E513,Parametros!$A$2:$A$9,0))+W513*INDEX(Parametros!$H$2:$H$9,MATCH($E513,Parametros!$A$2:$A$9,0))*Parametros!$N$3</f>
        <v>29220.975</v>
      </c>
      <c r="AH513" s="13" t="n">
        <v>8983</v>
      </c>
      <c r="AI513" s="16" t="n">
        <f aca="false">AH513*Parametros!$N$2</f>
        <v>826.436</v>
      </c>
      <c r="AJ513" s="18" t="n">
        <v>7258</v>
      </c>
      <c r="AK513" s="18" t="n">
        <v>1952</v>
      </c>
      <c r="AL513" s="17" t="n">
        <f aca="false">AG513+AI513+AJ513+AK513</f>
        <v>39257.411</v>
      </c>
      <c r="AM513" s="20" t="n">
        <f aca="false">IF(L513&gt;0,AL513/L513,0)</f>
        <v>0.228368222961653</v>
      </c>
      <c r="AN513" s="16" t="n">
        <f aca="false">L513*INDEX(Parametros!$G$2:$G$9,MATCH($E513,Parametros!$A$2:$A$9,0))</f>
        <v>214880</v>
      </c>
      <c r="AO513" s="17" t="n">
        <f aca="false">AN513-AC513-AL513</f>
        <v>60094.329</v>
      </c>
      <c r="AP513" s="15" t="n">
        <f aca="false">IF(AN513&gt;0,AO513/AN513,0)</f>
        <v>0.279664598845868</v>
      </c>
      <c r="AQ513" s="16" t="n">
        <f aca="false">INDEX(Parametros!$I$2:$I$9,MATCH($E513,Parametros!$A$2:$A$9,0))</f>
        <v>13300000</v>
      </c>
      <c r="AR513" s="19" t="n">
        <f aca="false">IF(AQ513&gt;0,AO513/AQ513,0)</f>
        <v>0.00451837060150376</v>
      </c>
    </row>
    <row r="514" customFormat="false" ht="15" hidden="false" customHeight="false" outlineLevel="0" collapsed="false">
      <c r="A514" s="5" t="s">
        <v>649</v>
      </c>
      <c r="B514" s="9" t="n">
        <v>45999</v>
      </c>
      <c r="C514" s="2" t="str">
        <f aca="false">TEXT(B514,"yyyy")</f>
        <v>2025</v>
      </c>
      <c r="D514" s="2" t="n">
        <f aca="false">WEEKNUM(B514,2)</f>
        <v>50</v>
      </c>
      <c r="E514" s="5" t="s">
        <v>130</v>
      </c>
      <c r="F514" s="6" t="str">
        <f aca="false">INDEX(Parametros!$B$2:$B$9,MATCH($E514,Parametros!$A$2:$A$9,0))</f>
        <v>Ketchup botella</v>
      </c>
      <c r="G514" s="10" t="n">
        <v>115.5</v>
      </c>
      <c r="H514" s="10" t="n">
        <v>8.6</v>
      </c>
      <c r="I514" s="11" t="n">
        <f aca="false">SUMIFS(Eventos_Paro!$J$2:$J$2186,Eventos_Paro!$D$2:$D$2186,$E514,Eventos_Paro!$B$2:$B$2186,$B514)</f>
        <v>1.15</v>
      </c>
      <c r="J514" s="12" t="n">
        <f aca="false">G514-H514-I514</f>
        <v>105.75</v>
      </c>
      <c r="K514" s="13" t="n">
        <v>743378</v>
      </c>
      <c r="L514" s="13" t="n">
        <v>813305</v>
      </c>
      <c r="M514" s="13" t="n">
        <v>17055</v>
      </c>
      <c r="N514" s="14" t="n">
        <f aca="false">L514+M514</f>
        <v>830360</v>
      </c>
      <c r="O514" s="11" t="n">
        <f aca="false">INDEX(Parametros!$D$2:$D$9,MATCH($E514,Parametros!$A$2:$A$9,0))</f>
        <v>9000</v>
      </c>
      <c r="P514" s="15" t="n">
        <f aca="false">IF((G514-H514)&gt;0,J514/(G514-H514),0)</f>
        <v>0.989242282507016</v>
      </c>
      <c r="Q514" s="15" t="n">
        <f aca="false">IF(J514*O514&gt;0,N514/(O514*J514),0)</f>
        <v>0.872456002101392</v>
      </c>
      <c r="R514" s="15" t="n">
        <f aca="false">IF(N514&gt;0,L514/N514,0)</f>
        <v>0.979460715834096</v>
      </c>
      <c r="S514" s="15" t="n">
        <f aca="false">P514*Q514*R514</f>
        <v>0.845343519384679</v>
      </c>
      <c r="T514" s="15" t="n">
        <f aca="false">IF(K514&gt;0,L514/K514,0)</f>
        <v>1.09406654488026</v>
      </c>
      <c r="U514" s="10" t="n">
        <v>1697.1</v>
      </c>
      <c r="V514" s="5" t="n">
        <v>14</v>
      </c>
      <c r="W514" s="10" t="n">
        <v>80.1</v>
      </c>
      <c r="X514" s="15" t="n">
        <f aca="false">IF(U514&gt;0,W514/U514,0)</f>
        <v>0.0471981615697366</v>
      </c>
      <c r="Y514" s="12" t="n">
        <f aca="false">IF(U514&gt;0,L514/U514,0)</f>
        <v>479.232219668847</v>
      </c>
      <c r="Z514" s="16" t="n">
        <f aca="false">L514*INDEX(Parametros!$E$2:$E$9,MATCH($E514,Parametros!$A$2:$A$9,0))</f>
        <v>341588.1</v>
      </c>
      <c r="AA514" s="16" t="n">
        <f aca="false">Z514*INDEX(Parametros!$F$2:$F$9,MATCH($E514,Parametros!$A$2:$A$9,0))</f>
        <v>6831.762</v>
      </c>
      <c r="AB514" s="17" t="n">
        <f aca="false">Z514+AA514</f>
        <v>348419.862</v>
      </c>
      <c r="AC514" s="18" t="n">
        <v>354605.4</v>
      </c>
      <c r="AD514" s="17" t="n">
        <f aca="false">AC514-AB514</f>
        <v>6185.53800000006</v>
      </c>
      <c r="AE514" s="17" t="n">
        <f aca="false">AA514+AD514</f>
        <v>13017.3000000001</v>
      </c>
      <c r="AF514" s="19" t="n">
        <f aca="false">IF(Z514&gt;0,AE514/Z514,0)</f>
        <v>0.0381081776560719</v>
      </c>
      <c r="AG514" s="16" t="n">
        <f aca="false">(U514-W514)*INDEX(Parametros!$H$2:$H$9,MATCH($E514,Parametros!$A$2:$A$9,0))+W514*INDEX(Parametros!$H$2:$H$9,MATCH($E514,Parametros!$A$2:$A$9,0))*Parametros!$N$3</f>
        <v>54720.225</v>
      </c>
      <c r="AH514" s="13" t="n">
        <v>42881</v>
      </c>
      <c r="AI514" s="16" t="n">
        <f aca="false">AH514*Parametros!$N$2</f>
        <v>3945.052</v>
      </c>
      <c r="AJ514" s="18" t="n">
        <v>15934</v>
      </c>
      <c r="AK514" s="18" t="n">
        <v>615</v>
      </c>
      <c r="AL514" s="17" t="n">
        <f aca="false">AG514+AI514+AJ514+AK514</f>
        <v>75214.277</v>
      </c>
      <c r="AM514" s="20" t="n">
        <f aca="false">IF(L514&gt;0,AL514/L514,0)</f>
        <v>0.0924797917140556</v>
      </c>
      <c r="AN514" s="16" t="n">
        <f aca="false">L514*INDEX(Parametros!$G$2:$G$9,MATCH($E514,Parametros!$A$2:$A$9,0))</f>
        <v>577446.55</v>
      </c>
      <c r="AO514" s="17" t="n">
        <f aca="false">AN514-AC514-AL514</f>
        <v>147626.873</v>
      </c>
      <c r="AP514" s="15" t="n">
        <f aca="false">IF(AN514&gt;0,AO514/AN514,0)</f>
        <v>0.255654610803372</v>
      </c>
      <c r="AQ514" s="16" t="n">
        <f aca="false">INDEX(Parametros!$I$2:$I$9,MATCH($E514,Parametros!$A$2:$A$9,0))</f>
        <v>29300000</v>
      </c>
      <c r="AR514" s="19" t="n">
        <f aca="false">IF(AQ514&gt;0,AO514/AQ514,0)</f>
        <v>0.00503845982935153</v>
      </c>
    </row>
    <row r="515" customFormat="false" ht="15" hidden="false" customHeight="false" outlineLevel="0" collapsed="false">
      <c r="A515" s="5" t="s">
        <v>650</v>
      </c>
      <c r="B515" s="9" t="n">
        <v>45999</v>
      </c>
      <c r="C515" s="2" t="str">
        <f aca="false">TEXT(B515,"yyyy")</f>
        <v>2025</v>
      </c>
      <c r="D515" s="2" t="n">
        <f aca="false">WEEKNUM(B515,2)</f>
        <v>50</v>
      </c>
      <c r="E515" s="5" t="s">
        <v>132</v>
      </c>
      <c r="F515" s="6" t="str">
        <f aca="false">INDEX(Parametros!$B$2:$B$9,MATCH($E515,Parametros!$A$2:$A$9,0))</f>
        <v>Mayonesa frasco</v>
      </c>
      <c r="G515" s="10" t="n">
        <v>125.3</v>
      </c>
      <c r="H515" s="10" t="n">
        <v>5.1</v>
      </c>
      <c r="I515" s="11" t="n">
        <f aca="false">SUMIFS(Eventos_Paro!$J$2:$J$2186,Eventos_Paro!$D$2:$D$2186,$E515,Eventos_Paro!$B$2:$B$2186,$B515)</f>
        <v>1.2</v>
      </c>
      <c r="J515" s="12" t="n">
        <f aca="false">G515-H515-I515</f>
        <v>119</v>
      </c>
      <c r="K515" s="13" t="n">
        <v>603681</v>
      </c>
      <c r="L515" s="13" t="n">
        <v>663772</v>
      </c>
      <c r="M515" s="13" t="n">
        <v>15097</v>
      </c>
      <c r="N515" s="14" t="n">
        <f aca="false">L515+M515</f>
        <v>678869</v>
      </c>
      <c r="O515" s="11" t="n">
        <f aca="false">INDEX(Parametros!$D$2:$D$9,MATCH($E515,Parametros!$A$2:$A$9,0))</f>
        <v>6500</v>
      </c>
      <c r="P515" s="15" t="n">
        <f aca="false">IF((G515-H515)&gt;0,J515/(G515-H515),0)</f>
        <v>0.990016638935108</v>
      </c>
      <c r="Q515" s="15" t="n">
        <f aca="false">IF(J515*O515&gt;0,N515/(O515*J515),0)</f>
        <v>0.87765869424693</v>
      </c>
      <c r="R515" s="15" t="n">
        <f aca="false">IF(N515&gt;0,L515/N515,0)</f>
        <v>0.977761541622905</v>
      </c>
      <c r="S515" s="15" t="n">
        <f aca="false">P515*Q515*R515</f>
        <v>0.849573787277614</v>
      </c>
      <c r="T515" s="15" t="n">
        <f aca="false">IF(K515&gt;0,L515/K515,0)</f>
        <v>1.09954098273757</v>
      </c>
      <c r="U515" s="10" t="n">
        <v>1713.1</v>
      </c>
      <c r="V515" s="5" t="n">
        <v>13</v>
      </c>
      <c r="W515" s="10" t="n">
        <v>84.2</v>
      </c>
      <c r="X515" s="15" t="n">
        <f aca="false">IF(U515&gt;0,W515/U515,0)</f>
        <v>0.0491506625415913</v>
      </c>
      <c r="Y515" s="12" t="n">
        <f aca="false">IF(U515&gt;0,L515/U515,0)</f>
        <v>387.468332263149</v>
      </c>
      <c r="Z515" s="16" t="n">
        <f aca="false">L515*INDEX(Parametros!$E$2:$E$9,MATCH($E515,Parametros!$A$2:$A$9,0))</f>
        <v>404900.92</v>
      </c>
      <c r="AA515" s="16" t="n">
        <f aca="false">Z515*INDEX(Parametros!$F$2:$F$9,MATCH($E515,Parametros!$A$2:$A$9,0))</f>
        <v>10122.523</v>
      </c>
      <c r="AB515" s="17" t="n">
        <f aca="false">Z515+AA515</f>
        <v>415023.443</v>
      </c>
      <c r="AC515" s="18" t="n">
        <v>417066.29</v>
      </c>
      <c r="AD515" s="17" t="n">
        <f aca="false">AC515-AB515</f>
        <v>2042.84700000001</v>
      </c>
      <c r="AE515" s="17" t="n">
        <f aca="false">AA515+AD515</f>
        <v>12165.37</v>
      </c>
      <c r="AF515" s="19" t="n">
        <f aca="false">IF(Z515&gt;0,AE515/Z515,0)</f>
        <v>0.0300453009590593</v>
      </c>
      <c r="AG515" s="16" t="n">
        <f aca="false">(U515-W515)*INDEX(Parametros!$H$2:$H$9,MATCH($E515,Parametros!$A$2:$A$9,0))+W515*INDEX(Parametros!$H$2:$H$9,MATCH($E515,Parametros!$A$2:$A$9,0))*Parametros!$N$3</f>
        <v>55288.8</v>
      </c>
      <c r="AH515" s="13" t="n">
        <v>32098</v>
      </c>
      <c r="AI515" s="16" t="n">
        <f aca="false">AH515*Parametros!$N$2</f>
        <v>2953.016</v>
      </c>
      <c r="AJ515" s="18" t="n">
        <v>14501</v>
      </c>
      <c r="AK515" s="18" t="n">
        <v>1204</v>
      </c>
      <c r="AL515" s="17" t="n">
        <f aca="false">AG515+AI515+AJ515+AK515</f>
        <v>73946.816</v>
      </c>
      <c r="AM515" s="20" t="n">
        <f aca="false">IF(L515&gt;0,AL515/L515,0)</f>
        <v>0.111403939907077</v>
      </c>
      <c r="AN515" s="16" t="n">
        <f aca="false">L515*INDEX(Parametros!$G$2:$G$9,MATCH($E515,Parametros!$A$2:$A$9,0))</f>
        <v>637221.12</v>
      </c>
      <c r="AO515" s="17" t="n">
        <f aca="false">AN515-AC515-AL515</f>
        <v>146208.014</v>
      </c>
      <c r="AP515" s="15" t="n">
        <f aca="false">IF(AN515&gt;0,AO515/AN515,0)</f>
        <v>0.229446277612393</v>
      </c>
      <c r="AQ515" s="16" t="n">
        <f aca="false">INDEX(Parametros!$I$2:$I$9,MATCH($E515,Parametros!$A$2:$A$9,0))</f>
        <v>29700000</v>
      </c>
      <c r="AR515" s="19" t="n">
        <f aca="false">IF(AQ515&gt;0,AO515/AQ515,0)</f>
        <v>0.00492282875420876</v>
      </c>
    </row>
    <row r="516" customFormat="false" ht="15" hidden="false" customHeight="false" outlineLevel="0" collapsed="false">
      <c r="A516" s="5" t="s">
        <v>651</v>
      </c>
      <c r="B516" s="9" t="n">
        <v>45999</v>
      </c>
      <c r="C516" s="2" t="str">
        <f aca="false">TEXT(B516,"yyyy")</f>
        <v>2025</v>
      </c>
      <c r="D516" s="2" t="n">
        <f aca="false">WEEKNUM(B516,2)</f>
        <v>50</v>
      </c>
      <c r="E516" s="5" t="s">
        <v>134</v>
      </c>
      <c r="F516" s="6" t="str">
        <f aca="false">INDEX(Parametros!$B$2:$B$9,MATCH($E516,Parametros!$A$2:$A$9,0))</f>
        <v>Aderezos vertibles</v>
      </c>
      <c r="G516" s="10" t="n">
        <v>114</v>
      </c>
      <c r="H516" s="10" t="n">
        <v>8.4</v>
      </c>
      <c r="I516" s="11" t="n">
        <f aca="false">SUMIFS(Eventos_Paro!$J$2:$J$2186,Eventos_Paro!$D$2:$D$2186,$E516,Eventos_Paro!$B$2:$B$2186,$B516)</f>
        <v>0.6</v>
      </c>
      <c r="J516" s="12" t="n">
        <f aca="false">G516-H516-I516</f>
        <v>105</v>
      </c>
      <c r="K516" s="13" t="n">
        <v>424284</v>
      </c>
      <c r="L516" s="13" t="n">
        <v>445878</v>
      </c>
      <c r="M516" s="13" t="n">
        <v>14185</v>
      </c>
      <c r="N516" s="14" t="n">
        <f aca="false">L516+M516</f>
        <v>460063</v>
      </c>
      <c r="O516" s="11" t="n">
        <f aca="false">INDEX(Parametros!$D$2:$D$9,MATCH($E516,Parametros!$A$2:$A$9,0))</f>
        <v>5200</v>
      </c>
      <c r="P516" s="15" t="n">
        <f aca="false">IF((G516-H516)&gt;0,J516/(G516-H516),0)</f>
        <v>0.994318181818182</v>
      </c>
      <c r="Q516" s="15" t="n">
        <f aca="false">IF(J516*O516&gt;0,N516/(O516*J516),0)</f>
        <v>0.842606227106227</v>
      </c>
      <c r="R516" s="15" t="n">
        <f aca="false">IF(N516&gt;0,L516/N516,0)</f>
        <v>0.969167266222235</v>
      </c>
      <c r="S516" s="15" t="n">
        <f aca="false">P516*Q516*R516</f>
        <v>0.811986451048951</v>
      </c>
      <c r="T516" s="15" t="n">
        <f aca="false">IF(K516&gt;0,L516/K516,0)</f>
        <v>1.05089515513194</v>
      </c>
      <c r="U516" s="10" t="n">
        <v>1470.9</v>
      </c>
      <c r="V516" s="5" t="n">
        <v>12</v>
      </c>
      <c r="W516" s="10" t="n">
        <v>102.9</v>
      </c>
      <c r="X516" s="15" t="n">
        <f aca="false">IF(U516&gt;0,W516/U516,0)</f>
        <v>0.069957169080155</v>
      </c>
      <c r="Y516" s="12" t="n">
        <f aca="false">IF(U516&gt;0,L516/U516,0)</f>
        <v>303.132775851519</v>
      </c>
      <c r="Z516" s="16" t="n">
        <f aca="false">L516*INDEX(Parametros!$E$2:$E$9,MATCH($E516,Parametros!$A$2:$A$9,0))</f>
        <v>245232.9</v>
      </c>
      <c r="AA516" s="16" t="n">
        <f aca="false">Z516*INDEX(Parametros!$F$2:$F$9,MATCH($E516,Parametros!$A$2:$A$9,0))</f>
        <v>7356.987</v>
      </c>
      <c r="AB516" s="17" t="n">
        <f aca="false">Z516+AA516</f>
        <v>252589.887</v>
      </c>
      <c r="AC516" s="18" t="n">
        <v>259595.7</v>
      </c>
      <c r="AD516" s="17" t="n">
        <f aca="false">AC516-AB516</f>
        <v>7005.813</v>
      </c>
      <c r="AE516" s="17" t="n">
        <f aca="false">AA516+AD516</f>
        <v>14362.8</v>
      </c>
      <c r="AF516" s="19" t="n">
        <f aca="false">IF(Z516&gt;0,AE516/Z516,0)</f>
        <v>0.0585679980133171</v>
      </c>
      <c r="AG516" s="16" t="n">
        <f aca="false">(U516-W516)*INDEX(Parametros!$H$2:$H$9,MATCH($E516,Parametros!$A$2:$A$9,0))+W516*INDEX(Parametros!$H$2:$H$9,MATCH($E516,Parametros!$A$2:$A$9,0))*Parametros!$N$3</f>
        <v>47954.025</v>
      </c>
      <c r="AH516" s="13" t="n">
        <v>22315</v>
      </c>
      <c r="AI516" s="16" t="n">
        <f aca="false">AH516*Parametros!$N$2</f>
        <v>2052.98</v>
      </c>
      <c r="AJ516" s="18" t="n">
        <v>10840</v>
      </c>
      <c r="AK516" s="18" t="n">
        <v>532</v>
      </c>
      <c r="AL516" s="17" t="n">
        <f aca="false">AG516+AI516+AJ516+AK516</f>
        <v>61379.005</v>
      </c>
      <c r="AM516" s="20" t="n">
        <f aca="false">IF(L516&gt;0,AL516/L516,0)</f>
        <v>0.137658742974536</v>
      </c>
      <c r="AN516" s="16" t="n">
        <f aca="false">L516*INDEX(Parametros!$G$2:$G$9,MATCH($E516,Parametros!$A$2:$A$9,0))</f>
        <v>454795.56</v>
      </c>
      <c r="AO516" s="17" t="n">
        <f aca="false">AN516-AC516-AL516</f>
        <v>133820.855</v>
      </c>
      <c r="AP516" s="15" t="n">
        <f aca="false">IF(AN516&gt;0,AO516/AN516,0)</f>
        <v>0.294243978547196</v>
      </c>
      <c r="AQ516" s="16" t="n">
        <f aca="false">INDEX(Parametros!$I$2:$I$9,MATCH($E516,Parametros!$A$2:$A$9,0))</f>
        <v>19300000</v>
      </c>
      <c r="AR516" s="19" t="n">
        <f aca="false">IF(AQ516&gt;0,AO516/AQ516,0)</f>
        <v>0.00693372305699482</v>
      </c>
    </row>
    <row r="517" customFormat="false" ht="15" hidden="false" customHeight="false" outlineLevel="0" collapsed="false">
      <c r="A517" s="5" t="s">
        <v>652</v>
      </c>
      <c r="B517" s="9" t="n">
        <v>45999</v>
      </c>
      <c r="C517" s="2" t="str">
        <f aca="false">TEXT(B517,"yyyy")</f>
        <v>2025</v>
      </c>
      <c r="D517" s="2" t="n">
        <f aca="false">WEEKNUM(B517,2)</f>
        <v>50</v>
      </c>
      <c r="E517" s="5" t="s">
        <v>136</v>
      </c>
      <c r="F517" s="6" t="str">
        <f aca="false">INDEX(Parametros!$B$2:$B$9,MATCH($E517,Parametros!$A$2:$A$9,0))</f>
        <v>Salsa BBQ</v>
      </c>
      <c r="G517" s="10" t="n">
        <v>55</v>
      </c>
      <c r="H517" s="10" t="n">
        <v>6.2</v>
      </c>
      <c r="I517" s="11" t="n">
        <f aca="false">SUMIFS(Eventos_Paro!$J$2:$J$2186,Eventos_Paro!$D$2:$D$2186,$E517,Eventos_Paro!$B$2:$B$2186,$B517)</f>
        <v>0</v>
      </c>
      <c r="J517" s="12" t="n">
        <f aca="false">G517-H517-I517</f>
        <v>48.8</v>
      </c>
      <c r="K517" s="13" t="n">
        <v>158575</v>
      </c>
      <c r="L517" s="13" t="n">
        <v>173160</v>
      </c>
      <c r="M517" s="13" t="n">
        <v>5476</v>
      </c>
      <c r="N517" s="14" t="n">
        <f aca="false">L517+M517</f>
        <v>178636</v>
      </c>
      <c r="O517" s="11" t="n">
        <f aca="false">INDEX(Parametros!$D$2:$D$9,MATCH($E517,Parametros!$A$2:$A$9,0))</f>
        <v>4800</v>
      </c>
      <c r="P517" s="15" t="n">
        <f aca="false">IF((G517-H517)&gt;0,J517/(G517-H517),0)</f>
        <v>1</v>
      </c>
      <c r="Q517" s="15" t="n">
        <f aca="false">IF(J517*O517&gt;0,N517/(O517*J517),0)</f>
        <v>0.762619535519126</v>
      </c>
      <c r="R517" s="15" t="n">
        <f aca="false">IF(N517&gt;0,L517/N517,0)</f>
        <v>0.969345484672742</v>
      </c>
      <c r="S517" s="15" t="n">
        <f aca="false">P517*Q517*R517</f>
        <v>0.739241803278689</v>
      </c>
      <c r="T517" s="15" t="n">
        <f aca="false">IF(K517&gt;0,L517/K517,0)</f>
        <v>1.09197540595933</v>
      </c>
      <c r="U517" s="10" t="n">
        <v>686.4</v>
      </c>
      <c r="V517" s="5" t="n">
        <v>12</v>
      </c>
      <c r="W517" s="10" t="n">
        <v>26.4</v>
      </c>
      <c r="X517" s="15" t="n">
        <f aca="false">IF(U517&gt;0,W517/U517,0)</f>
        <v>0.0384615384615385</v>
      </c>
      <c r="Y517" s="12" t="n">
        <f aca="false">IF(U517&gt;0,L517/U517,0)</f>
        <v>252.272727272727</v>
      </c>
      <c r="Z517" s="16" t="n">
        <f aca="false">L517*INDEX(Parametros!$E$2:$E$9,MATCH($E517,Parametros!$A$2:$A$9,0))</f>
        <v>100432.8</v>
      </c>
      <c r="AA517" s="16" t="n">
        <f aca="false">Z517*INDEX(Parametros!$F$2:$F$9,MATCH($E517,Parametros!$A$2:$A$9,0))</f>
        <v>2812.1184</v>
      </c>
      <c r="AB517" s="17" t="n">
        <f aca="false">Z517+AA517</f>
        <v>103244.9184</v>
      </c>
      <c r="AC517" s="18" t="n">
        <v>103468.34</v>
      </c>
      <c r="AD517" s="17" t="n">
        <f aca="false">AC517-AB517</f>
        <v>223.421600000002</v>
      </c>
      <c r="AE517" s="17" t="n">
        <f aca="false">AA517+AD517</f>
        <v>3035.54</v>
      </c>
      <c r="AF517" s="19" t="n">
        <f aca="false">IF(Z517&gt;0,AE517/Z517,0)</f>
        <v>0.0302245879832087</v>
      </c>
      <c r="AG517" s="16" t="n">
        <f aca="false">(U517-W517)*INDEX(Parametros!$H$2:$H$9,MATCH($E517,Parametros!$A$2:$A$9,0))+W517*INDEX(Parametros!$H$2:$H$9,MATCH($E517,Parametros!$A$2:$A$9,0))*Parametros!$N$3</f>
        <v>22037.4</v>
      </c>
      <c r="AH517" s="13" t="n">
        <v>9787</v>
      </c>
      <c r="AI517" s="16" t="n">
        <f aca="false">AH517*Parametros!$N$2</f>
        <v>900.404</v>
      </c>
      <c r="AJ517" s="18" t="n">
        <v>9306</v>
      </c>
      <c r="AK517" s="18" t="n">
        <v>0</v>
      </c>
      <c r="AL517" s="17" t="n">
        <f aca="false">AG517+AI517+AJ517+AK517</f>
        <v>32243.804</v>
      </c>
      <c r="AM517" s="20" t="n">
        <f aca="false">IF(L517&gt;0,AL517/L517,0)</f>
        <v>0.186208154308154</v>
      </c>
      <c r="AN517" s="16" t="n">
        <f aca="false">L517*INDEX(Parametros!$G$2:$G$9,MATCH($E517,Parametros!$A$2:$A$9,0))</f>
        <v>169696.8</v>
      </c>
      <c r="AO517" s="17" t="n">
        <f aca="false">AN517-AC517-AL517</f>
        <v>33984.656</v>
      </c>
      <c r="AP517" s="15" t="n">
        <f aca="false">IF(AN517&gt;0,AO517/AN517,0)</f>
        <v>0.200266923124066</v>
      </c>
      <c r="AQ517" s="16" t="n">
        <f aca="false">INDEX(Parametros!$I$2:$I$9,MATCH($E517,Parametros!$A$2:$A$9,0))</f>
        <v>17000000</v>
      </c>
      <c r="AR517" s="19" t="n">
        <f aca="false">IF(AQ517&gt;0,AO517/AQ517,0)</f>
        <v>0.00199909741176471</v>
      </c>
    </row>
    <row r="518" customFormat="false" ht="15" hidden="false" customHeight="false" outlineLevel="0" collapsed="false">
      <c r="A518" s="5" t="s">
        <v>653</v>
      </c>
      <c r="B518" s="9" t="n">
        <v>45999</v>
      </c>
      <c r="C518" s="2" t="str">
        <f aca="false">TEXT(B518,"yyyy")</f>
        <v>2025</v>
      </c>
      <c r="D518" s="2" t="n">
        <f aca="false">WEEKNUM(B518,2)</f>
        <v>50</v>
      </c>
      <c r="E518" s="5" t="s">
        <v>138</v>
      </c>
      <c r="F518" s="6" t="str">
        <f aca="false">INDEX(Parametros!$B$2:$B$9,MATCH($E518,Parametros!$A$2:$A$9,0))</f>
        <v>Queso crema</v>
      </c>
      <c r="G518" s="10" t="n">
        <v>108.4</v>
      </c>
      <c r="H518" s="10" t="n">
        <v>8.3</v>
      </c>
      <c r="I518" s="11" t="n">
        <f aca="false">SUMIFS(Eventos_Paro!$J$2:$J$2186,Eventos_Paro!$D$2:$D$2186,$E518,Eventos_Paro!$B$2:$B$2186,$B518)</f>
        <v>5.38333333333333</v>
      </c>
      <c r="J518" s="12" t="n">
        <f aca="false">G518-H518-I518</f>
        <v>94.7166666666667</v>
      </c>
      <c r="K518" s="13" t="n">
        <v>293905</v>
      </c>
      <c r="L518" s="13" t="n">
        <v>286336</v>
      </c>
      <c r="M518" s="13" t="n">
        <v>13349</v>
      </c>
      <c r="N518" s="14" t="n">
        <f aca="false">L518+M518</f>
        <v>299685</v>
      </c>
      <c r="O518" s="11" t="n">
        <f aca="false">INDEX(Parametros!$D$2:$D$9,MATCH($E518,Parametros!$A$2:$A$9,0))</f>
        <v>3800</v>
      </c>
      <c r="P518" s="15" t="n">
        <f aca="false">IF((G518-H518)&gt;0,J518/(G518-H518),0)</f>
        <v>0.946220446220446</v>
      </c>
      <c r="Q518" s="15" t="n">
        <f aca="false">IF(J518*O518&gt;0,N518/(O518*J518),0)</f>
        <v>0.832635653889254</v>
      </c>
      <c r="R518" s="15" t="n">
        <f aca="false">IF(N518&gt;0,L518/N518,0)</f>
        <v>0.955456562724194</v>
      </c>
      <c r="S518" s="15" t="n">
        <f aca="false">P518*Q518*R518</f>
        <v>0.752763026447237</v>
      </c>
      <c r="T518" s="15" t="n">
        <f aca="false">IF(K518&gt;0,L518/K518,0)</f>
        <v>0.974246780422245</v>
      </c>
      <c r="U518" s="10" t="n">
        <v>1674.7</v>
      </c>
      <c r="V518" s="5" t="n">
        <v>14</v>
      </c>
      <c r="W518" s="10" t="n">
        <v>157.1</v>
      </c>
      <c r="X518" s="15" t="n">
        <f aca="false">IF(U518&gt;0,W518/U518,0)</f>
        <v>0.0938078461814056</v>
      </c>
      <c r="Y518" s="12" t="n">
        <f aca="false">IF(U518&gt;0,L518/U518,0)</f>
        <v>170.977488505404</v>
      </c>
      <c r="Z518" s="16" t="n">
        <f aca="false">L518*INDEX(Parametros!$E$2:$E$9,MATCH($E518,Parametros!$A$2:$A$9,0))</f>
        <v>320696.32</v>
      </c>
      <c r="AA518" s="16" t="n">
        <f aca="false">Z518*INDEX(Parametros!$F$2:$F$9,MATCH($E518,Parametros!$A$2:$A$9,0))</f>
        <v>11224.3712</v>
      </c>
      <c r="AB518" s="17" t="n">
        <f aca="false">Z518+AA518</f>
        <v>331920.6912</v>
      </c>
      <c r="AC518" s="18" t="n">
        <v>334676.72</v>
      </c>
      <c r="AD518" s="17" t="n">
        <f aca="false">AC518-AB518</f>
        <v>2756.02879999997</v>
      </c>
      <c r="AE518" s="17" t="n">
        <f aca="false">AA518+AD518</f>
        <v>13980.4</v>
      </c>
      <c r="AF518" s="19" t="n">
        <f aca="false">IF(Z518&gt;0,AE518/Z518,0)</f>
        <v>0.0435938896960214</v>
      </c>
      <c r="AG518" s="16" t="n">
        <f aca="false">(U518-W518)*INDEX(Parametros!$H$2:$H$9,MATCH($E518,Parametros!$A$2:$A$9,0))+W518*INDEX(Parametros!$H$2:$H$9,MATCH($E518,Parametros!$A$2:$A$9,0))*Parametros!$N$3</f>
        <v>57857.25</v>
      </c>
      <c r="AH518" s="13" t="n">
        <v>15148</v>
      </c>
      <c r="AI518" s="16" t="n">
        <f aca="false">AH518*Parametros!$N$2</f>
        <v>1393.616</v>
      </c>
      <c r="AJ518" s="18" t="n">
        <v>17768</v>
      </c>
      <c r="AK518" s="18" t="n">
        <v>5084</v>
      </c>
      <c r="AL518" s="17" t="n">
        <f aca="false">AG518+AI518+AJ518+AK518</f>
        <v>82102.866</v>
      </c>
      <c r="AM518" s="20" t="n">
        <f aca="false">IF(L518&gt;0,AL518/L518,0)</f>
        <v>0.286736093261064</v>
      </c>
      <c r="AN518" s="16" t="n">
        <f aca="false">L518*INDEX(Parametros!$G$2:$G$9,MATCH($E518,Parametros!$A$2:$A$9,0))</f>
        <v>512541.44</v>
      </c>
      <c r="AO518" s="17" t="n">
        <f aca="false">AN518-AC518-AL518</f>
        <v>95761.854</v>
      </c>
      <c r="AP518" s="15" t="n">
        <f aca="false">IF(AN518&gt;0,AO518/AN518,0)</f>
        <v>0.186837290658878</v>
      </c>
      <c r="AQ518" s="16" t="n">
        <f aca="false">INDEX(Parametros!$I$2:$I$9,MATCH($E518,Parametros!$A$2:$A$9,0))</f>
        <v>33200000</v>
      </c>
      <c r="AR518" s="19" t="n">
        <f aca="false">IF(AQ518&gt;0,AO518/AQ518,0)</f>
        <v>0.00288439319277109</v>
      </c>
    </row>
    <row r="519" customFormat="false" ht="15" hidden="false" customHeight="false" outlineLevel="0" collapsed="false">
      <c r="A519" s="5" t="s">
        <v>654</v>
      </c>
      <c r="B519" s="9" t="n">
        <v>45999</v>
      </c>
      <c r="C519" s="2" t="str">
        <f aca="false">TEXT(B519,"yyyy")</f>
        <v>2025</v>
      </c>
      <c r="D519" s="2" t="n">
        <f aca="false">WEEKNUM(B519,2)</f>
        <v>50</v>
      </c>
      <c r="E519" s="5" t="s">
        <v>140</v>
      </c>
      <c r="F519" s="6" t="str">
        <f aca="false">INDEX(Parametros!$B$2:$B$9,MATCH($E519,Parametros!$A$2:$A$9,0))</f>
        <v>Crema de cacahuate</v>
      </c>
      <c r="G519" s="10" t="n">
        <v>107.7</v>
      </c>
      <c r="H519" s="10" t="n">
        <v>8.6</v>
      </c>
      <c r="I519" s="11" t="n">
        <f aca="false">SUMIFS(Eventos_Paro!$J$2:$J$2186,Eventos_Paro!$D$2:$D$2186,$E519,Eventos_Paro!$B$2:$B$2186,$B519)</f>
        <v>1.2</v>
      </c>
      <c r="J519" s="12" t="n">
        <f aca="false">G519-H519-I519</f>
        <v>97.9</v>
      </c>
      <c r="K519" s="13" t="n">
        <v>321597</v>
      </c>
      <c r="L519" s="13" t="n">
        <v>359226</v>
      </c>
      <c r="M519" s="13" t="n">
        <v>8546</v>
      </c>
      <c r="N519" s="14" t="n">
        <f aca="false">L519+M519</f>
        <v>367772</v>
      </c>
      <c r="O519" s="11" t="n">
        <f aca="false">INDEX(Parametros!$D$2:$D$9,MATCH($E519,Parametros!$A$2:$A$9,0))</f>
        <v>4200</v>
      </c>
      <c r="P519" s="15" t="n">
        <f aca="false">IF((G519-H519)&gt;0,J519/(G519-H519),0)</f>
        <v>0.987891019172553</v>
      </c>
      <c r="Q519" s="15" t="n">
        <f aca="false">IF(J519*O519&gt;0,N519/(O519*J519),0)</f>
        <v>0.894430662969989</v>
      </c>
      <c r="R519" s="15" t="n">
        <f aca="false">IF(N519&gt;0,L519/N519,0)</f>
        <v>0.976762776937885</v>
      </c>
      <c r="S519" s="15" t="n">
        <f aca="false">P519*Q519*R519</f>
        <v>0.863067608476287</v>
      </c>
      <c r="T519" s="15" t="n">
        <f aca="false">IF(K519&gt;0,L519/K519,0)</f>
        <v>1.11700668849523</v>
      </c>
      <c r="U519" s="10" t="n">
        <v>1267.5</v>
      </c>
      <c r="V519" s="5" t="n">
        <v>11</v>
      </c>
      <c r="W519" s="10" t="n">
        <v>82.8</v>
      </c>
      <c r="X519" s="15" t="n">
        <f aca="false">IF(U519&gt;0,W519/U519,0)</f>
        <v>0.0653254437869822</v>
      </c>
      <c r="Y519" s="12" t="n">
        <f aca="false">IF(U519&gt;0,L519/U519,0)</f>
        <v>283.413017751479</v>
      </c>
      <c r="Z519" s="16" t="n">
        <f aca="false">L519*INDEX(Parametros!$E$2:$E$9,MATCH($E519,Parametros!$A$2:$A$9,0))</f>
        <v>348449.22</v>
      </c>
      <c r="AA519" s="16" t="n">
        <f aca="false">Z519*INDEX(Parametros!$F$2:$F$9,MATCH($E519,Parametros!$A$2:$A$9,0))</f>
        <v>7665.88284</v>
      </c>
      <c r="AB519" s="17" t="n">
        <f aca="false">Z519+AA519</f>
        <v>356115.10284</v>
      </c>
      <c r="AC519" s="18" t="n">
        <v>360239.75</v>
      </c>
      <c r="AD519" s="17" t="n">
        <f aca="false">AC519-AB519</f>
        <v>4124.64716000005</v>
      </c>
      <c r="AE519" s="17" t="n">
        <f aca="false">AA519+AD519</f>
        <v>11790.5300000001</v>
      </c>
      <c r="AF519" s="19" t="n">
        <f aca="false">IF(Z519&gt;0,AE519/Z519,0)</f>
        <v>0.0338371542344105</v>
      </c>
      <c r="AG519" s="16" t="n">
        <f aca="false">(U519-W519)*INDEX(Parametros!$H$2:$H$9,MATCH($E519,Parametros!$A$2:$A$9,0))+W519*INDEX(Parametros!$H$2:$H$9,MATCH($E519,Parametros!$A$2:$A$9,0))*Parametros!$N$3</f>
        <v>41230.35</v>
      </c>
      <c r="AH519" s="13" t="n">
        <v>18275</v>
      </c>
      <c r="AI519" s="16" t="n">
        <f aca="false">AH519*Parametros!$N$2</f>
        <v>1681.3</v>
      </c>
      <c r="AJ519" s="18" t="n">
        <v>12162</v>
      </c>
      <c r="AK519" s="18" t="n">
        <v>1022</v>
      </c>
      <c r="AL519" s="17" t="n">
        <f aca="false">AG519+AI519+AJ519+AK519</f>
        <v>56095.65</v>
      </c>
      <c r="AM519" s="20" t="n">
        <f aca="false">IF(L519&gt;0,AL519/L519,0)</f>
        <v>0.156156987523175</v>
      </c>
      <c r="AN519" s="16" t="n">
        <f aca="false">L519*INDEX(Parametros!$G$2:$G$9,MATCH($E519,Parametros!$A$2:$A$9,0))</f>
        <v>581946.12</v>
      </c>
      <c r="AO519" s="17" t="n">
        <f aca="false">AN519-AC519-AL519</f>
        <v>165610.72</v>
      </c>
      <c r="AP519" s="15" t="n">
        <f aca="false">IF(AN519&gt;0,AO519/AN519,0)</f>
        <v>0.284580847450276</v>
      </c>
      <c r="AQ519" s="16" t="n">
        <f aca="false">INDEX(Parametros!$I$2:$I$9,MATCH($E519,Parametros!$A$2:$A$9,0))</f>
        <v>28000000</v>
      </c>
      <c r="AR519" s="19" t="n">
        <f aca="false">IF(AQ519&gt;0,AO519/AQ519,0)</f>
        <v>0.00591466857142857</v>
      </c>
    </row>
    <row r="520" customFormat="false" ht="15" hidden="false" customHeight="false" outlineLevel="0" collapsed="false">
      <c r="A520" s="5" t="s">
        <v>655</v>
      </c>
      <c r="B520" s="9" t="n">
        <v>45999</v>
      </c>
      <c r="C520" s="2" t="str">
        <f aca="false">TEXT(B520,"yyyy")</f>
        <v>2025</v>
      </c>
      <c r="D520" s="2" t="n">
        <f aca="false">WEEKNUM(B520,2)</f>
        <v>50</v>
      </c>
      <c r="E520" s="5" t="s">
        <v>142</v>
      </c>
      <c r="F520" s="6" t="str">
        <f aca="false">INDEX(Parametros!$B$2:$B$9,MATCH($E520,Parametros!$A$2:$A$9,0))</f>
        <v>Porciones single serve</v>
      </c>
      <c r="G520" s="10" t="n">
        <v>107.8</v>
      </c>
      <c r="H520" s="10" t="n">
        <v>6.4</v>
      </c>
      <c r="I520" s="11" t="n">
        <f aca="false">SUMIFS(Eventos_Paro!$J$2:$J$2186,Eventos_Paro!$D$2:$D$2186,$E520,Eventos_Paro!$B$2:$B$2186,$B520)</f>
        <v>5.76666666666667</v>
      </c>
      <c r="J520" s="12" t="n">
        <f aca="false">G520-H520-I520</f>
        <v>95.6333333333333</v>
      </c>
      <c r="K520" s="13" t="n">
        <v>203705</v>
      </c>
      <c r="L520" s="13" t="n">
        <v>191681</v>
      </c>
      <c r="M520" s="13" t="n">
        <v>12891</v>
      </c>
      <c r="N520" s="14" t="n">
        <f aca="false">L520+M520</f>
        <v>204572</v>
      </c>
      <c r="O520" s="11" t="n">
        <f aca="false">INDEX(Parametros!$D$2:$D$9,MATCH($E520,Parametros!$A$2:$A$9,0))</f>
        <v>2600</v>
      </c>
      <c r="P520" s="15" t="n">
        <f aca="false">IF((G520-H520)&gt;0,J520/(G520-H520),0)</f>
        <v>0.943129520052597</v>
      </c>
      <c r="Q520" s="15" t="n">
        <f aca="false">IF(J520*O520&gt;0,N520/(O520*J520),0)</f>
        <v>0.822741775477921</v>
      </c>
      <c r="R520" s="15" t="n">
        <f aca="false">IF(N520&gt;0,L520/N520,0)</f>
        <v>0.936985511213656</v>
      </c>
      <c r="S520" s="15" t="n">
        <f aca="false">P520*Q520*R520</f>
        <v>0.727055833712638</v>
      </c>
      <c r="T520" s="15" t="n">
        <f aca="false">IF(K520&gt;0,L520/K520,0)</f>
        <v>0.940973466532486</v>
      </c>
      <c r="U520" s="10" t="n">
        <v>1790.3</v>
      </c>
      <c r="V520" s="5" t="n">
        <v>16</v>
      </c>
      <c r="W520" s="10" t="n">
        <v>65.5</v>
      </c>
      <c r="X520" s="15" t="n">
        <f aca="false">IF(U520&gt;0,W520/U520,0)</f>
        <v>0.0365860470312238</v>
      </c>
      <c r="Y520" s="12" t="n">
        <f aca="false">IF(U520&gt;0,L520/U520,0)</f>
        <v>107.06641345026</v>
      </c>
      <c r="Z520" s="16" t="n">
        <f aca="false">L520*INDEX(Parametros!$E$2:$E$9,MATCH($E520,Parametros!$A$2:$A$9,0))</f>
        <v>141843.94</v>
      </c>
      <c r="AA520" s="16" t="n">
        <f aca="false">Z520*INDEX(Parametros!$F$2:$F$9,MATCH($E520,Parametros!$A$2:$A$9,0))</f>
        <v>6382.9773</v>
      </c>
      <c r="AB520" s="17" t="n">
        <f aca="false">Z520+AA520</f>
        <v>148226.9173</v>
      </c>
      <c r="AC520" s="18" t="n">
        <v>147453.75</v>
      </c>
      <c r="AD520" s="17" t="n">
        <f aca="false">AC520-AB520</f>
        <v>-773.167300000001</v>
      </c>
      <c r="AE520" s="17" t="n">
        <f aca="false">AA520+AD520</f>
        <v>5609.81</v>
      </c>
      <c r="AF520" s="19" t="n">
        <f aca="false">IF(Z520&gt;0,AE520/Z520,0)</f>
        <v>0.0395491693194648</v>
      </c>
      <c r="AG520" s="16" t="n">
        <f aca="false">(U520-W520)*INDEX(Parametros!$H$2:$H$9,MATCH($E520,Parametros!$A$2:$A$9,0))+W520*INDEX(Parametros!$H$2:$H$9,MATCH($E520,Parametros!$A$2:$A$9,0))*Parametros!$N$3</f>
        <v>54691.5</v>
      </c>
      <c r="AH520" s="13" t="n">
        <v>10682</v>
      </c>
      <c r="AI520" s="16" t="n">
        <f aca="false">AH520*Parametros!$N$2</f>
        <v>982.744</v>
      </c>
      <c r="AJ520" s="18" t="n">
        <v>10707</v>
      </c>
      <c r="AK520" s="18" t="n">
        <v>4157</v>
      </c>
      <c r="AL520" s="17" t="n">
        <f aca="false">AG520+AI520+AJ520+AK520</f>
        <v>70538.244</v>
      </c>
      <c r="AM520" s="20" t="n">
        <f aca="false">IF(L520&gt;0,AL520/L520,0)</f>
        <v>0.367998101011577</v>
      </c>
      <c r="AN520" s="16" t="n">
        <f aca="false">L520*INDEX(Parametros!$G$2:$G$9,MATCH($E520,Parametros!$A$2:$A$9,0))</f>
        <v>329691.32</v>
      </c>
      <c r="AO520" s="17" t="n">
        <f aca="false">AN520-AC520-AL520</f>
        <v>111699.326</v>
      </c>
      <c r="AP520" s="15" t="n">
        <f aca="false">IF(AN520&gt;0,AO520/AN520,0)</f>
        <v>0.338799717262802</v>
      </c>
      <c r="AQ520" s="16" t="n">
        <f aca="false">INDEX(Parametros!$I$2:$I$9,MATCH($E520,Parametros!$A$2:$A$9,0))</f>
        <v>15900000</v>
      </c>
      <c r="AR520" s="19" t="n">
        <f aca="false">IF(AQ520&gt;0,AO520/AQ520,0)</f>
        <v>0.0070251148427673</v>
      </c>
    </row>
    <row r="521" customFormat="false" ht="15" hidden="false" customHeight="false" outlineLevel="0" collapsed="false">
      <c r="A521" s="5" t="s">
        <v>656</v>
      </c>
      <c r="B521" s="9" t="n">
        <v>45999</v>
      </c>
      <c r="C521" s="2" t="str">
        <f aca="false">TEXT(B521,"yyyy")</f>
        <v>2025</v>
      </c>
      <c r="D521" s="2" t="n">
        <f aca="false">WEEKNUM(B521,2)</f>
        <v>50</v>
      </c>
      <c r="E521" s="5" t="s">
        <v>144</v>
      </c>
      <c r="F521" s="6" t="str">
        <f aca="false">INDEX(Parametros!$B$2:$B$9,MATCH($E521,Parametros!$A$2:$A$9,0))</f>
        <v>Salsas picantes</v>
      </c>
      <c r="G521" s="10" t="n">
        <v>102.8</v>
      </c>
      <c r="H521" s="10" t="n">
        <v>6</v>
      </c>
      <c r="I521" s="11" t="n">
        <f aca="false">SUMIFS(Eventos_Paro!$J$2:$J$2186,Eventos_Paro!$D$2:$D$2186,$E521,Eventos_Paro!$B$2:$B$2186,$B521)</f>
        <v>1.98333333333333</v>
      </c>
      <c r="J521" s="12" t="n">
        <f aca="false">G521-H521-I521</f>
        <v>94.8166666666667</v>
      </c>
      <c r="K521" s="13" t="n">
        <v>252680</v>
      </c>
      <c r="L521" s="13" t="n">
        <v>231483</v>
      </c>
      <c r="M521" s="13" t="n">
        <v>8464</v>
      </c>
      <c r="N521" s="14" t="n">
        <f aca="false">L521+M521</f>
        <v>239947</v>
      </c>
      <c r="O521" s="11" t="n">
        <f aca="false">INDEX(Parametros!$D$2:$D$9,MATCH($E521,Parametros!$A$2:$A$9,0))</f>
        <v>3100</v>
      </c>
      <c r="P521" s="15" t="n">
        <f aca="false">IF((G521-H521)&gt;0,J521/(G521-H521),0)</f>
        <v>0.979511019283747</v>
      </c>
      <c r="Q521" s="15" t="n">
        <f aca="false">IF(J521*O521&gt;0,N521/(O521*J521),0)</f>
        <v>0.816335996461763</v>
      </c>
      <c r="R521" s="15" t="n">
        <f aca="false">IF(N521&gt;0,L521/N521,0)</f>
        <v>0.964725543557536</v>
      </c>
      <c r="S521" s="15" t="n">
        <f aca="false">P521*Q521*R521</f>
        <v>0.77140429218875</v>
      </c>
      <c r="T521" s="15" t="n">
        <f aca="false">IF(K521&gt;0,L521/K521,0)</f>
        <v>0.916111287003324</v>
      </c>
      <c r="U521" s="10" t="n">
        <v>1083</v>
      </c>
      <c r="V521" s="5" t="n">
        <v>10</v>
      </c>
      <c r="W521" s="10" t="n">
        <v>55</v>
      </c>
      <c r="X521" s="15" t="n">
        <f aca="false">IF(U521&gt;0,W521/U521,0)</f>
        <v>0.0507848568790397</v>
      </c>
      <c r="Y521" s="12" t="n">
        <f aca="false">IF(U521&gt;0,L521/U521,0)</f>
        <v>213.742382271468</v>
      </c>
      <c r="Z521" s="16" t="n">
        <f aca="false">L521*INDEX(Parametros!$E$2:$E$9,MATCH($E521,Parametros!$A$2:$A$9,0))</f>
        <v>152778.78</v>
      </c>
      <c r="AA521" s="16" t="n">
        <f aca="false">Z521*INDEX(Parametros!$F$2:$F$9,MATCH($E521,Parametros!$A$2:$A$9,0))</f>
        <v>3972.24828</v>
      </c>
      <c r="AB521" s="17" t="n">
        <f aca="false">Z521+AA521</f>
        <v>156751.02828</v>
      </c>
      <c r="AC521" s="18" t="n">
        <v>155715.45</v>
      </c>
      <c r="AD521" s="17" t="n">
        <f aca="false">AC521-AB521</f>
        <v>-1035.57827999999</v>
      </c>
      <c r="AE521" s="17" t="n">
        <f aca="false">AA521+AD521</f>
        <v>2936.67000000001</v>
      </c>
      <c r="AF521" s="19" t="n">
        <f aca="false">IF(Z521&gt;0,AE521/Z521,0)</f>
        <v>0.0192217139055569</v>
      </c>
      <c r="AG521" s="16" t="n">
        <f aca="false">(U521-W521)*INDEX(Parametros!$H$2:$H$9,MATCH($E521,Parametros!$A$2:$A$9,0))+W521*INDEX(Parametros!$H$2:$H$9,MATCH($E521,Parametros!$A$2:$A$9,0))*Parametros!$N$3</f>
        <v>34980.75</v>
      </c>
      <c r="AH521" s="13" t="n">
        <v>11924</v>
      </c>
      <c r="AI521" s="16" t="n">
        <f aca="false">AH521*Parametros!$N$2</f>
        <v>1097.008</v>
      </c>
      <c r="AJ521" s="18" t="n">
        <v>6665</v>
      </c>
      <c r="AK521" s="18" t="n">
        <v>2233</v>
      </c>
      <c r="AL521" s="17" t="n">
        <f aca="false">AG521+AI521+AJ521+AK521</f>
        <v>44975.758</v>
      </c>
      <c r="AM521" s="20" t="n">
        <f aca="false">IF(L521&gt;0,AL521/L521,0)</f>
        <v>0.19429399999136</v>
      </c>
      <c r="AN521" s="16" t="n">
        <f aca="false">L521*INDEX(Parametros!$G$2:$G$9,MATCH($E521,Parametros!$A$2:$A$9,0))</f>
        <v>289353.75</v>
      </c>
      <c r="AO521" s="17" t="n">
        <f aca="false">AN521-AC521-AL521</f>
        <v>88662.542</v>
      </c>
      <c r="AP521" s="15" t="n">
        <f aca="false">IF(AN521&gt;0,AO521/AN521,0)</f>
        <v>0.306415735064778</v>
      </c>
      <c r="AQ521" s="16" t="n">
        <f aca="false">INDEX(Parametros!$I$2:$I$9,MATCH($E521,Parametros!$A$2:$A$9,0))</f>
        <v>13300000</v>
      </c>
      <c r="AR521" s="19" t="n">
        <f aca="false">IF(AQ521&gt;0,AO521/AQ521,0)</f>
        <v>0.00666635654135338</v>
      </c>
    </row>
    <row r="522" customFormat="false" ht="15" hidden="false" customHeight="false" outlineLevel="0" collapsed="false">
      <c r="A522" s="5" t="s">
        <v>657</v>
      </c>
      <c r="B522" s="9" t="n">
        <v>46006</v>
      </c>
      <c r="C522" s="2" t="str">
        <f aca="false">TEXT(B522,"yyyy")</f>
        <v>2025</v>
      </c>
      <c r="D522" s="2" t="n">
        <f aca="false">WEEKNUM(B522,2)</f>
        <v>51</v>
      </c>
      <c r="E522" s="5" t="s">
        <v>130</v>
      </c>
      <c r="F522" s="6" t="str">
        <f aca="false">INDEX(Parametros!$B$2:$B$9,MATCH($E522,Parametros!$A$2:$A$9,0))</f>
        <v>Ketchup botella</v>
      </c>
      <c r="G522" s="10" t="n">
        <v>117.8</v>
      </c>
      <c r="H522" s="10" t="n">
        <v>11.6</v>
      </c>
      <c r="I522" s="11" t="n">
        <f aca="false">SUMIFS(Eventos_Paro!$J$2:$J$2186,Eventos_Paro!$D$2:$D$2186,$E522,Eventos_Paro!$B$2:$B$2186,$B522)</f>
        <v>0.683333333333333</v>
      </c>
      <c r="J522" s="12" t="n">
        <f aca="false">G522-H522-I522</f>
        <v>105.516666666667</v>
      </c>
      <c r="K522" s="13" t="n">
        <v>736789</v>
      </c>
      <c r="L522" s="13" t="n">
        <v>783986</v>
      </c>
      <c r="M522" s="13" t="n">
        <v>17902</v>
      </c>
      <c r="N522" s="14" t="n">
        <f aca="false">L522+M522</f>
        <v>801888</v>
      </c>
      <c r="O522" s="11" t="n">
        <f aca="false">INDEX(Parametros!$D$2:$D$9,MATCH($E522,Parametros!$A$2:$A$9,0))</f>
        <v>9000</v>
      </c>
      <c r="P522" s="15" t="n">
        <f aca="false">IF((G522-H522)&gt;0,J522/(G522-H522),0)</f>
        <v>0.993565599497803</v>
      </c>
      <c r="Q522" s="15" t="n">
        <f aca="false">IF(J522*O522&gt;0,N522/(O522*J522),0)</f>
        <v>0.844403727689149</v>
      </c>
      <c r="R522" s="15" t="n">
        <f aca="false">IF(N522&gt;0,L522/N522,0)</f>
        <v>0.977675186559719</v>
      </c>
      <c r="S522" s="15" t="n">
        <f aca="false">P522*Q522*R522</f>
        <v>0.820240636116342</v>
      </c>
      <c r="T522" s="15" t="n">
        <f aca="false">IF(K522&gt;0,L522/K522,0)</f>
        <v>1.06405768815767</v>
      </c>
      <c r="U522" s="10" t="n">
        <v>1437.2</v>
      </c>
      <c r="V522" s="5" t="n">
        <v>12</v>
      </c>
      <c r="W522" s="10" t="n">
        <v>23.6</v>
      </c>
      <c r="X522" s="15" t="n">
        <f aca="false">IF(U522&gt;0,W522/U522,0)</f>
        <v>0.0164208182577234</v>
      </c>
      <c r="Y522" s="12" t="n">
        <f aca="false">IF(U522&gt;0,L522/U522,0)</f>
        <v>545.495407737267</v>
      </c>
      <c r="Z522" s="16" t="n">
        <f aca="false">L522*INDEX(Parametros!$E$2:$E$9,MATCH($E522,Parametros!$A$2:$A$9,0))</f>
        <v>329274.12</v>
      </c>
      <c r="AA522" s="16" t="n">
        <f aca="false">Z522*INDEX(Parametros!$F$2:$F$9,MATCH($E522,Parametros!$A$2:$A$9,0))</f>
        <v>6585.4824</v>
      </c>
      <c r="AB522" s="17" t="n">
        <f aca="false">Z522+AA522</f>
        <v>335859.6024</v>
      </c>
      <c r="AC522" s="18" t="n">
        <v>332365.57</v>
      </c>
      <c r="AD522" s="17" t="n">
        <f aca="false">AC522-AB522</f>
        <v>-3494.03239999997</v>
      </c>
      <c r="AE522" s="17" t="n">
        <f aca="false">AA522+AD522</f>
        <v>3091.45000000003</v>
      </c>
      <c r="AF522" s="19" t="n">
        <f aca="false">IF(Z522&gt;0,AE522/Z522,0)</f>
        <v>0.00938868198934077</v>
      </c>
      <c r="AG522" s="16" t="n">
        <f aca="false">(U522-W522)*INDEX(Parametros!$H$2:$H$9,MATCH($E522,Parametros!$A$2:$A$9,0))+W522*INDEX(Parametros!$H$2:$H$9,MATCH($E522,Parametros!$A$2:$A$9,0))*Parametros!$N$3</f>
        <v>45643.5</v>
      </c>
      <c r="AH522" s="13" t="n">
        <v>40608</v>
      </c>
      <c r="AI522" s="16" t="n">
        <f aca="false">AH522*Parametros!$N$2</f>
        <v>3735.936</v>
      </c>
      <c r="AJ522" s="18" t="n">
        <v>22150</v>
      </c>
      <c r="AK522" s="18" t="n">
        <v>813</v>
      </c>
      <c r="AL522" s="17" t="n">
        <f aca="false">AG522+AI522+AJ522+AK522</f>
        <v>72342.436</v>
      </c>
      <c r="AM522" s="20" t="n">
        <f aca="false">IF(L522&gt;0,AL522/L522,0)</f>
        <v>0.0922751630768917</v>
      </c>
      <c r="AN522" s="16" t="n">
        <f aca="false">L522*INDEX(Parametros!$G$2:$G$9,MATCH($E522,Parametros!$A$2:$A$9,0))</f>
        <v>556630.06</v>
      </c>
      <c r="AO522" s="17" t="n">
        <f aca="false">AN522-AC522-AL522</f>
        <v>151922.054</v>
      </c>
      <c r="AP522" s="15" t="n">
        <f aca="false">IF(AN522&gt;0,AO522/AN522,0)</f>
        <v>0.272931817588148</v>
      </c>
      <c r="AQ522" s="16" t="n">
        <f aca="false">INDEX(Parametros!$I$2:$I$9,MATCH($E522,Parametros!$A$2:$A$9,0))</f>
        <v>29300000</v>
      </c>
      <c r="AR522" s="19" t="n">
        <f aca="false">IF(AQ522&gt;0,AO522/AQ522,0)</f>
        <v>0.00518505303754266</v>
      </c>
    </row>
    <row r="523" customFormat="false" ht="15" hidden="false" customHeight="false" outlineLevel="0" collapsed="false">
      <c r="A523" s="5" t="s">
        <v>658</v>
      </c>
      <c r="B523" s="9" t="n">
        <v>46006</v>
      </c>
      <c r="C523" s="2" t="str">
        <f aca="false">TEXT(B523,"yyyy")</f>
        <v>2025</v>
      </c>
      <c r="D523" s="2" t="n">
        <f aca="false">WEEKNUM(B523,2)</f>
        <v>51</v>
      </c>
      <c r="E523" s="5" t="s">
        <v>132</v>
      </c>
      <c r="F523" s="6" t="str">
        <f aca="false">INDEX(Parametros!$B$2:$B$9,MATCH($E523,Parametros!$A$2:$A$9,0))</f>
        <v>Mayonesa frasco</v>
      </c>
      <c r="G523" s="10" t="n">
        <v>125.4</v>
      </c>
      <c r="H523" s="10" t="n">
        <v>10.9</v>
      </c>
      <c r="I523" s="11" t="n">
        <f aca="false">SUMIFS(Eventos_Paro!$J$2:$J$2186,Eventos_Paro!$D$2:$D$2186,$E523,Eventos_Paro!$B$2:$B$2186,$B523)</f>
        <v>0.516666666666667</v>
      </c>
      <c r="J523" s="12" t="n">
        <f aca="false">G523-H523-I523</f>
        <v>113.983333333333</v>
      </c>
      <c r="K523" s="13" t="n">
        <v>573713</v>
      </c>
      <c r="L523" s="13" t="n">
        <v>620680</v>
      </c>
      <c r="M523" s="13" t="n">
        <v>16380</v>
      </c>
      <c r="N523" s="14" t="n">
        <f aca="false">L523+M523</f>
        <v>637060</v>
      </c>
      <c r="O523" s="11" t="n">
        <f aca="false">INDEX(Parametros!$D$2:$D$9,MATCH($E523,Parametros!$A$2:$A$9,0))</f>
        <v>6500</v>
      </c>
      <c r="P523" s="15" t="n">
        <f aca="false">IF((G523-H523)&gt;0,J523/(G523-H523),0)</f>
        <v>0.995487627365357</v>
      </c>
      <c r="Q523" s="15" t="n">
        <f aca="false">IF(J523*O523&gt;0,N523/(O523*J523),0)</f>
        <v>0.859855804379858</v>
      </c>
      <c r="R523" s="15" t="n">
        <f aca="false">IF(N523&gt;0,L523/N523,0)</f>
        <v>0.974288136125326</v>
      </c>
      <c r="S523" s="15" t="n">
        <f aca="false">P523*Q523*R523</f>
        <v>0.833967080953981</v>
      </c>
      <c r="T523" s="15" t="n">
        <f aca="false">IF(K523&gt;0,L523/K523,0)</f>
        <v>1.081864974299</v>
      </c>
      <c r="U523" s="10" t="n">
        <v>1622.4</v>
      </c>
      <c r="V523" s="5" t="n">
        <v>12</v>
      </c>
      <c r="W523" s="10" t="n">
        <v>117.6</v>
      </c>
      <c r="X523" s="15" t="n">
        <f aca="false">IF(U523&gt;0,W523/U523,0)</f>
        <v>0.0724852071005917</v>
      </c>
      <c r="Y523" s="12" t="n">
        <f aca="false">IF(U523&gt;0,L523/U523,0)</f>
        <v>382.569033530572</v>
      </c>
      <c r="Z523" s="16" t="n">
        <f aca="false">L523*INDEX(Parametros!$E$2:$E$9,MATCH($E523,Parametros!$A$2:$A$9,0))</f>
        <v>378614.8</v>
      </c>
      <c r="AA523" s="16" t="n">
        <f aca="false">Z523*INDEX(Parametros!$F$2:$F$9,MATCH($E523,Parametros!$A$2:$A$9,0))</f>
        <v>9465.37</v>
      </c>
      <c r="AB523" s="17" t="n">
        <f aca="false">Z523+AA523</f>
        <v>388080.17</v>
      </c>
      <c r="AC523" s="18" t="n">
        <v>385224.87</v>
      </c>
      <c r="AD523" s="17" t="n">
        <f aca="false">AC523-AB523</f>
        <v>-2855.29999999999</v>
      </c>
      <c r="AE523" s="17" t="n">
        <f aca="false">AA523+AD523</f>
        <v>6610.07000000001</v>
      </c>
      <c r="AF523" s="19" t="n">
        <f aca="false">IF(Z523&gt;0,AE523/Z523,0)</f>
        <v>0.0174585621058659</v>
      </c>
      <c r="AG523" s="16" t="n">
        <f aca="false">(U523-W523)*INDEX(Parametros!$H$2:$H$9,MATCH($E523,Parametros!$A$2:$A$9,0))+W523*INDEX(Parametros!$H$2:$H$9,MATCH($E523,Parametros!$A$2:$A$9,0))*Parametros!$N$3</f>
        <v>52957.8</v>
      </c>
      <c r="AH523" s="13" t="n">
        <v>31881</v>
      </c>
      <c r="AI523" s="16" t="n">
        <f aca="false">AH523*Parametros!$N$2</f>
        <v>2933.052</v>
      </c>
      <c r="AJ523" s="18" t="n">
        <v>13877</v>
      </c>
      <c r="AK523" s="18" t="n">
        <v>384</v>
      </c>
      <c r="AL523" s="17" t="n">
        <f aca="false">AG523+AI523+AJ523+AK523</f>
        <v>70151.852</v>
      </c>
      <c r="AM523" s="20" t="n">
        <f aca="false">IF(L523&gt;0,AL523/L523,0)</f>
        <v>0.113024186376233</v>
      </c>
      <c r="AN523" s="16" t="n">
        <f aca="false">L523*INDEX(Parametros!$G$2:$G$9,MATCH($E523,Parametros!$A$2:$A$9,0))</f>
        <v>595852.8</v>
      </c>
      <c r="AO523" s="17" t="n">
        <f aca="false">AN523-AC523-AL523</f>
        <v>140476.078</v>
      </c>
      <c r="AP523" s="15" t="n">
        <f aca="false">IF(AN523&gt;0,AO523/AN523,0)</f>
        <v>0.235756344519989</v>
      </c>
      <c r="AQ523" s="16" t="n">
        <f aca="false">INDEX(Parametros!$I$2:$I$9,MATCH($E523,Parametros!$A$2:$A$9,0))</f>
        <v>29700000</v>
      </c>
      <c r="AR523" s="19" t="n">
        <f aca="false">IF(AQ523&gt;0,AO523/AQ523,0)</f>
        <v>0.00472983427609427</v>
      </c>
    </row>
    <row r="524" customFormat="false" ht="15" hidden="false" customHeight="false" outlineLevel="0" collapsed="false">
      <c r="A524" s="5" t="s">
        <v>659</v>
      </c>
      <c r="B524" s="9" t="n">
        <v>46006</v>
      </c>
      <c r="C524" s="2" t="str">
        <f aca="false">TEXT(B524,"yyyy")</f>
        <v>2025</v>
      </c>
      <c r="D524" s="2" t="n">
        <f aca="false">WEEKNUM(B524,2)</f>
        <v>51</v>
      </c>
      <c r="E524" s="5" t="s">
        <v>134</v>
      </c>
      <c r="F524" s="6" t="str">
        <f aca="false">INDEX(Parametros!$B$2:$B$9,MATCH($E524,Parametros!$A$2:$A$9,0))</f>
        <v>Aderezos vertibles</v>
      </c>
      <c r="G524" s="10" t="n">
        <v>124.8</v>
      </c>
      <c r="H524" s="10" t="n">
        <v>11.4</v>
      </c>
      <c r="I524" s="11" t="n">
        <f aca="false">SUMIFS(Eventos_Paro!$J$2:$J$2186,Eventos_Paro!$D$2:$D$2186,$E524,Eventos_Paro!$B$2:$B$2186,$B524)</f>
        <v>1.33333333333333</v>
      </c>
      <c r="J524" s="12" t="n">
        <f aca="false">G524-H524-I524</f>
        <v>112.066666666667</v>
      </c>
      <c r="K524" s="13" t="n">
        <v>454561</v>
      </c>
      <c r="L524" s="13" t="n">
        <v>436685</v>
      </c>
      <c r="M524" s="13" t="n">
        <v>18867</v>
      </c>
      <c r="N524" s="14" t="n">
        <f aca="false">L524+M524</f>
        <v>455552</v>
      </c>
      <c r="O524" s="11" t="n">
        <f aca="false">INDEX(Parametros!$D$2:$D$9,MATCH($E524,Parametros!$A$2:$A$9,0))</f>
        <v>5200</v>
      </c>
      <c r="P524" s="15" t="n">
        <f aca="false">IF((G524-H524)&gt;0,J524/(G524-H524),0)</f>
        <v>0.988242210464433</v>
      </c>
      <c r="Q524" s="15" t="n">
        <f aca="false">IF(J524*O524&gt;0,N524/(O524*J524),0)</f>
        <v>0.781732485242301</v>
      </c>
      <c r="R524" s="15" t="n">
        <f aca="false">IF(N524&gt;0,L524/N524,0)</f>
        <v>0.958584310901939</v>
      </c>
      <c r="S524" s="15" t="n">
        <f aca="false">P524*Q524*R524</f>
        <v>0.740545719712387</v>
      </c>
      <c r="T524" s="15" t="n">
        <f aca="false">IF(K524&gt;0,L524/K524,0)</f>
        <v>0.960674144944243</v>
      </c>
      <c r="U524" s="10" t="n">
        <v>1364.7</v>
      </c>
      <c r="V524" s="5" t="n">
        <v>10</v>
      </c>
      <c r="W524" s="10" t="n">
        <v>116.7</v>
      </c>
      <c r="X524" s="15" t="n">
        <f aca="false">IF(U524&gt;0,W524/U524,0)</f>
        <v>0.0855132996262915</v>
      </c>
      <c r="Y524" s="12" t="n">
        <f aca="false">IF(U524&gt;0,L524/U524,0)</f>
        <v>319.986077526196</v>
      </c>
      <c r="Z524" s="16" t="n">
        <f aca="false">L524*INDEX(Parametros!$E$2:$E$9,MATCH($E524,Parametros!$A$2:$A$9,0))</f>
        <v>240176.75</v>
      </c>
      <c r="AA524" s="16" t="n">
        <f aca="false">Z524*INDEX(Parametros!$F$2:$F$9,MATCH($E524,Parametros!$A$2:$A$9,0))</f>
        <v>7205.3025</v>
      </c>
      <c r="AB524" s="17" t="n">
        <f aca="false">Z524+AA524</f>
        <v>247382.0525</v>
      </c>
      <c r="AC524" s="18" t="n">
        <v>252393.09</v>
      </c>
      <c r="AD524" s="17" t="n">
        <f aca="false">AC524-AB524</f>
        <v>5011.03749999998</v>
      </c>
      <c r="AE524" s="17" t="n">
        <f aca="false">AA524+AD524</f>
        <v>12216.34</v>
      </c>
      <c r="AF524" s="19" t="n">
        <f aca="false">IF(Z524&gt;0,AE524/Z524,0)</f>
        <v>0.0508639574813131</v>
      </c>
      <c r="AG524" s="16" t="n">
        <f aca="false">(U524-W524)*INDEX(Parametros!$H$2:$H$9,MATCH($E524,Parametros!$A$2:$A$9,0))+W524*INDEX(Parametros!$H$2:$H$9,MATCH($E524,Parametros!$A$2:$A$9,0))*Parametros!$N$3</f>
        <v>44826.075</v>
      </c>
      <c r="AH524" s="13" t="n">
        <v>24367</v>
      </c>
      <c r="AI524" s="16" t="n">
        <f aca="false">AH524*Parametros!$N$2</f>
        <v>2241.764</v>
      </c>
      <c r="AJ524" s="18" t="n">
        <v>9806</v>
      </c>
      <c r="AK524" s="18" t="n">
        <v>939</v>
      </c>
      <c r="AL524" s="17" t="n">
        <f aca="false">AG524+AI524+AJ524+AK524</f>
        <v>57812.839</v>
      </c>
      <c r="AM524" s="20" t="n">
        <f aca="false">IF(L524&gt;0,AL524/L524,0)</f>
        <v>0.132390256134284</v>
      </c>
      <c r="AN524" s="16" t="n">
        <f aca="false">L524*INDEX(Parametros!$G$2:$G$9,MATCH($E524,Parametros!$A$2:$A$9,0))</f>
        <v>445418.7</v>
      </c>
      <c r="AO524" s="17" t="n">
        <f aca="false">AN524-AC524-AL524</f>
        <v>135212.771</v>
      </c>
      <c r="AP524" s="15" t="n">
        <f aca="false">IF(AN524&gt;0,AO524/AN524,0)</f>
        <v>0.303563301226464</v>
      </c>
      <c r="AQ524" s="16" t="n">
        <f aca="false">INDEX(Parametros!$I$2:$I$9,MATCH($E524,Parametros!$A$2:$A$9,0))</f>
        <v>19300000</v>
      </c>
      <c r="AR524" s="19" t="n">
        <f aca="false">IF(AQ524&gt;0,AO524/AQ524,0)</f>
        <v>0.00700584305699482</v>
      </c>
    </row>
    <row r="525" customFormat="false" ht="15" hidden="false" customHeight="false" outlineLevel="0" collapsed="false">
      <c r="A525" s="5" t="s">
        <v>660</v>
      </c>
      <c r="B525" s="9" t="n">
        <v>46006</v>
      </c>
      <c r="C525" s="2" t="str">
        <f aca="false">TEXT(B525,"yyyy")</f>
        <v>2025</v>
      </c>
      <c r="D525" s="2" t="n">
        <f aca="false">WEEKNUM(B525,2)</f>
        <v>51</v>
      </c>
      <c r="E525" s="5" t="s">
        <v>136</v>
      </c>
      <c r="F525" s="6" t="str">
        <f aca="false">INDEX(Parametros!$B$2:$B$9,MATCH($E525,Parametros!$A$2:$A$9,0))</f>
        <v>Salsa BBQ</v>
      </c>
      <c r="G525" s="10" t="n">
        <v>80.8</v>
      </c>
      <c r="H525" s="10" t="n">
        <v>11.5</v>
      </c>
      <c r="I525" s="11" t="n">
        <f aca="false">SUMIFS(Eventos_Paro!$J$2:$J$2186,Eventos_Paro!$D$2:$D$2186,$E525,Eventos_Paro!$B$2:$B$2186,$B525)</f>
        <v>0.816666666666667</v>
      </c>
      <c r="J525" s="12" t="n">
        <f aca="false">G525-H525-I525</f>
        <v>68.4833333333333</v>
      </c>
      <c r="K525" s="13" t="n">
        <v>222494</v>
      </c>
      <c r="L525" s="13" t="n">
        <v>272456</v>
      </c>
      <c r="M525" s="13" t="n">
        <v>5487</v>
      </c>
      <c r="N525" s="14" t="n">
        <f aca="false">L525+M525</f>
        <v>277943</v>
      </c>
      <c r="O525" s="11" t="n">
        <f aca="false">INDEX(Parametros!$D$2:$D$9,MATCH($E525,Parametros!$A$2:$A$9,0))</f>
        <v>4800</v>
      </c>
      <c r="P525" s="15" t="n">
        <f aca="false">IF((G525-H525)&gt;0,J525/(G525-H525),0)</f>
        <v>0.988215488215488</v>
      </c>
      <c r="Q525" s="15" t="n">
        <f aca="false">IF(J525*O525&gt;0,N525/(O525*J525),0)</f>
        <v>0.845531151131662</v>
      </c>
      <c r="R525" s="15" t="n">
        <f aca="false">IF(N525&gt;0,L525/N525,0)</f>
        <v>0.980258542219088</v>
      </c>
      <c r="S525" s="15" t="n">
        <f aca="false">P525*Q525*R525</f>
        <v>0.819071669071669</v>
      </c>
      <c r="T525" s="15" t="n">
        <f aca="false">IF(K525&gt;0,L525/K525,0)</f>
        <v>1.22455437000548</v>
      </c>
      <c r="U525" s="10" t="n">
        <v>977.1</v>
      </c>
      <c r="V525" s="5" t="n">
        <v>11</v>
      </c>
      <c r="W525" s="10" t="n">
        <v>88.3</v>
      </c>
      <c r="X525" s="15" t="n">
        <f aca="false">IF(U525&gt;0,W525/U525,0)</f>
        <v>0.0903694606488589</v>
      </c>
      <c r="Y525" s="12" t="n">
        <f aca="false">IF(U525&gt;0,L525/U525,0)</f>
        <v>278.841469655102</v>
      </c>
      <c r="Z525" s="16" t="n">
        <f aca="false">L525*INDEX(Parametros!$E$2:$E$9,MATCH($E525,Parametros!$A$2:$A$9,0))</f>
        <v>158024.48</v>
      </c>
      <c r="AA525" s="16" t="n">
        <f aca="false">Z525*INDEX(Parametros!$F$2:$F$9,MATCH($E525,Parametros!$A$2:$A$9,0))</f>
        <v>4424.68544</v>
      </c>
      <c r="AB525" s="17" t="n">
        <f aca="false">Z525+AA525</f>
        <v>162449.16544</v>
      </c>
      <c r="AC525" s="18" t="n">
        <v>164478.78</v>
      </c>
      <c r="AD525" s="17" t="n">
        <f aca="false">AC525-AB525</f>
        <v>2029.61456000002</v>
      </c>
      <c r="AE525" s="17" t="n">
        <f aca="false">AA525+AD525</f>
        <v>6454.30000000002</v>
      </c>
      <c r="AF525" s="19" t="n">
        <f aca="false">IF(Z525&gt;0,AE525/Z525,0)</f>
        <v>0.0408436718159112</v>
      </c>
      <c r="AG525" s="16" t="n">
        <f aca="false">(U525-W525)*INDEX(Parametros!$H$2:$H$9,MATCH($E525,Parametros!$A$2:$A$9,0))+W525*INDEX(Parametros!$H$2:$H$9,MATCH($E525,Parametros!$A$2:$A$9,0))*Parametros!$N$3</f>
        <v>32169.375</v>
      </c>
      <c r="AH525" s="13" t="n">
        <v>14903</v>
      </c>
      <c r="AI525" s="16" t="n">
        <f aca="false">AH525*Parametros!$N$2</f>
        <v>1371.076</v>
      </c>
      <c r="AJ525" s="18" t="n">
        <v>9222</v>
      </c>
      <c r="AK525" s="18" t="n">
        <v>811</v>
      </c>
      <c r="AL525" s="17" t="n">
        <f aca="false">AG525+AI525+AJ525+AK525</f>
        <v>43573.451</v>
      </c>
      <c r="AM525" s="20" t="n">
        <f aca="false">IF(L525&gt;0,AL525/L525,0)</f>
        <v>0.159928395777667</v>
      </c>
      <c r="AN525" s="16" t="n">
        <f aca="false">L525*INDEX(Parametros!$G$2:$G$9,MATCH($E525,Parametros!$A$2:$A$9,0))</f>
        <v>267006.88</v>
      </c>
      <c r="AO525" s="17" t="n">
        <f aca="false">AN525-AC525-AL525</f>
        <v>58954.649</v>
      </c>
      <c r="AP525" s="15" t="n">
        <f aca="false">IF(AN525&gt;0,AO525/AN525,0)</f>
        <v>0.220798239356229</v>
      </c>
      <c r="AQ525" s="16" t="n">
        <f aca="false">INDEX(Parametros!$I$2:$I$9,MATCH($E525,Parametros!$A$2:$A$9,0))</f>
        <v>17000000</v>
      </c>
      <c r="AR525" s="19" t="n">
        <f aca="false">IF(AQ525&gt;0,AO525/AQ525,0)</f>
        <v>0.00346792052941177</v>
      </c>
    </row>
    <row r="526" customFormat="false" ht="15" hidden="false" customHeight="false" outlineLevel="0" collapsed="false">
      <c r="A526" s="5" t="s">
        <v>661</v>
      </c>
      <c r="B526" s="9" t="n">
        <v>46006</v>
      </c>
      <c r="C526" s="2" t="str">
        <f aca="false">TEXT(B526,"yyyy")</f>
        <v>2025</v>
      </c>
      <c r="D526" s="2" t="n">
        <f aca="false">WEEKNUM(B526,2)</f>
        <v>51</v>
      </c>
      <c r="E526" s="5" t="s">
        <v>138</v>
      </c>
      <c r="F526" s="6" t="str">
        <f aca="false">INDEX(Parametros!$B$2:$B$9,MATCH($E526,Parametros!$A$2:$A$9,0))</f>
        <v>Queso crema</v>
      </c>
      <c r="G526" s="10" t="n">
        <v>111.2</v>
      </c>
      <c r="H526" s="10" t="n">
        <v>11.1</v>
      </c>
      <c r="I526" s="11" t="n">
        <f aca="false">SUMIFS(Eventos_Paro!$J$2:$J$2186,Eventos_Paro!$D$2:$D$2186,$E526,Eventos_Paro!$B$2:$B$2186,$B526)</f>
        <v>7.95</v>
      </c>
      <c r="J526" s="12" t="n">
        <f aca="false">G526-H526-I526</f>
        <v>92.15</v>
      </c>
      <c r="K526" s="13" t="n">
        <v>293220</v>
      </c>
      <c r="L526" s="13" t="n">
        <v>282108</v>
      </c>
      <c r="M526" s="13" t="n">
        <v>12483</v>
      </c>
      <c r="N526" s="14" t="n">
        <f aca="false">L526+M526</f>
        <v>294591</v>
      </c>
      <c r="O526" s="11" t="n">
        <f aca="false">INDEX(Parametros!$D$2:$D$9,MATCH($E526,Parametros!$A$2:$A$9,0))</f>
        <v>3800</v>
      </c>
      <c r="P526" s="15" t="n">
        <f aca="false">IF((G526-H526)&gt;0,J526/(G526-H526),0)</f>
        <v>0.920579420579421</v>
      </c>
      <c r="Q526" s="15" t="n">
        <f aca="false">IF(J526*O526&gt;0,N526/(O526*J526),0)</f>
        <v>0.841279949738698</v>
      </c>
      <c r="R526" s="15" t="n">
        <f aca="false">IF(N526&gt;0,L526/N526,0)</f>
        <v>0.957625996720877</v>
      </c>
      <c r="S526" s="15" t="n">
        <f aca="false">P526*Q526*R526</f>
        <v>0.741647825858352</v>
      </c>
      <c r="T526" s="15" t="n">
        <f aca="false">IF(K526&gt;0,L526/K526,0)</f>
        <v>0.962103540004093</v>
      </c>
      <c r="U526" s="10" t="n">
        <v>1739.3</v>
      </c>
      <c r="V526" s="5" t="n">
        <v>15</v>
      </c>
      <c r="W526" s="10" t="n">
        <v>71.3</v>
      </c>
      <c r="X526" s="15" t="n">
        <f aca="false">IF(U526&gt;0,W526/U526,0)</f>
        <v>0.0409935031334445</v>
      </c>
      <c r="Y526" s="12" t="n">
        <f aca="false">IF(U526&gt;0,L526/U526,0)</f>
        <v>162.196285862128</v>
      </c>
      <c r="Z526" s="16" t="n">
        <f aca="false">L526*INDEX(Parametros!$E$2:$E$9,MATCH($E526,Parametros!$A$2:$A$9,0))</f>
        <v>315960.96</v>
      </c>
      <c r="AA526" s="16" t="n">
        <f aca="false">Z526*INDEX(Parametros!$F$2:$F$9,MATCH($E526,Parametros!$A$2:$A$9,0))</f>
        <v>11058.6336</v>
      </c>
      <c r="AB526" s="17" t="n">
        <f aca="false">Z526+AA526</f>
        <v>327019.5936</v>
      </c>
      <c r="AC526" s="18" t="n">
        <v>321496.94</v>
      </c>
      <c r="AD526" s="17" t="n">
        <f aca="false">AC526-AB526</f>
        <v>-5522.65360000002</v>
      </c>
      <c r="AE526" s="17" t="n">
        <f aca="false">AA526+AD526</f>
        <v>5535.97999999998</v>
      </c>
      <c r="AF526" s="19" t="n">
        <f aca="false">IF(Z526&gt;0,AE526/Z526,0)</f>
        <v>0.0175210886813358</v>
      </c>
      <c r="AG526" s="16" t="n">
        <f aca="false">(U526-W526)*INDEX(Parametros!$H$2:$H$9,MATCH($E526,Parametros!$A$2:$A$9,0))+W526*INDEX(Parametros!$H$2:$H$9,MATCH($E526,Parametros!$A$2:$A$9,0))*Parametros!$N$3</f>
        <v>58573.35</v>
      </c>
      <c r="AH526" s="13" t="n">
        <v>15433</v>
      </c>
      <c r="AI526" s="16" t="n">
        <f aca="false">AH526*Parametros!$N$2</f>
        <v>1419.836</v>
      </c>
      <c r="AJ526" s="18" t="n">
        <v>19347</v>
      </c>
      <c r="AK526" s="18" t="n">
        <v>8087</v>
      </c>
      <c r="AL526" s="17" t="n">
        <f aca="false">AG526+AI526+AJ526+AK526</f>
        <v>87427.186</v>
      </c>
      <c r="AM526" s="20" t="n">
        <f aca="false">IF(L526&gt;0,AL526/L526,0)</f>
        <v>0.309906794560948</v>
      </c>
      <c r="AN526" s="16" t="n">
        <f aca="false">L526*INDEX(Parametros!$G$2:$G$9,MATCH($E526,Parametros!$A$2:$A$9,0))</f>
        <v>504973.32</v>
      </c>
      <c r="AO526" s="17" t="n">
        <f aca="false">AN526-AC526-AL526</f>
        <v>96049.194</v>
      </c>
      <c r="AP526" s="15" t="n">
        <f aca="false">IF(AN526&gt;0,AO526/AN526,0)</f>
        <v>0.190206472690478</v>
      </c>
      <c r="AQ526" s="16" t="n">
        <f aca="false">INDEX(Parametros!$I$2:$I$9,MATCH($E526,Parametros!$A$2:$A$9,0))</f>
        <v>33200000</v>
      </c>
      <c r="AR526" s="19" t="n">
        <f aca="false">IF(AQ526&gt;0,AO526/AQ526,0)</f>
        <v>0.00289304801204819</v>
      </c>
    </row>
    <row r="527" customFormat="false" ht="15" hidden="false" customHeight="false" outlineLevel="0" collapsed="false">
      <c r="A527" s="5" t="s">
        <v>662</v>
      </c>
      <c r="B527" s="9" t="n">
        <v>46006</v>
      </c>
      <c r="C527" s="2" t="str">
        <f aca="false">TEXT(B527,"yyyy")</f>
        <v>2025</v>
      </c>
      <c r="D527" s="2" t="n">
        <f aca="false">WEEKNUM(B527,2)</f>
        <v>51</v>
      </c>
      <c r="E527" s="5" t="s">
        <v>140</v>
      </c>
      <c r="F527" s="6" t="str">
        <f aca="false">INDEX(Parametros!$B$2:$B$9,MATCH($E527,Parametros!$A$2:$A$9,0))</f>
        <v>Crema de cacahuate</v>
      </c>
      <c r="G527" s="10" t="n">
        <v>101.3</v>
      </c>
      <c r="H527" s="10" t="n">
        <v>9.2</v>
      </c>
      <c r="I527" s="11" t="n">
        <f aca="false">SUMIFS(Eventos_Paro!$J$2:$J$2186,Eventos_Paro!$D$2:$D$2186,$E527,Eventos_Paro!$B$2:$B$2186,$B527)</f>
        <v>1.06666666666667</v>
      </c>
      <c r="J527" s="12" t="n">
        <f aca="false">G527-H527-I527</f>
        <v>91.0333333333333</v>
      </c>
      <c r="K527" s="13" t="n">
        <v>298184</v>
      </c>
      <c r="L527" s="13" t="n">
        <v>335378</v>
      </c>
      <c r="M527" s="13" t="n">
        <v>7287</v>
      </c>
      <c r="N527" s="14" t="n">
        <f aca="false">L527+M527</f>
        <v>342665</v>
      </c>
      <c r="O527" s="11" t="n">
        <f aca="false">INDEX(Parametros!$D$2:$D$9,MATCH($E527,Parametros!$A$2:$A$9,0))</f>
        <v>4200</v>
      </c>
      <c r="P527" s="15" t="n">
        <f aca="false">IF((G527-H527)&gt;0,J527/(G527-H527),0)</f>
        <v>0.988418385812523</v>
      </c>
      <c r="Q527" s="15" t="n">
        <f aca="false">IF(J527*O527&gt;0,N527/(O527*J527),0)</f>
        <v>0.89623110320657</v>
      </c>
      <c r="R527" s="15" t="n">
        <f aca="false">IF(N527&gt;0,L527/N527,0)</f>
        <v>0.97873433236543</v>
      </c>
      <c r="S527" s="15" t="n">
        <f aca="false">P527*Q527*R527</f>
        <v>0.867013081019596</v>
      </c>
      <c r="T527" s="15" t="n">
        <f aca="false">IF(K527&gt;0,L527/K527,0)</f>
        <v>1.12473506291417</v>
      </c>
      <c r="U527" s="10" t="n">
        <v>1242</v>
      </c>
      <c r="V527" s="5" t="n">
        <v>12</v>
      </c>
      <c r="W527" s="10" t="n">
        <v>26.4</v>
      </c>
      <c r="X527" s="15" t="n">
        <f aca="false">IF(U527&gt;0,W527/U527,0)</f>
        <v>0.021256038647343</v>
      </c>
      <c r="Y527" s="12" t="n">
        <f aca="false">IF(U527&gt;0,L527/U527,0)</f>
        <v>270.030595813205</v>
      </c>
      <c r="Z527" s="16" t="n">
        <f aca="false">L527*INDEX(Parametros!$E$2:$E$9,MATCH($E527,Parametros!$A$2:$A$9,0))</f>
        <v>325316.66</v>
      </c>
      <c r="AA527" s="16" t="n">
        <f aca="false">Z527*INDEX(Parametros!$F$2:$F$9,MATCH($E527,Parametros!$A$2:$A$9,0))</f>
        <v>7156.96652</v>
      </c>
      <c r="AB527" s="17" t="n">
        <f aca="false">Z527+AA527</f>
        <v>332473.62652</v>
      </c>
      <c r="AC527" s="18" t="n">
        <v>337272.35</v>
      </c>
      <c r="AD527" s="17" t="n">
        <f aca="false">AC527-AB527</f>
        <v>4798.72347999999</v>
      </c>
      <c r="AE527" s="17" t="n">
        <f aca="false">AA527+AD527</f>
        <v>11955.69</v>
      </c>
      <c r="AF527" s="19" t="n">
        <f aca="false">IF(Z527&gt;0,AE527/Z527,0)</f>
        <v>0.0367509306163416</v>
      </c>
      <c r="AG527" s="16" t="n">
        <f aca="false">(U527-W527)*INDEX(Parametros!$H$2:$H$9,MATCH($E527,Parametros!$A$2:$A$9,0))+W527*INDEX(Parametros!$H$2:$H$9,MATCH($E527,Parametros!$A$2:$A$9,0))*Parametros!$N$3</f>
        <v>39538.8</v>
      </c>
      <c r="AH527" s="13" t="n">
        <v>16884</v>
      </c>
      <c r="AI527" s="16" t="n">
        <f aca="false">AH527*Parametros!$N$2</f>
        <v>1553.328</v>
      </c>
      <c r="AJ527" s="18" t="n">
        <v>11668</v>
      </c>
      <c r="AK527" s="18" t="n">
        <v>794</v>
      </c>
      <c r="AL527" s="17" t="n">
        <f aca="false">AG527+AI527+AJ527+AK527</f>
        <v>53554.128</v>
      </c>
      <c r="AM527" s="20" t="n">
        <f aca="false">IF(L527&gt;0,AL527/L527,0)</f>
        <v>0.159682889157905</v>
      </c>
      <c r="AN527" s="16" t="n">
        <f aca="false">L527*INDEX(Parametros!$G$2:$G$9,MATCH($E527,Parametros!$A$2:$A$9,0))</f>
        <v>543312.36</v>
      </c>
      <c r="AO527" s="17" t="n">
        <f aca="false">AN527-AC527-AL527</f>
        <v>152485.882</v>
      </c>
      <c r="AP527" s="15" t="n">
        <f aca="false">IF(AN527&gt;0,AO527/AN527,0)</f>
        <v>0.280659696385335</v>
      </c>
      <c r="AQ527" s="16" t="n">
        <f aca="false">INDEX(Parametros!$I$2:$I$9,MATCH($E527,Parametros!$A$2:$A$9,0))</f>
        <v>28000000</v>
      </c>
      <c r="AR527" s="19" t="n">
        <f aca="false">IF(AQ527&gt;0,AO527/AQ527,0)</f>
        <v>0.00544592435714286</v>
      </c>
    </row>
    <row r="528" customFormat="false" ht="15" hidden="false" customHeight="false" outlineLevel="0" collapsed="false">
      <c r="A528" s="5" t="s">
        <v>663</v>
      </c>
      <c r="B528" s="9" t="n">
        <v>46006</v>
      </c>
      <c r="C528" s="2" t="str">
        <f aca="false">TEXT(B528,"yyyy")</f>
        <v>2025</v>
      </c>
      <c r="D528" s="2" t="n">
        <f aca="false">WEEKNUM(B528,2)</f>
        <v>51</v>
      </c>
      <c r="E528" s="5" t="s">
        <v>142</v>
      </c>
      <c r="F528" s="6" t="str">
        <f aca="false">INDEX(Parametros!$B$2:$B$9,MATCH($E528,Parametros!$A$2:$A$9,0))</f>
        <v>Porciones single serve</v>
      </c>
      <c r="G528" s="10" t="n">
        <v>103.4</v>
      </c>
      <c r="H528" s="10" t="n">
        <v>12.1</v>
      </c>
      <c r="I528" s="11" t="n">
        <f aca="false">SUMIFS(Eventos_Paro!$J$2:$J$2186,Eventos_Paro!$D$2:$D$2186,$E528,Eventos_Paro!$B$2:$B$2186,$B528)</f>
        <v>2.06666666666667</v>
      </c>
      <c r="J528" s="12" t="n">
        <f aca="false">G528-H528-I528</f>
        <v>89.2333333333334</v>
      </c>
      <c r="K528" s="13" t="n">
        <v>182987</v>
      </c>
      <c r="L528" s="13" t="n">
        <v>170286</v>
      </c>
      <c r="M528" s="13" t="n">
        <v>9780</v>
      </c>
      <c r="N528" s="14" t="n">
        <f aca="false">L528+M528</f>
        <v>180066</v>
      </c>
      <c r="O528" s="11" t="n">
        <f aca="false">INDEX(Parametros!$D$2:$D$9,MATCH($E528,Parametros!$A$2:$A$9,0))</f>
        <v>2600</v>
      </c>
      <c r="P528" s="15" t="n">
        <f aca="false">IF((G528-H528)&gt;0,J528/(G528-H528),0)</f>
        <v>0.977364001460387</v>
      </c>
      <c r="Q528" s="15" t="n">
        <f aca="false">IF(J528*O528&gt;0,N528/(O528*J528),0)</f>
        <v>0.776124249303181</v>
      </c>
      <c r="R528" s="15" t="n">
        <f aca="false">IF(N528&gt;0,L528/N528,0)</f>
        <v>0.945686581586752</v>
      </c>
      <c r="S528" s="15" t="n">
        <f aca="false">P528*Q528*R528</f>
        <v>0.717356137838066</v>
      </c>
      <c r="T528" s="15" t="n">
        <f aca="false">IF(K528&gt;0,L528/K528,0)</f>
        <v>0.930590697699837</v>
      </c>
      <c r="U528" s="10" t="n">
        <v>1918.1</v>
      </c>
      <c r="V528" s="5" t="n">
        <v>17</v>
      </c>
      <c r="W528" s="10" t="n">
        <v>160.3</v>
      </c>
      <c r="X528" s="15" t="n">
        <f aca="false">IF(U528&gt;0,W528/U528,0)</f>
        <v>0.0835722850737709</v>
      </c>
      <c r="Y528" s="12" t="n">
        <f aca="false">IF(U528&gt;0,L528/U528,0)</f>
        <v>88.7784787028831</v>
      </c>
      <c r="Z528" s="16" t="n">
        <f aca="false">L528*INDEX(Parametros!$E$2:$E$9,MATCH($E528,Parametros!$A$2:$A$9,0))</f>
        <v>126011.64</v>
      </c>
      <c r="AA528" s="16" t="n">
        <f aca="false">Z528*INDEX(Parametros!$F$2:$F$9,MATCH($E528,Parametros!$A$2:$A$9,0))</f>
        <v>5670.5238</v>
      </c>
      <c r="AB528" s="17" t="n">
        <f aca="false">Z528+AA528</f>
        <v>131682.1638</v>
      </c>
      <c r="AC528" s="18" t="n">
        <v>134057.96</v>
      </c>
      <c r="AD528" s="17" t="n">
        <f aca="false">AC528-AB528</f>
        <v>2375.79619999998</v>
      </c>
      <c r="AE528" s="17" t="n">
        <f aca="false">AA528+AD528</f>
        <v>8046.31999999998</v>
      </c>
      <c r="AF528" s="19" t="n">
        <f aca="false">IF(Z528&gt;0,AE528/Z528,0)</f>
        <v>0.0638537836663342</v>
      </c>
      <c r="AG528" s="16" t="n">
        <f aca="false">(U528-W528)*INDEX(Parametros!$H$2:$H$9,MATCH($E528,Parametros!$A$2:$A$9,0))+W528*INDEX(Parametros!$H$2:$H$9,MATCH($E528,Parametros!$A$2:$A$9,0))*Parametros!$N$3</f>
        <v>59947.5</v>
      </c>
      <c r="AH528" s="13" t="n">
        <v>9251</v>
      </c>
      <c r="AI528" s="16" t="n">
        <f aca="false">AH528*Parametros!$N$2</f>
        <v>851.092</v>
      </c>
      <c r="AJ528" s="18" t="n">
        <v>12377</v>
      </c>
      <c r="AK528" s="18" t="n">
        <v>1949</v>
      </c>
      <c r="AL528" s="17" t="n">
        <f aca="false">AG528+AI528+AJ528+AK528</f>
        <v>75124.592</v>
      </c>
      <c r="AM528" s="20" t="n">
        <f aca="false">IF(L528&gt;0,AL528/L528,0)</f>
        <v>0.441167165826903</v>
      </c>
      <c r="AN528" s="16" t="n">
        <f aca="false">L528*INDEX(Parametros!$G$2:$G$9,MATCH($E528,Parametros!$A$2:$A$9,0))</f>
        <v>292891.92</v>
      </c>
      <c r="AO528" s="17" t="n">
        <f aca="false">AN528-AC528-AL528</f>
        <v>83709.368</v>
      </c>
      <c r="AP528" s="15" t="n">
        <f aca="false">IF(AN528&gt;0,AO528/AN528,0)</f>
        <v>0.285802926895354</v>
      </c>
      <c r="AQ528" s="16" t="n">
        <f aca="false">INDEX(Parametros!$I$2:$I$9,MATCH($E528,Parametros!$A$2:$A$9,0))</f>
        <v>15900000</v>
      </c>
      <c r="AR528" s="19" t="n">
        <f aca="false">IF(AQ528&gt;0,AO528/AQ528,0)</f>
        <v>0.00526474012578616</v>
      </c>
    </row>
    <row r="529" customFormat="false" ht="15" hidden="false" customHeight="false" outlineLevel="0" collapsed="false">
      <c r="A529" s="5" t="s">
        <v>664</v>
      </c>
      <c r="B529" s="9" t="n">
        <v>46006</v>
      </c>
      <c r="C529" s="2" t="str">
        <f aca="false">TEXT(B529,"yyyy")</f>
        <v>2025</v>
      </c>
      <c r="D529" s="2" t="n">
        <f aca="false">WEEKNUM(B529,2)</f>
        <v>51</v>
      </c>
      <c r="E529" s="5" t="s">
        <v>144</v>
      </c>
      <c r="F529" s="6" t="str">
        <f aca="false">INDEX(Parametros!$B$2:$B$9,MATCH($E529,Parametros!$A$2:$A$9,0))</f>
        <v>Salsas picantes</v>
      </c>
      <c r="G529" s="10" t="n">
        <v>91.3</v>
      </c>
      <c r="H529" s="10" t="n">
        <v>12.5</v>
      </c>
      <c r="I529" s="11" t="n">
        <f aca="false">SUMIFS(Eventos_Paro!$J$2:$J$2186,Eventos_Paro!$D$2:$D$2186,$E529,Eventos_Paro!$B$2:$B$2186,$B529)</f>
        <v>0.366666666666667</v>
      </c>
      <c r="J529" s="12" t="n">
        <f aca="false">G529-H529-I529</f>
        <v>78.4333333333333</v>
      </c>
      <c r="K529" s="13" t="n">
        <v>206300</v>
      </c>
      <c r="L529" s="13" t="n">
        <v>198009</v>
      </c>
      <c r="M529" s="13" t="n">
        <v>4990</v>
      </c>
      <c r="N529" s="14" t="n">
        <f aca="false">L529+M529</f>
        <v>202999</v>
      </c>
      <c r="O529" s="11" t="n">
        <f aca="false">INDEX(Parametros!$D$2:$D$9,MATCH($E529,Parametros!$A$2:$A$9,0))</f>
        <v>3100</v>
      </c>
      <c r="P529" s="15" t="n">
        <f aca="false">IF((G529-H529)&gt;0,J529/(G529-H529),0)</f>
        <v>0.995346869712352</v>
      </c>
      <c r="Q529" s="15" t="n">
        <f aca="false">IF(J529*O529&gt;0,N529/(O529*J529),0)</f>
        <v>0.834894369576244</v>
      </c>
      <c r="R529" s="15" t="n">
        <f aca="false">IF(N529&gt;0,L529/N529,0)</f>
        <v>0.975418598121173</v>
      </c>
      <c r="S529" s="15" t="n">
        <f aca="false">P529*Q529*R529</f>
        <v>0.810582118879974</v>
      </c>
      <c r="T529" s="15" t="n">
        <f aca="false">IF(K529&gt;0,L529/K529,0)</f>
        <v>0.959810954920019</v>
      </c>
      <c r="U529" s="10" t="n">
        <v>757</v>
      </c>
      <c r="V529" s="5" t="n">
        <v>8</v>
      </c>
      <c r="W529" s="10" t="n">
        <v>26.6</v>
      </c>
      <c r="X529" s="15" t="n">
        <f aca="false">IF(U529&gt;0,W529/U529,0)</f>
        <v>0.0351387054161163</v>
      </c>
      <c r="Y529" s="12" t="n">
        <f aca="false">IF(U529&gt;0,L529/U529,0)</f>
        <v>261.570673712021</v>
      </c>
      <c r="Z529" s="16" t="n">
        <f aca="false">L529*INDEX(Parametros!$E$2:$E$9,MATCH($E529,Parametros!$A$2:$A$9,0))</f>
        <v>130685.94</v>
      </c>
      <c r="AA529" s="16" t="n">
        <f aca="false">Z529*INDEX(Parametros!$F$2:$F$9,MATCH($E529,Parametros!$A$2:$A$9,0))</f>
        <v>3397.83444</v>
      </c>
      <c r="AB529" s="17" t="n">
        <f aca="false">Z529+AA529</f>
        <v>134083.77444</v>
      </c>
      <c r="AC529" s="18" t="n">
        <v>135806.16</v>
      </c>
      <c r="AD529" s="17" t="n">
        <f aca="false">AC529-AB529</f>
        <v>1722.38556</v>
      </c>
      <c r="AE529" s="17" t="n">
        <f aca="false">AA529+AD529</f>
        <v>5120.22</v>
      </c>
      <c r="AF529" s="19" t="n">
        <f aca="false">IF(Z529&gt;0,AE529/Z529,0)</f>
        <v>0.0391795781550792</v>
      </c>
      <c r="AG529" s="16" t="n">
        <f aca="false">(U529-W529)*INDEX(Parametros!$H$2:$H$9,MATCH($E529,Parametros!$A$2:$A$9,0))+W529*INDEX(Parametros!$H$2:$H$9,MATCH($E529,Parametros!$A$2:$A$9,0))*Parametros!$N$3</f>
        <v>24264.45</v>
      </c>
      <c r="AH529" s="13" t="n">
        <v>10345</v>
      </c>
      <c r="AI529" s="16" t="n">
        <f aca="false">AH529*Parametros!$N$2</f>
        <v>951.74</v>
      </c>
      <c r="AJ529" s="18" t="n">
        <v>6492</v>
      </c>
      <c r="AK529" s="18" t="n">
        <v>282</v>
      </c>
      <c r="AL529" s="17" t="n">
        <f aca="false">AG529+AI529+AJ529+AK529</f>
        <v>31990.19</v>
      </c>
      <c r="AM529" s="20" t="n">
        <f aca="false">IF(L529&gt;0,AL529/L529,0)</f>
        <v>0.161559272558318</v>
      </c>
      <c r="AN529" s="16" t="n">
        <f aca="false">L529*INDEX(Parametros!$G$2:$G$9,MATCH($E529,Parametros!$A$2:$A$9,0))</f>
        <v>247511.25</v>
      </c>
      <c r="AO529" s="17" t="n">
        <f aca="false">AN529-AC529-AL529</f>
        <v>79714.9</v>
      </c>
      <c r="AP529" s="15" t="n">
        <f aca="false">IF(AN529&gt;0,AO529/AN529,0)</f>
        <v>0.322065764687464</v>
      </c>
      <c r="AQ529" s="16" t="n">
        <f aca="false">INDEX(Parametros!$I$2:$I$9,MATCH($E529,Parametros!$A$2:$A$9,0))</f>
        <v>13300000</v>
      </c>
      <c r="AR529" s="19" t="n">
        <f aca="false">IF(AQ529&gt;0,AO529/AQ529,0)</f>
        <v>0.0059936015037594</v>
      </c>
    </row>
    <row r="530" customFormat="false" ht="15" hidden="false" customHeight="false" outlineLevel="0" collapsed="false">
      <c r="A530" s="5" t="s">
        <v>665</v>
      </c>
      <c r="B530" s="9" t="n">
        <v>46013</v>
      </c>
      <c r="C530" s="2" t="str">
        <f aca="false">TEXT(B530,"yyyy")</f>
        <v>2025</v>
      </c>
      <c r="D530" s="2" t="n">
        <f aca="false">WEEKNUM(B530,2)</f>
        <v>52</v>
      </c>
      <c r="E530" s="5" t="s">
        <v>130</v>
      </c>
      <c r="F530" s="6" t="str">
        <f aca="false">INDEX(Parametros!$B$2:$B$9,MATCH($E530,Parametros!$A$2:$A$9,0))</f>
        <v>Ketchup botella</v>
      </c>
      <c r="G530" s="10" t="n">
        <v>96.7</v>
      </c>
      <c r="H530" s="10" t="n">
        <v>6.8</v>
      </c>
      <c r="I530" s="11" t="n">
        <f aca="false">SUMIFS(Eventos_Paro!$J$2:$J$2186,Eventos_Paro!$D$2:$D$2186,$E530,Eventos_Paro!$B$2:$B$2186,$B530)</f>
        <v>0</v>
      </c>
      <c r="J530" s="12" t="n">
        <f aca="false">G530-H530-I530</f>
        <v>89.9</v>
      </c>
      <c r="K530" s="13" t="n">
        <v>622588</v>
      </c>
      <c r="L530" s="13" t="n">
        <v>695011</v>
      </c>
      <c r="M530" s="13" t="n">
        <v>12033</v>
      </c>
      <c r="N530" s="14" t="n">
        <f aca="false">L530+M530</f>
        <v>707044</v>
      </c>
      <c r="O530" s="11" t="n">
        <f aca="false">INDEX(Parametros!$D$2:$D$9,MATCH($E530,Parametros!$A$2:$A$9,0))</f>
        <v>9000</v>
      </c>
      <c r="P530" s="15" t="n">
        <f aca="false">IF((G530-H530)&gt;0,J530/(G530-H530),0)</f>
        <v>1</v>
      </c>
      <c r="Q530" s="15" t="n">
        <f aca="false">IF(J530*O530&gt;0,N530/(O530*J530),0)</f>
        <v>0.87386478803609</v>
      </c>
      <c r="R530" s="15" t="n">
        <f aca="false">IF(N530&gt;0,L530/N530,0)</f>
        <v>0.982981257177771</v>
      </c>
      <c r="S530" s="15" t="n">
        <f aca="false">P530*Q530*R530</f>
        <v>0.858992707947102</v>
      </c>
      <c r="T530" s="15" t="n">
        <f aca="false">IF(K530&gt;0,L530/K530,0)</f>
        <v>1.11632572423497</v>
      </c>
      <c r="U530" s="10" t="n">
        <v>1376.1</v>
      </c>
      <c r="V530" s="5" t="n">
        <v>13</v>
      </c>
      <c r="W530" s="10" t="n">
        <v>119</v>
      </c>
      <c r="X530" s="15" t="n">
        <f aca="false">IF(U530&gt;0,W530/U530,0)</f>
        <v>0.0864762735266332</v>
      </c>
      <c r="Y530" s="12" t="n">
        <f aca="false">IF(U530&gt;0,L530/U530,0)</f>
        <v>505.058498655621</v>
      </c>
      <c r="Z530" s="16" t="n">
        <f aca="false">L530*INDEX(Parametros!$E$2:$E$9,MATCH($E530,Parametros!$A$2:$A$9,0))</f>
        <v>291904.62</v>
      </c>
      <c r="AA530" s="16" t="n">
        <f aca="false">Z530*INDEX(Parametros!$F$2:$F$9,MATCH($E530,Parametros!$A$2:$A$9,0))</f>
        <v>5838.0924</v>
      </c>
      <c r="AB530" s="17" t="n">
        <f aca="false">Z530+AA530</f>
        <v>297742.7124</v>
      </c>
      <c r="AC530" s="18" t="n">
        <v>294470.33</v>
      </c>
      <c r="AD530" s="17" t="n">
        <f aca="false">AC530-AB530</f>
        <v>-3272.3824</v>
      </c>
      <c r="AE530" s="17" t="n">
        <f aca="false">AA530+AD530</f>
        <v>2565.71</v>
      </c>
      <c r="AF530" s="19" t="n">
        <f aca="false">IF(Z530&gt;0,AE530/Z530,0)</f>
        <v>0.00878954913423432</v>
      </c>
      <c r="AG530" s="16" t="n">
        <f aca="false">(U530-W530)*INDEX(Parametros!$H$2:$H$9,MATCH($E530,Parametros!$A$2:$A$9,0))+W530*INDEX(Parametros!$H$2:$H$9,MATCH($E530,Parametros!$A$2:$A$9,0))*Parametros!$N$3</f>
        <v>45221.4</v>
      </c>
      <c r="AH530" s="13" t="n">
        <v>35894</v>
      </c>
      <c r="AI530" s="16" t="n">
        <f aca="false">AH530*Parametros!$N$2</f>
        <v>3302.248</v>
      </c>
      <c r="AJ530" s="18" t="n">
        <v>15130</v>
      </c>
      <c r="AK530" s="18" t="n">
        <v>0</v>
      </c>
      <c r="AL530" s="17" t="n">
        <f aca="false">AG530+AI530+AJ530+AK530</f>
        <v>63653.648</v>
      </c>
      <c r="AM530" s="20" t="n">
        <f aca="false">IF(L530&gt;0,AL530/L530,0)</f>
        <v>0.0915865331627845</v>
      </c>
      <c r="AN530" s="16" t="n">
        <f aca="false">L530*INDEX(Parametros!$G$2:$G$9,MATCH($E530,Parametros!$A$2:$A$9,0))</f>
        <v>493457.81</v>
      </c>
      <c r="AO530" s="17" t="n">
        <f aca="false">AN530-AC530-AL530</f>
        <v>135333.832</v>
      </c>
      <c r="AP530" s="15" t="n">
        <f aca="false">IF(AN530&gt;0,AO530/AN530,0)</f>
        <v>0.274256135494137</v>
      </c>
      <c r="AQ530" s="16" t="n">
        <f aca="false">INDEX(Parametros!$I$2:$I$9,MATCH($E530,Parametros!$A$2:$A$9,0))</f>
        <v>29300000</v>
      </c>
      <c r="AR530" s="19" t="n">
        <f aca="false">IF(AQ530&gt;0,AO530/AQ530,0)</f>
        <v>0.00461890211604096</v>
      </c>
    </row>
    <row r="531" customFormat="false" ht="15" hidden="false" customHeight="false" outlineLevel="0" collapsed="false">
      <c r="A531" s="5" t="s">
        <v>666</v>
      </c>
      <c r="B531" s="9" t="n">
        <v>46013</v>
      </c>
      <c r="C531" s="2" t="str">
        <f aca="false">TEXT(B531,"yyyy")</f>
        <v>2025</v>
      </c>
      <c r="D531" s="2" t="n">
        <f aca="false">WEEKNUM(B531,2)</f>
        <v>52</v>
      </c>
      <c r="E531" s="5" t="s">
        <v>132</v>
      </c>
      <c r="F531" s="6" t="str">
        <f aca="false">INDEX(Parametros!$B$2:$B$9,MATCH($E531,Parametros!$A$2:$A$9,0))</f>
        <v>Mayonesa frasco</v>
      </c>
      <c r="G531" s="10" t="n">
        <v>94.9</v>
      </c>
      <c r="H531" s="10" t="n">
        <v>5.7</v>
      </c>
      <c r="I531" s="11" t="n">
        <f aca="false">SUMIFS(Eventos_Paro!$J$2:$J$2186,Eventos_Paro!$D$2:$D$2186,$E531,Eventos_Paro!$B$2:$B$2186,$B531)</f>
        <v>8.8</v>
      </c>
      <c r="J531" s="12" t="n">
        <f aca="false">G531-H531-I531</f>
        <v>80.4</v>
      </c>
      <c r="K531" s="13" t="n">
        <v>446146</v>
      </c>
      <c r="L531" s="13" t="n">
        <v>442440</v>
      </c>
      <c r="M531" s="13" t="n">
        <v>11815</v>
      </c>
      <c r="N531" s="14" t="n">
        <f aca="false">L531+M531</f>
        <v>454255</v>
      </c>
      <c r="O531" s="11" t="n">
        <f aca="false">INDEX(Parametros!$D$2:$D$9,MATCH($E531,Parametros!$A$2:$A$9,0))</f>
        <v>6500</v>
      </c>
      <c r="P531" s="15" t="n">
        <f aca="false">IF((G531-H531)&gt;0,J531/(G531-H531),0)</f>
        <v>0.901345291479821</v>
      </c>
      <c r="Q531" s="15" t="n">
        <f aca="false">IF(J531*O531&gt;0,N531/(O531*J531),0)</f>
        <v>0.869221201683888</v>
      </c>
      <c r="R531" s="15" t="n">
        <f aca="false">IF(N531&gt;0,L531/N531,0)</f>
        <v>0.973990379852726</v>
      </c>
      <c r="S531" s="15" t="n">
        <f aca="false">P531*Q531*R531</f>
        <v>0.763090720938255</v>
      </c>
      <c r="T531" s="15" t="n">
        <f aca="false">IF(K531&gt;0,L531/K531,0)</f>
        <v>0.991693302192556</v>
      </c>
      <c r="U531" s="10" t="n">
        <v>1407.7</v>
      </c>
      <c r="V531" s="5" t="n">
        <v>14</v>
      </c>
      <c r="W531" s="10" t="n">
        <v>79.1</v>
      </c>
      <c r="X531" s="15" t="n">
        <f aca="false">IF(U531&gt;0,W531/U531,0)</f>
        <v>0.0561909497762307</v>
      </c>
      <c r="Y531" s="12" t="n">
        <f aca="false">IF(U531&gt;0,L531/U531,0)</f>
        <v>314.299921858351</v>
      </c>
      <c r="Z531" s="16" t="n">
        <f aca="false">L531*INDEX(Parametros!$E$2:$E$9,MATCH($E531,Parametros!$A$2:$A$9,0))</f>
        <v>269888.4</v>
      </c>
      <c r="AA531" s="16" t="n">
        <f aca="false">Z531*INDEX(Parametros!$F$2:$F$9,MATCH($E531,Parametros!$A$2:$A$9,0))</f>
        <v>6747.21</v>
      </c>
      <c r="AB531" s="17" t="n">
        <f aca="false">Z531+AA531</f>
        <v>276635.61</v>
      </c>
      <c r="AC531" s="18" t="n">
        <v>282147.88</v>
      </c>
      <c r="AD531" s="17" t="n">
        <f aca="false">AC531-AB531</f>
        <v>5512.27000000002</v>
      </c>
      <c r="AE531" s="17" t="n">
        <f aca="false">AA531+AD531</f>
        <v>12259.48</v>
      </c>
      <c r="AF531" s="19" t="n">
        <f aca="false">IF(Z531&gt;0,AE531/Z531,0)</f>
        <v>0.0454242568409758</v>
      </c>
      <c r="AG531" s="16" t="n">
        <f aca="false">(U531-W531)*INDEX(Parametros!$H$2:$H$9,MATCH($E531,Parametros!$A$2:$A$9,0))+W531*INDEX(Parametros!$H$2:$H$9,MATCH($E531,Parametros!$A$2:$A$9,0))*Parametros!$N$3</f>
        <v>45588.375</v>
      </c>
      <c r="AH531" s="13" t="n">
        <v>24893</v>
      </c>
      <c r="AI531" s="16" t="n">
        <f aca="false">AH531*Parametros!$N$2</f>
        <v>2290.156</v>
      </c>
      <c r="AJ531" s="18" t="n">
        <v>13649</v>
      </c>
      <c r="AK531" s="18" t="n">
        <v>7707</v>
      </c>
      <c r="AL531" s="17" t="n">
        <f aca="false">AG531+AI531+AJ531+AK531</f>
        <v>69234.531</v>
      </c>
      <c r="AM531" s="20" t="n">
        <f aca="false">IF(L531&gt;0,AL531/L531,0)</f>
        <v>0.15648343504204</v>
      </c>
      <c r="AN531" s="16" t="n">
        <f aca="false">L531*INDEX(Parametros!$G$2:$G$9,MATCH($E531,Parametros!$A$2:$A$9,0))</f>
        <v>424742.4</v>
      </c>
      <c r="AO531" s="17" t="n">
        <f aca="false">AN531-AC531-AL531</f>
        <v>73359.989</v>
      </c>
      <c r="AP531" s="15" t="n">
        <f aca="false">IF(AN531&gt;0,AO531/AN531,0)</f>
        <v>0.172716425296839</v>
      </c>
      <c r="AQ531" s="16" t="n">
        <f aca="false">INDEX(Parametros!$I$2:$I$9,MATCH($E531,Parametros!$A$2:$A$9,0))</f>
        <v>29700000</v>
      </c>
      <c r="AR531" s="19" t="n">
        <f aca="false">IF(AQ531&gt;0,AO531/AQ531,0)</f>
        <v>0.0024700332996633</v>
      </c>
    </row>
    <row r="532" customFormat="false" ht="15" hidden="false" customHeight="false" outlineLevel="0" collapsed="false">
      <c r="A532" s="5" t="s">
        <v>667</v>
      </c>
      <c r="B532" s="9" t="n">
        <v>46013</v>
      </c>
      <c r="C532" s="2" t="str">
        <f aca="false">TEXT(B532,"yyyy")</f>
        <v>2025</v>
      </c>
      <c r="D532" s="2" t="n">
        <f aca="false">WEEKNUM(B532,2)</f>
        <v>52</v>
      </c>
      <c r="E532" s="5" t="s">
        <v>134</v>
      </c>
      <c r="F532" s="6" t="str">
        <f aca="false">INDEX(Parametros!$B$2:$B$9,MATCH($E532,Parametros!$A$2:$A$9,0))</f>
        <v>Aderezos vertibles</v>
      </c>
      <c r="G532" s="10" t="n">
        <v>92.2</v>
      </c>
      <c r="H532" s="10" t="n">
        <v>7.6</v>
      </c>
      <c r="I532" s="11" t="n">
        <f aca="false">SUMIFS(Eventos_Paro!$J$2:$J$2186,Eventos_Paro!$D$2:$D$2186,$E532,Eventos_Paro!$B$2:$B$2186,$B532)</f>
        <v>0.566666666666667</v>
      </c>
      <c r="J532" s="12" t="n">
        <f aca="false">G532-H532-I532</f>
        <v>84.0333333333334</v>
      </c>
      <c r="K532" s="13" t="n">
        <v>338511</v>
      </c>
      <c r="L532" s="13" t="n">
        <v>370139</v>
      </c>
      <c r="M532" s="13" t="n">
        <v>15819</v>
      </c>
      <c r="N532" s="14" t="n">
        <f aca="false">L532+M532</f>
        <v>385958</v>
      </c>
      <c r="O532" s="11" t="n">
        <f aca="false">INDEX(Parametros!$D$2:$D$9,MATCH($E532,Parametros!$A$2:$A$9,0))</f>
        <v>5200</v>
      </c>
      <c r="P532" s="15" t="n">
        <f aca="false">IF((G532-H532)&gt;0,J532/(G532-H532),0)</f>
        <v>0.993301812450749</v>
      </c>
      <c r="Q532" s="15" t="n">
        <f aca="false">IF(J532*O532&gt;0,N532/(O532*J532),0)</f>
        <v>0.883252982638147</v>
      </c>
      <c r="R532" s="15" t="n">
        <f aca="false">IF(N532&gt;0,L532/N532,0)</f>
        <v>0.95901367506309</v>
      </c>
      <c r="S532" s="15" t="n">
        <f aca="false">P532*Q532*R532</f>
        <v>0.841377977814148</v>
      </c>
      <c r="T532" s="15" t="n">
        <f aca="false">IF(K532&gt;0,L532/K532,0)</f>
        <v>1.09343270971992</v>
      </c>
      <c r="U532" s="10" t="n">
        <v>1326.9</v>
      </c>
      <c r="V532" s="5" t="n">
        <v>13</v>
      </c>
      <c r="W532" s="10" t="n">
        <v>128.3</v>
      </c>
      <c r="X532" s="15" t="n">
        <f aca="false">IF(U532&gt;0,W532/U532,0)</f>
        <v>0.0966915366644058</v>
      </c>
      <c r="Y532" s="12" t="n">
        <f aca="false">IF(U532&gt;0,L532/U532,0)</f>
        <v>278.950184640892</v>
      </c>
      <c r="Z532" s="16" t="n">
        <f aca="false">L532*INDEX(Parametros!$E$2:$E$9,MATCH($E532,Parametros!$A$2:$A$9,0))</f>
        <v>203576.45</v>
      </c>
      <c r="AA532" s="16" t="n">
        <f aca="false">Z532*INDEX(Parametros!$F$2:$F$9,MATCH($E532,Parametros!$A$2:$A$9,0))</f>
        <v>6107.2935</v>
      </c>
      <c r="AB532" s="17" t="n">
        <f aca="false">Z532+AA532</f>
        <v>209683.7435</v>
      </c>
      <c r="AC532" s="18" t="n">
        <v>208872.57</v>
      </c>
      <c r="AD532" s="17" t="n">
        <f aca="false">AC532-AB532</f>
        <v>-811.173500000004</v>
      </c>
      <c r="AE532" s="17" t="n">
        <f aca="false">AA532+AD532</f>
        <v>5296.12</v>
      </c>
      <c r="AF532" s="19" t="n">
        <f aca="false">IF(Z532&gt;0,AE532/Z532,0)</f>
        <v>0.0260153863573119</v>
      </c>
      <c r="AG532" s="16" t="n">
        <f aca="false">(U532-W532)*INDEX(Parametros!$H$2:$H$9,MATCH($E532,Parametros!$A$2:$A$9,0))+W532*INDEX(Parametros!$H$2:$H$9,MATCH($E532,Parametros!$A$2:$A$9,0))*Parametros!$N$3</f>
        <v>43818.075</v>
      </c>
      <c r="AH532" s="13" t="n">
        <v>19101</v>
      </c>
      <c r="AI532" s="16" t="n">
        <f aca="false">AH532*Parametros!$N$2</f>
        <v>1757.292</v>
      </c>
      <c r="AJ532" s="18" t="n">
        <v>13868</v>
      </c>
      <c r="AK532" s="18" t="n">
        <v>450</v>
      </c>
      <c r="AL532" s="17" t="n">
        <f aca="false">AG532+AI532+AJ532+AK532</f>
        <v>59893.367</v>
      </c>
      <c r="AM532" s="20" t="n">
        <f aca="false">IF(L532&gt;0,AL532/L532,0)</f>
        <v>0.161813175590792</v>
      </c>
      <c r="AN532" s="16" t="n">
        <f aca="false">L532*INDEX(Parametros!$G$2:$G$9,MATCH($E532,Parametros!$A$2:$A$9,0))</f>
        <v>377541.78</v>
      </c>
      <c r="AO532" s="17" t="n">
        <f aca="false">AN532-AC532-AL532</f>
        <v>108775.843</v>
      </c>
      <c r="AP532" s="15" t="n">
        <f aca="false">IF(AN532&gt;0,AO532/AN532,0)</f>
        <v>0.28811604109087</v>
      </c>
      <c r="AQ532" s="16" t="n">
        <f aca="false">INDEX(Parametros!$I$2:$I$9,MATCH($E532,Parametros!$A$2:$A$9,0))</f>
        <v>19300000</v>
      </c>
      <c r="AR532" s="19" t="n">
        <f aca="false">IF(AQ532&gt;0,AO532/AQ532,0)</f>
        <v>0.00563605404145078</v>
      </c>
    </row>
    <row r="533" customFormat="false" ht="15" hidden="false" customHeight="false" outlineLevel="0" collapsed="false">
      <c r="A533" s="5" t="s">
        <v>668</v>
      </c>
      <c r="B533" s="9" t="n">
        <v>46013</v>
      </c>
      <c r="C533" s="2" t="str">
        <f aca="false">TEXT(B533,"yyyy")</f>
        <v>2025</v>
      </c>
      <c r="D533" s="2" t="n">
        <f aca="false">WEEKNUM(B533,2)</f>
        <v>52</v>
      </c>
      <c r="E533" s="5" t="s">
        <v>136</v>
      </c>
      <c r="F533" s="6" t="str">
        <f aca="false">INDEX(Parametros!$B$2:$B$9,MATCH($E533,Parametros!$A$2:$A$9,0))</f>
        <v>Salsa BBQ</v>
      </c>
      <c r="G533" s="10" t="n">
        <v>57</v>
      </c>
      <c r="H533" s="10" t="n">
        <v>8</v>
      </c>
      <c r="I533" s="11" t="n">
        <f aca="false">SUMIFS(Eventos_Paro!$J$2:$J$2186,Eventos_Paro!$D$2:$D$2186,$E533,Eventos_Paro!$B$2:$B$2186,$B533)</f>
        <v>3.5</v>
      </c>
      <c r="J533" s="12" t="n">
        <f aca="false">G533-H533-I533</f>
        <v>45.5</v>
      </c>
      <c r="K533" s="13" t="n">
        <v>155860</v>
      </c>
      <c r="L533" s="13" t="n">
        <v>173033</v>
      </c>
      <c r="M533" s="13" t="n">
        <v>4608</v>
      </c>
      <c r="N533" s="14" t="n">
        <f aca="false">L533+M533</f>
        <v>177641</v>
      </c>
      <c r="O533" s="11" t="n">
        <f aca="false">INDEX(Parametros!$D$2:$D$9,MATCH($E533,Parametros!$A$2:$A$9,0))</f>
        <v>4800</v>
      </c>
      <c r="P533" s="15" t="n">
        <f aca="false">IF((G533-H533)&gt;0,J533/(G533-H533),0)</f>
        <v>0.928571428571429</v>
      </c>
      <c r="Q533" s="15" t="n">
        <f aca="false">IF(J533*O533&gt;0,N533/(O533*J533),0)</f>
        <v>0.813374542124542</v>
      </c>
      <c r="R533" s="15" t="n">
        <f aca="false">IF(N533&gt;0,L533/N533,0)</f>
        <v>0.974060042445156</v>
      </c>
      <c r="S533" s="15" t="n">
        <f aca="false">P533*Q533*R533</f>
        <v>0.735684523809524</v>
      </c>
      <c r="T533" s="15" t="n">
        <f aca="false">IF(K533&gt;0,L533/K533,0)</f>
        <v>1.11018221480816</v>
      </c>
      <c r="U533" s="10" t="n">
        <v>735.3</v>
      </c>
      <c r="V533" s="5" t="n">
        <v>12</v>
      </c>
      <c r="W533" s="10" t="n">
        <v>51.3</v>
      </c>
      <c r="X533" s="15" t="n">
        <f aca="false">IF(U533&gt;0,W533/U533,0)</f>
        <v>0.0697674418604651</v>
      </c>
      <c r="Y533" s="12" t="n">
        <f aca="false">IF(U533&gt;0,L533/U533,0)</f>
        <v>235.322997416021</v>
      </c>
      <c r="Z533" s="16" t="n">
        <f aca="false">L533*INDEX(Parametros!$E$2:$E$9,MATCH($E533,Parametros!$A$2:$A$9,0))</f>
        <v>100359.14</v>
      </c>
      <c r="AA533" s="16" t="n">
        <f aca="false">Z533*INDEX(Parametros!$F$2:$F$9,MATCH($E533,Parametros!$A$2:$A$9,0))</f>
        <v>2810.05592</v>
      </c>
      <c r="AB533" s="17" t="n">
        <f aca="false">Z533+AA533</f>
        <v>103169.19592</v>
      </c>
      <c r="AC533" s="18" t="n">
        <v>103324.56</v>
      </c>
      <c r="AD533" s="17" t="n">
        <f aca="false">AC533-AB533</f>
        <v>155.364079999999</v>
      </c>
      <c r="AE533" s="17" t="n">
        <f aca="false">AA533+AD533</f>
        <v>2965.42</v>
      </c>
      <c r="AF533" s="19" t="n">
        <f aca="false">IF(Z533&gt;0,AE533/Z533,0)</f>
        <v>0.0295480810218182</v>
      </c>
      <c r="AG533" s="16" t="n">
        <f aca="false">(U533-W533)*INDEX(Parametros!$H$2:$H$9,MATCH($E533,Parametros!$A$2:$A$9,0))+W533*INDEX(Parametros!$H$2:$H$9,MATCH($E533,Parametros!$A$2:$A$9,0))*Parametros!$N$3</f>
        <v>23969.925</v>
      </c>
      <c r="AH533" s="13" t="n">
        <v>9340</v>
      </c>
      <c r="AI533" s="16" t="n">
        <f aca="false">AH533*Parametros!$N$2</f>
        <v>859.28</v>
      </c>
      <c r="AJ533" s="18" t="n">
        <v>8369</v>
      </c>
      <c r="AK533" s="18" t="n">
        <v>2924</v>
      </c>
      <c r="AL533" s="17" t="n">
        <f aca="false">AG533+AI533+AJ533+AK533</f>
        <v>36122.205</v>
      </c>
      <c r="AM533" s="20" t="n">
        <f aca="false">IF(L533&gt;0,AL533/L533,0)</f>
        <v>0.208759051741575</v>
      </c>
      <c r="AN533" s="16" t="n">
        <f aca="false">L533*INDEX(Parametros!$G$2:$G$9,MATCH($E533,Parametros!$A$2:$A$9,0))</f>
        <v>169572.34</v>
      </c>
      <c r="AO533" s="17" t="n">
        <f aca="false">AN533-AC533-AL533</f>
        <v>30125.575</v>
      </c>
      <c r="AP533" s="15" t="n">
        <f aca="false">IF(AN533&gt;0,AO533/AN533,0)</f>
        <v>0.177656184965072</v>
      </c>
      <c r="AQ533" s="16" t="n">
        <f aca="false">INDEX(Parametros!$I$2:$I$9,MATCH($E533,Parametros!$A$2:$A$9,0))</f>
        <v>17000000</v>
      </c>
      <c r="AR533" s="19" t="n">
        <f aca="false">IF(AQ533&gt;0,AO533/AQ533,0)</f>
        <v>0.00177209264705882</v>
      </c>
    </row>
    <row r="534" customFormat="false" ht="15" hidden="false" customHeight="false" outlineLevel="0" collapsed="false">
      <c r="A534" s="5" t="s">
        <v>669</v>
      </c>
      <c r="B534" s="9" t="n">
        <v>46013</v>
      </c>
      <c r="C534" s="2" t="str">
        <f aca="false">TEXT(B534,"yyyy")</f>
        <v>2025</v>
      </c>
      <c r="D534" s="2" t="n">
        <f aca="false">WEEKNUM(B534,2)</f>
        <v>52</v>
      </c>
      <c r="E534" s="5" t="s">
        <v>138</v>
      </c>
      <c r="F534" s="6" t="str">
        <f aca="false">INDEX(Parametros!$B$2:$B$9,MATCH($E534,Parametros!$A$2:$A$9,0))</f>
        <v>Queso crema</v>
      </c>
      <c r="G534" s="10" t="n">
        <v>89.7</v>
      </c>
      <c r="H534" s="10" t="n">
        <v>7.6</v>
      </c>
      <c r="I534" s="11" t="n">
        <f aca="false">SUMIFS(Eventos_Paro!$J$2:$J$2186,Eventos_Paro!$D$2:$D$2186,$E534,Eventos_Paro!$B$2:$B$2186,$B534)</f>
        <v>2.65</v>
      </c>
      <c r="J534" s="12" t="n">
        <f aca="false">G534-H534-I534</f>
        <v>79.45</v>
      </c>
      <c r="K534" s="13" t="n">
        <v>240063</v>
      </c>
      <c r="L534" s="13" t="n">
        <v>222842</v>
      </c>
      <c r="M534" s="13" t="n">
        <v>10669</v>
      </c>
      <c r="N534" s="14" t="n">
        <f aca="false">L534+M534</f>
        <v>233511</v>
      </c>
      <c r="O534" s="11" t="n">
        <f aca="false">INDEX(Parametros!$D$2:$D$9,MATCH($E534,Parametros!$A$2:$A$9,0))</f>
        <v>3800</v>
      </c>
      <c r="P534" s="15" t="n">
        <f aca="false">IF((G534-H534)&gt;0,J534/(G534-H534),0)</f>
        <v>0.967722289890378</v>
      </c>
      <c r="Q534" s="15" t="n">
        <f aca="false">IF(J534*O534&gt;0,N534/(O534*J534),0)</f>
        <v>0.773445728859594</v>
      </c>
      <c r="R534" s="15" t="n">
        <f aca="false">IF(N534&gt;0,L534/N534,0)</f>
        <v>0.954310503573708</v>
      </c>
      <c r="S534" s="15" t="n">
        <f aca="false">P534*Q534*R534</f>
        <v>0.71428296685685</v>
      </c>
      <c r="T534" s="15" t="n">
        <f aca="false">IF(K534&gt;0,L534/K534,0)</f>
        <v>0.92826466385907</v>
      </c>
      <c r="U534" s="10" t="n">
        <v>1557.3</v>
      </c>
      <c r="V534" s="5" t="n">
        <v>16</v>
      </c>
      <c r="W534" s="10" t="n">
        <v>122.1</v>
      </c>
      <c r="X534" s="15" t="n">
        <f aca="false">IF(U534&gt;0,W534/U534,0)</f>
        <v>0.0784049316124061</v>
      </c>
      <c r="Y534" s="12" t="n">
        <f aca="false">IF(U534&gt;0,L534/U534,0)</f>
        <v>143.095100494446</v>
      </c>
      <c r="Z534" s="16" t="n">
        <f aca="false">L534*INDEX(Parametros!$E$2:$E$9,MATCH($E534,Parametros!$A$2:$A$9,0))</f>
        <v>249583.04</v>
      </c>
      <c r="AA534" s="16" t="n">
        <f aca="false">Z534*INDEX(Parametros!$F$2:$F$9,MATCH($E534,Parametros!$A$2:$A$9,0))</f>
        <v>8735.4064</v>
      </c>
      <c r="AB534" s="17" t="n">
        <f aca="false">Z534+AA534</f>
        <v>258318.4464</v>
      </c>
      <c r="AC534" s="18" t="n">
        <v>259098.36</v>
      </c>
      <c r="AD534" s="17" t="n">
        <f aca="false">AC534-AB534</f>
        <v>779.913599999942</v>
      </c>
      <c r="AE534" s="17" t="n">
        <f aca="false">AA534+AD534</f>
        <v>9515.31999999994</v>
      </c>
      <c r="AF534" s="19" t="n">
        <f aca="false">IF(Z534&gt;0,AE534/Z534,0)</f>
        <v>0.0381248661768041</v>
      </c>
      <c r="AG534" s="16" t="n">
        <f aca="false">(U534-W534)*INDEX(Parametros!$H$2:$H$9,MATCH($E534,Parametros!$A$2:$A$9,0))+W534*INDEX(Parametros!$H$2:$H$9,MATCH($E534,Parametros!$A$2:$A$9,0))*Parametros!$N$3</f>
        <v>53405.55</v>
      </c>
      <c r="AH534" s="13" t="n">
        <v>11928</v>
      </c>
      <c r="AI534" s="16" t="n">
        <f aca="false">AH534*Parametros!$N$2</f>
        <v>1097.376</v>
      </c>
      <c r="AJ534" s="18" t="n">
        <v>16511</v>
      </c>
      <c r="AK534" s="18" t="n">
        <v>2282</v>
      </c>
      <c r="AL534" s="17" t="n">
        <f aca="false">AG534+AI534+AJ534+AK534</f>
        <v>73295.926</v>
      </c>
      <c r="AM534" s="20" t="n">
        <f aca="false">IF(L534&gt;0,AL534/L534,0)</f>
        <v>0.328914324947721</v>
      </c>
      <c r="AN534" s="16" t="n">
        <f aca="false">L534*INDEX(Parametros!$G$2:$G$9,MATCH($E534,Parametros!$A$2:$A$9,0))</f>
        <v>398887.18</v>
      </c>
      <c r="AO534" s="17" t="n">
        <f aca="false">AN534-AC534-AL534</f>
        <v>66492.894</v>
      </c>
      <c r="AP534" s="15" t="n">
        <f aca="false">IF(AN534&gt;0,AO534/AN534,0)</f>
        <v>0.166695991583385</v>
      </c>
      <c r="AQ534" s="16" t="n">
        <f aca="false">INDEX(Parametros!$I$2:$I$9,MATCH($E534,Parametros!$A$2:$A$9,0))</f>
        <v>33200000</v>
      </c>
      <c r="AR534" s="19" t="n">
        <f aca="false">IF(AQ534&gt;0,AO534/AQ534,0)</f>
        <v>0.00200279801204819</v>
      </c>
    </row>
    <row r="535" customFormat="false" ht="15" hidden="false" customHeight="false" outlineLevel="0" collapsed="false">
      <c r="A535" s="5" t="s">
        <v>670</v>
      </c>
      <c r="B535" s="9" t="n">
        <v>46013</v>
      </c>
      <c r="C535" s="2" t="str">
        <f aca="false">TEXT(B535,"yyyy")</f>
        <v>2025</v>
      </c>
      <c r="D535" s="2" t="n">
        <f aca="false">WEEKNUM(B535,2)</f>
        <v>52</v>
      </c>
      <c r="E535" s="5" t="s">
        <v>140</v>
      </c>
      <c r="F535" s="6" t="str">
        <f aca="false">INDEX(Parametros!$B$2:$B$9,MATCH($E535,Parametros!$A$2:$A$9,0))</f>
        <v>Crema de cacahuate</v>
      </c>
      <c r="G535" s="10" t="n">
        <v>85.4</v>
      </c>
      <c r="H535" s="10" t="n">
        <v>8.5</v>
      </c>
      <c r="I535" s="11" t="n">
        <f aca="false">SUMIFS(Eventos_Paro!$J$2:$J$2186,Eventos_Paro!$D$2:$D$2186,$E535,Eventos_Paro!$B$2:$B$2186,$B535)</f>
        <v>0</v>
      </c>
      <c r="J535" s="12" t="n">
        <f aca="false">G535-H535-I535</f>
        <v>76.9</v>
      </c>
      <c r="K535" s="13" t="n">
        <v>248527</v>
      </c>
      <c r="L535" s="13" t="n">
        <v>285835</v>
      </c>
      <c r="M535" s="13" t="n">
        <v>8142</v>
      </c>
      <c r="N535" s="14" t="n">
        <f aca="false">L535+M535</f>
        <v>293977</v>
      </c>
      <c r="O535" s="11" t="n">
        <f aca="false">INDEX(Parametros!$D$2:$D$9,MATCH($E535,Parametros!$A$2:$A$9,0))</f>
        <v>4200</v>
      </c>
      <c r="P535" s="15" t="n">
        <f aca="false">IF((G535-H535)&gt;0,J535/(G535-H535),0)</f>
        <v>1</v>
      </c>
      <c r="Q535" s="15" t="n">
        <f aca="false">IF(J535*O535&gt;0,N535/(O535*J535),0)</f>
        <v>0.910201870084835</v>
      </c>
      <c r="R535" s="15" t="n">
        <f aca="false">IF(N535&gt;0,L535/N535,0)</f>
        <v>0.97230395575164</v>
      </c>
      <c r="S535" s="15" t="n">
        <f aca="false">P535*Q535*R535</f>
        <v>0.884992878816026</v>
      </c>
      <c r="T535" s="15" t="n">
        <f aca="false">IF(K535&gt;0,L535/K535,0)</f>
        <v>1.1501164863375</v>
      </c>
      <c r="U535" s="10" t="n">
        <v>1155.1</v>
      </c>
      <c r="V535" s="5" t="n">
        <v>13</v>
      </c>
      <c r="W535" s="10" t="n">
        <v>44.9</v>
      </c>
      <c r="X535" s="15" t="n">
        <f aca="false">IF(U535&gt;0,W535/U535,0)</f>
        <v>0.0388710934118258</v>
      </c>
      <c r="Y535" s="12" t="n">
        <f aca="false">IF(U535&gt;0,L535/U535,0)</f>
        <v>247.454765821141</v>
      </c>
      <c r="Z535" s="16" t="n">
        <f aca="false">L535*INDEX(Parametros!$E$2:$E$9,MATCH($E535,Parametros!$A$2:$A$9,0))</f>
        <v>277259.95</v>
      </c>
      <c r="AA535" s="16" t="n">
        <f aca="false">Z535*INDEX(Parametros!$F$2:$F$9,MATCH($E535,Parametros!$A$2:$A$9,0))</f>
        <v>6099.7189</v>
      </c>
      <c r="AB535" s="17" t="n">
        <f aca="false">Z535+AA535</f>
        <v>283359.6689</v>
      </c>
      <c r="AC535" s="18" t="n">
        <v>284682.31</v>
      </c>
      <c r="AD535" s="17" t="n">
        <f aca="false">AC535-AB535</f>
        <v>1322.64110000001</v>
      </c>
      <c r="AE535" s="17" t="n">
        <f aca="false">AA535+AD535</f>
        <v>7422.36000000001</v>
      </c>
      <c r="AF535" s="19" t="n">
        <f aca="false">IF(Z535&gt;0,AE535/Z535,0)</f>
        <v>0.0267704008458488</v>
      </c>
      <c r="AG535" s="16" t="n">
        <f aca="false">(U535-W535)*INDEX(Parametros!$H$2:$H$9,MATCH($E535,Parametros!$A$2:$A$9,0))+W535*INDEX(Parametros!$H$2:$H$9,MATCH($E535,Parametros!$A$2:$A$9,0))*Parametros!$N$3</f>
        <v>37092.825</v>
      </c>
      <c r="AH535" s="13" t="n">
        <v>14890</v>
      </c>
      <c r="AI535" s="16" t="n">
        <f aca="false">AH535*Parametros!$N$2</f>
        <v>1369.88</v>
      </c>
      <c r="AJ535" s="18" t="n">
        <v>14372</v>
      </c>
      <c r="AK535" s="18" t="n">
        <v>0</v>
      </c>
      <c r="AL535" s="17" t="n">
        <f aca="false">AG535+AI535+AJ535+AK535</f>
        <v>52834.705</v>
      </c>
      <c r="AM535" s="20" t="n">
        <f aca="false">IF(L535&gt;0,AL535/L535,0)</f>
        <v>0.184843371175678</v>
      </c>
      <c r="AN535" s="16" t="n">
        <f aca="false">L535*INDEX(Parametros!$G$2:$G$9,MATCH($E535,Parametros!$A$2:$A$9,0))</f>
        <v>463052.7</v>
      </c>
      <c r="AO535" s="17" t="n">
        <f aca="false">AN535-AC535-AL535</f>
        <v>125535.685</v>
      </c>
      <c r="AP535" s="15" t="n">
        <f aca="false">IF(AN535&gt;0,AO535/AN535,0)</f>
        <v>0.271104530866573</v>
      </c>
      <c r="AQ535" s="16" t="n">
        <f aca="false">INDEX(Parametros!$I$2:$I$9,MATCH($E535,Parametros!$A$2:$A$9,0))</f>
        <v>28000000</v>
      </c>
      <c r="AR535" s="19" t="n">
        <f aca="false">IF(AQ535&gt;0,AO535/AQ535,0)</f>
        <v>0.00448341732142857</v>
      </c>
    </row>
    <row r="536" customFormat="false" ht="15" hidden="false" customHeight="false" outlineLevel="0" collapsed="false">
      <c r="A536" s="5" t="s">
        <v>671</v>
      </c>
      <c r="B536" s="9" t="n">
        <v>46013</v>
      </c>
      <c r="C536" s="2" t="str">
        <f aca="false">TEXT(B536,"yyyy")</f>
        <v>2025</v>
      </c>
      <c r="D536" s="2" t="n">
        <f aca="false">WEEKNUM(B536,2)</f>
        <v>52</v>
      </c>
      <c r="E536" s="5" t="s">
        <v>142</v>
      </c>
      <c r="F536" s="6" t="str">
        <f aca="false">INDEX(Parametros!$B$2:$B$9,MATCH($E536,Parametros!$A$2:$A$9,0))</f>
        <v>Porciones single serve</v>
      </c>
      <c r="G536" s="10" t="n">
        <v>93.8</v>
      </c>
      <c r="H536" s="10" t="n">
        <v>6.9</v>
      </c>
      <c r="I536" s="11" t="n">
        <f aca="false">SUMIFS(Eventos_Paro!$J$2:$J$2186,Eventos_Paro!$D$2:$D$2186,$E536,Eventos_Paro!$B$2:$B$2186,$B536)</f>
        <v>1.88333333333333</v>
      </c>
      <c r="J536" s="12" t="n">
        <f aca="false">G536-H536-I536</f>
        <v>85.0166666666667</v>
      </c>
      <c r="K536" s="13" t="n">
        <v>173857</v>
      </c>
      <c r="L536" s="13" t="n">
        <v>164893</v>
      </c>
      <c r="M536" s="13" t="n">
        <v>7064</v>
      </c>
      <c r="N536" s="14" t="n">
        <f aca="false">L536+M536</f>
        <v>171957</v>
      </c>
      <c r="O536" s="11" t="n">
        <f aca="false">INDEX(Parametros!$D$2:$D$9,MATCH($E536,Parametros!$A$2:$A$9,0))</f>
        <v>2600</v>
      </c>
      <c r="P536" s="15" t="n">
        <f aca="false">IF((G536-H536)&gt;0,J536/(G536-H536),0)</f>
        <v>0.978327579593402</v>
      </c>
      <c r="Q536" s="15" t="n">
        <f aca="false">IF(J536*O536&gt;0,N536/(O536*J536),0)</f>
        <v>0.777933436882663</v>
      </c>
      <c r="R536" s="15" t="n">
        <f aca="false">IF(N536&gt;0,L536/N536,0)</f>
        <v>0.958919962548777</v>
      </c>
      <c r="S536" s="15" t="n">
        <f aca="false">P536*Q536*R536</f>
        <v>0.729808798796141</v>
      </c>
      <c r="T536" s="15" t="n">
        <f aca="false">IF(K536&gt;0,L536/K536,0)</f>
        <v>0.948440384914039</v>
      </c>
      <c r="U536" s="10" t="n">
        <v>1512.1</v>
      </c>
      <c r="V536" s="5" t="n">
        <v>15</v>
      </c>
      <c r="W536" s="10" t="n">
        <v>105.1</v>
      </c>
      <c r="X536" s="15" t="n">
        <f aca="false">IF(U536&gt;0,W536/U536,0)</f>
        <v>0.0695059850538986</v>
      </c>
      <c r="Y536" s="12" t="n">
        <f aca="false">IF(U536&gt;0,L536/U536,0)</f>
        <v>109.049004695457</v>
      </c>
      <c r="Z536" s="16" t="n">
        <f aca="false">L536*INDEX(Parametros!$E$2:$E$9,MATCH($E536,Parametros!$A$2:$A$9,0))</f>
        <v>122020.82</v>
      </c>
      <c r="AA536" s="16" t="n">
        <f aca="false">Z536*INDEX(Parametros!$F$2:$F$9,MATCH($E536,Parametros!$A$2:$A$9,0))</f>
        <v>5490.9369</v>
      </c>
      <c r="AB536" s="17" t="n">
        <f aca="false">Z536+AA536</f>
        <v>127511.7569</v>
      </c>
      <c r="AC536" s="18" t="n">
        <v>128328.46</v>
      </c>
      <c r="AD536" s="17" t="n">
        <f aca="false">AC536-AB536</f>
        <v>816.703100000013</v>
      </c>
      <c r="AE536" s="17" t="n">
        <f aca="false">AA536+AD536</f>
        <v>6307.64000000001</v>
      </c>
      <c r="AF536" s="19" t="n">
        <f aca="false">IF(Z536&gt;0,AE536/Z536,0)</f>
        <v>0.0516931454812385</v>
      </c>
      <c r="AG536" s="16" t="n">
        <f aca="false">(U536-W536)*INDEX(Parametros!$H$2:$H$9,MATCH($E536,Parametros!$A$2:$A$9,0))+W536*INDEX(Parametros!$H$2:$H$9,MATCH($E536,Parametros!$A$2:$A$9,0))*Parametros!$N$3</f>
        <v>46939.5</v>
      </c>
      <c r="AH536" s="13" t="n">
        <v>8450</v>
      </c>
      <c r="AI536" s="16" t="n">
        <f aca="false">AH536*Parametros!$N$2</f>
        <v>777.4</v>
      </c>
      <c r="AJ536" s="18" t="n">
        <v>11421</v>
      </c>
      <c r="AK536" s="18" t="n">
        <v>412</v>
      </c>
      <c r="AL536" s="17" t="n">
        <f aca="false">AG536+AI536+AJ536+AK536</f>
        <v>59549.9</v>
      </c>
      <c r="AM536" s="20" t="n">
        <f aca="false">IF(L536&gt;0,AL536/L536,0)</f>
        <v>0.361142680404869</v>
      </c>
      <c r="AN536" s="16" t="n">
        <f aca="false">L536*INDEX(Parametros!$G$2:$G$9,MATCH($E536,Parametros!$A$2:$A$9,0))</f>
        <v>283615.96</v>
      </c>
      <c r="AO536" s="17" t="n">
        <f aca="false">AN536-AC536-AL536</f>
        <v>95737.6</v>
      </c>
      <c r="AP536" s="15" t="n">
        <f aca="false">IF(AN536&gt;0,AO536/AN536,0)</f>
        <v>0.337560692987799</v>
      </c>
      <c r="AQ536" s="16" t="n">
        <f aca="false">INDEX(Parametros!$I$2:$I$9,MATCH($E536,Parametros!$A$2:$A$9,0))</f>
        <v>15900000</v>
      </c>
      <c r="AR536" s="19" t="n">
        <f aca="false">IF(AQ536&gt;0,AO536/AQ536,0)</f>
        <v>0.00602123270440252</v>
      </c>
    </row>
    <row r="537" customFormat="false" ht="15" hidden="false" customHeight="false" outlineLevel="0" collapsed="false">
      <c r="A537" s="5" t="s">
        <v>672</v>
      </c>
      <c r="B537" s="9" t="n">
        <v>46013</v>
      </c>
      <c r="C537" s="2" t="str">
        <f aca="false">TEXT(B537,"yyyy")</f>
        <v>2025</v>
      </c>
      <c r="D537" s="2" t="n">
        <f aca="false">WEEKNUM(B537,2)</f>
        <v>52</v>
      </c>
      <c r="E537" s="5" t="s">
        <v>144</v>
      </c>
      <c r="F537" s="6" t="str">
        <f aca="false">INDEX(Parametros!$B$2:$B$9,MATCH($E537,Parametros!$A$2:$A$9,0))</f>
        <v>Salsas picantes</v>
      </c>
      <c r="G537" s="10" t="n">
        <v>96</v>
      </c>
      <c r="H537" s="10" t="n">
        <v>6.5</v>
      </c>
      <c r="I537" s="11" t="n">
        <f aca="false">SUMIFS(Eventos_Paro!$J$2:$J$2186,Eventos_Paro!$D$2:$D$2186,$E537,Eventos_Paro!$B$2:$B$2186,$B537)</f>
        <v>0.533333333333333</v>
      </c>
      <c r="J537" s="12" t="n">
        <f aca="false">G537-H537-I537</f>
        <v>88.9666666666667</v>
      </c>
      <c r="K537" s="13" t="n">
        <v>234821</v>
      </c>
      <c r="L537" s="13" t="n">
        <v>239057</v>
      </c>
      <c r="M537" s="13" t="n">
        <v>5467</v>
      </c>
      <c r="N537" s="14" t="n">
        <f aca="false">L537+M537</f>
        <v>244524</v>
      </c>
      <c r="O537" s="11" t="n">
        <f aca="false">INDEX(Parametros!$D$2:$D$9,MATCH($E537,Parametros!$A$2:$A$9,0))</f>
        <v>3100</v>
      </c>
      <c r="P537" s="15" t="n">
        <f aca="false">IF((G537-H537)&gt;0,J537/(G537-H537),0)</f>
        <v>0.994040968342644</v>
      </c>
      <c r="Q537" s="15" t="n">
        <f aca="false">IF(J537*O537&gt;0,N537/(O537*J537),0)</f>
        <v>0.886609700383133</v>
      </c>
      <c r="R537" s="15" t="n">
        <f aca="false">IF(N537&gt;0,L537/N537,0)</f>
        <v>0.977642276422764</v>
      </c>
      <c r="S537" s="15" t="n">
        <f aca="false">P537*Q537*R537</f>
        <v>0.861621913858353</v>
      </c>
      <c r="T537" s="15" t="n">
        <f aca="false">IF(K537&gt;0,L537/K537,0)</f>
        <v>1.01803927246711</v>
      </c>
      <c r="U537" s="10" t="n">
        <v>1027.5</v>
      </c>
      <c r="V537" s="5" t="n">
        <v>10</v>
      </c>
      <c r="W537" s="10" t="n">
        <v>67.5</v>
      </c>
      <c r="X537" s="15" t="n">
        <f aca="false">IF(U537&gt;0,W537/U537,0)</f>
        <v>0.0656934306569343</v>
      </c>
      <c r="Y537" s="12" t="n">
        <f aca="false">IF(U537&gt;0,L537/U537,0)</f>
        <v>232.658880778589</v>
      </c>
      <c r="Z537" s="16" t="n">
        <f aca="false">L537*INDEX(Parametros!$E$2:$E$9,MATCH($E537,Parametros!$A$2:$A$9,0))</f>
        <v>157777.62</v>
      </c>
      <c r="AA537" s="16" t="n">
        <f aca="false">Z537*INDEX(Parametros!$F$2:$F$9,MATCH($E537,Parametros!$A$2:$A$9,0))</f>
        <v>4102.21812</v>
      </c>
      <c r="AB537" s="17" t="n">
        <f aca="false">Z537+AA537</f>
        <v>161879.83812</v>
      </c>
      <c r="AC537" s="18" t="n">
        <v>160308.2</v>
      </c>
      <c r="AD537" s="17" t="n">
        <f aca="false">AC537-AB537</f>
        <v>-1571.63811999999</v>
      </c>
      <c r="AE537" s="17" t="n">
        <f aca="false">AA537+AD537</f>
        <v>2530.58000000001</v>
      </c>
      <c r="AF537" s="19" t="n">
        <f aca="false">IF(Z537&gt;0,AE537/Z537,0)</f>
        <v>0.0160389033628471</v>
      </c>
      <c r="AG537" s="16" t="n">
        <f aca="false">(U537-W537)*INDEX(Parametros!$H$2:$H$9,MATCH($E537,Parametros!$A$2:$A$9,0))+W537*INDEX(Parametros!$H$2:$H$9,MATCH($E537,Parametros!$A$2:$A$9,0))*Parametros!$N$3</f>
        <v>33429.375</v>
      </c>
      <c r="AH537" s="13" t="n">
        <v>11977</v>
      </c>
      <c r="AI537" s="16" t="n">
        <f aca="false">AH537*Parametros!$N$2</f>
        <v>1101.884</v>
      </c>
      <c r="AJ537" s="18" t="n">
        <v>7385</v>
      </c>
      <c r="AK537" s="18" t="n">
        <v>606</v>
      </c>
      <c r="AL537" s="17" t="n">
        <f aca="false">AG537+AI537+AJ537+AK537</f>
        <v>42522.259</v>
      </c>
      <c r="AM537" s="20" t="n">
        <f aca="false">IF(L537&gt;0,AL537/L537,0)</f>
        <v>0.177874979607374</v>
      </c>
      <c r="AN537" s="16" t="n">
        <f aca="false">L537*INDEX(Parametros!$G$2:$G$9,MATCH($E537,Parametros!$A$2:$A$9,0))</f>
        <v>298821.25</v>
      </c>
      <c r="AO537" s="17" t="n">
        <f aca="false">AN537-AC537-AL537</f>
        <v>95990.791</v>
      </c>
      <c r="AP537" s="15" t="n">
        <f aca="false">IF(AN537&gt;0,AO537/AN537,0)</f>
        <v>0.321231475338518</v>
      </c>
      <c r="AQ537" s="16" t="n">
        <f aca="false">INDEX(Parametros!$I$2:$I$9,MATCH($E537,Parametros!$A$2:$A$9,0))</f>
        <v>13300000</v>
      </c>
      <c r="AR537" s="19" t="n">
        <f aca="false">IF(AQ537&gt;0,AO537/AQ537,0)</f>
        <v>0.00721735270676692</v>
      </c>
    </row>
    <row r="538" customFormat="false" ht="15" hidden="false" customHeight="false" outlineLevel="0" collapsed="false">
      <c r="A538" s="5" t="s">
        <v>673</v>
      </c>
      <c r="B538" s="9" t="n">
        <v>46020</v>
      </c>
      <c r="C538" s="2" t="str">
        <f aca="false">TEXT(B538,"yyyy")</f>
        <v>2025</v>
      </c>
      <c r="D538" s="2" t="n">
        <f aca="false">WEEKNUM(B538,2)</f>
        <v>1</v>
      </c>
      <c r="E538" s="5" t="s">
        <v>130</v>
      </c>
      <c r="F538" s="6" t="str">
        <f aca="false">INDEX(Parametros!$B$2:$B$9,MATCH($E538,Parametros!$A$2:$A$9,0))</f>
        <v>Ketchup botella</v>
      </c>
      <c r="G538" s="10" t="n">
        <v>95.1</v>
      </c>
      <c r="H538" s="10" t="n">
        <v>8.8</v>
      </c>
      <c r="I538" s="11" t="n">
        <f aca="false">SUMIFS(Eventos_Paro!$J$2:$J$2186,Eventos_Paro!$D$2:$D$2186,$E538,Eventos_Paro!$B$2:$B$2186,$B538)</f>
        <v>7.91666666666667</v>
      </c>
      <c r="J538" s="12" t="n">
        <f aca="false">G538-H538-I538</f>
        <v>78.3833333333333</v>
      </c>
      <c r="K538" s="13" t="n">
        <v>596930</v>
      </c>
      <c r="L538" s="13" t="n">
        <v>602826</v>
      </c>
      <c r="M538" s="13" t="n">
        <v>11724</v>
      </c>
      <c r="N538" s="14" t="n">
        <f aca="false">L538+M538</f>
        <v>614550</v>
      </c>
      <c r="O538" s="11" t="n">
        <f aca="false">INDEX(Parametros!$D$2:$D$9,MATCH($E538,Parametros!$A$2:$A$9,0))</f>
        <v>9000</v>
      </c>
      <c r="P538" s="15" t="n">
        <f aca="false">IF((G538-H538)&gt;0,J538/(G538-H538),0)</f>
        <v>0.908265739667825</v>
      </c>
      <c r="Q538" s="15" t="n">
        <f aca="false">IF(J538*O538&gt;0,N538/(O538*J538),0)</f>
        <v>0.871146076972146</v>
      </c>
      <c r="R538" s="15" t="n">
        <f aca="false">IF(N538&gt;0,L538/N538,0)</f>
        <v>0.980922626311936</v>
      </c>
      <c r="S538" s="15" t="n">
        <f aca="false">P538*Q538*R538</f>
        <v>0.776137504828119</v>
      </c>
      <c r="T538" s="15" t="n">
        <f aca="false">IF(K538&gt;0,L538/K538,0)</f>
        <v>1.00987720503242</v>
      </c>
      <c r="U538" s="10" t="n">
        <v>1465.9</v>
      </c>
      <c r="V538" s="5" t="n">
        <v>15</v>
      </c>
      <c r="W538" s="10" t="n">
        <v>39.4</v>
      </c>
      <c r="X538" s="15" t="n">
        <f aca="false">IF(U538&gt;0,W538/U538,0)</f>
        <v>0.0268776860631694</v>
      </c>
      <c r="Y538" s="12" t="n">
        <f aca="false">IF(U538&gt;0,L538/U538,0)</f>
        <v>411.232689815131</v>
      </c>
      <c r="Z538" s="16" t="n">
        <f aca="false">L538*INDEX(Parametros!$E$2:$E$9,MATCH($E538,Parametros!$A$2:$A$9,0))</f>
        <v>253186.92</v>
      </c>
      <c r="AA538" s="16" t="n">
        <f aca="false">Z538*INDEX(Parametros!$F$2:$F$9,MATCH($E538,Parametros!$A$2:$A$9,0))</f>
        <v>5063.7384</v>
      </c>
      <c r="AB538" s="17" t="n">
        <f aca="false">Z538+AA538</f>
        <v>258250.6584</v>
      </c>
      <c r="AC538" s="18" t="n">
        <v>261275.11</v>
      </c>
      <c r="AD538" s="17" t="n">
        <f aca="false">AC538-AB538</f>
        <v>3024.4516</v>
      </c>
      <c r="AE538" s="17" t="n">
        <f aca="false">AA538+AD538</f>
        <v>8088.19</v>
      </c>
      <c r="AF538" s="19" t="n">
        <f aca="false">IF(Z538&gt;0,AE538/Z538,0)</f>
        <v>0.0319455286236746</v>
      </c>
      <c r="AG538" s="16" t="n">
        <f aca="false">(U538-W538)*INDEX(Parametros!$H$2:$H$9,MATCH($E538,Parametros!$A$2:$A$9,0))+W538*INDEX(Parametros!$H$2:$H$9,MATCH($E538,Parametros!$A$2:$A$9,0))*Parametros!$N$3</f>
        <v>46796.4</v>
      </c>
      <c r="AH538" s="13" t="n">
        <v>32988</v>
      </c>
      <c r="AI538" s="16" t="n">
        <f aca="false">AH538*Parametros!$N$2</f>
        <v>3034.896</v>
      </c>
      <c r="AJ538" s="18" t="n">
        <v>17085</v>
      </c>
      <c r="AK538" s="18" t="n">
        <v>6102</v>
      </c>
      <c r="AL538" s="17" t="n">
        <f aca="false">AG538+AI538+AJ538+AK538</f>
        <v>73018.296</v>
      </c>
      <c r="AM538" s="20" t="n">
        <f aca="false">IF(L538&gt;0,AL538/L538,0)</f>
        <v>0.121126653462193</v>
      </c>
      <c r="AN538" s="16" t="n">
        <f aca="false">L538*INDEX(Parametros!$G$2:$G$9,MATCH($E538,Parametros!$A$2:$A$9,0))</f>
        <v>428006.46</v>
      </c>
      <c r="AO538" s="17" t="n">
        <f aca="false">AN538-AC538-AL538</f>
        <v>93713.054</v>
      </c>
      <c r="AP538" s="15" t="n">
        <f aca="false">IF(AN538&gt;0,AO538/AN538,0)</f>
        <v>0.218952428895583</v>
      </c>
      <c r="AQ538" s="16" t="n">
        <f aca="false">INDEX(Parametros!$I$2:$I$9,MATCH($E538,Parametros!$A$2:$A$9,0))</f>
        <v>29300000</v>
      </c>
      <c r="AR538" s="19" t="n">
        <f aca="false">IF(AQ538&gt;0,AO538/AQ538,0)</f>
        <v>0.00319839774744027</v>
      </c>
    </row>
    <row r="539" customFormat="false" ht="15" hidden="false" customHeight="false" outlineLevel="0" collapsed="false">
      <c r="A539" s="5" t="s">
        <v>674</v>
      </c>
      <c r="B539" s="9" t="n">
        <v>46020</v>
      </c>
      <c r="C539" s="2" t="str">
        <f aca="false">TEXT(B539,"yyyy")</f>
        <v>2025</v>
      </c>
      <c r="D539" s="2" t="n">
        <f aca="false">WEEKNUM(B539,2)</f>
        <v>1</v>
      </c>
      <c r="E539" s="5" t="s">
        <v>132</v>
      </c>
      <c r="F539" s="6" t="str">
        <f aca="false">INDEX(Parametros!$B$2:$B$9,MATCH($E539,Parametros!$A$2:$A$9,0))</f>
        <v>Mayonesa frasco</v>
      </c>
      <c r="G539" s="10" t="n">
        <v>101.2</v>
      </c>
      <c r="H539" s="10" t="n">
        <v>8.8</v>
      </c>
      <c r="I539" s="11" t="n">
        <f aca="false">SUMIFS(Eventos_Paro!$J$2:$J$2186,Eventos_Paro!$D$2:$D$2186,$E539,Eventos_Paro!$B$2:$B$2186,$B539)</f>
        <v>1.56666666666667</v>
      </c>
      <c r="J539" s="12" t="n">
        <f aca="false">G539-H539-I539</f>
        <v>90.8333333333333</v>
      </c>
      <c r="K539" s="13" t="n">
        <v>461589</v>
      </c>
      <c r="L539" s="13" t="n">
        <v>496123</v>
      </c>
      <c r="M539" s="13" t="n">
        <v>12456</v>
      </c>
      <c r="N539" s="14" t="n">
        <f aca="false">L539+M539</f>
        <v>508579</v>
      </c>
      <c r="O539" s="11" t="n">
        <f aca="false">INDEX(Parametros!$D$2:$D$9,MATCH($E539,Parametros!$A$2:$A$9,0))</f>
        <v>6500</v>
      </c>
      <c r="P539" s="15" t="n">
        <f aca="false">IF((G539-H539)&gt;0,J539/(G539-H539),0)</f>
        <v>0.983044733044733</v>
      </c>
      <c r="Q539" s="15" t="n">
        <f aca="false">IF(J539*O539&gt;0,N539/(O539*J539),0)</f>
        <v>0.861389978828511</v>
      </c>
      <c r="R539" s="15" t="n">
        <f aca="false">IF(N539&gt;0,L539/N539,0)</f>
        <v>0.975508229793208</v>
      </c>
      <c r="S539" s="15" t="n">
        <f aca="false">P539*Q539*R539</f>
        <v>0.826045621045621</v>
      </c>
      <c r="T539" s="15" t="n">
        <f aca="false">IF(K539&gt;0,L539/K539,0)</f>
        <v>1.07481547437222</v>
      </c>
      <c r="U539" s="10" t="n">
        <v>1524.8</v>
      </c>
      <c r="V539" s="5" t="n">
        <v>14</v>
      </c>
      <c r="W539" s="10" t="n">
        <v>108</v>
      </c>
      <c r="X539" s="15" t="n">
        <f aca="false">IF(U539&gt;0,W539/U539,0)</f>
        <v>0.0708289611752361</v>
      </c>
      <c r="Y539" s="12" t="n">
        <f aca="false">IF(U539&gt;0,L539/U539,0)</f>
        <v>325.369228751312</v>
      </c>
      <c r="Z539" s="16" t="n">
        <f aca="false">L539*INDEX(Parametros!$E$2:$E$9,MATCH($E539,Parametros!$A$2:$A$9,0))</f>
        <v>302635.03</v>
      </c>
      <c r="AA539" s="16" t="n">
        <f aca="false">Z539*INDEX(Parametros!$F$2:$F$9,MATCH($E539,Parametros!$A$2:$A$9,0))</f>
        <v>7565.87575</v>
      </c>
      <c r="AB539" s="17" t="n">
        <f aca="false">Z539+AA539</f>
        <v>310200.90575</v>
      </c>
      <c r="AC539" s="18" t="n">
        <v>306039</v>
      </c>
      <c r="AD539" s="17" t="n">
        <f aca="false">AC539-AB539</f>
        <v>-4161.90574999998</v>
      </c>
      <c r="AE539" s="17" t="n">
        <f aca="false">AA539+AD539</f>
        <v>3403.97000000002</v>
      </c>
      <c r="AF539" s="19" t="n">
        <f aca="false">IF(Z539&gt;0,AE539/Z539,0)</f>
        <v>0.0112477726058349</v>
      </c>
      <c r="AG539" s="16" t="n">
        <f aca="false">(U539-W539)*INDEX(Parametros!$H$2:$H$9,MATCH($E539,Parametros!$A$2:$A$9,0))+W539*INDEX(Parametros!$H$2:$H$9,MATCH($E539,Parametros!$A$2:$A$9,0))*Parametros!$N$3</f>
        <v>49732.2</v>
      </c>
      <c r="AH539" s="13" t="n">
        <v>25758</v>
      </c>
      <c r="AI539" s="16" t="n">
        <f aca="false">AH539*Parametros!$N$2</f>
        <v>2369.736</v>
      </c>
      <c r="AJ539" s="18" t="n">
        <v>13342</v>
      </c>
      <c r="AK539" s="18" t="n">
        <v>1410</v>
      </c>
      <c r="AL539" s="17" t="n">
        <f aca="false">AG539+AI539+AJ539+AK539</f>
        <v>66853.936</v>
      </c>
      <c r="AM539" s="20" t="n">
        <f aca="false">IF(L539&gt;0,AL539/L539,0)</f>
        <v>0.134752744783048</v>
      </c>
      <c r="AN539" s="16" t="n">
        <f aca="false">L539*INDEX(Parametros!$G$2:$G$9,MATCH($E539,Parametros!$A$2:$A$9,0))</f>
        <v>476278.08</v>
      </c>
      <c r="AO539" s="17" t="n">
        <f aca="false">AN539-AC539-AL539</f>
        <v>103385.144</v>
      </c>
      <c r="AP539" s="15" t="n">
        <f aca="false">IF(AN539&gt;0,AO539/AN539,0)</f>
        <v>0.217068868674368</v>
      </c>
      <c r="AQ539" s="16" t="n">
        <f aca="false">INDEX(Parametros!$I$2:$I$9,MATCH($E539,Parametros!$A$2:$A$9,0))</f>
        <v>29700000</v>
      </c>
      <c r="AR539" s="19" t="n">
        <f aca="false">IF(AQ539&gt;0,AO539/AQ539,0)</f>
        <v>0.00348098127946128</v>
      </c>
    </row>
    <row r="540" customFormat="false" ht="15" hidden="false" customHeight="false" outlineLevel="0" collapsed="false">
      <c r="A540" s="5" t="s">
        <v>675</v>
      </c>
      <c r="B540" s="9" t="n">
        <v>46020</v>
      </c>
      <c r="C540" s="2" t="str">
        <f aca="false">TEXT(B540,"yyyy")</f>
        <v>2025</v>
      </c>
      <c r="D540" s="2" t="n">
        <f aca="false">WEEKNUM(B540,2)</f>
        <v>1</v>
      </c>
      <c r="E540" s="5" t="s">
        <v>134</v>
      </c>
      <c r="F540" s="6" t="str">
        <f aca="false">INDEX(Parametros!$B$2:$B$9,MATCH($E540,Parametros!$A$2:$A$9,0))</f>
        <v>Aderezos vertibles</v>
      </c>
      <c r="G540" s="10" t="n">
        <v>85.4</v>
      </c>
      <c r="H540" s="10" t="n">
        <v>5.7</v>
      </c>
      <c r="I540" s="11" t="n">
        <f aca="false">SUMIFS(Eventos_Paro!$J$2:$J$2186,Eventos_Paro!$D$2:$D$2186,$E540,Eventos_Paro!$B$2:$B$2186,$B540)</f>
        <v>1.88333333333333</v>
      </c>
      <c r="J540" s="12" t="n">
        <f aca="false">G540-H540-I540</f>
        <v>77.8166666666667</v>
      </c>
      <c r="K540" s="13" t="n">
        <v>318516</v>
      </c>
      <c r="L540" s="13" t="n">
        <v>331231</v>
      </c>
      <c r="M540" s="13" t="n">
        <v>8953</v>
      </c>
      <c r="N540" s="14" t="n">
        <f aca="false">L540+M540</f>
        <v>340184</v>
      </c>
      <c r="O540" s="11" t="n">
        <f aca="false">INDEX(Parametros!$D$2:$D$9,MATCH($E540,Parametros!$A$2:$A$9,0))</f>
        <v>5200</v>
      </c>
      <c r="P540" s="15" t="n">
        <f aca="false">IF((G540-H540)&gt;0,J540/(G540-H540),0)</f>
        <v>0.976369719782518</v>
      </c>
      <c r="Q540" s="15" t="n">
        <f aca="false">IF(J540*O540&gt;0,N540/(O540*J540),0)</f>
        <v>0.840693938744913</v>
      </c>
      <c r="R540" s="15" t="n">
        <f aca="false">IF(N540&gt;0,L540/N540,0)</f>
        <v>0.973681889800814</v>
      </c>
      <c r="S540" s="15" t="n">
        <f aca="false">P540*Q540*R540</f>
        <v>0.799225460862851</v>
      </c>
      <c r="T540" s="15" t="n">
        <f aca="false">IF(K540&gt;0,L540/K540,0)</f>
        <v>1.03991950168908</v>
      </c>
      <c r="U540" s="10" t="n">
        <v>1108.7</v>
      </c>
      <c r="V540" s="5" t="n">
        <v>12</v>
      </c>
      <c r="W540" s="10" t="n">
        <v>83.9</v>
      </c>
      <c r="X540" s="15" t="n">
        <f aca="false">IF(U540&gt;0,W540/U540,0)</f>
        <v>0.0756742130423018</v>
      </c>
      <c r="Y540" s="12" t="n">
        <f aca="false">IF(U540&gt;0,L540/U540,0)</f>
        <v>298.756200956075</v>
      </c>
      <c r="Z540" s="16" t="n">
        <f aca="false">L540*INDEX(Parametros!$E$2:$E$9,MATCH($E540,Parametros!$A$2:$A$9,0))</f>
        <v>182177.05</v>
      </c>
      <c r="AA540" s="16" t="n">
        <f aca="false">Z540*INDEX(Parametros!$F$2:$F$9,MATCH($E540,Parametros!$A$2:$A$9,0))</f>
        <v>5465.3115</v>
      </c>
      <c r="AB540" s="17" t="n">
        <f aca="false">Z540+AA540</f>
        <v>187642.3615</v>
      </c>
      <c r="AC540" s="18" t="n">
        <v>186009.9</v>
      </c>
      <c r="AD540" s="17" t="n">
        <f aca="false">AC540-AB540</f>
        <v>-1632.46150000003</v>
      </c>
      <c r="AE540" s="17" t="n">
        <f aca="false">AA540+AD540</f>
        <v>3832.84999999997</v>
      </c>
      <c r="AF540" s="19" t="n">
        <f aca="false">IF(Z540&gt;0,AE540/Z540,0)</f>
        <v>0.0210391484547585</v>
      </c>
      <c r="AG540" s="16" t="n">
        <f aca="false">(U540-W540)*INDEX(Parametros!$H$2:$H$9,MATCH($E540,Parametros!$A$2:$A$9,0))+W540*INDEX(Parametros!$H$2:$H$9,MATCH($E540,Parametros!$A$2:$A$9,0))*Parametros!$N$3</f>
        <v>36245.475</v>
      </c>
      <c r="AH540" s="13" t="n">
        <v>16630</v>
      </c>
      <c r="AI540" s="16" t="n">
        <f aca="false">AH540*Parametros!$N$2</f>
        <v>1529.96</v>
      </c>
      <c r="AJ540" s="18" t="n">
        <v>10923</v>
      </c>
      <c r="AK540" s="18" t="n">
        <v>2021</v>
      </c>
      <c r="AL540" s="17" t="n">
        <f aca="false">AG540+AI540+AJ540+AK540</f>
        <v>50719.435</v>
      </c>
      <c r="AM540" s="20" t="n">
        <f aca="false">IF(L540&gt;0,AL540/L540,0)</f>
        <v>0.153124058436559</v>
      </c>
      <c r="AN540" s="16" t="n">
        <f aca="false">L540*INDEX(Parametros!$G$2:$G$9,MATCH($E540,Parametros!$A$2:$A$9,0))</f>
        <v>337855.62</v>
      </c>
      <c r="AO540" s="17" t="n">
        <f aca="false">AN540-AC540-AL540</f>
        <v>101126.285</v>
      </c>
      <c r="AP540" s="15" t="n">
        <f aca="false">IF(AN540&gt;0,AO540/AN540,0)</f>
        <v>0.299318048934631</v>
      </c>
      <c r="AQ540" s="16" t="n">
        <f aca="false">INDEX(Parametros!$I$2:$I$9,MATCH($E540,Parametros!$A$2:$A$9,0))</f>
        <v>19300000</v>
      </c>
      <c r="AR540" s="19" t="n">
        <f aca="false">IF(AQ540&gt;0,AO540/AQ540,0)</f>
        <v>0.00523970388601036</v>
      </c>
    </row>
    <row r="541" customFormat="false" ht="15" hidden="false" customHeight="false" outlineLevel="0" collapsed="false">
      <c r="A541" s="5" t="s">
        <v>676</v>
      </c>
      <c r="B541" s="9" t="n">
        <v>46020</v>
      </c>
      <c r="C541" s="2" t="str">
        <f aca="false">TEXT(B541,"yyyy")</f>
        <v>2025</v>
      </c>
      <c r="D541" s="2" t="n">
        <f aca="false">WEEKNUM(B541,2)</f>
        <v>1</v>
      </c>
      <c r="E541" s="5" t="s">
        <v>136</v>
      </c>
      <c r="F541" s="6" t="str">
        <f aca="false">INDEX(Parametros!$B$2:$B$9,MATCH($E541,Parametros!$A$2:$A$9,0))</f>
        <v>Salsa BBQ</v>
      </c>
      <c r="G541" s="10" t="n">
        <v>57</v>
      </c>
      <c r="H541" s="10" t="n">
        <v>7.1</v>
      </c>
      <c r="I541" s="11" t="n">
        <f aca="false">SUMIFS(Eventos_Paro!$J$2:$J$2186,Eventos_Paro!$D$2:$D$2186,$E541,Eventos_Paro!$B$2:$B$2186,$B541)</f>
        <v>3.75</v>
      </c>
      <c r="J541" s="12" t="n">
        <f aca="false">G541-H541-I541</f>
        <v>46.15</v>
      </c>
      <c r="K541" s="13" t="n">
        <v>157714</v>
      </c>
      <c r="L541" s="13" t="n">
        <v>177339</v>
      </c>
      <c r="M541" s="13" t="n">
        <v>4768</v>
      </c>
      <c r="N541" s="14" t="n">
        <f aca="false">L541+M541</f>
        <v>182107</v>
      </c>
      <c r="O541" s="11" t="n">
        <f aca="false">INDEX(Parametros!$D$2:$D$9,MATCH($E541,Parametros!$A$2:$A$9,0))</f>
        <v>4800</v>
      </c>
      <c r="P541" s="15" t="n">
        <f aca="false">IF((G541-H541)&gt;0,J541/(G541-H541),0)</f>
        <v>0.924849699398798</v>
      </c>
      <c r="Q541" s="15" t="n">
        <f aca="false">IF(J541*O541&gt;0,N541/(O541*J541),0)</f>
        <v>0.822079270494764</v>
      </c>
      <c r="R541" s="15" t="n">
        <f aca="false">IF(N541&gt;0,L541/N541,0)</f>
        <v>0.973817590757082</v>
      </c>
      <c r="S541" s="15" t="n">
        <f aca="false">P541*Q541*R541</f>
        <v>0.740393286573146</v>
      </c>
      <c r="T541" s="15" t="n">
        <f aca="false">IF(K541&gt;0,L541/K541,0)</f>
        <v>1.12443410223569</v>
      </c>
      <c r="U541" s="10" t="n">
        <v>636.8</v>
      </c>
      <c r="V541" s="5" t="n">
        <v>11</v>
      </c>
      <c r="W541" s="10" t="n">
        <v>9.8</v>
      </c>
      <c r="X541" s="15" t="n">
        <f aca="false">IF(U541&gt;0,W541/U541,0)</f>
        <v>0.0153894472361809</v>
      </c>
      <c r="Y541" s="12" t="n">
        <f aca="false">IF(U541&gt;0,L541/U541,0)</f>
        <v>278.484610552764</v>
      </c>
      <c r="Z541" s="16" t="n">
        <f aca="false">L541*INDEX(Parametros!$E$2:$E$9,MATCH($E541,Parametros!$A$2:$A$9,0))</f>
        <v>102856.62</v>
      </c>
      <c r="AA541" s="16" t="n">
        <f aca="false">Z541*INDEX(Parametros!$F$2:$F$9,MATCH($E541,Parametros!$A$2:$A$9,0))</f>
        <v>2879.98536</v>
      </c>
      <c r="AB541" s="17" t="n">
        <f aca="false">Z541+AA541</f>
        <v>105736.60536</v>
      </c>
      <c r="AC541" s="18" t="n">
        <v>107968.51</v>
      </c>
      <c r="AD541" s="17" t="n">
        <f aca="false">AC541-AB541</f>
        <v>2231.90463999999</v>
      </c>
      <c r="AE541" s="17" t="n">
        <f aca="false">AA541+AD541</f>
        <v>5111.88999999999</v>
      </c>
      <c r="AF541" s="19" t="n">
        <f aca="false">IF(Z541&gt;0,AE541/Z541,0)</f>
        <v>0.0496991831930701</v>
      </c>
      <c r="AG541" s="16" t="n">
        <f aca="false">(U541-W541)*INDEX(Parametros!$H$2:$H$9,MATCH($E541,Parametros!$A$2:$A$9,0))+W541*INDEX(Parametros!$H$2:$H$9,MATCH($E541,Parametros!$A$2:$A$9,0))*Parametros!$N$3</f>
        <v>20213.55</v>
      </c>
      <c r="AH541" s="13" t="n">
        <v>9506</v>
      </c>
      <c r="AI541" s="16" t="n">
        <f aca="false">AH541*Parametros!$N$2</f>
        <v>874.552</v>
      </c>
      <c r="AJ541" s="18" t="n">
        <v>9452</v>
      </c>
      <c r="AK541" s="18" t="n">
        <v>2799</v>
      </c>
      <c r="AL541" s="17" t="n">
        <f aca="false">AG541+AI541+AJ541+AK541</f>
        <v>33339.102</v>
      </c>
      <c r="AM541" s="20" t="n">
        <f aca="false">IF(L541&gt;0,AL541/L541,0)</f>
        <v>0.187996447481941</v>
      </c>
      <c r="AN541" s="16" t="n">
        <f aca="false">L541*INDEX(Parametros!$G$2:$G$9,MATCH($E541,Parametros!$A$2:$A$9,0))</f>
        <v>173792.22</v>
      </c>
      <c r="AO541" s="17" t="n">
        <f aca="false">AN541-AC541-AL541</f>
        <v>32484.608</v>
      </c>
      <c r="AP541" s="15" t="n">
        <f aca="false">IF(AN541&gt;0,AO541/AN541,0)</f>
        <v>0.186916353332733</v>
      </c>
      <c r="AQ541" s="16" t="n">
        <f aca="false">INDEX(Parametros!$I$2:$I$9,MATCH($E541,Parametros!$A$2:$A$9,0))</f>
        <v>17000000</v>
      </c>
      <c r="AR541" s="19" t="n">
        <f aca="false">IF(AQ541&gt;0,AO541/AQ541,0)</f>
        <v>0.00191085929411765</v>
      </c>
    </row>
    <row r="542" customFormat="false" ht="15" hidden="false" customHeight="false" outlineLevel="0" collapsed="false">
      <c r="A542" s="5" t="s">
        <v>677</v>
      </c>
      <c r="B542" s="9" t="n">
        <v>46020</v>
      </c>
      <c r="C542" s="2" t="str">
        <f aca="false">TEXT(B542,"yyyy")</f>
        <v>2025</v>
      </c>
      <c r="D542" s="2" t="n">
        <f aca="false">WEEKNUM(B542,2)</f>
        <v>1</v>
      </c>
      <c r="E542" s="5" t="s">
        <v>138</v>
      </c>
      <c r="F542" s="6" t="str">
        <f aca="false">INDEX(Parametros!$B$2:$B$9,MATCH($E542,Parametros!$A$2:$A$9,0))</f>
        <v>Queso crema</v>
      </c>
      <c r="G542" s="10" t="n">
        <v>98.2</v>
      </c>
      <c r="H542" s="10" t="n">
        <v>5.1</v>
      </c>
      <c r="I542" s="11" t="n">
        <f aca="false">SUMIFS(Eventos_Paro!$J$2:$J$2186,Eventos_Paro!$D$2:$D$2186,$E542,Eventos_Paro!$B$2:$B$2186,$B542)</f>
        <v>3.61666666666667</v>
      </c>
      <c r="J542" s="12" t="n">
        <f aca="false">G542-H542-I542</f>
        <v>89.4833333333334</v>
      </c>
      <c r="K542" s="13" t="n">
        <v>271896</v>
      </c>
      <c r="L542" s="13" t="n">
        <v>273449</v>
      </c>
      <c r="M542" s="13" t="n">
        <v>12202</v>
      </c>
      <c r="N542" s="14" t="n">
        <f aca="false">L542+M542</f>
        <v>285651</v>
      </c>
      <c r="O542" s="11" t="n">
        <f aca="false">INDEX(Parametros!$D$2:$D$9,MATCH($E542,Parametros!$A$2:$A$9,0))</f>
        <v>3800</v>
      </c>
      <c r="P542" s="15" t="n">
        <f aca="false">IF((G542-H542)&gt;0,J542/(G542-H542),0)</f>
        <v>0.961152882205514</v>
      </c>
      <c r="Q542" s="15" t="n">
        <f aca="false">IF(J542*O542&gt;0,N542/(O542*J542),0)</f>
        <v>0.840059405358246</v>
      </c>
      <c r="R542" s="15" t="n">
        <f aca="false">IF(N542&gt;0,L542/N542,0)</f>
        <v>0.957283538303734</v>
      </c>
      <c r="S542" s="15" t="n">
        <f aca="false">P542*Q542*R542</f>
        <v>0.772935157442478</v>
      </c>
      <c r="T542" s="15" t="n">
        <f aca="false">IF(K542&gt;0,L542/K542,0)</f>
        <v>1.00571174272516</v>
      </c>
      <c r="U542" s="10" t="n">
        <v>1390.6</v>
      </c>
      <c r="V542" s="5" t="n">
        <v>14</v>
      </c>
      <c r="W542" s="10" t="n">
        <v>15.8</v>
      </c>
      <c r="X542" s="15" t="n">
        <f aca="false">IF(U542&gt;0,W542/U542,0)</f>
        <v>0.0113620020135193</v>
      </c>
      <c r="Y542" s="12" t="n">
        <f aca="false">IF(U542&gt;0,L542/U542,0)</f>
        <v>196.641018265497</v>
      </c>
      <c r="Z542" s="16" t="n">
        <f aca="false">L542*INDEX(Parametros!$E$2:$E$9,MATCH($E542,Parametros!$A$2:$A$9,0))</f>
        <v>306262.88</v>
      </c>
      <c r="AA542" s="16" t="n">
        <f aca="false">Z542*INDEX(Parametros!$F$2:$F$9,MATCH($E542,Parametros!$A$2:$A$9,0))</f>
        <v>10719.2008</v>
      </c>
      <c r="AB542" s="17" t="n">
        <f aca="false">Z542+AA542</f>
        <v>316982.0808</v>
      </c>
      <c r="AC542" s="18" t="n">
        <v>308737.57</v>
      </c>
      <c r="AD542" s="17" t="n">
        <f aca="false">AC542-AB542</f>
        <v>-8244.51079999999</v>
      </c>
      <c r="AE542" s="17" t="n">
        <f aca="false">AA542+AD542</f>
        <v>2474.69000000001</v>
      </c>
      <c r="AF542" s="19" t="n">
        <f aca="false">IF(Z542&gt;0,AE542/Z542,0)</f>
        <v>0.00808028057464885</v>
      </c>
      <c r="AG542" s="16" t="n">
        <f aca="false">(U542-W542)*INDEX(Parametros!$H$2:$H$9,MATCH($E542,Parametros!$A$2:$A$9,0))+W542*INDEX(Parametros!$H$2:$H$9,MATCH($E542,Parametros!$A$2:$A$9,0))*Parametros!$N$3</f>
        <v>46150.5</v>
      </c>
      <c r="AH542" s="13" t="n">
        <v>13431</v>
      </c>
      <c r="AI542" s="16" t="n">
        <f aca="false">AH542*Parametros!$N$2</f>
        <v>1235.652</v>
      </c>
      <c r="AJ542" s="18" t="n">
        <v>18006</v>
      </c>
      <c r="AK542" s="18" t="n">
        <v>2839</v>
      </c>
      <c r="AL542" s="17" t="n">
        <f aca="false">AG542+AI542+AJ542+AK542</f>
        <v>68231.152</v>
      </c>
      <c r="AM542" s="20" t="n">
        <f aca="false">IF(L542&gt;0,AL542/L542,0)</f>
        <v>0.249520576048916</v>
      </c>
      <c r="AN542" s="16" t="n">
        <f aca="false">L542*INDEX(Parametros!$G$2:$G$9,MATCH($E542,Parametros!$A$2:$A$9,0))</f>
        <v>489473.71</v>
      </c>
      <c r="AO542" s="17" t="n">
        <f aca="false">AN542-AC542-AL542</f>
        <v>112504.988</v>
      </c>
      <c r="AP542" s="15" t="n">
        <f aca="false">IF(AN542&gt;0,AO542/AN542,0)</f>
        <v>0.229848888104736</v>
      </c>
      <c r="AQ542" s="16" t="n">
        <f aca="false">INDEX(Parametros!$I$2:$I$9,MATCH($E542,Parametros!$A$2:$A$9,0))</f>
        <v>33200000</v>
      </c>
      <c r="AR542" s="19" t="n">
        <f aca="false">IF(AQ542&gt;0,AO542/AQ542,0)</f>
        <v>0.00338870445783133</v>
      </c>
    </row>
    <row r="543" customFormat="false" ht="15" hidden="false" customHeight="false" outlineLevel="0" collapsed="false">
      <c r="A543" s="5" t="s">
        <v>678</v>
      </c>
      <c r="B543" s="9" t="n">
        <v>46020</v>
      </c>
      <c r="C543" s="2" t="str">
        <f aca="false">TEXT(B543,"yyyy")</f>
        <v>2025</v>
      </c>
      <c r="D543" s="2" t="n">
        <f aca="false">WEEKNUM(B543,2)</f>
        <v>1</v>
      </c>
      <c r="E543" s="5" t="s">
        <v>140</v>
      </c>
      <c r="F543" s="6" t="str">
        <f aca="false">INDEX(Parametros!$B$2:$B$9,MATCH($E543,Parametros!$A$2:$A$9,0))</f>
        <v>Crema de cacahuate</v>
      </c>
      <c r="G543" s="10" t="n">
        <v>82.6</v>
      </c>
      <c r="H543" s="10" t="n">
        <v>8.2</v>
      </c>
      <c r="I543" s="11" t="n">
        <f aca="false">SUMIFS(Eventos_Paro!$J$2:$J$2186,Eventos_Paro!$D$2:$D$2186,$E543,Eventos_Paro!$B$2:$B$2186,$B543)</f>
        <v>0</v>
      </c>
      <c r="J543" s="12" t="n">
        <f aca="false">G543-H543-I543</f>
        <v>74.4</v>
      </c>
      <c r="K543" s="13" t="n">
        <v>240155</v>
      </c>
      <c r="L543" s="13" t="n">
        <v>264102</v>
      </c>
      <c r="M543" s="13" t="n">
        <v>4361</v>
      </c>
      <c r="N543" s="14" t="n">
        <f aca="false">L543+M543</f>
        <v>268463</v>
      </c>
      <c r="O543" s="11" t="n">
        <f aca="false">INDEX(Parametros!$D$2:$D$9,MATCH($E543,Parametros!$A$2:$A$9,0))</f>
        <v>4200</v>
      </c>
      <c r="P543" s="15" t="n">
        <f aca="false">IF((G543-H543)&gt;0,J543/(G543-H543),0)</f>
        <v>1</v>
      </c>
      <c r="Q543" s="15" t="n">
        <f aca="false">IF(J543*O543&gt;0,N543/(O543*J543),0)</f>
        <v>0.859136584741424</v>
      </c>
      <c r="R543" s="15" t="n">
        <f aca="false">IF(N543&gt;0,L543/N543,0)</f>
        <v>0.983755675828699</v>
      </c>
      <c r="S543" s="15" t="n">
        <f aca="false">P543*Q543*R543</f>
        <v>0.84518049155146</v>
      </c>
      <c r="T543" s="15" t="n">
        <f aca="false">IF(K543&gt;0,L543/K543,0)</f>
        <v>1.09971476754596</v>
      </c>
      <c r="U543" s="10" t="n">
        <v>965.4</v>
      </c>
      <c r="V543" s="5" t="n">
        <v>11</v>
      </c>
      <c r="W543" s="10" t="n">
        <v>56.8</v>
      </c>
      <c r="X543" s="15" t="n">
        <f aca="false">IF(U543&gt;0,W543/U543,0)</f>
        <v>0.0588357157654858</v>
      </c>
      <c r="Y543" s="12" t="n">
        <f aca="false">IF(U543&gt;0,L543/U543,0)</f>
        <v>273.567433188316</v>
      </c>
      <c r="Z543" s="16" t="n">
        <f aca="false">L543*INDEX(Parametros!$E$2:$E$9,MATCH($E543,Parametros!$A$2:$A$9,0))</f>
        <v>256178.94</v>
      </c>
      <c r="AA543" s="16" t="n">
        <f aca="false">Z543*INDEX(Parametros!$F$2:$F$9,MATCH($E543,Parametros!$A$2:$A$9,0))</f>
        <v>5635.93668</v>
      </c>
      <c r="AB543" s="17" t="n">
        <f aca="false">Z543+AA543</f>
        <v>261814.87668</v>
      </c>
      <c r="AC543" s="18" t="n">
        <v>260116.51</v>
      </c>
      <c r="AD543" s="17" t="n">
        <f aca="false">AC543-AB543</f>
        <v>-1698.36668000001</v>
      </c>
      <c r="AE543" s="17" t="n">
        <f aca="false">AA543+AD543</f>
        <v>3937.56999999999</v>
      </c>
      <c r="AF543" s="19" t="n">
        <f aca="false">IF(Z543&gt;0,AE543/Z543,0)</f>
        <v>0.015370389150646</v>
      </c>
      <c r="AG543" s="16" t="n">
        <f aca="false">(U543-W543)*INDEX(Parametros!$H$2:$H$9,MATCH($E543,Parametros!$A$2:$A$9,0))+W543*INDEX(Parametros!$H$2:$H$9,MATCH($E543,Parametros!$A$2:$A$9,0))*Parametros!$N$3</f>
        <v>31304.7</v>
      </c>
      <c r="AH543" s="13" t="n">
        <v>13831</v>
      </c>
      <c r="AI543" s="16" t="n">
        <f aca="false">AH543*Parametros!$N$2</f>
        <v>1272.452</v>
      </c>
      <c r="AJ543" s="18" t="n">
        <v>13120</v>
      </c>
      <c r="AK543" s="18" t="n">
        <v>0</v>
      </c>
      <c r="AL543" s="17" t="n">
        <f aca="false">AG543+AI543+AJ543+AK543</f>
        <v>45697.152</v>
      </c>
      <c r="AM543" s="20" t="n">
        <f aca="false">IF(L543&gt;0,AL543/L543,0)</f>
        <v>0.173028420837404</v>
      </c>
      <c r="AN543" s="16" t="n">
        <f aca="false">L543*INDEX(Parametros!$G$2:$G$9,MATCH($E543,Parametros!$A$2:$A$9,0))</f>
        <v>427845.24</v>
      </c>
      <c r="AO543" s="17" t="n">
        <f aca="false">AN543-AC543-AL543</f>
        <v>122031.578</v>
      </c>
      <c r="AP543" s="15" t="n">
        <f aca="false">IF(AN543&gt;0,AO543/AN543,0)</f>
        <v>0.285223643016339</v>
      </c>
      <c r="AQ543" s="16" t="n">
        <f aca="false">INDEX(Parametros!$I$2:$I$9,MATCH($E543,Parametros!$A$2:$A$9,0))</f>
        <v>28000000</v>
      </c>
      <c r="AR543" s="19" t="n">
        <f aca="false">IF(AQ543&gt;0,AO543/AQ543,0)</f>
        <v>0.00435827064285714</v>
      </c>
    </row>
    <row r="544" customFormat="false" ht="15" hidden="false" customHeight="false" outlineLevel="0" collapsed="false">
      <c r="A544" s="5" t="s">
        <v>679</v>
      </c>
      <c r="B544" s="9" t="n">
        <v>46020</v>
      </c>
      <c r="C544" s="2" t="str">
        <f aca="false">TEXT(B544,"yyyy")</f>
        <v>2025</v>
      </c>
      <c r="D544" s="2" t="n">
        <f aca="false">WEEKNUM(B544,2)</f>
        <v>1</v>
      </c>
      <c r="E544" s="5" t="s">
        <v>142</v>
      </c>
      <c r="F544" s="6" t="str">
        <f aca="false">INDEX(Parametros!$B$2:$B$9,MATCH($E544,Parametros!$A$2:$A$9,0))</f>
        <v>Porciones single serve</v>
      </c>
      <c r="G544" s="10" t="n">
        <v>76</v>
      </c>
      <c r="H544" s="10" t="n">
        <v>5</v>
      </c>
      <c r="I544" s="11" t="n">
        <f aca="false">SUMIFS(Eventos_Paro!$J$2:$J$2186,Eventos_Paro!$D$2:$D$2186,$E544,Eventos_Paro!$B$2:$B$2186,$B544)</f>
        <v>2.31666666666667</v>
      </c>
      <c r="J544" s="12" t="n">
        <f aca="false">G544-H544-I544</f>
        <v>68.6833333333333</v>
      </c>
      <c r="K544" s="13" t="n">
        <v>141874</v>
      </c>
      <c r="L544" s="13" t="n">
        <v>144853</v>
      </c>
      <c r="M544" s="13" t="n">
        <v>8035</v>
      </c>
      <c r="N544" s="14" t="n">
        <f aca="false">L544+M544</f>
        <v>152888</v>
      </c>
      <c r="O544" s="11" t="n">
        <f aca="false">INDEX(Parametros!$D$2:$D$9,MATCH($E544,Parametros!$A$2:$A$9,0))</f>
        <v>2600</v>
      </c>
      <c r="P544" s="15" t="n">
        <f aca="false">IF((G544-H544)&gt;0,J544/(G544-H544),0)</f>
        <v>0.967370892018779</v>
      </c>
      <c r="Q544" s="15" t="n">
        <f aca="false">IF(J544*O544&gt;0,N544/(O544*J544),0)</f>
        <v>0.856147686334534</v>
      </c>
      <c r="R544" s="15" t="n">
        <f aca="false">IF(N544&gt;0,L544/N544,0)</f>
        <v>0.947445188634818</v>
      </c>
      <c r="S544" s="15" t="n">
        <f aca="false">P544*Q544*R544</f>
        <v>0.784685807150596</v>
      </c>
      <c r="T544" s="15" t="n">
        <f aca="false">IF(K544&gt;0,L544/K544,0)</f>
        <v>1.02099750482823</v>
      </c>
      <c r="U544" s="10" t="n">
        <v>1305.6</v>
      </c>
      <c r="V544" s="5" t="n">
        <v>16</v>
      </c>
      <c r="W544" s="10" t="n">
        <v>89.6</v>
      </c>
      <c r="X544" s="15" t="n">
        <f aca="false">IF(U544&gt;0,W544/U544,0)</f>
        <v>0.0686274509803922</v>
      </c>
      <c r="Y544" s="12" t="n">
        <f aca="false">IF(U544&gt;0,L544/U544,0)</f>
        <v>110.947457107843</v>
      </c>
      <c r="Z544" s="16" t="n">
        <f aca="false">L544*INDEX(Parametros!$E$2:$E$9,MATCH($E544,Parametros!$A$2:$A$9,0))</f>
        <v>107191.22</v>
      </c>
      <c r="AA544" s="16" t="n">
        <f aca="false">Z544*INDEX(Parametros!$F$2:$F$9,MATCH($E544,Parametros!$A$2:$A$9,0))</f>
        <v>4823.6049</v>
      </c>
      <c r="AB544" s="17" t="n">
        <f aca="false">Z544+AA544</f>
        <v>112014.8249</v>
      </c>
      <c r="AC544" s="18" t="n">
        <v>112564.78</v>
      </c>
      <c r="AD544" s="17" t="n">
        <f aca="false">AC544-AB544</f>
        <v>549.955099999992</v>
      </c>
      <c r="AE544" s="17" t="n">
        <f aca="false">AA544+AD544</f>
        <v>5373.55999999999</v>
      </c>
      <c r="AF544" s="19" t="n">
        <f aca="false">IF(Z544&gt;0,AE544/Z544,0)</f>
        <v>0.0501305983829645</v>
      </c>
      <c r="AG544" s="16" t="n">
        <f aca="false">(U544-W544)*INDEX(Parametros!$H$2:$H$9,MATCH($E544,Parametros!$A$2:$A$9,0))+W544*INDEX(Parametros!$H$2:$H$9,MATCH($E544,Parametros!$A$2:$A$9,0))*Parametros!$N$3</f>
        <v>40512</v>
      </c>
      <c r="AH544" s="13" t="n">
        <v>7743</v>
      </c>
      <c r="AI544" s="16" t="n">
        <f aca="false">AH544*Parametros!$N$2</f>
        <v>712.356</v>
      </c>
      <c r="AJ544" s="18" t="n">
        <v>12032</v>
      </c>
      <c r="AK544" s="18" t="n">
        <v>2248</v>
      </c>
      <c r="AL544" s="17" t="n">
        <f aca="false">AG544+AI544+AJ544+AK544</f>
        <v>55504.356</v>
      </c>
      <c r="AM544" s="20" t="n">
        <f aca="false">IF(L544&gt;0,AL544/L544,0)</f>
        <v>0.383177124395076</v>
      </c>
      <c r="AN544" s="16" t="n">
        <f aca="false">L544*INDEX(Parametros!$G$2:$G$9,MATCH($E544,Parametros!$A$2:$A$9,0))</f>
        <v>249147.16</v>
      </c>
      <c r="AO544" s="17" t="n">
        <f aca="false">AN544-AC544-AL544</f>
        <v>81078.024</v>
      </c>
      <c r="AP544" s="15" t="n">
        <f aca="false">IF(AN544&gt;0,AO544/AN544,0)</f>
        <v>0.325422228372982</v>
      </c>
      <c r="AQ544" s="16" t="n">
        <f aca="false">INDEX(Parametros!$I$2:$I$9,MATCH($E544,Parametros!$A$2:$A$9,0))</f>
        <v>15900000</v>
      </c>
      <c r="AR544" s="19" t="n">
        <f aca="false">IF(AQ544&gt;0,AO544/AQ544,0)</f>
        <v>0.00509924679245283</v>
      </c>
    </row>
    <row r="545" customFormat="false" ht="15" hidden="false" customHeight="false" outlineLevel="0" collapsed="false">
      <c r="A545" s="5" t="s">
        <v>680</v>
      </c>
      <c r="B545" s="9" t="n">
        <v>46020</v>
      </c>
      <c r="C545" s="2" t="str">
        <f aca="false">TEXT(B545,"yyyy")</f>
        <v>2025</v>
      </c>
      <c r="D545" s="2" t="n">
        <f aca="false">WEEKNUM(B545,2)</f>
        <v>1</v>
      </c>
      <c r="E545" s="5" t="s">
        <v>144</v>
      </c>
      <c r="F545" s="6" t="str">
        <f aca="false">INDEX(Parametros!$B$2:$B$9,MATCH($E545,Parametros!$A$2:$A$9,0))</f>
        <v>Salsas picantes</v>
      </c>
      <c r="G545" s="10" t="n">
        <v>74.8</v>
      </c>
      <c r="H545" s="10" t="n">
        <v>8.2</v>
      </c>
      <c r="I545" s="11" t="n">
        <f aca="false">SUMIFS(Eventos_Paro!$J$2:$J$2186,Eventos_Paro!$D$2:$D$2186,$E545,Eventos_Paro!$B$2:$B$2186,$B545)</f>
        <v>6.53333333333333</v>
      </c>
      <c r="J545" s="12" t="n">
        <f aca="false">G545-H545-I545</f>
        <v>60.0666666666667</v>
      </c>
      <c r="K545" s="13" t="n">
        <v>174978</v>
      </c>
      <c r="L545" s="13" t="n">
        <v>152911</v>
      </c>
      <c r="M545" s="13" t="n">
        <v>5620</v>
      </c>
      <c r="N545" s="14" t="n">
        <f aca="false">L545+M545</f>
        <v>158531</v>
      </c>
      <c r="O545" s="11" t="n">
        <f aca="false">INDEX(Parametros!$D$2:$D$9,MATCH($E545,Parametros!$A$2:$A$9,0))</f>
        <v>3100</v>
      </c>
      <c r="P545" s="15" t="n">
        <f aca="false">IF((G545-H545)&gt;0,J545/(G545-H545),0)</f>
        <v>0.901901901901902</v>
      </c>
      <c r="Q545" s="15" t="n">
        <f aca="false">IF(J545*O545&gt;0,N545/(O545*J545),0)</f>
        <v>0.851371236260786</v>
      </c>
      <c r="R545" s="15" t="n">
        <f aca="false">IF(N545&gt;0,L545/N545,0)</f>
        <v>0.964549520283099</v>
      </c>
      <c r="S545" s="15" t="n">
        <f aca="false">P545*Q545*R545</f>
        <v>0.740632568051923</v>
      </c>
      <c r="T545" s="15" t="n">
        <f aca="false">IF(K545&gt;0,L545/K545,0)</f>
        <v>0.873887002937512</v>
      </c>
      <c r="U545" s="10" t="n">
        <v>743.5</v>
      </c>
      <c r="V545" s="5" t="n">
        <v>9</v>
      </c>
      <c r="W545" s="10" t="n">
        <v>70.3</v>
      </c>
      <c r="X545" s="15" t="n">
        <f aca="false">IF(U545&gt;0,W545/U545,0)</f>
        <v>0.0945527908540686</v>
      </c>
      <c r="Y545" s="12" t="n">
        <f aca="false">IF(U545&gt;0,L545/U545,0)</f>
        <v>205.663752521856</v>
      </c>
      <c r="Z545" s="16" t="n">
        <f aca="false">L545*INDEX(Parametros!$E$2:$E$9,MATCH($E545,Parametros!$A$2:$A$9,0))</f>
        <v>100921.26</v>
      </c>
      <c r="AA545" s="16" t="n">
        <f aca="false">Z545*INDEX(Parametros!$F$2:$F$9,MATCH($E545,Parametros!$A$2:$A$9,0))</f>
        <v>2623.95276</v>
      </c>
      <c r="AB545" s="17" t="n">
        <f aca="false">Z545+AA545</f>
        <v>103545.21276</v>
      </c>
      <c r="AC545" s="18" t="n">
        <v>104844.74</v>
      </c>
      <c r="AD545" s="17" t="n">
        <f aca="false">AC545-AB545</f>
        <v>1299.52724</v>
      </c>
      <c r="AE545" s="17" t="n">
        <f aca="false">AA545+AD545</f>
        <v>3923.48</v>
      </c>
      <c r="AF545" s="19" t="n">
        <f aca="false">IF(Z545&gt;0,AE545/Z545,0)</f>
        <v>0.0388766450200879</v>
      </c>
      <c r="AG545" s="16" t="n">
        <f aca="false">(U545-W545)*INDEX(Parametros!$H$2:$H$9,MATCH($E545,Parametros!$A$2:$A$9,0))+W545*INDEX(Parametros!$H$2:$H$9,MATCH($E545,Parametros!$A$2:$A$9,0))*Parametros!$N$3</f>
        <v>24527.475</v>
      </c>
      <c r="AH545" s="13" t="n">
        <v>8501</v>
      </c>
      <c r="AI545" s="16" t="n">
        <f aca="false">AH545*Parametros!$N$2</f>
        <v>782.092</v>
      </c>
      <c r="AJ545" s="18" t="n">
        <v>7717</v>
      </c>
      <c r="AK545" s="18" t="n">
        <v>5474</v>
      </c>
      <c r="AL545" s="17" t="n">
        <f aca="false">AG545+AI545+AJ545+AK545</f>
        <v>38500.567</v>
      </c>
      <c r="AM545" s="20" t="n">
        <f aca="false">IF(L545&gt;0,AL545/L545,0)</f>
        <v>0.251784155489141</v>
      </c>
      <c r="AN545" s="16" t="n">
        <f aca="false">L545*INDEX(Parametros!$G$2:$G$9,MATCH($E545,Parametros!$A$2:$A$9,0))</f>
        <v>191138.75</v>
      </c>
      <c r="AO545" s="17" t="n">
        <f aca="false">AN545-AC545-AL545</f>
        <v>47793.443</v>
      </c>
      <c r="AP545" s="15" t="n">
        <f aca="false">IF(AN545&gt;0,AO545/AN545,0)</f>
        <v>0.250045807038081</v>
      </c>
      <c r="AQ545" s="16" t="n">
        <f aca="false">INDEX(Parametros!$I$2:$I$9,MATCH($E545,Parametros!$A$2:$A$9,0))</f>
        <v>13300000</v>
      </c>
      <c r="AR545" s="19" t="n">
        <f aca="false">IF(AQ545&gt;0,AO545/AQ545,0)</f>
        <v>0.00359349195488722</v>
      </c>
    </row>
    <row r="546" customFormat="false" ht="15" hidden="false" customHeight="false" outlineLevel="0" collapsed="false">
      <c r="A546" s="5" t="s">
        <v>681</v>
      </c>
      <c r="B546" s="9" t="n">
        <v>46027</v>
      </c>
      <c r="C546" s="2" t="str">
        <f aca="false">TEXT(B546,"yyyy")</f>
        <v>2026</v>
      </c>
      <c r="D546" s="2" t="n">
        <f aca="false">WEEKNUM(B546,2)</f>
        <v>2</v>
      </c>
      <c r="E546" s="5" t="s">
        <v>130</v>
      </c>
      <c r="F546" s="6" t="str">
        <f aca="false">INDEX(Parametros!$B$2:$B$9,MATCH($E546,Parametros!$A$2:$A$9,0))</f>
        <v>Ketchup botella</v>
      </c>
      <c r="G546" s="10" t="n">
        <v>120.4</v>
      </c>
      <c r="H546" s="10" t="n">
        <v>7.5</v>
      </c>
      <c r="I546" s="11" t="n">
        <f aca="false">SUMIFS(Eventos_Paro!$J$2:$J$2186,Eventos_Paro!$D$2:$D$2186,$E546,Eventos_Paro!$B$2:$B$2186,$B546)</f>
        <v>6.31666666666667</v>
      </c>
      <c r="J546" s="12" t="n">
        <f aca="false">G546-H546-I546</f>
        <v>106.583333333333</v>
      </c>
      <c r="K546" s="13" t="n">
        <v>780433</v>
      </c>
      <c r="L546" s="13" t="n">
        <v>818842</v>
      </c>
      <c r="M546" s="13" t="n">
        <v>13317</v>
      </c>
      <c r="N546" s="14" t="n">
        <f aca="false">L546+M546</f>
        <v>832159</v>
      </c>
      <c r="O546" s="11" t="n">
        <f aca="false">INDEX(Parametros!$D$2:$D$9,MATCH($E546,Parametros!$A$2:$A$9,0))</f>
        <v>9000</v>
      </c>
      <c r="P546" s="15" t="n">
        <f aca="false">IF((G546-H546)&gt;0,J546/(G546-H546),0)</f>
        <v>0.944050782403307</v>
      </c>
      <c r="Q546" s="15" t="n">
        <f aca="false">IF(J546*O546&gt;0,N546/(O546*J546),0)</f>
        <v>0.867510033880636</v>
      </c>
      <c r="R546" s="15" t="n">
        <f aca="false">IF(N546&gt;0,L546/N546,0)</f>
        <v>0.983997048640945</v>
      </c>
      <c r="S546" s="15" t="n">
        <f aca="false">P546*Q546*R546</f>
        <v>0.805867532723157</v>
      </c>
      <c r="T546" s="15" t="n">
        <f aca="false">IF(K546&gt;0,L546/K546,0)</f>
        <v>1.04921498706487</v>
      </c>
      <c r="U546" s="10" t="n">
        <v>1666.7</v>
      </c>
      <c r="V546" s="5" t="n">
        <v>13</v>
      </c>
      <c r="W546" s="10" t="n">
        <v>101.5</v>
      </c>
      <c r="X546" s="15" t="n">
        <f aca="false">IF(U546&gt;0,W546/U546,0)</f>
        <v>0.0608987820243595</v>
      </c>
      <c r="Y546" s="12" t="n">
        <f aca="false">IF(U546&gt;0,L546/U546,0)</f>
        <v>491.295374092518</v>
      </c>
      <c r="Z546" s="16" t="n">
        <f aca="false">L546*INDEX(Parametros!$E$2:$E$9,MATCH($E546,Parametros!$A$2:$A$9,0))</f>
        <v>343913.64</v>
      </c>
      <c r="AA546" s="16" t="n">
        <f aca="false">Z546*INDEX(Parametros!$F$2:$F$9,MATCH($E546,Parametros!$A$2:$A$9,0))</f>
        <v>6878.2728</v>
      </c>
      <c r="AB546" s="17" t="n">
        <f aca="false">Z546+AA546</f>
        <v>350791.9128</v>
      </c>
      <c r="AC546" s="18" t="n">
        <v>348378.62</v>
      </c>
      <c r="AD546" s="17" t="n">
        <f aca="false">AC546-AB546</f>
        <v>-2413.2928</v>
      </c>
      <c r="AE546" s="17" t="n">
        <f aca="false">AA546+AD546</f>
        <v>4464.98000000001</v>
      </c>
      <c r="AF546" s="19" t="n">
        <f aca="false">IF(Z546&gt;0,AE546/Z546,0)</f>
        <v>0.0129828523230425</v>
      </c>
      <c r="AG546" s="16" t="n">
        <f aca="false">(U546-W546)*INDEX(Parametros!$H$2:$H$9,MATCH($E546,Parametros!$A$2:$A$9,0))+W546*INDEX(Parametros!$H$2:$H$9,MATCH($E546,Parametros!$A$2:$A$9,0))*Parametros!$N$3</f>
        <v>54099.675</v>
      </c>
      <c r="AH546" s="13" t="n">
        <v>42498</v>
      </c>
      <c r="AI546" s="16" t="n">
        <f aca="false">AH546*Parametros!$N$2</f>
        <v>3909.816</v>
      </c>
      <c r="AJ546" s="18" t="n">
        <v>16096</v>
      </c>
      <c r="AK546" s="18" t="n">
        <v>5476</v>
      </c>
      <c r="AL546" s="17" t="n">
        <f aca="false">AG546+AI546+AJ546+AK546</f>
        <v>79581.491</v>
      </c>
      <c r="AM546" s="20" t="n">
        <f aca="false">IF(L546&gt;0,AL546/L546,0)</f>
        <v>0.0971878469839114</v>
      </c>
      <c r="AN546" s="16" t="n">
        <f aca="false">L546*INDEX(Parametros!$G$2:$G$9,MATCH($E546,Parametros!$A$2:$A$9,0))</f>
        <v>581377.82</v>
      </c>
      <c r="AO546" s="17" t="n">
        <f aca="false">AN546-AC546-AL546</f>
        <v>153417.709</v>
      </c>
      <c r="AP546" s="15" t="n">
        <f aca="false">IF(AN546&gt;0,AO546/AN546,0)</f>
        <v>0.263886415549874</v>
      </c>
      <c r="AQ546" s="16" t="n">
        <f aca="false">INDEX(Parametros!$I$2:$I$9,MATCH($E546,Parametros!$A$2:$A$9,0))</f>
        <v>29300000</v>
      </c>
      <c r="AR546" s="19" t="n">
        <f aca="false">IF(AQ546&gt;0,AO546/AQ546,0)</f>
        <v>0.00523609928327645</v>
      </c>
    </row>
    <row r="547" customFormat="false" ht="15" hidden="false" customHeight="false" outlineLevel="0" collapsed="false">
      <c r="A547" s="5" t="s">
        <v>682</v>
      </c>
      <c r="B547" s="9" t="n">
        <v>46027</v>
      </c>
      <c r="C547" s="2" t="str">
        <f aca="false">TEXT(B547,"yyyy")</f>
        <v>2026</v>
      </c>
      <c r="D547" s="2" t="n">
        <f aca="false">WEEKNUM(B547,2)</f>
        <v>2</v>
      </c>
      <c r="E547" s="5" t="s">
        <v>132</v>
      </c>
      <c r="F547" s="6" t="str">
        <f aca="false">INDEX(Parametros!$B$2:$B$9,MATCH($E547,Parametros!$A$2:$A$9,0))</f>
        <v>Mayonesa frasco</v>
      </c>
      <c r="G547" s="10" t="n">
        <v>105.1</v>
      </c>
      <c r="H547" s="10" t="n">
        <v>7</v>
      </c>
      <c r="I547" s="11" t="n">
        <f aca="false">SUMIFS(Eventos_Paro!$J$2:$J$2186,Eventos_Paro!$D$2:$D$2186,$E547,Eventos_Paro!$B$2:$B$2186,$B547)</f>
        <v>3.81666666666667</v>
      </c>
      <c r="J547" s="12" t="n">
        <f aca="false">G547-H547-I547</f>
        <v>94.2833333333333</v>
      </c>
      <c r="K547" s="13" t="n">
        <v>489758</v>
      </c>
      <c r="L547" s="13" t="n">
        <v>501298</v>
      </c>
      <c r="M547" s="13" t="n">
        <v>15965</v>
      </c>
      <c r="N547" s="14" t="n">
        <f aca="false">L547+M547</f>
        <v>517263</v>
      </c>
      <c r="O547" s="11" t="n">
        <f aca="false">INDEX(Parametros!$D$2:$D$9,MATCH($E547,Parametros!$A$2:$A$9,0))</f>
        <v>6500</v>
      </c>
      <c r="P547" s="15" t="n">
        <f aca="false">IF((G547-H547)&gt;0,J547/(G547-H547),0)</f>
        <v>0.96109412164458</v>
      </c>
      <c r="Q547" s="15" t="n">
        <f aca="false">IF(J547*O547&gt;0,N547/(O547*J547),0)</f>
        <v>0.844040195265226</v>
      </c>
      <c r="R547" s="15" t="n">
        <f aca="false">IF(N547&gt;0,L547/N547,0)</f>
        <v>0.969135623464273</v>
      </c>
      <c r="S547" s="15" t="n">
        <f aca="false">P547*Q547*R547</f>
        <v>0.786164823962989</v>
      </c>
      <c r="T547" s="15" t="n">
        <f aca="false">IF(K547&gt;0,L547/K547,0)</f>
        <v>1.02356265747573</v>
      </c>
      <c r="U547" s="10" t="n">
        <v>1294</v>
      </c>
      <c r="V547" s="5" t="n">
        <v>12</v>
      </c>
      <c r="W547" s="10" t="n">
        <v>32.8</v>
      </c>
      <c r="X547" s="15" t="n">
        <f aca="false">IF(U547&gt;0,W547/U547,0)</f>
        <v>0.0253477588871716</v>
      </c>
      <c r="Y547" s="12" t="n">
        <f aca="false">IF(U547&gt;0,L547/U547,0)</f>
        <v>387.401854714065</v>
      </c>
      <c r="Z547" s="16" t="n">
        <f aca="false">L547*INDEX(Parametros!$E$2:$E$9,MATCH($E547,Parametros!$A$2:$A$9,0))</f>
        <v>305791.78</v>
      </c>
      <c r="AA547" s="16" t="n">
        <f aca="false">Z547*INDEX(Parametros!$F$2:$F$9,MATCH($E547,Parametros!$A$2:$A$9,0))</f>
        <v>7644.7945</v>
      </c>
      <c r="AB547" s="17" t="n">
        <f aca="false">Z547+AA547</f>
        <v>313436.5745</v>
      </c>
      <c r="AC547" s="18" t="n">
        <v>315209.81</v>
      </c>
      <c r="AD547" s="17" t="n">
        <f aca="false">AC547-AB547</f>
        <v>1773.23550000001</v>
      </c>
      <c r="AE547" s="17" t="n">
        <f aca="false">AA547+AD547</f>
        <v>9418.03000000001</v>
      </c>
      <c r="AF547" s="19" t="n">
        <f aca="false">IF(Z547&gt;0,AE547/Z547,0)</f>
        <v>0.0307988331144807</v>
      </c>
      <c r="AG547" s="16" t="n">
        <f aca="false">(U547-W547)*INDEX(Parametros!$H$2:$H$9,MATCH($E547,Parametros!$A$2:$A$9,0))+W547*INDEX(Parametros!$H$2:$H$9,MATCH($E547,Parametros!$A$2:$A$9,0))*Parametros!$N$3</f>
        <v>41277.6</v>
      </c>
      <c r="AH547" s="13" t="n">
        <v>24755</v>
      </c>
      <c r="AI547" s="16" t="n">
        <f aca="false">AH547*Parametros!$N$2</f>
        <v>2277.46</v>
      </c>
      <c r="AJ547" s="18" t="n">
        <v>15298</v>
      </c>
      <c r="AK547" s="18" t="n">
        <v>2071</v>
      </c>
      <c r="AL547" s="17" t="n">
        <f aca="false">AG547+AI547+AJ547+AK547</f>
        <v>60924.06</v>
      </c>
      <c r="AM547" s="20" t="n">
        <f aca="false">IF(L547&gt;0,AL547/L547,0)</f>
        <v>0.121532621315066</v>
      </c>
      <c r="AN547" s="16" t="n">
        <f aca="false">L547*INDEX(Parametros!$G$2:$G$9,MATCH($E547,Parametros!$A$2:$A$9,0))</f>
        <v>481246.08</v>
      </c>
      <c r="AO547" s="17" t="n">
        <f aca="false">AN547-AC547-AL547</f>
        <v>105112.21</v>
      </c>
      <c r="AP547" s="15" t="n">
        <f aca="false">IF(AN547&gt;0,AO547/AN547,0)</f>
        <v>0.21841676092198</v>
      </c>
      <c r="AQ547" s="16" t="n">
        <f aca="false">INDEX(Parametros!$I$2:$I$9,MATCH($E547,Parametros!$A$2:$A$9,0))</f>
        <v>29700000</v>
      </c>
      <c r="AR547" s="19" t="n">
        <f aca="false">IF(AQ547&gt;0,AO547/AQ547,0)</f>
        <v>0.00353913164983165</v>
      </c>
    </row>
    <row r="548" customFormat="false" ht="15" hidden="false" customHeight="false" outlineLevel="0" collapsed="false">
      <c r="A548" s="5" t="s">
        <v>683</v>
      </c>
      <c r="B548" s="9" t="n">
        <v>46027</v>
      </c>
      <c r="C548" s="2" t="str">
        <f aca="false">TEXT(B548,"yyyy")</f>
        <v>2026</v>
      </c>
      <c r="D548" s="2" t="n">
        <f aca="false">WEEKNUM(B548,2)</f>
        <v>2</v>
      </c>
      <c r="E548" s="5" t="s">
        <v>134</v>
      </c>
      <c r="F548" s="6" t="str">
        <f aca="false">INDEX(Parametros!$B$2:$B$9,MATCH($E548,Parametros!$A$2:$A$9,0))</f>
        <v>Aderezos vertibles</v>
      </c>
      <c r="G548" s="10" t="n">
        <v>105.9</v>
      </c>
      <c r="H548" s="10" t="n">
        <v>7.3</v>
      </c>
      <c r="I548" s="11" t="n">
        <f aca="false">SUMIFS(Eventos_Paro!$J$2:$J$2186,Eventos_Paro!$D$2:$D$2186,$E548,Eventos_Paro!$B$2:$B$2186,$B548)</f>
        <v>4.88333333333333</v>
      </c>
      <c r="J548" s="12" t="n">
        <f aca="false">G548-H548-I548</f>
        <v>93.7166666666667</v>
      </c>
      <c r="K548" s="13" t="n">
        <v>393803</v>
      </c>
      <c r="L548" s="13" t="n">
        <v>382409</v>
      </c>
      <c r="M548" s="13" t="n">
        <v>11526</v>
      </c>
      <c r="N548" s="14" t="n">
        <f aca="false">L548+M548</f>
        <v>393935</v>
      </c>
      <c r="O548" s="11" t="n">
        <f aca="false">INDEX(Parametros!$D$2:$D$9,MATCH($E548,Parametros!$A$2:$A$9,0))</f>
        <v>5200</v>
      </c>
      <c r="P548" s="15" t="n">
        <f aca="false">IF((G548-H548)&gt;0,J548/(G548-H548),0)</f>
        <v>0.950473292765382</v>
      </c>
      <c r="Q548" s="15" t="n">
        <f aca="false">IF(J548*O548&gt;0,N548/(O548*J548),0)</f>
        <v>0.808359211480321</v>
      </c>
      <c r="R548" s="15" t="n">
        <f aca="false">IF(N548&gt;0,L548/N548,0)</f>
        <v>0.97074136596139</v>
      </c>
      <c r="S548" s="15" t="n">
        <f aca="false">P548*Q548*R548</f>
        <v>0.745843735372133</v>
      </c>
      <c r="T548" s="15" t="n">
        <f aca="false">IF(K548&gt;0,L548/K548,0)</f>
        <v>0.971066751649937</v>
      </c>
      <c r="U548" s="10" t="n">
        <v>1269.5</v>
      </c>
      <c r="V548" s="5" t="n">
        <v>11</v>
      </c>
      <c r="W548" s="10" t="n">
        <v>104.6</v>
      </c>
      <c r="X548" s="15" t="n">
        <f aca="false">IF(U548&gt;0,W548/U548,0)</f>
        <v>0.0823946435604569</v>
      </c>
      <c r="Y548" s="12" t="n">
        <f aca="false">IF(U548&gt;0,L548/U548,0)</f>
        <v>301.228042536432</v>
      </c>
      <c r="Z548" s="16" t="n">
        <f aca="false">L548*INDEX(Parametros!$E$2:$E$9,MATCH($E548,Parametros!$A$2:$A$9,0))</f>
        <v>210324.95</v>
      </c>
      <c r="AA548" s="16" t="n">
        <f aca="false">Z548*INDEX(Parametros!$F$2:$F$9,MATCH($E548,Parametros!$A$2:$A$9,0))</f>
        <v>6309.7485</v>
      </c>
      <c r="AB548" s="17" t="n">
        <f aca="false">Z548+AA548</f>
        <v>216634.6985</v>
      </c>
      <c r="AC548" s="18" t="n">
        <v>220923.65</v>
      </c>
      <c r="AD548" s="17" t="n">
        <f aca="false">AC548-AB548</f>
        <v>4288.9515</v>
      </c>
      <c r="AE548" s="17" t="n">
        <f aca="false">AA548+AD548</f>
        <v>10598.7</v>
      </c>
      <c r="AF548" s="19" t="n">
        <f aca="false">IF(Z548&gt;0,AE548/Z548,0)</f>
        <v>0.0503920243413822</v>
      </c>
      <c r="AG548" s="16" t="n">
        <f aca="false">(U548-W548)*INDEX(Parametros!$H$2:$H$9,MATCH($E548,Parametros!$A$2:$A$9,0))+W548*INDEX(Parametros!$H$2:$H$9,MATCH($E548,Parametros!$A$2:$A$9,0))*Parametros!$N$3</f>
        <v>41636.7</v>
      </c>
      <c r="AH548" s="13" t="n">
        <v>20222</v>
      </c>
      <c r="AI548" s="16" t="n">
        <f aca="false">AH548*Parametros!$N$2</f>
        <v>1860.424</v>
      </c>
      <c r="AJ548" s="18" t="n">
        <v>10905</v>
      </c>
      <c r="AK548" s="18" t="n">
        <v>4813</v>
      </c>
      <c r="AL548" s="17" t="n">
        <f aca="false">AG548+AI548+AJ548+AK548</f>
        <v>59215.124</v>
      </c>
      <c r="AM548" s="20" t="n">
        <f aca="false">IF(L548&gt;0,AL548/L548,0)</f>
        <v>0.154847621264144</v>
      </c>
      <c r="AN548" s="16" t="n">
        <f aca="false">L548*INDEX(Parametros!$G$2:$G$9,MATCH($E548,Parametros!$A$2:$A$9,0))</f>
        <v>390057.18</v>
      </c>
      <c r="AO548" s="17" t="n">
        <f aca="false">AN548-AC548-AL548</f>
        <v>109918.406</v>
      </c>
      <c r="AP548" s="15" t="n">
        <f aca="false">IF(AN548&gt;0,AO548/AN548,0)</f>
        <v>0.28180075034127</v>
      </c>
      <c r="AQ548" s="16" t="n">
        <f aca="false">INDEX(Parametros!$I$2:$I$9,MATCH($E548,Parametros!$A$2:$A$9,0))</f>
        <v>19300000</v>
      </c>
      <c r="AR548" s="19" t="n">
        <f aca="false">IF(AQ548&gt;0,AO548/AQ548,0)</f>
        <v>0.00569525419689119</v>
      </c>
    </row>
    <row r="549" customFormat="false" ht="15" hidden="false" customHeight="false" outlineLevel="0" collapsed="false">
      <c r="A549" s="5" t="s">
        <v>684</v>
      </c>
      <c r="B549" s="9" t="n">
        <v>46027</v>
      </c>
      <c r="C549" s="2" t="str">
        <f aca="false">TEXT(B549,"yyyy")</f>
        <v>2026</v>
      </c>
      <c r="D549" s="2" t="n">
        <f aca="false">WEEKNUM(B549,2)</f>
        <v>2</v>
      </c>
      <c r="E549" s="5" t="s">
        <v>136</v>
      </c>
      <c r="F549" s="6" t="str">
        <f aca="false">INDEX(Parametros!$B$2:$B$9,MATCH($E549,Parametros!$A$2:$A$9,0))</f>
        <v>Salsa BBQ</v>
      </c>
      <c r="G549" s="10" t="n">
        <v>72.9</v>
      </c>
      <c r="H549" s="10" t="n">
        <v>5.9</v>
      </c>
      <c r="I549" s="11" t="n">
        <f aca="false">SUMIFS(Eventos_Paro!$J$2:$J$2186,Eventos_Paro!$D$2:$D$2186,$E549,Eventos_Paro!$B$2:$B$2186,$B549)</f>
        <v>3.1</v>
      </c>
      <c r="J549" s="12" t="n">
        <f aca="false">G549-H549-I549</f>
        <v>63.9</v>
      </c>
      <c r="K549" s="13" t="n">
        <v>211066</v>
      </c>
      <c r="L549" s="13" t="n">
        <v>242229</v>
      </c>
      <c r="M549" s="13" t="n">
        <v>4031</v>
      </c>
      <c r="N549" s="14" t="n">
        <f aca="false">L549+M549</f>
        <v>246260</v>
      </c>
      <c r="O549" s="11" t="n">
        <f aca="false">INDEX(Parametros!$D$2:$D$9,MATCH($E549,Parametros!$A$2:$A$9,0))</f>
        <v>4800</v>
      </c>
      <c r="P549" s="15" t="n">
        <f aca="false">IF((G549-H549)&gt;0,J549/(G549-H549),0)</f>
        <v>0.953731343283582</v>
      </c>
      <c r="Q549" s="15" t="n">
        <f aca="false">IF(J549*O549&gt;0,N549/(O549*J549),0)</f>
        <v>0.802882107459572</v>
      </c>
      <c r="R549" s="15" t="n">
        <f aca="false">IF(N549&gt;0,L549/N549,0)</f>
        <v>0.983631121578819</v>
      </c>
      <c r="S549" s="15" t="n">
        <f aca="false">P549*Q549*R549</f>
        <v>0.753199626865672</v>
      </c>
      <c r="T549" s="15" t="n">
        <f aca="false">IF(K549&gt;0,L549/K549,0)</f>
        <v>1.147645760094</v>
      </c>
      <c r="U549" s="10" t="n">
        <v>820.5</v>
      </c>
      <c r="V549" s="5" t="n">
        <v>11</v>
      </c>
      <c r="W549" s="10" t="n">
        <v>18.6</v>
      </c>
      <c r="X549" s="15" t="n">
        <f aca="false">IF(U549&gt;0,W549/U549,0)</f>
        <v>0.0226691042047532</v>
      </c>
      <c r="Y549" s="12" t="n">
        <f aca="false">IF(U549&gt;0,L549/U549,0)</f>
        <v>295.221206581353</v>
      </c>
      <c r="Z549" s="16" t="n">
        <f aca="false">L549*INDEX(Parametros!$E$2:$E$9,MATCH($E549,Parametros!$A$2:$A$9,0))</f>
        <v>140492.82</v>
      </c>
      <c r="AA549" s="16" t="n">
        <f aca="false">Z549*INDEX(Parametros!$F$2:$F$9,MATCH($E549,Parametros!$A$2:$A$9,0))</f>
        <v>3933.79896</v>
      </c>
      <c r="AB549" s="17" t="n">
        <f aca="false">Z549+AA549</f>
        <v>144426.61896</v>
      </c>
      <c r="AC549" s="18" t="n">
        <v>143918.93</v>
      </c>
      <c r="AD549" s="17" t="n">
        <f aca="false">AC549-AB549</f>
        <v>-507.68895999997</v>
      </c>
      <c r="AE549" s="17" t="n">
        <f aca="false">AA549+AD549</f>
        <v>3426.11000000003</v>
      </c>
      <c r="AF549" s="19" t="n">
        <f aca="false">IF(Z549&gt;0,AE549/Z549,0)</f>
        <v>0.0243863707768129</v>
      </c>
      <c r="AG549" s="16" t="n">
        <f aca="false">(U549-W549)*INDEX(Parametros!$H$2:$H$9,MATCH($E549,Parametros!$A$2:$A$9,0))+W549*INDEX(Parametros!$H$2:$H$9,MATCH($E549,Parametros!$A$2:$A$9,0))*Parametros!$N$3</f>
        <v>26138.7</v>
      </c>
      <c r="AH549" s="13" t="n">
        <v>12574</v>
      </c>
      <c r="AI549" s="16" t="n">
        <f aca="false">AH549*Parametros!$N$2</f>
        <v>1156.808</v>
      </c>
      <c r="AJ549" s="18" t="n">
        <v>10513</v>
      </c>
      <c r="AK549" s="18" t="n">
        <v>2205</v>
      </c>
      <c r="AL549" s="17" t="n">
        <f aca="false">AG549+AI549+AJ549+AK549</f>
        <v>40013.508</v>
      </c>
      <c r="AM549" s="20" t="n">
        <f aca="false">IF(L549&gt;0,AL549/L549,0)</f>
        <v>0.165188759397099</v>
      </c>
      <c r="AN549" s="16" t="n">
        <f aca="false">L549*INDEX(Parametros!$G$2:$G$9,MATCH($E549,Parametros!$A$2:$A$9,0))</f>
        <v>237384.42</v>
      </c>
      <c r="AO549" s="17" t="n">
        <f aca="false">AN549-AC549-AL549</f>
        <v>53451.982</v>
      </c>
      <c r="AP549" s="15" t="n">
        <f aca="false">IF(AN549&gt;0,AO549/AN549,0)</f>
        <v>0.225170556686071</v>
      </c>
      <c r="AQ549" s="16" t="n">
        <f aca="false">INDEX(Parametros!$I$2:$I$9,MATCH($E549,Parametros!$A$2:$A$9,0))</f>
        <v>17000000</v>
      </c>
      <c r="AR549" s="19" t="n">
        <f aca="false">IF(AQ549&gt;0,AO549/AQ549,0)</f>
        <v>0.00314423423529412</v>
      </c>
    </row>
    <row r="550" customFormat="false" ht="15" hidden="false" customHeight="false" outlineLevel="0" collapsed="false">
      <c r="A550" s="5" t="s">
        <v>685</v>
      </c>
      <c r="B550" s="9" t="n">
        <v>46027</v>
      </c>
      <c r="C550" s="2" t="str">
        <f aca="false">TEXT(B550,"yyyy")</f>
        <v>2026</v>
      </c>
      <c r="D550" s="2" t="n">
        <f aca="false">WEEKNUM(B550,2)</f>
        <v>2</v>
      </c>
      <c r="E550" s="5" t="s">
        <v>138</v>
      </c>
      <c r="F550" s="6" t="str">
        <f aca="false">INDEX(Parametros!$B$2:$B$9,MATCH($E550,Parametros!$A$2:$A$9,0))</f>
        <v>Queso crema</v>
      </c>
      <c r="G550" s="10" t="n">
        <v>134</v>
      </c>
      <c r="H550" s="10" t="n">
        <v>5.3</v>
      </c>
      <c r="I550" s="11" t="n">
        <f aca="false">SUMIFS(Eventos_Paro!$J$2:$J$2186,Eventos_Paro!$D$2:$D$2186,$E550,Eventos_Paro!$B$2:$B$2186,$B550)</f>
        <v>3.48333333333333</v>
      </c>
      <c r="J550" s="12" t="n">
        <f aca="false">G550-H550-I550</f>
        <v>125.216666666667</v>
      </c>
      <c r="K550" s="13" t="n">
        <v>375631</v>
      </c>
      <c r="L550" s="13" t="n">
        <v>364478</v>
      </c>
      <c r="M550" s="13" t="n">
        <v>14031</v>
      </c>
      <c r="N550" s="14" t="n">
        <f aca="false">L550+M550</f>
        <v>378509</v>
      </c>
      <c r="O550" s="11" t="n">
        <f aca="false">INDEX(Parametros!$D$2:$D$9,MATCH($E550,Parametros!$A$2:$A$9,0))</f>
        <v>3800</v>
      </c>
      <c r="P550" s="15" t="n">
        <f aca="false">IF((G550-H550)&gt;0,J550/(G550-H550),0)</f>
        <v>0.972934472934473</v>
      </c>
      <c r="Q550" s="15" t="n">
        <f aca="false">IF(J550*O550&gt;0,N550/(O550*J550),0)</f>
        <v>0.795482216789144</v>
      </c>
      <c r="R550" s="15" t="n">
        <f aca="false">IF(N550&gt;0,L550/N550,0)</f>
        <v>0.96293086822242</v>
      </c>
      <c r="S550" s="15" t="n">
        <f aca="false">P550*Q550*R550</f>
        <v>0.745262339999182</v>
      </c>
      <c r="T550" s="15" t="n">
        <f aca="false">IF(K550&gt;0,L550/K550,0)</f>
        <v>0.970308627349713</v>
      </c>
      <c r="U550" s="10" t="n">
        <v>2037</v>
      </c>
      <c r="V550" s="5" t="n">
        <v>15</v>
      </c>
      <c r="W550" s="10" t="n">
        <v>27</v>
      </c>
      <c r="X550" s="15" t="n">
        <f aca="false">IF(U550&gt;0,W550/U550,0)</f>
        <v>0.0132547864506627</v>
      </c>
      <c r="Y550" s="12" t="n">
        <f aca="false">IF(U550&gt;0,L550/U550,0)</f>
        <v>178.92881688758</v>
      </c>
      <c r="Z550" s="16" t="n">
        <f aca="false">L550*INDEX(Parametros!$E$2:$E$9,MATCH($E550,Parametros!$A$2:$A$9,0))</f>
        <v>408215.36</v>
      </c>
      <c r="AA550" s="16" t="n">
        <f aca="false">Z550*INDEX(Parametros!$F$2:$F$9,MATCH($E550,Parametros!$A$2:$A$9,0))</f>
        <v>14287.5376</v>
      </c>
      <c r="AB550" s="17" t="n">
        <f aca="false">Z550+AA550</f>
        <v>422502.8976</v>
      </c>
      <c r="AC550" s="18" t="n">
        <v>415748.08</v>
      </c>
      <c r="AD550" s="17" t="n">
        <f aca="false">AC550-AB550</f>
        <v>-6754.81760000001</v>
      </c>
      <c r="AE550" s="17" t="n">
        <f aca="false">AA550+AD550</f>
        <v>7532.71999999999</v>
      </c>
      <c r="AF550" s="19" t="n">
        <f aca="false">IF(Z550&gt;0,AE550/Z550,0)</f>
        <v>0.0184528088311033</v>
      </c>
      <c r="AG550" s="16" t="n">
        <f aca="false">(U550-W550)*INDEX(Parametros!$H$2:$H$9,MATCH($E550,Parametros!$A$2:$A$9,0))+W550*INDEX(Parametros!$H$2:$H$9,MATCH($E550,Parametros!$A$2:$A$9,0))*Parametros!$N$3</f>
        <v>67666.5</v>
      </c>
      <c r="AH550" s="13" t="n">
        <v>19192</v>
      </c>
      <c r="AI550" s="16" t="n">
        <f aca="false">AH550*Parametros!$N$2</f>
        <v>1765.664</v>
      </c>
      <c r="AJ550" s="18" t="n">
        <v>18499</v>
      </c>
      <c r="AK550" s="18" t="n">
        <v>3663</v>
      </c>
      <c r="AL550" s="17" t="n">
        <f aca="false">AG550+AI550+AJ550+AK550</f>
        <v>91594.164</v>
      </c>
      <c r="AM550" s="20" t="n">
        <f aca="false">IF(L550&gt;0,AL550/L550,0)</f>
        <v>0.25130231179934</v>
      </c>
      <c r="AN550" s="16" t="n">
        <f aca="false">L550*INDEX(Parametros!$G$2:$G$9,MATCH($E550,Parametros!$A$2:$A$9,0))</f>
        <v>652415.62</v>
      </c>
      <c r="AO550" s="17" t="n">
        <f aca="false">AN550-AC550-AL550</f>
        <v>145073.376</v>
      </c>
      <c r="AP550" s="15" t="n">
        <f aca="false">IF(AN550&gt;0,AO550/AN550,0)</f>
        <v>0.222363431458002</v>
      </c>
      <c r="AQ550" s="16" t="n">
        <f aca="false">INDEX(Parametros!$I$2:$I$9,MATCH($E550,Parametros!$A$2:$A$9,0))</f>
        <v>33200000</v>
      </c>
      <c r="AR550" s="19" t="n">
        <f aca="false">IF(AQ550&gt;0,AO550/AQ550,0)</f>
        <v>0.00436968</v>
      </c>
    </row>
    <row r="551" customFormat="false" ht="15" hidden="false" customHeight="false" outlineLevel="0" collapsed="false">
      <c r="A551" s="5" t="s">
        <v>686</v>
      </c>
      <c r="B551" s="9" t="n">
        <v>46027</v>
      </c>
      <c r="C551" s="2" t="str">
        <f aca="false">TEXT(B551,"yyyy")</f>
        <v>2026</v>
      </c>
      <c r="D551" s="2" t="n">
        <f aca="false">WEEKNUM(B551,2)</f>
        <v>2</v>
      </c>
      <c r="E551" s="5" t="s">
        <v>140</v>
      </c>
      <c r="F551" s="6" t="str">
        <f aca="false">INDEX(Parametros!$B$2:$B$9,MATCH($E551,Parametros!$A$2:$A$9,0))</f>
        <v>Crema de cacahuate</v>
      </c>
      <c r="G551" s="10" t="n">
        <v>104.6</v>
      </c>
      <c r="H551" s="10" t="n">
        <v>5.4</v>
      </c>
      <c r="I551" s="11" t="n">
        <f aca="false">SUMIFS(Eventos_Paro!$J$2:$J$2186,Eventos_Paro!$D$2:$D$2186,$E551,Eventos_Paro!$B$2:$B$2186,$B551)</f>
        <v>0.783333333333333</v>
      </c>
      <c r="J551" s="12" t="n">
        <f aca="false">G551-H551-I551</f>
        <v>98.4166666666667</v>
      </c>
      <c r="K551" s="13" t="n">
        <v>320007</v>
      </c>
      <c r="L551" s="13" t="n">
        <v>357912</v>
      </c>
      <c r="M551" s="13" t="n">
        <v>14208</v>
      </c>
      <c r="N551" s="14" t="n">
        <f aca="false">L551+M551</f>
        <v>372120</v>
      </c>
      <c r="O551" s="11" t="n">
        <f aca="false">INDEX(Parametros!$D$2:$D$9,MATCH($E551,Parametros!$A$2:$A$9,0))</f>
        <v>4200</v>
      </c>
      <c r="P551" s="15" t="n">
        <f aca="false">IF((G551-H551)&gt;0,J551/(G551-H551),0)</f>
        <v>0.992103494623656</v>
      </c>
      <c r="Q551" s="15" t="n">
        <f aca="false">IF(J551*O551&gt;0,N551/(O551*J551),0)</f>
        <v>0.900254022015241</v>
      </c>
      <c r="R551" s="15" t="n">
        <f aca="false">IF(N551&gt;0,L551/N551,0)</f>
        <v>0.96181876813931</v>
      </c>
      <c r="S551" s="15" t="n">
        <f aca="false">P551*Q551*R551</f>
        <v>0.859043778801843</v>
      </c>
      <c r="T551" s="15" t="n">
        <f aca="false">IF(K551&gt;0,L551/K551,0)</f>
        <v>1.11845053389457</v>
      </c>
      <c r="U551" s="10" t="n">
        <v>1312.7</v>
      </c>
      <c r="V551" s="5" t="n">
        <v>12</v>
      </c>
      <c r="W551" s="10" t="n">
        <v>57.5</v>
      </c>
      <c r="X551" s="15" t="n">
        <f aca="false">IF(U551&gt;0,W551/U551,0)</f>
        <v>0.0438028490896625</v>
      </c>
      <c r="Y551" s="12" t="n">
        <f aca="false">IF(U551&gt;0,L551/U551,0)</f>
        <v>272.653309971814</v>
      </c>
      <c r="Z551" s="16" t="n">
        <f aca="false">L551*INDEX(Parametros!$E$2:$E$9,MATCH($E551,Parametros!$A$2:$A$9,0))</f>
        <v>347174.64</v>
      </c>
      <c r="AA551" s="16" t="n">
        <f aca="false">Z551*INDEX(Parametros!$F$2:$F$9,MATCH($E551,Parametros!$A$2:$A$9,0))</f>
        <v>7637.84208</v>
      </c>
      <c r="AB551" s="17" t="n">
        <f aca="false">Z551+AA551</f>
        <v>354812.48208</v>
      </c>
      <c r="AC551" s="18" t="n">
        <v>356495.67</v>
      </c>
      <c r="AD551" s="17" t="n">
        <f aca="false">AC551-AB551</f>
        <v>1683.18792</v>
      </c>
      <c r="AE551" s="17" t="n">
        <f aca="false">AA551+AD551</f>
        <v>9321.03</v>
      </c>
      <c r="AF551" s="19" t="n">
        <f aca="false">IF(Z551&gt;0,AE551/Z551,0)</f>
        <v>0.0268482455976623</v>
      </c>
      <c r="AG551" s="16" t="n">
        <f aca="false">(U551-W551)*INDEX(Parametros!$H$2:$H$9,MATCH($E551,Parametros!$A$2:$A$9,0))+W551*INDEX(Parametros!$H$2:$H$9,MATCH($E551,Parametros!$A$2:$A$9,0))*Parametros!$N$3</f>
        <v>42255.675</v>
      </c>
      <c r="AH551" s="13" t="n">
        <v>18330</v>
      </c>
      <c r="AI551" s="16" t="n">
        <f aca="false">AH551*Parametros!$N$2</f>
        <v>1686.36</v>
      </c>
      <c r="AJ551" s="18" t="n">
        <v>11836</v>
      </c>
      <c r="AK551" s="18" t="n">
        <v>702</v>
      </c>
      <c r="AL551" s="17" t="n">
        <f aca="false">AG551+AI551+AJ551+AK551</f>
        <v>56480.035</v>
      </c>
      <c r="AM551" s="20" t="n">
        <f aca="false">IF(L551&gt;0,AL551/L551,0)</f>
        <v>0.157804250765551</v>
      </c>
      <c r="AN551" s="16" t="n">
        <f aca="false">L551*INDEX(Parametros!$G$2:$G$9,MATCH($E551,Parametros!$A$2:$A$9,0))</f>
        <v>579817.44</v>
      </c>
      <c r="AO551" s="17" t="n">
        <f aca="false">AN551-AC551-AL551</f>
        <v>166841.735</v>
      </c>
      <c r="AP551" s="15" t="n">
        <f aca="false">IF(AN551&gt;0,AO551/AN551,0)</f>
        <v>0.287748735188097</v>
      </c>
      <c r="AQ551" s="16" t="n">
        <f aca="false">INDEX(Parametros!$I$2:$I$9,MATCH($E551,Parametros!$A$2:$A$9,0))</f>
        <v>28000000</v>
      </c>
      <c r="AR551" s="19" t="n">
        <f aca="false">IF(AQ551&gt;0,AO551/AQ551,0)</f>
        <v>0.00595863339285715</v>
      </c>
    </row>
    <row r="552" customFormat="false" ht="15" hidden="false" customHeight="false" outlineLevel="0" collapsed="false">
      <c r="A552" s="5" t="s">
        <v>687</v>
      </c>
      <c r="B552" s="9" t="n">
        <v>46027</v>
      </c>
      <c r="C552" s="2" t="str">
        <f aca="false">TEXT(B552,"yyyy")</f>
        <v>2026</v>
      </c>
      <c r="D552" s="2" t="n">
        <f aca="false">WEEKNUM(B552,2)</f>
        <v>2</v>
      </c>
      <c r="E552" s="5" t="s">
        <v>142</v>
      </c>
      <c r="F552" s="6" t="str">
        <f aca="false">INDEX(Parametros!$B$2:$B$9,MATCH($E552,Parametros!$A$2:$A$9,0))</f>
        <v>Porciones single serve</v>
      </c>
      <c r="G552" s="10" t="n">
        <v>118.3</v>
      </c>
      <c r="H552" s="10" t="n">
        <v>8.6</v>
      </c>
      <c r="I552" s="11" t="n">
        <f aca="false">SUMIFS(Eventos_Paro!$J$2:$J$2186,Eventos_Paro!$D$2:$D$2186,$E552,Eventos_Paro!$B$2:$B$2186,$B552)</f>
        <v>6.88333333333333</v>
      </c>
      <c r="J552" s="12" t="n">
        <f aca="false">G552-H552-I552</f>
        <v>102.816666666667</v>
      </c>
      <c r="K552" s="13" t="n">
        <v>219068</v>
      </c>
      <c r="L552" s="13" t="n">
        <v>225729</v>
      </c>
      <c r="M552" s="13" t="n">
        <v>11607</v>
      </c>
      <c r="N552" s="14" t="n">
        <f aca="false">L552+M552</f>
        <v>237336</v>
      </c>
      <c r="O552" s="11" t="n">
        <f aca="false">INDEX(Parametros!$D$2:$D$9,MATCH($E552,Parametros!$A$2:$A$9,0))</f>
        <v>2600</v>
      </c>
      <c r="P552" s="15" t="n">
        <f aca="false">IF((G552-H552)&gt;0,J552/(G552-H552),0)</f>
        <v>0.937253114554847</v>
      </c>
      <c r="Q552" s="15" t="n">
        <f aca="false">IF(J552*O552&gt;0,N552/(O552*J552),0)</f>
        <v>0.88782373405489</v>
      </c>
      <c r="R552" s="15" t="n">
        <f aca="false">IF(N552&gt;0,L552/N552,0)</f>
        <v>0.951094650621903</v>
      </c>
      <c r="S552" s="15" t="n">
        <f aca="false">P552*Q552*R552</f>
        <v>0.791420657737887</v>
      </c>
      <c r="T552" s="15" t="n">
        <f aca="false">IF(K552&gt;0,L552/K552,0)</f>
        <v>1.03040608395567</v>
      </c>
      <c r="U552" s="10" t="n">
        <v>2214.7</v>
      </c>
      <c r="V552" s="5" t="n">
        <v>18</v>
      </c>
      <c r="W552" s="10" t="n">
        <v>85.3</v>
      </c>
      <c r="X552" s="15" t="n">
        <f aca="false">IF(U552&gt;0,W552/U552,0)</f>
        <v>0.0385153745428275</v>
      </c>
      <c r="Y552" s="12" t="n">
        <f aca="false">IF(U552&gt;0,L552/U552,0)</f>
        <v>101.923059556599</v>
      </c>
      <c r="Z552" s="16" t="n">
        <f aca="false">L552*INDEX(Parametros!$E$2:$E$9,MATCH($E552,Parametros!$A$2:$A$9,0))</f>
        <v>167039.46</v>
      </c>
      <c r="AA552" s="16" t="n">
        <f aca="false">Z552*INDEX(Parametros!$F$2:$F$9,MATCH($E552,Parametros!$A$2:$A$9,0))</f>
        <v>7516.7757</v>
      </c>
      <c r="AB552" s="17" t="n">
        <f aca="false">Z552+AA552</f>
        <v>174556.2357</v>
      </c>
      <c r="AC552" s="18" t="n">
        <v>175325.13</v>
      </c>
      <c r="AD552" s="17" t="n">
        <f aca="false">AC552-AB552</f>
        <v>768.894300000015</v>
      </c>
      <c r="AE552" s="17" t="n">
        <f aca="false">AA552+AD552</f>
        <v>8285.67000000001</v>
      </c>
      <c r="AF552" s="19" t="n">
        <f aca="false">IF(Z552&gt;0,AE552/Z552,0)</f>
        <v>0.0496030698375103</v>
      </c>
      <c r="AG552" s="16" t="n">
        <f aca="false">(U552-W552)*INDEX(Parametros!$H$2:$H$9,MATCH($E552,Parametros!$A$2:$A$9,0))+W552*INDEX(Parametros!$H$2:$H$9,MATCH($E552,Parametros!$A$2:$A$9,0))*Parametros!$N$3</f>
        <v>67720.5</v>
      </c>
      <c r="AH552" s="13" t="n">
        <v>12100</v>
      </c>
      <c r="AI552" s="16" t="n">
        <f aca="false">AH552*Parametros!$N$2</f>
        <v>1113.2</v>
      </c>
      <c r="AJ552" s="18" t="n">
        <v>11530</v>
      </c>
      <c r="AK552" s="18" t="n">
        <v>5874</v>
      </c>
      <c r="AL552" s="17" t="n">
        <f aca="false">AG552+AI552+AJ552+AK552</f>
        <v>86237.7</v>
      </c>
      <c r="AM552" s="20" t="n">
        <f aca="false">IF(L552&gt;0,AL552/L552,0)</f>
        <v>0.382040854298739</v>
      </c>
      <c r="AN552" s="16" t="n">
        <f aca="false">L552*INDEX(Parametros!$G$2:$G$9,MATCH($E552,Parametros!$A$2:$A$9,0))</f>
        <v>388253.88</v>
      </c>
      <c r="AO552" s="17" t="n">
        <f aca="false">AN552-AC552-AL552</f>
        <v>126691.05</v>
      </c>
      <c r="AP552" s="15" t="n">
        <f aca="false">IF(AN552&gt;0,AO552/AN552,0)</f>
        <v>0.326309810477618</v>
      </c>
      <c r="AQ552" s="16" t="n">
        <f aca="false">INDEX(Parametros!$I$2:$I$9,MATCH($E552,Parametros!$A$2:$A$9,0))</f>
        <v>15900000</v>
      </c>
      <c r="AR552" s="19" t="n">
        <f aca="false">IF(AQ552&gt;0,AO552/AQ552,0)</f>
        <v>0.00796799056603774</v>
      </c>
    </row>
    <row r="553" customFormat="false" ht="15" hidden="false" customHeight="false" outlineLevel="0" collapsed="false">
      <c r="A553" s="5" t="s">
        <v>688</v>
      </c>
      <c r="B553" s="9" t="n">
        <v>46027</v>
      </c>
      <c r="C553" s="2" t="str">
        <f aca="false">TEXT(B553,"yyyy")</f>
        <v>2026</v>
      </c>
      <c r="D553" s="2" t="n">
        <f aca="false">WEEKNUM(B553,2)</f>
        <v>2</v>
      </c>
      <c r="E553" s="5" t="s">
        <v>144</v>
      </c>
      <c r="F553" s="6" t="str">
        <f aca="false">INDEX(Parametros!$B$2:$B$9,MATCH($E553,Parametros!$A$2:$A$9,0))</f>
        <v>Salsas picantes</v>
      </c>
      <c r="G553" s="10" t="n">
        <v>109.6</v>
      </c>
      <c r="H553" s="10" t="n">
        <v>6.7</v>
      </c>
      <c r="I553" s="11" t="n">
        <f aca="false">SUMIFS(Eventos_Paro!$J$2:$J$2186,Eventos_Paro!$D$2:$D$2186,$E553,Eventos_Paro!$B$2:$B$2186,$B553)</f>
        <v>11.4</v>
      </c>
      <c r="J553" s="12" t="n">
        <f aca="false">G553-H553-I553</f>
        <v>91.5</v>
      </c>
      <c r="K553" s="13" t="n">
        <v>270500</v>
      </c>
      <c r="L553" s="13" t="n">
        <v>217846</v>
      </c>
      <c r="M553" s="13" t="n">
        <v>8636</v>
      </c>
      <c r="N553" s="14" t="n">
        <f aca="false">L553+M553</f>
        <v>226482</v>
      </c>
      <c r="O553" s="11" t="n">
        <f aca="false">INDEX(Parametros!$D$2:$D$9,MATCH($E553,Parametros!$A$2:$A$9,0))</f>
        <v>3100</v>
      </c>
      <c r="P553" s="15" t="n">
        <f aca="false">IF((G553-H553)&gt;0,J553/(G553-H553),0)</f>
        <v>0.889212827988338</v>
      </c>
      <c r="Q553" s="15" t="n">
        <f aca="false">IF(J553*O553&gt;0,N553/(O553*J553),0)</f>
        <v>0.798455843469064</v>
      </c>
      <c r="R553" s="15" t="n">
        <f aca="false">IF(N553&gt;0,L553/N553,0)</f>
        <v>0.961868934396553</v>
      </c>
      <c r="S553" s="15" t="n">
        <f aca="false">P553*Q553*R553</f>
        <v>0.682924229599674</v>
      </c>
      <c r="T553" s="15" t="n">
        <f aca="false">IF(K553&gt;0,L553/K553,0)</f>
        <v>0.805345656192237</v>
      </c>
      <c r="U553" s="10" t="n">
        <v>1096.3</v>
      </c>
      <c r="V553" s="5" t="n">
        <v>9</v>
      </c>
      <c r="W553" s="10" t="n">
        <v>109.9</v>
      </c>
      <c r="X553" s="15" t="n">
        <f aca="false">IF(U553&gt;0,W553/U553,0)</f>
        <v>0.100246282951747</v>
      </c>
      <c r="Y553" s="12" t="n">
        <f aca="false">IF(U553&gt;0,L553/U553,0)</f>
        <v>198.710207060111</v>
      </c>
      <c r="Z553" s="16" t="n">
        <f aca="false">L553*INDEX(Parametros!$E$2:$E$9,MATCH($E553,Parametros!$A$2:$A$9,0))</f>
        <v>143778.36</v>
      </c>
      <c r="AA553" s="16" t="n">
        <f aca="false">Z553*INDEX(Parametros!$F$2:$F$9,MATCH($E553,Parametros!$A$2:$A$9,0))</f>
        <v>3738.23736</v>
      </c>
      <c r="AB553" s="17" t="n">
        <f aca="false">Z553+AA553</f>
        <v>147516.59736</v>
      </c>
      <c r="AC553" s="18" t="n">
        <v>145509.1</v>
      </c>
      <c r="AD553" s="17" t="n">
        <f aca="false">AC553-AB553</f>
        <v>-2007.49736000001</v>
      </c>
      <c r="AE553" s="17" t="n">
        <f aca="false">AA553+AD553</f>
        <v>1730.73999999999</v>
      </c>
      <c r="AF553" s="19" t="n">
        <f aca="false">IF(Z553&gt;0,AE553/Z553,0)</f>
        <v>0.0120375555820778</v>
      </c>
      <c r="AG553" s="16" t="n">
        <f aca="false">(U553-W553)*INDEX(Parametros!$H$2:$H$9,MATCH($E553,Parametros!$A$2:$A$9,0))+W553*INDEX(Parametros!$H$2:$H$9,MATCH($E553,Parametros!$A$2:$A$9,0))*Parametros!$N$3</f>
        <v>36264.375</v>
      </c>
      <c r="AH553" s="13" t="n">
        <v>11690</v>
      </c>
      <c r="AI553" s="16" t="n">
        <f aca="false">AH553*Parametros!$N$2</f>
        <v>1075.48</v>
      </c>
      <c r="AJ553" s="18" t="n">
        <v>7353</v>
      </c>
      <c r="AK553" s="18" t="n">
        <v>5647</v>
      </c>
      <c r="AL553" s="17" t="n">
        <f aca="false">AG553+AI553+AJ553+AK553</f>
        <v>50339.855</v>
      </c>
      <c r="AM553" s="20" t="n">
        <f aca="false">IF(L553&gt;0,AL553/L553,0)</f>
        <v>0.231080006059326</v>
      </c>
      <c r="AN553" s="16" t="n">
        <f aca="false">L553*INDEX(Parametros!$G$2:$G$9,MATCH($E553,Parametros!$A$2:$A$9,0))</f>
        <v>272307.5</v>
      </c>
      <c r="AO553" s="17" t="n">
        <f aca="false">AN553-AC553-AL553</f>
        <v>76458.545</v>
      </c>
      <c r="AP553" s="15" t="n">
        <f aca="false">IF(AN553&gt;0,AO553/AN553,0)</f>
        <v>0.280780165805202</v>
      </c>
      <c r="AQ553" s="16" t="n">
        <f aca="false">INDEX(Parametros!$I$2:$I$9,MATCH($E553,Parametros!$A$2:$A$9,0))</f>
        <v>13300000</v>
      </c>
      <c r="AR553" s="19" t="n">
        <f aca="false">IF(AQ553&gt;0,AO553/AQ553,0)</f>
        <v>0.00574876278195489</v>
      </c>
    </row>
    <row r="554" customFormat="false" ht="15" hidden="false" customHeight="false" outlineLevel="0" collapsed="false">
      <c r="A554" s="5" t="s">
        <v>689</v>
      </c>
      <c r="B554" s="9" t="n">
        <v>46034</v>
      </c>
      <c r="C554" s="2" t="str">
        <f aca="false">TEXT(B554,"yyyy")</f>
        <v>2026</v>
      </c>
      <c r="D554" s="2" t="n">
        <f aca="false">WEEKNUM(B554,2)</f>
        <v>3</v>
      </c>
      <c r="E554" s="5" t="s">
        <v>130</v>
      </c>
      <c r="F554" s="6" t="str">
        <f aca="false">INDEX(Parametros!$B$2:$B$9,MATCH($E554,Parametros!$A$2:$A$9,0))</f>
        <v>Ketchup botella</v>
      </c>
      <c r="G554" s="10" t="n">
        <v>110</v>
      </c>
      <c r="H554" s="10" t="n">
        <v>9</v>
      </c>
      <c r="I554" s="11" t="n">
        <f aca="false">SUMIFS(Eventos_Paro!$J$2:$J$2186,Eventos_Paro!$D$2:$D$2186,$E554,Eventos_Paro!$B$2:$B$2186,$B554)</f>
        <v>1.3</v>
      </c>
      <c r="J554" s="12" t="n">
        <f aca="false">G554-H554-I554</f>
        <v>99.7</v>
      </c>
      <c r="K554" s="13" t="n">
        <v>698158</v>
      </c>
      <c r="L554" s="13" t="n">
        <v>761627</v>
      </c>
      <c r="M554" s="13" t="n">
        <v>22414</v>
      </c>
      <c r="N554" s="14" t="n">
        <f aca="false">L554+M554</f>
        <v>784041</v>
      </c>
      <c r="O554" s="11" t="n">
        <f aca="false">INDEX(Parametros!$D$2:$D$9,MATCH($E554,Parametros!$A$2:$A$9,0))</f>
        <v>9000</v>
      </c>
      <c r="P554" s="15" t="n">
        <f aca="false">IF((G554-H554)&gt;0,J554/(G554-H554),0)</f>
        <v>0.987128712871287</v>
      </c>
      <c r="Q554" s="15" t="n">
        <f aca="false">IF(J554*O554&gt;0,N554/(O554*J554),0)</f>
        <v>0.873778000668673</v>
      </c>
      <c r="R554" s="15" t="n">
        <f aca="false">IF(N554&gt;0,L554/N554,0)</f>
        <v>0.971412209310482</v>
      </c>
      <c r="S554" s="15" t="n">
        <f aca="false">P554*Q554*R554</f>
        <v>0.837873487348735</v>
      </c>
      <c r="T554" s="15" t="n">
        <f aca="false">IF(K554&gt;0,L554/K554,0)</f>
        <v>1.09090922112187</v>
      </c>
      <c r="U554" s="10" t="n">
        <v>1781.5</v>
      </c>
      <c r="V554" s="5" t="n">
        <v>15</v>
      </c>
      <c r="W554" s="10" t="n">
        <v>131.5</v>
      </c>
      <c r="X554" s="15" t="n">
        <f aca="false">IF(U554&gt;0,W554/U554,0)</f>
        <v>0.0738142015155768</v>
      </c>
      <c r="Y554" s="12" t="n">
        <f aca="false">IF(U554&gt;0,L554/U554,0)</f>
        <v>427.520067358967</v>
      </c>
      <c r="Z554" s="16" t="n">
        <f aca="false">L554*INDEX(Parametros!$E$2:$E$9,MATCH($E554,Parametros!$A$2:$A$9,0))</f>
        <v>319883.34</v>
      </c>
      <c r="AA554" s="16" t="n">
        <f aca="false">Z554*INDEX(Parametros!$F$2:$F$9,MATCH($E554,Parametros!$A$2:$A$9,0))</f>
        <v>6397.6668</v>
      </c>
      <c r="AB554" s="17" t="n">
        <f aca="false">Z554+AA554</f>
        <v>326281.0068</v>
      </c>
      <c r="AC554" s="18" t="n">
        <v>325609.16</v>
      </c>
      <c r="AD554" s="17" t="n">
        <f aca="false">AC554-AB554</f>
        <v>-671.846799999999</v>
      </c>
      <c r="AE554" s="17" t="n">
        <f aca="false">AA554+AD554</f>
        <v>5725.82</v>
      </c>
      <c r="AF554" s="19" t="n">
        <f aca="false">IF(Z554&gt;0,AE554/Z554,0)</f>
        <v>0.0178997130641439</v>
      </c>
      <c r="AG554" s="16" t="n">
        <f aca="false">(U554-W554)*INDEX(Parametros!$H$2:$H$9,MATCH($E554,Parametros!$A$2:$A$9,0))+W554*INDEX(Parametros!$H$2:$H$9,MATCH($E554,Parametros!$A$2:$A$9,0))*Parametros!$N$3</f>
        <v>58188.375</v>
      </c>
      <c r="AH554" s="13" t="n">
        <v>41820</v>
      </c>
      <c r="AI554" s="16" t="n">
        <f aca="false">AH554*Parametros!$N$2</f>
        <v>3847.44</v>
      </c>
      <c r="AJ554" s="18" t="n">
        <v>14869</v>
      </c>
      <c r="AK554" s="18" t="n">
        <v>1427</v>
      </c>
      <c r="AL554" s="17" t="n">
        <f aca="false">AG554+AI554+AJ554+AK554</f>
        <v>78331.815</v>
      </c>
      <c r="AM554" s="20" t="n">
        <f aca="false">IF(L554&gt;0,AL554/L554,0)</f>
        <v>0.102848001712124</v>
      </c>
      <c r="AN554" s="16" t="n">
        <f aca="false">L554*INDEX(Parametros!$G$2:$G$9,MATCH($E554,Parametros!$A$2:$A$9,0))</f>
        <v>540755.17</v>
      </c>
      <c r="AO554" s="17" t="n">
        <f aca="false">AN554-AC554-AL554</f>
        <v>136814.195</v>
      </c>
      <c r="AP554" s="15" t="n">
        <f aca="false">IF(AN554&gt;0,AO554/AN554,0)</f>
        <v>0.253005801128078</v>
      </c>
      <c r="AQ554" s="16" t="n">
        <f aca="false">INDEX(Parametros!$I$2:$I$9,MATCH($E554,Parametros!$A$2:$A$9,0))</f>
        <v>29300000</v>
      </c>
      <c r="AR554" s="19" t="n">
        <f aca="false">IF(AQ554&gt;0,AO554/AQ554,0)</f>
        <v>0.00466942645051194</v>
      </c>
    </row>
    <row r="555" customFormat="false" ht="15" hidden="false" customHeight="false" outlineLevel="0" collapsed="false">
      <c r="A555" s="5" t="s">
        <v>690</v>
      </c>
      <c r="B555" s="9" t="n">
        <v>46034</v>
      </c>
      <c r="C555" s="2" t="str">
        <f aca="false">TEXT(B555,"yyyy")</f>
        <v>2026</v>
      </c>
      <c r="D555" s="2" t="n">
        <f aca="false">WEEKNUM(B555,2)</f>
        <v>3</v>
      </c>
      <c r="E555" s="5" t="s">
        <v>132</v>
      </c>
      <c r="F555" s="6" t="str">
        <f aca="false">INDEX(Parametros!$B$2:$B$9,MATCH($E555,Parametros!$A$2:$A$9,0))</f>
        <v>Mayonesa frasco</v>
      </c>
      <c r="G555" s="10" t="n">
        <v>111</v>
      </c>
      <c r="H555" s="10" t="n">
        <v>5.5</v>
      </c>
      <c r="I555" s="11" t="n">
        <f aca="false">SUMIFS(Eventos_Paro!$J$2:$J$2186,Eventos_Paro!$D$2:$D$2186,$E555,Eventos_Paro!$B$2:$B$2186,$B555)</f>
        <v>3.63333333333333</v>
      </c>
      <c r="J555" s="12" t="n">
        <f aca="false">G555-H555-I555</f>
        <v>101.866666666667</v>
      </c>
      <c r="K555" s="13" t="n">
        <v>526690</v>
      </c>
      <c r="L555" s="13" t="n">
        <v>549972</v>
      </c>
      <c r="M555" s="13" t="n">
        <v>16964</v>
      </c>
      <c r="N555" s="14" t="n">
        <f aca="false">L555+M555</f>
        <v>566936</v>
      </c>
      <c r="O555" s="11" t="n">
        <f aca="false">INDEX(Parametros!$D$2:$D$9,MATCH($E555,Parametros!$A$2:$A$9,0))</f>
        <v>6500</v>
      </c>
      <c r="P555" s="15" t="n">
        <f aca="false">IF((G555-H555)&gt;0,J555/(G555-H555),0)</f>
        <v>0.965560821484992</v>
      </c>
      <c r="Q555" s="15" t="n">
        <f aca="false">IF(J555*O555&gt;0,N555/(O555*J555),0)</f>
        <v>0.85622633910592</v>
      </c>
      <c r="R555" s="15" t="n">
        <f aca="false">IF(N555&gt;0,L555/N555,0)</f>
        <v>0.970077751280568</v>
      </c>
      <c r="S555" s="15" t="n">
        <f aca="false">P555*Q555*R555</f>
        <v>0.802000729128691</v>
      </c>
      <c r="T555" s="15" t="n">
        <f aca="false">IF(K555&gt;0,L555/K555,0)</f>
        <v>1.04420437069244</v>
      </c>
      <c r="U555" s="10" t="n">
        <v>1631.2</v>
      </c>
      <c r="V555" s="5" t="n">
        <v>14</v>
      </c>
      <c r="W555" s="10" t="n">
        <v>77.2</v>
      </c>
      <c r="X555" s="15" t="n">
        <f aca="false">IF(U555&gt;0,W555/U555,0)</f>
        <v>0.0473271211378127</v>
      </c>
      <c r="Y555" s="12" t="n">
        <f aca="false">IF(U555&gt;0,L555/U555,0)</f>
        <v>337.157920549289</v>
      </c>
      <c r="Z555" s="16" t="n">
        <f aca="false">L555*INDEX(Parametros!$E$2:$E$9,MATCH($E555,Parametros!$A$2:$A$9,0))</f>
        <v>335482.92</v>
      </c>
      <c r="AA555" s="16" t="n">
        <f aca="false">Z555*INDEX(Parametros!$F$2:$F$9,MATCH($E555,Parametros!$A$2:$A$9,0))</f>
        <v>8387.073</v>
      </c>
      <c r="AB555" s="17" t="n">
        <f aca="false">Z555+AA555</f>
        <v>343869.993</v>
      </c>
      <c r="AC555" s="18" t="n">
        <v>344917.86</v>
      </c>
      <c r="AD555" s="17" t="n">
        <f aca="false">AC555-AB555</f>
        <v>1047.86700000003</v>
      </c>
      <c r="AE555" s="17" t="n">
        <f aca="false">AA555+AD555</f>
        <v>9434.94000000003</v>
      </c>
      <c r="AF555" s="19" t="n">
        <f aca="false">IF(Z555&gt;0,AE555/Z555,0)</f>
        <v>0.0281234585653423</v>
      </c>
      <c r="AG555" s="16" t="n">
        <f aca="false">(U555-W555)*INDEX(Parametros!$H$2:$H$9,MATCH($E555,Parametros!$A$2:$A$9,0))+W555*INDEX(Parametros!$H$2:$H$9,MATCH($E555,Parametros!$A$2:$A$9,0))*Parametros!$N$3</f>
        <v>52598.7</v>
      </c>
      <c r="AH555" s="13" t="n">
        <v>28465</v>
      </c>
      <c r="AI555" s="16" t="n">
        <f aca="false">AH555*Parametros!$N$2</f>
        <v>2618.78</v>
      </c>
      <c r="AJ555" s="18" t="n">
        <v>16187</v>
      </c>
      <c r="AK555" s="18" t="n">
        <v>3413</v>
      </c>
      <c r="AL555" s="17" t="n">
        <f aca="false">AG555+AI555+AJ555+AK555</f>
        <v>74817.48</v>
      </c>
      <c r="AM555" s="20" t="n">
        <f aca="false">IF(L555&gt;0,AL555/L555,0)</f>
        <v>0.136038707425105</v>
      </c>
      <c r="AN555" s="16" t="n">
        <f aca="false">L555*INDEX(Parametros!$G$2:$G$9,MATCH($E555,Parametros!$A$2:$A$9,0))</f>
        <v>527973.12</v>
      </c>
      <c r="AO555" s="17" t="n">
        <f aca="false">AN555-AC555-AL555</f>
        <v>108237.78</v>
      </c>
      <c r="AP555" s="15" t="n">
        <f aca="false">IF(AN555&gt;0,AO555/AN555,0)</f>
        <v>0.205006232135454</v>
      </c>
      <c r="AQ555" s="16" t="n">
        <f aca="false">INDEX(Parametros!$I$2:$I$9,MATCH($E555,Parametros!$A$2:$A$9,0))</f>
        <v>29700000</v>
      </c>
      <c r="AR555" s="19" t="n">
        <f aca="false">IF(AQ555&gt;0,AO555/AQ555,0)</f>
        <v>0.0036443696969697</v>
      </c>
    </row>
    <row r="556" customFormat="false" ht="15" hidden="false" customHeight="false" outlineLevel="0" collapsed="false">
      <c r="A556" s="5" t="s">
        <v>691</v>
      </c>
      <c r="B556" s="9" t="n">
        <v>46034</v>
      </c>
      <c r="C556" s="2" t="str">
        <f aca="false">TEXT(B556,"yyyy")</f>
        <v>2026</v>
      </c>
      <c r="D556" s="2" t="n">
        <f aca="false">WEEKNUM(B556,2)</f>
        <v>3</v>
      </c>
      <c r="E556" s="5" t="s">
        <v>134</v>
      </c>
      <c r="F556" s="6" t="str">
        <f aca="false">INDEX(Parametros!$B$2:$B$9,MATCH($E556,Parametros!$A$2:$A$9,0))</f>
        <v>Aderezos vertibles</v>
      </c>
      <c r="G556" s="10" t="n">
        <v>98.5</v>
      </c>
      <c r="H556" s="10" t="n">
        <v>8.7</v>
      </c>
      <c r="I556" s="11" t="n">
        <f aca="false">SUMIFS(Eventos_Paro!$J$2:$J$2186,Eventos_Paro!$D$2:$D$2186,$E556,Eventos_Paro!$B$2:$B$2186,$B556)</f>
        <v>2.41666666666667</v>
      </c>
      <c r="J556" s="12" t="n">
        <f aca="false">G556-H556-I556</f>
        <v>87.3833333333333</v>
      </c>
      <c r="K556" s="13" t="n">
        <v>358649</v>
      </c>
      <c r="L556" s="13" t="n">
        <v>385677</v>
      </c>
      <c r="M556" s="13" t="n">
        <v>14069</v>
      </c>
      <c r="N556" s="14" t="n">
        <f aca="false">L556+M556</f>
        <v>399746</v>
      </c>
      <c r="O556" s="11" t="n">
        <f aca="false">INDEX(Parametros!$D$2:$D$9,MATCH($E556,Parametros!$A$2:$A$9,0))</f>
        <v>5200</v>
      </c>
      <c r="P556" s="15" t="n">
        <f aca="false">IF((G556-H556)&gt;0,J556/(G556-H556),0)</f>
        <v>0.973088344469191</v>
      </c>
      <c r="Q556" s="15" t="n">
        <f aca="false">IF(J556*O556&gt;0,N556/(O556*J556),0)</f>
        <v>0.879735618186887</v>
      </c>
      <c r="R556" s="15" t="n">
        <f aca="false">IF(N556&gt;0,L556/N556,0)</f>
        <v>0.964805151271057</v>
      </c>
      <c r="S556" s="15" t="n">
        <f aca="false">P556*Q556*R556</f>
        <v>0.825931557306836</v>
      </c>
      <c r="T556" s="15" t="n">
        <f aca="false">IF(K556&gt;0,L556/K556,0)</f>
        <v>1.07536058932271</v>
      </c>
      <c r="U556" s="10" t="n">
        <v>1277.1</v>
      </c>
      <c r="V556" s="5" t="n">
        <v>12</v>
      </c>
      <c r="W556" s="10" t="n">
        <v>95.1</v>
      </c>
      <c r="X556" s="15" t="n">
        <f aca="false">IF(U556&gt;0,W556/U556,0)</f>
        <v>0.0744655860934931</v>
      </c>
      <c r="Y556" s="12" t="n">
        <f aca="false">IF(U556&gt;0,L556/U556,0)</f>
        <v>301.99436222692</v>
      </c>
      <c r="Z556" s="16" t="n">
        <f aca="false">L556*INDEX(Parametros!$E$2:$E$9,MATCH($E556,Parametros!$A$2:$A$9,0))</f>
        <v>212122.35</v>
      </c>
      <c r="AA556" s="16" t="n">
        <f aca="false">Z556*INDEX(Parametros!$F$2:$F$9,MATCH($E556,Parametros!$A$2:$A$9,0))</f>
        <v>6363.6705</v>
      </c>
      <c r="AB556" s="17" t="n">
        <f aca="false">Z556+AA556</f>
        <v>218486.0205</v>
      </c>
      <c r="AC556" s="18" t="n">
        <v>219485.86</v>
      </c>
      <c r="AD556" s="17" t="n">
        <f aca="false">AC556-AB556</f>
        <v>999.839499999973</v>
      </c>
      <c r="AE556" s="17" t="n">
        <f aca="false">AA556+AD556</f>
        <v>7363.50999999997</v>
      </c>
      <c r="AF556" s="19" t="n">
        <f aca="false">IF(Z556&gt;0,AE556/Z556,0)</f>
        <v>0.0347135037868474</v>
      </c>
      <c r="AG556" s="16" t="n">
        <f aca="false">(U556-W556)*INDEX(Parametros!$H$2:$H$9,MATCH($E556,Parametros!$A$2:$A$9,0))+W556*INDEX(Parametros!$H$2:$H$9,MATCH($E556,Parametros!$A$2:$A$9,0))*Parametros!$N$3</f>
        <v>41726.475</v>
      </c>
      <c r="AH556" s="13" t="n">
        <v>19405</v>
      </c>
      <c r="AI556" s="16" t="n">
        <f aca="false">AH556*Parametros!$N$2</f>
        <v>1785.26</v>
      </c>
      <c r="AJ556" s="18" t="n">
        <v>10885</v>
      </c>
      <c r="AK556" s="18" t="n">
        <v>2041</v>
      </c>
      <c r="AL556" s="17" t="n">
        <f aca="false">AG556+AI556+AJ556+AK556</f>
        <v>56437.735</v>
      </c>
      <c r="AM556" s="20" t="n">
        <f aca="false">IF(L556&gt;0,AL556/L556,0)</f>
        <v>0.146334199342974</v>
      </c>
      <c r="AN556" s="16" t="n">
        <f aca="false">L556*INDEX(Parametros!$G$2:$G$9,MATCH($E556,Parametros!$A$2:$A$9,0))</f>
        <v>393390.54</v>
      </c>
      <c r="AO556" s="17" t="n">
        <f aca="false">AN556-AC556-AL556</f>
        <v>117466.945</v>
      </c>
      <c r="AP556" s="15" t="n">
        <f aca="false">IF(AN556&gt;0,AO556/AN556,0)</f>
        <v>0.298601346641432</v>
      </c>
      <c r="AQ556" s="16" t="n">
        <f aca="false">INDEX(Parametros!$I$2:$I$9,MATCH($E556,Parametros!$A$2:$A$9,0))</f>
        <v>19300000</v>
      </c>
      <c r="AR556" s="19" t="n">
        <f aca="false">IF(AQ556&gt;0,AO556/AQ556,0)</f>
        <v>0.00608637020725389</v>
      </c>
    </row>
    <row r="557" customFormat="false" ht="15" hidden="false" customHeight="false" outlineLevel="0" collapsed="false">
      <c r="A557" s="5" t="s">
        <v>692</v>
      </c>
      <c r="B557" s="9" t="n">
        <v>46034</v>
      </c>
      <c r="C557" s="2" t="str">
        <f aca="false">TEXT(B557,"yyyy")</f>
        <v>2026</v>
      </c>
      <c r="D557" s="2" t="n">
        <f aca="false">WEEKNUM(B557,2)</f>
        <v>3</v>
      </c>
      <c r="E557" s="5" t="s">
        <v>136</v>
      </c>
      <c r="F557" s="6" t="str">
        <f aca="false">INDEX(Parametros!$B$2:$B$9,MATCH($E557,Parametros!$A$2:$A$9,0))</f>
        <v>Salsa BBQ</v>
      </c>
      <c r="G557" s="10" t="n">
        <v>89.3</v>
      </c>
      <c r="H557" s="10" t="n">
        <v>9</v>
      </c>
      <c r="I557" s="11" t="n">
        <f aca="false">SUMIFS(Eventos_Paro!$J$2:$J$2186,Eventos_Paro!$D$2:$D$2186,$E557,Eventos_Paro!$B$2:$B$2186,$B557)</f>
        <v>4.28333333333333</v>
      </c>
      <c r="J557" s="12" t="n">
        <f aca="false">G557-H557-I557</f>
        <v>76.0166666666667</v>
      </c>
      <c r="K557" s="13" t="n">
        <v>252935</v>
      </c>
      <c r="L557" s="13" t="n">
        <v>300102</v>
      </c>
      <c r="M557" s="13" t="n">
        <v>10650</v>
      </c>
      <c r="N557" s="14" t="n">
        <f aca="false">L557+M557</f>
        <v>310752</v>
      </c>
      <c r="O557" s="11" t="n">
        <f aca="false">INDEX(Parametros!$D$2:$D$9,MATCH($E557,Parametros!$A$2:$A$9,0))</f>
        <v>4800</v>
      </c>
      <c r="P557" s="15" t="n">
        <f aca="false">IF((G557-H557)&gt;0,J557/(G557-H557),0)</f>
        <v>0.946658364466584</v>
      </c>
      <c r="Q557" s="15" t="n">
        <f aca="false">IF(J557*O557&gt;0,N557/(O557*J557),0)</f>
        <v>0.851655338741504</v>
      </c>
      <c r="R557" s="15" t="n">
        <f aca="false">IF(N557&gt;0,L557/N557,0)</f>
        <v>0.965728297806611</v>
      </c>
      <c r="S557" s="15" t="n">
        <f aca="false">P557*Q557*R557</f>
        <v>0.778595890410959</v>
      </c>
      <c r="T557" s="15" t="n">
        <f aca="false">IF(K557&gt;0,L557/K557,0)</f>
        <v>1.18647873959713</v>
      </c>
      <c r="U557" s="10" t="n">
        <v>963.5</v>
      </c>
      <c r="V557" s="5" t="n">
        <v>10</v>
      </c>
      <c r="W557" s="10" t="n">
        <v>70.5</v>
      </c>
      <c r="X557" s="15" t="n">
        <f aca="false">IF(U557&gt;0,W557/U557,0)</f>
        <v>0.0731707317073171</v>
      </c>
      <c r="Y557" s="12" t="n">
        <f aca="false">IF(U557&gt;0,L557/U557,0)</f>
        <v>311.470679813181</v>
      </c>
      <c r="Z557" s="16" t="n">
        <f aca="false">L557*INDEX(Parametros!$E$2:$E$9,MATCH($E557,Parametros!$A$2:$A$9,0))</f>
        <v>174059.16</v>
      </c>
      <c r="AA557" s="16" t="n">
        <f aca="false">Z557*INDEX(Parametros!$F$2:$F$9,MATCH($E557,Parametros!$A$2:$A$9,0))</f>
        <v>4873.65648</v>
      </c>
      <c r="AB557" s="17" t="n">
        <f aca="false">Z557+AA557</f>
        <v>178932.81648</v>
      </c>
      <c r="AC557" s="18" t="n">
        <v>177062.06</v>
      </c>
      <c r="AD557" s="17" t="n">
        <f aca="false">AC557-AB557</f>
        <v>-1870.75647999998</v>
      </c>
      <c r="AE557" s="17" t="n">
        <f aca="false">AA557+AD557</f>
        <v>3002.90000000002</v>
      </c>
      <c r="AF557" s="19" t="n">
        <f aca="false">IF(Z557&gt;0,AE557/Z557,0)</f>
        <v>0.0172521802357315</v>
      </c>
      <c r="AG557" s="16" t="n">
        <f aca="false">(U557-W557)*INDEX(Parametros!$H$2:$H$9,MATCH($E557,Parametros!$A$2:$A$9,0))+W557*INDEX(Parametros!$H$2:$H$9,MATCH($E557,Parametros!$A$2:$A$9,0))*Parametros!$N$3</f>
        <v>31460.625</v>
      </c>
      <c r="AH557" s="13" t="n">
        <v>17086</v>
      </c>
      <c r="AI557" s="16" t="n">
        <f aca="false">AH557*Parametros!$N$2</f>
        <v>1571.912</v>
      </c>
      <c r="AJ557" s="18" t="n">
        <v>8793</v>
      </c>
      <c r="AK557" s="18" t="n">
        <v>4029</v>
      </c>
      <c r="AL557" s="17" t="n">
        <f aca="false">AG557+AI557+AJ557+AK557</f>
        <v>45854.537</v>
      </c>
      <c r="AM557" s="20" t="n">
        <f aca="false">IF(L557&gt;0,AL557/L557,0)</f>
        <v>0.152796505854676</v>
      </c>
      <c r="AN557" s="16" t="n">
        <f aca="false">L557*INDEX(Parametros!$G$2:$G$9,MATCH($E557,Parametros!$A$2:$A$9,0))</f>
        <v>294099.96</v>
      </c>
      <c r="AO557" s="17" t="n">
        <f aca="false">AN557-AC557-AL557</f>
        <v>71183.363</v>
      </c>
      <c r="AP557" s="15" t="n">
        <f aca="false">IF(AN557&gt;0,AO557/AN557,0)</f>
        <v>0.24203798939653</v>
      </c>
      <c r="AQ557" s="16" t="n">
        <f aca="false">INDEX(Parametros!$I$2:$I$9,MATCH($E557,Parametros!$A$2:$A$9,0))</f>
        <v>17000000</v>
      </c>
      <c r="AR557" s="19" t="n">
        <f aca="false">IF(AQ557&gt;0,AO557/AQ557,0)</f>
        <v>0.00418725664705883</v>
      </c>
    </row>
    <row r="558" customFormat="false" ht="15" hidden="false" customHeight="false" outlineLevel="0" collapsed="false">
      <c r="A558" s="5" t="s">
        <v>693</v>
      </c>
      <c r="B558" s="9" t="n">
        <v>46034</v>
      </c>
      <c r="C558" s="2" t="str">
        <f aca="false">TEXT(B558,"yyyy")</f>
        <v>2026</v>
      </c>
      <c r="D558" s="2" t="n">
        <f aca="false">WEEKNUM(B558,2)</f>
        <v>3</v>
      </c>
      <c r="E558" s="5" t="s">
        <v>138</v>
      </c>
      <c r="F558" s="6" t="str">
        <f aca="false">INDEX(Parametros!$B$2:$B$9,MATCH($E558,Parametros!$A$2:$A$9,0))</f>
        <v>Queso crema</v>
      </c>
      <c r="G558" s="10" t="n">
        <v>136.5</v>
      </c>
      <c r="H558" s="10" t="n">
        <v>6.8</v>
      </c>
      <c r="I558" s="11" t="n">
        <f aca="false">SUMIFS(Eventos_Paro!$J$2:$J$2186,Eventos_Paro!$D$2:$D$2186,$E558,Eventos_Paro!$B$2:$B$2186,$B558)</f>
        <v>1.46666666666667</v>
      </c>
      <c r="J558" s="12" t="n">
        <f aca="false">G558-H558-I558</f>
        <v>128.233333333333</v>
      </c>
      <c r="K558" s="13" t="n">
        <v>378541</v>
      </c>
      <c r="L558" s="13" t="n">
        <v>368693</v>
      </c>
      <c r="M558" s="13" t="n">
        <v>18056</v>
      </c>
      <c r="N558" s="14" t="n">
        <f aca="false">L558+M558</f>
        <v>386749</v>
      </c>
      <c r="O558" s="11" t="n">
        <f aca="false">INDEX(Parametros!$D$2:$D$9,MATCH($E558,Parametros!$A$2:$A$9,0))</f>
        <v>3800</v>
      </c>
      <c r="P558" s="15" t="n">
        <f aca="false">IF((G558-H558)&gt;0,J558/(G558-H558),0)</f>
        <v>0.988691852994089</v>
      </c>
      <c r="Q558" s="15" t="n">
        <f aca="false">IF(J558*O558&gt;0,N558/(O558*J558),0)</f>
        <v>0.793678601234044</v>
      </c>
      <c r="R558" s="15" t="n">
        <f aca="false">IF(N558&gt;0,L558/N558,0)</f>
        <v>0.953313389304174</v>
      </c>
      <c r="S558" s="15" t="n">
        <f aca="false">P558*Q558*R558</f>
        <v>0.748068416994684</v>
      </c>
      <c r="T558" s="15" t="n">
        <f aca="false">IF(K558&gt;0,L558/K558,0)</f>
        <v>0.973984324023025</v>
      </c>
      <c r="U558" s="10" t="n">
        <v>2174.5</v>
      </c>
      <c r="V558" s="5" t="n">
        <v>15</v>
      </c>
      <c r="W558" s="10" t="n">
        <v>127</v>
      </c>
      <c r="X558" s="15" t="n">
        <f aca="false">IF(U558&gt;0,W558/U558,0)</f>
        <v>0.0584042308576684</v>
      </c>
      <c r="Y558" s="12" t="n">
        <f aca="false">IF(U558&gt;0,L558/U558,0)</f>
        <v>169.553000689814</v>
      </c>
      <c r="Z558" s="16" t="n">
        <f aca="false">L558*INDEX(Parametros!$E$2:$E$9,MATCH($E558,Parametros!$A$2:$A$9,0))</f>
        <v>412936.16</v>
      </c>
      <c r="AA558" s="16" t="n">
        <f aca="false">Z558*INDEX(Parametros!$F$2:$F$9,MATCH($E558,Parametros!$A$2:$A$9,0))</f>
        <v>14452.7656</v>
      </c>
      <c r="AB558" s="17" t="n">
        <f aca="false">Z558+AA558</f>
        <v>427388.9256</v>
      </c>
      <c r="AC558" s="18" t="n">
        <v>426841.31</v>
      </c>
      <c r="AD558" s="17" t="n">
        <f aca="false">AC558-AB558</f>
        <v>-547.615600000019</v>
      </c>
      <c r="AE558" s="17" t="n">
        <f aca="false">AA558+AD558</f>
        <v>13905.15</v>
      </c>
      <c r="AF558" s="19" t="n">
        <f aca="false">IF(Z558&gt;0,AE558/Z558,0)</f>
        <v>0.0336738492458495</v>
      </c>
      <c r="AG558" s="16" t="n">
        <f aca="false">(U558-W558)*INDEX(Parametros!$H$2:$H$9,MATCH($E558,Parametros!$A$2:$A$9,0))+W558*INDEX(Parametros!$H$2:$H$9,MATCH($E558,Parametros!$A$2:$A$9,0))*Parametros!$N$3</f>
        <v>73854</v>
      </c>
      <c r="AH558" s="13" t="n">
        <v>21347</v>
      </c>
      <c r="AI558" s="16" t="n">
        <f aca="false">AH558*Parametros!$N$2</f>
        <v>1963.924</v>
      </c>
      <c r="AJ558" s="18" t="n">
        <v>19104</v>
      </c>
      <c r="AK558" s="18" t="n">
        <v>1246</v>
      </c>
      <c r="AL558" s="17" t="n">
        <f aca="false">AG558+AI558+AJ558+AK558</f>
        <v>96167.924</v>
      </c>
      <c r="AM558" s="20" t="n">
        <f aca="false">IF(L558&gt;0,AL558/L558,0)</f>
        <v>0.260834689023117</v>
      </c>
      <c r="AN558" s="16" t="n">
        <f aca="false">L558*INDEX(Parametros!$G$2:$G$9,MATCH($E558,Parametros!$A$2:$A$9,0))</f>
        <v>659960.47</v>
      </c>
      <c r="AO558" s="17" t="n">
        <f aca="false">AN558-AC558-AL558</f>
        <v>136951.236</v>
      </c>
      <c r="AP558" s="15" t="n">
        <f aca="false">IF(AN558&gt;0,AO558/AN558,0)</f>
        <v>0.207514301576275</v>
      </c>
      <c r="AQ558" s="16" t="n">
        <f aca="false">INDEX(Parametros!$I$2:$I$9,MATCH($E558,Parametros!$A$2:$A$9,0))</f>
        <v>33200000</v>
      </c>
      <c r="AR558" s="19" t="n">
        <f aca="false">IF(AQ558&gt;0,AO558/AQ558,0)</f>
        <v>0.00412503722891566</v>
      </c>
    </row>
    <row r="559" customFormat="false" ht="15" hidden="false" customHeight="false" outlineLevel="0" collapsed="false">
      <c r="A559" s="5" t="s">
        <v>694</v>
      </c>
      <c r="B559" s="9" t="n">
        <v>46034</v>
      </c>
      <c r="C559" s="2" t="str">
        <f aca="false">TEXT(B559,"yyyy")</f>
        <v>2026</v>
      </c>
      <c r="D559" s="2" t="n">
        <f aca="false">WEEKNUM(B559,2)</f>
        <v>3</v>
      </c>
      <c r="E559" s="5" t="s">
        <v>140</v>
      </c>
      <c r="F559" s="6" t="str">
        <f aca="false">INDEX(Parametros!$B$2:$B$9,MATCH($E559,Parametros!$A$2:$A$9,0))</f>
        <v>Crema de cacahuate</v>
      </c>
      <c r="G559" s="10" t="n">
        <v>100.3</v>
      </c>
      <c r="H559" s="10" t="n">
        <v>6.1</v>
      </c>
      <c r="I559" s="11" t="n">
        <f aca="false">SUMIFS(Eventos_Paro!$J$2:$J$2186,Eventos_Paro!$D$2:$D$2186,$E559,Eventos_Paro!$B$2:$B$2186,$B559)</f>
        <v>5.25</v>
      </c>
      <c r="J559" s="12" t="n">
        <f aca="false">G559-H559-I559</f>
        <v>88.95</v>
      </c>
      <c r="K559" s="13" t="n">
        <v>303871</v>
      </c>
      <c r="L559" s="13" t="n">
        <v>308100</v>
      </c>
      <c r="M559" s="13" t="n">
        <v>6630</v>
      </c>
      <c r="N559" s="14" t="n">
        <f aca="false">L559+M559</f>
        <v>314730</v>
      </c>
      <c r="O559" s="11" t="n">
        <f aca="false">INDEX(Parametros!$D$2:$D$9,MATCH($E559,Parametros!$A$2:$A$9,0))</f>
        <v>4200</v>
      </c>
      <c r="P559" s="15" t="n">
        <f aca="false">IF((G559-H559)&gt;0,J559/(G559-H559),0)</f>
        <v>0.944267515923567</v>
      </c>
      <c r="Q559" s="15" t="n">
        <f aca="false">IF(J559*O559&gt;0,N559/(O559*J559),0)</f>
        <v>0.842447602987232</v>
      </c>
      <c r="R559" s="15" t="n">
        <f aca="false">IF(N559&gt;0,L559/N559,0)</f>
        <v>0.978934324659232</v>
      </c>
      <c r="S559" s="15" t="n">
        <f aca="false">P559*Q559*R559</f>
        <v>0.778738246891113</v>
      </c>
      <c r="T559" s="15" t="n">
        <f aca="false">IF(K559&gt;0,L559/K559,0)</f>
        <v>1.01391708981772</v>
      </c>
      <c r="U559" s="10" t="n">
        <v>1273.4</v>
      </c>
      <c r="V559" s="5" t="n">
        <v>12</v>
      </c>
      <c r="W559" s="10" t="n">
        <v>69.8</v>
      </c>
      <c r="X559" s="15" t="n">
        <f aca="false">IF(U559&gt;0,W559/U559,0)</f>
        <v>0.0548138840898382</v>
      </c>
      <c r="Y559" s="12" t="n">
        <f aca="false">IF(U559&gt;0,L559/U559,0)</f>
        <v>241.950683210303</v>
      </c>
      <c r="Z559" s="16" t="n">
        <f aca="false">L559*INDEX(Parametros!$E$2:$E$9,MATCH($E559,Parametros!$A$2:$A$9,0))</f>
        <v>298857</v>
      </c>
      <c r="AA559" s="16" t="n">
        <f aca="false">Z559*INDEX(Parametros!$F$2:$F$9,MATCH($E559,Parametros!$A$2:$A$9,0))</f>
        <v>6574.854</v>
      </c>
      <c r="AB559" s="17" t="n">
        <f aca="false">Z559+AA559</f>
        <v>305431.854</v>
      </c>
      <c r="AC559" s="18" t="n">
        <v>309214.34</v>
      </c>
      <c r="AD559" s="17" t="n">
        <f aca="false">AC559-AB559</f>
        <v>3782.48600000003</v>
      </c>
      <c r="AE559" s="17" t="n">
        <f aca="false">AA559+AD559</f>
        <v>10357.34</v>
      </c>
      <c r="AF559" s="19" t="n">
        <f aca="false">IF(Z559&gt;0,AE559/Z559,0)</f>
        <v>0.034656507962002</v>
      </c>
      <c r="AG559" s="16" t="n">
        <f aca="false">(U559-W559)*INDEX(Parametros!$H$2:$H$9,MATCH($E559,Parametros!$A$2:$A$9,0))+W559*INDEX(Parametros!$H$2:$H$9,MATCH($E559,Parametros!$A$2:$A$9,0))*Parametros!$N$3</f>
        <v>41211.45</v>
      </c>
      <c r="AH559" s="13" t="n">
        <v>15475</v>
      </c>
      <c r="AI559" s="16" t="n">
        <f aca="false">AH559*Parametros!$N$2</f>
        <v>1423.7</v>
      </c>
      <c r="AJ559" s="18" t="n">
        <v>12572</v>
      </c>
      <c r="AK559" s="18" t="n">
        <v>4427</v>
      </c>
      <c r="AL559" s="17" t="n">
        <f aca="false">AG559+AI559+AJ559+AK559</f>
        <v>59634.15</v>
      </c>
      <c r="AM559" s="20" t="n">
        <f aca="false">IF(L559&gt;0,AL559/L559,0)</f>
        <v>0.19355452775073</v>
      </c>
      <c r="AN559" s="16" t="n">
        <f aca="false">L559*INDEX(Parametros!$G$2:$G$9,MATCH($E559,Parametros!$A$2:$A$9,0))</f>
        <v>499122</v>
      </c>
      <c r="AO559" s="17" t="n">
        <f aca="false">AN559-AC559-AL559</f>
        <v>130273.51</v>
      </c>
      <c r="AP559" s="15" t="n">
        <f aca="false">IF(AN559&gt;0,AO559/AN559,0)</f>
        <v>0.261005345386499</v>
      </c>
      <c r="AQ559" s="16" t="n">
        <f aca="false">INDEX(Parametros!$I$2:$I$9,MATCH($E559,Parametros!$A$2:$A$9,0))</f>
        <v>28000000</v>
      </c>
      <c r="AR559" s="19" t="n">
        <f aca="false">IF(AQ559&gt;0,AO559/AQ559,0)</f>
        <v>0.00465262535714286</v>
      </c>
    </row>
    <row r="560" customFormat="false" ht="15" hidden="false" customHeight="false" outlineLevel="0" collapsed="false">
      <c r="A560" s="5" t="s">
        <v>695</v>
      </c>
      <c r="B560" s="9" t="n">
        <v>46034</v>
      </c>
      <c r="C560" s="2" t="str">
        <f aca="false">TEXT(B560,"yyyy")</f>
        <v>2026</v>
      </c>
      <c r="D560" s="2" t="n">
        <f aca="false">WEEKNUM(B560,2)</f>
        <v>3</v>
      </c>
      <c r="E560" s="5" t="s">
        <v>142</v>
      </c>
      <c r="F560" s="6" t="str">
        <f aca="false">INDEX(Parametros!$B$2:$B$9,MATCH($E560,Parametros!$A$2:$A$9,0))</f>
        <v>Porciones single serve</v>
      </c>
      <c r="G560" s="10" t="n">
        <v>109</v>
      </c>
      <c r="H560" s="10" t="n">
        <v>5.1</v>
      </c>
      <c r="I560" s="11" t="n">
        <f aca="false">SUMIFS(Eventos_Paro!$J$2:$J$2186,Eventos_Paro!$D$2:$D$2186,$E560,Eventos_Paro!$B$2:$B$2186,$B560)</f>
        <v>10.6333333333333</v>
      </c>
      <c r="J560" s="12" t="n">
        <f aca="false">G560-H560-I560</f>
        <v>93.2666666666667</v>
      </c>
      <c r="K560" s="13" t="n">
        <v>207481</v>
      </c>
      <c r="L560" s="13" t="n">
        <v>194873</v>
      </c>
      <c r="M560" s="13" t="n">
        <v>11327</v>
      </c>
      <c r="N560" s="14" t="n">
        <f aca="false">L560+M560</f>
        <v>206200</v>
      </c>
      <c r="O560" s="11" t="n">
        <f aca="false">INDEX(Parametros!$D$2:$D$9,MATCH($E560,Parametros!$A$2:$A$9,0))</f>
        <v>2600</v>
      </c>
      <c r="P560" s="15" t="n">
        <f aca="false">IF((G560-H560)&gt;0,J560/(G560-H560),0)</f>
        <v>0.897658004491498</v>
      </c>
      <c r="Q560" s="15" t="n">
        <f aca="false">IF(J560*O560&gt;0,N560/(O560*J560),0)</f>
        <v>0.85033265519327</v>
      </c>
      <c r="R560" s="15" t="n">
        <f aca="false">IF(N560&gt;0,L560/N560,0)</f>
        <v>0.945067895247333</v>
      </c>
      <c r="S560" s="15" t="n">
        <f aca="false">P560*Q560*R560</f>
        <v>0.721377804101577</v>
      </c>
      <c r="T560" s="15" t="n">
        <f aca="false">IF(K560&gt;0,L560/K560,0)</f>
        <v>0.939232990008724</v>
      </c>
      <c r="U560" s="10" t="n">
        <v>1922.1</v>
      </c>
      <c r="V560" s="5" t="n">
        <v>16</v>
      </c>
      <c r="W560" s="10" t="n">
        <v>178.1</v>
      </c>
      <c r="X560" s="15" t="n">
        <f aca="false">IF(U560&gt;0,W560/U560,0)</f>
        <v>0.0926590708079705</v>
      </c>
      <c r="Y560" s="12" t="n">
        <f aca="false">IF(U560&gt;0,L560/U560,0)</f>
        <v>101.385463815618</v>
      </c>
      <c r="Z560" s="16" t="n">
        <f aca="false">L560*INDEX(Parametros!$E$2:$E$9,MATCH($E560,Parametros!$A$2:$A$9,0))</f>
        <v>144206.02</v>
      </c>
      <c r="AA560" s="16" t="n">
        <f aca="false">Z560*INDEX(Parametros!$F$2:$F$9,MATCH($E560,Parametros!$A$2:$A$9,0))</f>
        <v>6489.2709</v>
      </c>
      <c r="AB560" s="17" t="n">
        <f aca="false">Z560+AA560</f>
        <v>150695.2909</v>
      </c>
      <c r="AC560" s="18" t="n">
        <v>151842.46</v>
      </c>
      <c r="AD560" s="17" t="n">
        <f aca="false">AC560-AB560</f>
        <v>1147.1691</v>
      </c>
      <c r="AE560" s="17" t="n">
        <f aca="false">AA560+AD560</f>
        <v>7636.44</v>
      </c>
      <c r="AF560" s="19" t="n">
        <f aca="false">IF(Z560&gt;0,AE560/Z560,0)</f>
        <v>0.0529550708077236</v>
      </c>
      <c r="AG560" s="16" t="n">
        <f aca="false">(U560-W560)*INDEX(Parametros!$H$2:$H$9,MATCH($E560,Parametros!$A$2:$A$9,0))+W560*INDEX(Parametros!$H$2:$H$9,MATCH($E560,Parametros!$A$2:$A$9,0))*Parametros!$N$3</f>
        <v>60334.5</v>
      </c>
      <c r="AH560" s="13" t="n">
        <v>10969</v>
      </c>
      <c r="AI560" s="16" t="n">
        <f aca="false">AH560*Parametros!$N$2</f>
        <v>1009.148</v>
      </c>
      <c r="AJ560" s="18" t="n">
        <v>11165</v>
      </c>
      <c r="AK560" s="18" t="n">
        <v>10986</v>
      </c>
      <c r="AL560" s="17" t="n">
        <f aca="false">AG560+AI560+AJ560+AK560</f>
        <v>83494.648</v>
      </c>
      <c r="AM560" s="20" t="n">
        <f aca="false">IF(L560&gt;0,AL560/L560,0)</f>
        <v>0.428456728228128</v>
      </c>
      <c r="AN560" s="16" t="n">
        <f aca="false">L560*INDEX(Parametros!$G$2:$G$9,MATCH($E560,Parametros!$A$2:$A$9,0))</f>
        <v>335181.56</v>
      </c>
      <c r="AO560" s="17" t="n">
        <f aca="false">AN560-AC560-AL560</f>
        <v>99844.452</v>
      </c>
      <c r="AP560" s="15" t="n">
        <f aca="false">IF(AN560&gt;0,AO560/AN560,0)</f>
        <v>0.297881697310556</v>
      </c>
      <c r="AQ560" s="16" t="n">
        <f aca="false">INDEX(Parametros!$I$2:$I$9,MATCH($E560,Parametros!$A$2:$A$9,0))</f>
        <v>15900000</v>
      </c>
      <c r="AR560" s="19" t="n">
        <f aca="false">IF(AQ560&gt;0,AO560/AQ560,0)</f>
        <v>0.00627952528301887</v>
      </c>
    </row>
    <row r="561" customFormat="false" ht="15" hidden="false" customHeight="false" outlineLevel="0" collapsed="false">
      <c r="A561" s="5" t="s">
        <v>696</v>
      </c>
      <c r="B561" s="9" t="n">
        <v>46034</v>
      </c>
      <c r="C561" s="2" t="str">
        <f aca="false">TEXT(B561,"yyyy")</f>
        <v>2026</v>
      </c>
      <c r="D561" s="2" t="n">
        <f aca="false">WEEKNUM(B561,2)</f>
        <v>3</v>
      </c>
      <c r="E561" s="5" t="s">
        <v>144</v>
      </c>
      <c r="F561" s="6" t="str">
        <f aca="false">INDEX(Parametros!$B$2:$B$9,MATCH($E561,Parametros!$A$2:$A$9,0))</f>
        <v>Salsas picantes</v>
      </c>
      <c r="G561" s="10" t="n">
        <v>99.6</v>
      </c>
      <c r="H561" s="10" t="n">
        <v>8.6</v>
      </c>
      <c r="I561" s="11" t="n">
        <f aca="false">SUMIFS(Eventos_Paro!$J$2:$J$2186,Eventos_Paro!$D$2:$D$2186,$E561,Eventos_Paro!$B$2:$B$2186,$B561)</f>
        <v>3.33333333333333</v>
      </c>
      <c r="J561" s="12" t="n">
        <f aca="false">G561-H561-I561</f>
        <v>87.6666666666667</v>
      </c>
      <c r="K561" s="13" t="n">
        <v>239155</v>
      </c>
      <c r="L561" s="13" t="n">
        <v>224051</v>
      </c>
      <c r="M561" s="13" t="n">
        <v>5072</v>
      </c>
      <c r="N561" s="14" t="n">
        <f aca="false">L561+M561</f>
        <v>229123</v>
      </c>
      <c r="O561" s="11" t="n">
        <f aca="false">INDEX(Parametros!$D$2:$D$9,MATCH($E561,Parametros!$A$2:$A$9,0))</f>
        <v>3100</v>
      </c>
      <c r="P561" s="15" t="n">
        <f aca="false">IF((G561-H561)&gt;0,J561/(G561-H561),0)</f>
        <v>0.963369963369963</v>
      </c>
      <c r="Q561" s="15" t="n">
        <f aca="false">IF(J561*O561&gt;0,N561/(O561*J561),0)</f>
        <v>0.843087207163007</v>
      </c>
      <c r="R561" s="15" t="n">
        <f aca="false">IF(N561&gt;0,L561/N561,0)</f>
        <v>0.977863418338622</v>
      </c>
      <c r="S561" s="15" t="n">
        <f aca="false">P561*Q561*R561</f>
        <v>0.794225451967388</v>
      </c>
      <c r="T561" s="15" t="n">
        <f aca="false">IF(K561&gt;0,L561/K561,0)</f>
        <v>0.936844305994021</v>
      </c>
      <c r="U561" s="10" t="n">
        <v>1053.7</v>
      </c>
      <c r="V561" s="5" t="n">
        <v>10</v>
      </c>
      <c r="W561" s="10" t="n">
        <v>57.7</v>
      </c>
      <c r="X561" s="15" t="n">
        <f aca="false">IF(U561&gt;0,W561/U561,0)</f>
        <v>0.0547594191895226</v>
      </c>
      <c r="Y561" s="12" t="n">
        <f aca="false">IF(U561&gt;0,L561/U561,0)</f>
        <v>212.632627882699</v>
      </c>
      <c r="Z561" s="16" t="n">
        <f aca="false">L561*INDEX(Parametros!$E$2:$E$9,MATCH($E561,Parametros!$A$2:$A$9,0))</f>
        <v>147873.66</v>
      </c>
      <c r="AA561" s="16" t="n">
        <f aca="false">Z561*INDEX(Parametros!$F$2:$F$9,MATCH($E561,Parametros!$A$2:$A$9,0))</f>
        <v>3844.71516</v>
      </c>
      <c r="AB561" s="17" t="n">
        <f aca="false">Z561+AA561</f>
        <v>151718.37516</v>
      </c>
      <c r="AC561" s="18" t="n">
        <v>151506.82</v>
      </c>
      <c r="AD561" s="17" t="n">
        <f aca="false">AC561-AB561</f>
        <v>-211.555159999989</v>
      </c>
      <c r="AE561" s="17" t="n">
        <f aca="false">AA561+AD561</f>
        <v>3633.16000000001</v>
      </c>
      <c r="AF561" s="19" t="n">
        <f aca="false">IF(Z561&gt;0,AE561/Z561,0)</f>
        <v>0.0245693519724879</v>
      </c>
      <c r="AG561" s="16" t="n">
        <f aca="false">(U561-W561)*INDEX(Parametros!$H$2:$H$9,MATCH($E561,Parametros!$A$2:$A$9,0))+W561*INDEX(Parametros!$H$2:$H$9,MATCH($E561,Parametros!$A$2:$A$9,0))*Parametros!$N$3</f>
        <v>34100.325</v>
      </c>
      <c r="AH561" s="13" t="n">
        <v>11277</v>
      </c>
      <c r="AI561" s="16" t="n">
        <f aca="false">AH561*Parametros!$N$2</f>
        <v>1037.484</v>
      </c>
      <c r="AJ561" s="18" t="n">
        <v>6318</v>
      </c>
      <c r="AK561" s="18" t="n">
        <v>1792</v>
      </c>
      <c r="AL561" s="17" t="n">
        <f aca="false">AG561+AI561+AJ561+AK561</f>
        <v>43247.809</v>
      </c>
      <c r="AM561" s="20" t="n">
        <f aca="false">IF(L561&gt;0,AL561/L561,0)</f>
        <v>0.193026627865977</v>
      </c>
      <c r="AN561" s="16" t="n">
        <f aca="false">L561*INDEX(Parametros!$G$2:$G$9,MATCH($E561,Parametros!$A$2:$A$9,0))</f>
        <v>280063.75</v>
      </c>
      <c r="AO561" s="17" t="n">
        <f aca="false">AN561-AC561-AL561</f>
        <v>85309.121</v>
      </c>
      <c r="AP561" s="15" t="n">
        <f aca="false">IF(AN561&gt;0,AO561/AN561,0)</f>
        <v>0.304606079865745</v>
      </c>
      <c r="AQ561" s="16" t="n">
        <f aca="false">INDEX(Parametros!$I$2:$I$9,MATCH($E561,Parametros!$A$2:$A$9,0))</f>
        <v>13300000</v>
      </c>
      <c r="AR561" s="19" t="n">
        <f aca="false">IF(AQ561&gt;0,AO561/AQ561,0)</f>
        <v>0.00641421962406015</v>
      </c>
    </row>
    <row r="562" customFormat="false" ht="15" hidden="false" customHeight="false" outlineLevel="0" collapsed="false">
      <c r="A562" s="5" t="s">
        <v>697</v>
      </c>
      <c r="B562" s="9" t="n">
        <v>46041</v>
      </c>
      <c r="C562" s="2" t="str">
        <f aca="false">TEXT(B562,"yyyy")</f>
        <v>2026</v>
      </c>
      <c r="D562" s="2" t="n">
        <f aca="false">WEEKNUM(B562,2)</f>
        <v>4</v>
      </c>
      <c r="E562" s="5" t="s">
        <v>130</v>
      </c>
      <c r="F562" s="6" t="str">
        <f aca="false">INDEX(Parametros!$B$2:$B$9,MATCH($E562,Parametros!$A$2:$A$9,0))</f>
        <v>Ketchup botella</v>
      </c>
      <c r="G562" s="10" t="n">
        <v>122.5</v>
      </c>
      <c r="H562" s="10" t="n">
        <v>8.3</v>
      </c>
      <c r="I562" s="11" t="n">
        <f aca="false">SUMIFS(Eventos_Paro!$J$2:$J$2186,Eventos_Paro!$D$2:$D$2186,$E562,Eventos_Paro!$B$2:$B$2186,$B562)</f>
        <v>1.38333333333333</v>
      </c>
      <c r="J562" s="12" t="n">
        <f aca="false">G562-H562-I562</f>
        <v>112.816666666667</v>
      </c>
      <c r="K562" s="13" t="n">
        <v>789861</v>
      </c>
      <c r="L562" s="13" t="n">
        <v>883982</v>
      </c>
      <c r="M562" s="13" t="n">
        <v>8814</v>
      </c>
      <c r="N562" s="14" t="n">
        <f aca="false">L562+M562</f>
        <v>892796</v>
      </c>
      <c r="O562" s="11" t="n">
        <f aca="false">INDEX(Parametros!$D$2:$D$9,MATCH($E562,Parametros!$A$2:$A$9,0))</f>
        <v>9000</v>
      </c>
      <c r="P562" s="15" t="n">
        <f aca="false">IF((G562-H562)&gt;0,J562/(G562-H562),0)</f>
        <v>0.987886748394629</v>
      </c>
      <c r="Q562" s="15" t="n">
        <f aca="false">IF(J562*O562&gt;0,N562/(O562*J562),0)</f>
        <v>0.879298763973014</v>
      </c>
      <c r="R562" s="15" t="n">
        <f aca="false">IF(N562&gt;0,L562/N562,0)</f>
        <v>0.990127643941057</v>
      </c>
      <c r="S562" s="15" t="n">
        <f aca="false">P562*Q562*R562</f>
        <v>0.860071998443277</v>
      </c>
      <c r="T562" s="15" t="n">
        <f aca="false">IF(K562&gt;0,L562/K562,0)</f>
        <v>1.11916147271482</v>
      </c>
      <c r="U562" s="10" t="n">
        <v>1787.7</v>
      </c>
      <c r="V562" s="5" t="n">
        <v>14</v>
      </c>
      <c r="W562" s="10" t="n">
        <v>72.7</v>
      </c>
      <c r="X562" s="15" t="n">
        <f aca="false">IF(U562&gt;0,W562/U562,0)</f>
        <v>0.040666778542261</v>
      </c>
      <c r="Y562" s="12" t="n">
        <f aca="false">IF(U562&gt;0,L562/U562,0)</f>
        <v>494.480058175309</v>
      </c>
      <c r="Z562" s="16" t="n">
        <f aca="false">L562*INDEX(Parametros!$E$2:$E$9,MATCH($E562,Parametros!$A$2:$A$9,0))</f>
        <v>371272.44</v>
      </c>
      <c r="AA562" s="16" t="n">
        <f aca="false">Z562*INDEX(Parametros!$F$2:$F$9,MATCH($E562,Parametros!$A$2:$A$9,0))</f>
        <v>7425.4488</v>
      </c>
      <c r="AB562" s="17" t="n">
        <f aca="false">Z562+AA562</f>
        <v>378697.8888</v>
      </c>
      <c r="AC562" s="18" t="n">
        <v>383347.25</v>
      </c>
      <c r="AD562" s="17" t="n">
        <f aca="false">AC562-AB562</f>
        <v>4649.36119999999</v>
      </c>
      <c r="AE562" s="17" t="n">
        <f aca="false">AA562+AD562</f>
        <v>12074.81</v>
      </c>
      <c r="AF562" s="19" t="n">
        <f aca="false">IF(Z562&gt;0,AE562/Z562,0)</f>
        <v>0.0325227749196789</v>
      </c>
      <c r="AG562" s="16" t="n">
        <f aca="false">(U562-W562)*INDEX(Parametros!$H$2:$H$9,MATCH($E562,Parametros!$A$2:$A$9,0))+W562*INDEX(Parametros!$H$2:$H$9,MATCH($E562,Parametros!$A$2:$A$9,0))*Parametros!$N$3</f>
        <v>57457.575</v>
      </c>
      <c r="AH562" s="13" t="n">
        <v>45899</v>
      </c>
      <c r="AI562" s="16" t="n">
        <f aca="false">AH562*Parametros!$N$2</f>
        <v>4222.708</v>
      </c>
      <c r="AJ562" s="18" t="n">
        <v>17729</v>
      </c>
      <c r="AK562" s="18" t="n">
        <v>1762</v>
      </c>
      <c r="AL562" s="17" t="n">
        <f aca="false">AG562+AI562+AJ562+AK562</f>
        <v>81171.283</v>
      </c>
      <c r="AM562" s="20" t="n">
        <f aca="false">IF(L562&gt;0,AL562/L562,0)</f>
        <v>0.0918245880572229</v>
      </c>
      <c r="AN562" s="16" t="n">
        <f aca="false">L562*INDEX(Parametros!$G$2:$G$9,MATCH($E562,Parametros!$A$2:$A$9,0))</f>
        <v>627627.22</v>
      </c>
      <c r="AO562" s="17" t="n">
        <f aca="false">AN562-AC562-AL562</f>
        <v>163108.687</v>
      </c>
      <c r="AP562" s="15" t="n">
        <f aca="false">IF(AN562&gt;0,AO562/AN562,0)</f>
        <v>0.25988147391058</v>
      </c>
      <c r="AQ562" s="16" t="n">
        <f aca="false">INDEX(Parametros!$I$2:$I$9,MATCH($E562,Parametros!$A$2:$A$9,0))</f>
        <v>29300000</v>
      </c>
      <c r="AR562" s="19" t="n">
        <f aca="false">IF(AQ562&gt;0,AO562/AQ562,0)</f>
        <v>0.00556684938566553</v>
      </c>
    </row>
    <row r="563" customFormat="false" ht="15" hidden="false" customHeight="false" outlineLevel="0" collapsed="false">
      <c r="A563" s="5" t="s">
        <v>698</v>
      </c>
      <c r="B563" s="9" t="n">
        <v>46041</v>
      </c>
      <c r="C563" s="2" t="str">
        <f aca="false">TEXT(B563,"yyyy")</f>
        <v>2026</v>
      </c>
      <c r="D563" s="2" t="n">
        <f aca="false">WEEKNUM(B563,2)</f>
        <v>4</v>
      </c>
      <c r="E563" s="5" t="s">
        <v>132</v>
      </c>
      <c r="F563" s="6" t="str">
        <f aca="false">INDEX(Parametros!$B$2:$B$9,MATCH($E563,Parametros!$A$2:$A$9,0))</f>
        <v>Mayonesa frasco</v>
      </c>
      <c r="G563" s="10" t="n">
        <v>116.2</v>
      </c>
      <c r="H563" s="10" t="n">
        <v>7.7</v>
      </c>
      <c r="I563" s="11" t="n">
        <f aca="false">SUMIFS(Eventos_Paro!$J$2:$J$2186,Eventos_Paro!$D$2:$D$2186,$E563,Eventos_Paro!$B$2:$B$2186,$B563)</f>
        <v>5.25</v>
      </c>
      <c r="J563" s="12" t="n">
        <f aca="false">G563-H563-I563</f>
        <v>103.25</v>
      </c>
      <c r="K563" s="13" t="n">
        <v>541982</v>
      </c>
      <c r="L563" s="13" t="n">
        <v>553500</v>
      </c>
      <c r="M563" s="13" t="n">
        <v>14885</v>
      </c>
      <c r="N563" s="14" t="n">
        <f aca="false">L563+M563</f>
        <v>568385</v>
      </c>
      <c r="O563" s="11" t="n">
        <f aca="false">INDEX(Parametros!$D$2:$D$9,MATCH($E563,Parametros!$A$2:$A$9,0))</f>
        <v>6500</v>
      </c>
      <c r="P563" s="15" t="n">
        <f aca="false">IF((G563-H563)&gt;0,J563/(G563-H563),0)</f>
        <v>0.951612903225807</v>
      </c>
      <c r="Q563" s="15" t="n">
        <f aca="false">IF(J563*O563&gt;0,N563/(O563*J563),0)</f>
        <v>0.8469137642019</v>
      </c>
      <c r="R563" s="15" t="n">
        <f aca="false">IF(N563&gt;0,L563/N563,0)</f>
        <v>0.973811764912867</v>
      </c>
      <c r="S563" s="15" t="n">
        <f aca="false">P563*Q563*R563</f>
        <v>0.784828075150656</v>
      </c>
      <c r="T563" s="15" t="n">
        <f aca="false">IF(K563&gt;0,L563/K563,0)</f>
        <v>1.02125162828286</v>
      </c>
      <c r="U563" s="10" t="n">
        <v>1628.5</v>
      </c>
      <c r="V563" s="5" t="n">
        <v>13</v>
      </c>
      <c r="W563" s="10" t="n">
        <v>117.9</v>
      </c>
      <c r="X563" s="15" t="n">
        <f aca="false">IF(U563&gt;0,W563/U563,0)</f>
        <v>0.0723979121891311</v>
      </c>
      <c r="Y563" s="12" t="n">
        <f aca="false">IF(U563&gt;0,L563/U563,0)</f>
        <v>339.88332821615</v>
      </c>
      <c r="Z563" s="16" t="n">
        <f aca="false">L563*INDEX(Parametros!$E$2:$E$9,MATCH($E563,Parametros!$A$2:$A$9,0))</f>
        <v>337635</v>
      </c>
      <c r="AA563" s="16" t="n">
        <f aca="false">Z563*INDEX(Parametros!$F$2:$F$9,MATCH($E563,Parametros!$A$2:$A$9,0))</f>
        <v>8440.875</v>
      </c>
      <c r="AB563" s="17" t="n">
        <f aca="false">Z563+AA563</f>
        <v>346075.875</v>
      </c>
      <c r="AC563" s="18" t="n">
        <v>348679.41</v>
      </c>
      <c r="AD563" s="17" t="n">
        <f aca="false">AC563-AB563</f>
        <v>2603.53499999997</v>
      </c>
      <c r="AE563" s="17" t="n">
        <f aca="false">AA563+AD563</f>
        <v>11044.41</v>
      </c>
      <c r="AF563" s="19" t="n">
        <f aca="false">IF(Z563&gt;0,AE563/Z563,0)</f>
        <v>0.0327110933404415</v>
      </c>
      <c r="AG563" s="16" t="n">
        <f aca="false">(U563-W563)*INDEX(Parametros!$H$2:$H$9,MATCH($E563,Parametros!$A$2:$A$9,0))+W563*INDEX(Parametros!$H$2:$H$9,MATCH($E563,Parametros!$A$2:$A$9,0))*Parametros!$N$3</f>
        <v>53154.675</v>
      </c>
      <c r="AH563" s="13" t="n">
        <v>30524</v>
      </c>
      <c r="AI563" s="16" t="n">
        <f aca="false">AH563*Parametros!$N$2</f>
        <v>2808.208</v>
      </c>
      <c r="AJ563" s="18" t="n">
        <v>12816</v>
      </c>
      <c r="AK563" s="18" t="n">
        <v>3305</v>
      </c>
      <c r="AL563" s="17" t="n">
        <f aca="false">AG563+AI563+AJ563+AK563</f>
        <v>72083.883</v>
      </c>
      <c r="AM563" s="20" t="n">
        <f aca="false">IF(L563&gt;0,AL563/L563,0)</f>
        <v>0.130232850948509</v>
      </c>
      <c r="AN563" s="16" t="n">
        <f aca="false">L563*INDEX(Parametros!$G$2:$G$9,MATCH($E563,Parametros!$A$2:$A$9,0))</f>
        <v>531360</v>
      </c>
      <c r="AO563" s="17" t="n">
        <f aca="false">AN563-AC563-AL563</f>
        <v>110596.707</v>
      </c>
      <c r="AP563" s="15" t="n">
        <f aca="false">IF(AN563&gt;0,AO563/AN563,0)</f>
        <v>0.208138939701897</v>
      </c>
      <c r="AQ563" s="16" t="n">
        <f aca="false">INDEX(Parametros!$I$2:$I$9,MATCH($E563,Parametros!$A$2:$A$9,0))</f>
        <v>29700000</v>
      </c>
      <c r="AR563" s="19" t="n">
        <f aca="false">IF(AQ563&gt;0,AO563/AQ563,0)</f>
        <v>0.00372379484848485</v>
      </c>
    </row>
    <row r="564" customFormat="false" ht="15" hidden="false" customHeight="false" outlineLevel="0" collapsed="false">
      <c r="A564" s="5" t="s">
        <v>699</v>
      </c>
      <c r="B564" s="9" t="n">
        <v>46041</v>
      </c>
      <c r="C564" s="2" t="str">
        <f aca="false">TEXT(B564,"yyyy")</f>
        <v>2026</v>
      </c>
      <c r="D564" s="2" t="n">
        <f aca="false">WEEKNUM(B564,2)</f>
        <v>4</v>
      </c>
      <c r="E564" s="5" t="s">
        <v>134</v>
      </c>
      <c r="F564" s="6" t="str">
        <f aca="false">INDEX(Parametros!$B$2:$B$9,MATCH($E564,Parametros!$A$2:$A$9,0))</f>
        <v>Aderezos vertibles</v>
      </c>
      <c r="G564" s="10" t="n">
        <v>88.2</v>
      </c>
      <c r="H564" s="10" t="n">
        <v>7.1</v>
      </c>
      <c r="I564" s="11" t="n">
        <f aca="false">SUMIFS(Eventos_Paro!$J$2:$J$2186,Eventos_Paro!$D$2:$D$2186,$E564,Eventos_Paro!$B$2:$B$2186,$B564)</f>
        <v>2.41666666666667</v>
      </c>
      <c r="J564" s="12" t="n">
        <f aca="false">G564-H564-I564</f>
        <v>78.6833333333333</v>
      </c>
      <c r="K564" s="13" t="n">
        <v>324090</v>
      </c>
      <c r="L564" s="13" t="n">
        <v>305732</v>
      </c>
      <c r="M564" s="13" t="n">
        <v>10759</v>
      </c>
      <c r="N564" s="14" t="n">
        <f aca="false">L564+M564</f>
        <v>316491</v>
      </c>
      <c r="O564" s="11" t="n">
        <f aca="false">INDEX(Parametros!$D$2:$D$9,MATCH($E564,Parametros!$A$2:$A$9,0))</f>
        <v>5200</v>
      </c>
      <c r="P564" s="15" t="n">
        <f aca="false">IF((G564-H564)&gt;0,J564/(G564-H564),0)</f>
        <v>0.970201397451706</v>
      </c>
      <c r="Q564" s="15" t="n">
        <f aca="false">IF(J564*O564&gt;0,N564/(O564*J564),0)</f>
        <v>0.773526632232415</v>
      </c>
      <c r="R564" s="15" t="n">
        <f aca="false">IF(N564&gt;0,L564/N564,0)</f>
        <v>0.966005352442881</v>
      </c>
      <c r="S564" s="15" t="n">
        <f aca="false">P564*Q564*R564</f>
        <v>0.724964431376268</v>
      </c>
      <c r="T564" s="15" t="n">
        <f aca="false">IF(K564&gt;0,L564/K564,0)</f>
        <v>0.943355240828165</v>
      </c>
      <c r="U564" s="10" t="n">
        <v>1141.5</v>
      </c>
      <c r="V564" s="5" t="n">
        <v>12</v>
      </c>
      <c r="W564" s="10" t="n">
        <v>83.1</v>
      </c>
      <c r="X564" s="15" t="n">
        <f aca="false">IF(U564&gt;0,W564/U564,0)</f>
        <v>0.0727989487516426</v>
      </c>
      <c r="Y564" s="12" t="n">
        <f aca="false">IF(U564&gt;0,L564/U564,0)</f>
        <v>267.833552343408</v>
      </c>
      <c r="Z564" s="16" t="n">
        <f aca="false">L564*INDEX(Parametros!$E$2:$E$9,MATCH($E564,Parametros!$A$2:$A$9,0))</f>
        <v>168152.6</v>
      </c>
      <c r="AA564" s="16" t="n">
        <f aca="false">Z564*INDEX(Parametros!$F$2:$F$9,MATCH($E564,Parametros!$A$2:$A$9,0))</f>
        <v>5044.578</v>
      </c>
      <c r="AB564" s="17" t="n">
        <f aca="false">Z564+AA564</f>
        <v>173197.178</v>
      </c>
      <c r="AC564" s="18" t="n">
        <v>175446.5</v>
      </c>
      <c r="AD564" s="17" t="n">
        <f aca="false">AC564-AB564</f>
        <v>2249.32199999999</v>
      </c>
      <c r="AE564" s="17" t="n">
        <f aca="false">AA564+AD564</f>
        <v>7293.89999999999</v>
      </c>
      <c r="AF564" s="19" t="n">
        <f aca="false">IF(Z564&gt;0,AE564/Z564,0)</f>
        <v>0.0433766709524562</v>
      </c>
      <c r="AG564" s="16" t="n">
        <f aca="false">(U564-W564)*INDEX(Parametros!$H$2:$H$9,MATCH($E564,Parametros!$A$2:$A$9,0))+W564*INDEX(Parametros!$H$2:$H$9,MATCH($E564,Parametros!$A$2:$A$9,0))*Parametros!$N$3</f>
        <v>37266.075</v>
      </c>
      <c r="AH564" s="13" t="n">
        <v>16068</v>
      </c>
      <c r="AI564" s="16" t="n">
        <f aca="false">AH564*Parametros!$N$2</f>
        <v>1478.256</v>
      </c>
      <c r="AJ564" s="18" t="n">
        <v>11531</v>
      </c>
      <c r="AK564" s="18" t="n">
        <v>2917</v>
      </c>
      <c r="AL564" s="17" t="n">
        <f aca="false">AG564+AI564+AJ564+AK564</f>
        <v>53192.331</v>
      </c>
      <c r="AM564" s="20" t="n">
        <f aca="false">IF(L564&gt;0,AL564/L564,0)</f>
        <v>0.173983524786414</v>
      </c>
      <c r="AN564" s="16" t="n">
        <f aca="false">L564*INDEX(Parametros!$G$2:$G$9,MATCH($E564,Parametros!$A$2:$A$9,0))</f>
        <v>311846.64</v>
      </c>
      <c r="AO564" s="17" t="n">
        <f aca="false">AN564-AC564-AL564</f>
        <v>83207.809</v>
      </c>
      <c r="AP564" s="15" t="n">
        <f aca="false">IF(AN564&gt;0,AO564/AN564,0)</f>
        <v>0.266822849205622</v>
      </c>
      <c r="AQ564" s="16" t="n">
        <f aca="false">INDEX(Parametros!$I$2:$I$9,MATCH($E564,Parametros!$A$2:$A$9,0))</f>
        <v>19300000</v>
      </c>
      <c r="AR564" s="19" t="n">
        <f aca="false">IF(AQ564&gt;0,AO564/AQ564,0)</f>
        <v>0.00431128544041451</v>
      </c>
    </row>
    <row r="565" customFormat="false" ht="15" hidden="false" customHeight="false" outlineLevel="0" collapsed="false">
      <c r="A565" s="5" t="s">
        <v>700</v>
      </c>
      <c r="B565" s="9" t="n">
        <v>46041</v>
      </c>
      <c r="C565" s="2" t="str">
        <f aca="false">TEXT(B565,"yyyy")</f>
        <v>2026</v>
      </c>
      <c r="D565" s="2" t="n">
        <f aca="false">WEEKNUM(B565,2)</f>
        <v>4</v>
      </c>
      <c r="E565" s="5" t="s">
        <v>136</v>
      </c>
      <c r="F565" s="6" t="str">
        <f aca="false">INDEX(Parametros!$B$2:$B$9,MATCH($E565,Parametros!$A$2:$A$9,0))</f>
        <v>Salsa BBQ</v>
      </c>
      <c r="G565" s="10" t="n">
        <v>108.3</v>
      </c>
      <c r="H565" s="10" t="n">
        <v>6.8</v>
      </c>
      <c r="I565" s="11" t="n">
        <f aca="false">SUMIFS(Eventos_Paro!$J$2:$J$2186,Eventos_Paro!$D$2:$D$2186,$E565,Eventos_Paro!$B$2:$B$2186,$B565)</f>
        <v>2.85</v>
      </c>
      <c r="J565" s="12" t="n">
        <f aca="false">G565-H565-I565</f>
        <v>98.65</v>
      </c>
      <c r="K565" s="13" t="n">
        <v>320692</v>
      </c>
      <c r="L565" s="13" t="n">
        <v>377540</v>
      </c>
      <c r="M565" s="13" t="n">
        <v>12199</v>
      </c>
      <c r="N565" s="14" t="n">
        <f aca="false">L565+M565</f>
        <v>389739</v>
      </c>
      <c r="O565" s="11" t="n">
        <f aca="false">INDEX(Parametros!$D$2:$D$9,MATCH($E565,Parametros!$A$2:$A$9,0))</f>
        <v>4800</v>
      </c>
      <c r="P565" s="15" t="n">
        <f aca="false">IF((G565-H565)&gt;0,J565/(G565-H565),0)</f>
        <v>0.97192118226601</v>
      </c>
      <c r="Q565" s="15" t="n">
        <f aca="false">IF(J565*O565&gt;0,N565/(O565*J565),0)</f>
        <v>0.823067663456665</v>
      </c>
      <c r="R565" s="15" t="n">
        <f aca="false">IF(N565&gt;0,L565/N565,0)</f>
        <v>0.968699565606727</v>
      </c>
      <c r="S565" s="15" t="n">
        <f aca="false">P565*Q565*R565</f>
        <v>0.77491789819376</v>
      </c>
      <c r="T565" s="15" t="n">
        <f aca="false">IF(K565&gt;0,L565/K565,0)</f>
        <v>1.17726666084592</v>
      </c>
      <c r="U565" s="10" t="n">
        <v>1135.6</v>
      </c>
      <c r="V565" s="5" t="n">
        <v>10</v>
      </c>
      <c r="W565" s="10" t="n">
        <v>52.6</v>
      </c>
      <c r="X565" s="15" t="n">
        <f aca="false">IF(U565&gt;0,W565/U565,0)</f>
        <v>0.0463191264529764</v>
      </c>
      <c r="Y565" s="12" t="n">
        <f aca="false">IF(U565&gt;0,L565/U565,0)</f>
        <v>332.45861218739</v>
      </c>
      <c r="Z565" s="16" t="n">
        <f aca="false">L565*INDEX(Parametros!$E$2:$E$9,MATCH($E565,Parametros!$A$2:$A$9,0))</f>
        <v>218973.2</v>
      </c>
      <c r="AA565" s="16" t="n">
        <f aca="false">Z565*INDEX(Parametros!$F$2:$F$9,MATCH($E565,Parametros!$A$2:$A$9,0))</f>
        <v>6131.2496</v>
      </c>
      <c r="AB565" s="17" t="n">
        <f aca="false">Z565+AA565</f>
        <v>225104.4496</v>
      </c>
      <c r="AC565" s="18" t="n">
        <v>224800.15</v>
      </c>
      <c r="AD565" s="17" t="n">
        <f aca="false">AC565-AB565</f>
        <v>-304.299599999998</v>
      </c>
      <c r="AE565" s="17" t="n">
        <f aca="false">AA565+AD565</f>
        <v>5826.95</v>
      </c>
      <c r="AF565" s="19" t="n">
        <f aca="false">IF(Z565&gt;0,AE565/Z565,0)</f>
        <v>0.0266103340500116</v>
      </c>
      <c r="AG565" s="16" t="n">
        <f aca="false">(U565-W565)*INDEX(Parametros!$H$2:$H$9,MATCH($E565,Parametros!$A$2:$A$9,0))+W565*INDEX(Parametros!$H$2:$H$9,MATCH($E565,Parametros!$A$2:$A$9,0))*Parametros!$N$3</f>
        <v>36599.85</v>
      </c>
      <c r="AH565" s="13" t="n">
        <v>19785</v>
      </c>
      <c r="AI565" s="16" t="n">
        <f aca="false">AH565*Parametros!$N$2</f>
        <v>1820.22</v>
      </c>
      <c r="AJ565" s="18" t="n">
        <v>9267</v>
      </c>
      <c r="AK565" s="18" t="n">
        <v>2337</v>
      </c>
      <c r="AL565" s="17" t="n">
        <f aca="false">AG565+AI565+AJ565+AK565</f>
        <v>50024.07</v>
      </c>
      <c r="AM565" s="20" t="n">
        <f aca="false">IF(L565&gt;0,AL565/L565,0)</f>
        <v>0.132500052974519</v>
      </c>
      <c r="AN565" s="16" t="n">
        <f aca="false">L565*INDEX(Parametros!$G$2:$G$9,MATCH($E565,Parametros!$A$2:$A$9,0))</f>
        <v>369989.2</v>
      </c>
      <c r="AO565" s="17" t="n">
        <f aca="false">AN565-AC565-AL565</f>
        <v>95164.98</v>
      </c>
      <c r="AP565" s="15" t="n">
        <f aca="false">IF(AN565&gt;0,AO565/AN565,0)</f>
        <v>0.257210156404565</v>
      </c>
      <c r="AQ565" s="16" t="n">
        <f aca="false">INDEX(Parametros!$I$2:$I$9,MATCH($E565,Parametros!$A$2:$A$9,0))</f>
        <v>17000000</v>
      </c>
      <c r="AR565" s="19" t="n">
        <f aca="false">IF(AQ565&gt;0,AO565/AQ565,0)</f>
        <v>0.00559794</v>
      </c>
    </row>
    <row r="566" customFormat="false" ht="15" hidden="false" customHeight="false" outlineLevel="0" collapsed="false">
      <c r="A566" s="5" t="s">
        <v>701</v>
      </c>
      <c r="B566" s="9" t="n">
        <v>46041</v>
      </c>
      <c r="C566" s="2" t="str">
        <f aca="false">TEXT(B566,"yyyy")</f>
        <v>2026</v>
      </c>
      <c r="D566" s="2" t="n">
        <f aca="false">WEEKNUM(B566,2)</f>
        <v>4</v>
      </c>
      <c r="E566" s="5" t="s">
        <v>138</v>
      </c>
      <c r="F566" s="6" t="str">
        <f aca="false">INDEX(Parametros!$B$2:$B$9,MATCH($E566,Parametros!$A$2:$A$9,0))</f>
        <v>Queso crema</v>
      </c>
      <c r="G566" s="10" t="n">
        <v>101.1</v>
      </c>
      <c r="H566" s="10" t="n">
        <v>7.6</v>
      </c>
      <c r="I566" s="11" t="n">
        <f aca="false">SUMIFS(Eventos_Paro!$J$2:$J$2186,Eventos_Paro!$D$2:$D$2186,$E566,Eventos_Paro!$B$2:$B$2186,$B566)</f>
        <v>1.15</v>
      </c>
      <c r="J566" s="12" t="n">
        <f aca="false">G566-H566-I566</f>
        <v>92.35</v>
      </c>
      <c r="K566" s="13" t="n">
        <v>273047</v>
      </c>
      <c r="L566" s="13" t="n">
        <v>264045</v>
      </c>
      <c r="M566" s="13" t="n">
        <v>10348</v>
      </c>
      <c r="N566" s="14" t="n">
        <f aca="false">L566+M566</f>
        <v>274393</v>
      </c>
      <c r="O566" s="11" t="n">
        <f aca="false">INDEX(Parametros!$D$2:$D$9,MATCH($E566,Parametros!$A$2:$A$9,0))</f>
        <v>3800</v>
      </c>
      <c r="P566" s="15" t="n">
        <f aca="false">IF((G566-H566)&gt;0,J566/(G566-H566),0)</f>
        <v>0.987700534759358</v>
      </c>
      <c r="Q566" s="15" t="n">
        <f aca="false">IF(J566*O566&gt;0,N566/(O566*J566),0)</f>
        <v>0.781902373692759</v>
      </c>
      <c r="R566" s="15" t="n">
        <f aca="false">IF(N566&gt;0,L566/N566,0)</f>
        <v>0.962287667688316</v>
      </c>
      <c r="S566" s="15" t="n">
        <f aca="false">P566*Q566*R566</f>
        <v>0.743160709259781</v>
      </c>
      <c r="T566" s="15" t="n">
        <f aca="false">IF(K566&gt;0,L566/K566,0)</f>
        <v>0.967031316952759</v>
      </c>
      <c r="U566" s="10" t="n">
        <v>1494.4</v>
      </c>
      <c r="V566" s="5" t="n">
        <v>14</v>
      </c>
      <c r="W566" s="10" t="n">
        <v>79</v>
      </c>
      <c r="X566" s="15" t="n">
        <f aca="false">IF(U566&gt;0,W566/U566,0)</f>
        <v>0.0528640256959315</v>
      </c>
      <c r="Y566" s="12" t="n">
        <f aca="false">IF(U566&gt;0,L566/U566,0)</f>
        <v>176.689641327623</v>
      </c>
      <c r="Z566" s="16" t="n">
        <f aca="false">L566*INDEX(Parametros!$E$2:$E$9,MATCH($E566,Parametros!$A$2:$A$9,0))</f>
        <v>295730.4</v>
      </c>
      <c r="AA566" s="16" t="n">
        <f aca="false">Z566*INDEX(Parametros!$F$2:$F$9,MATCH($E566,Parametros!$A$2:$A$9,0))</f>
        <v>10350.564</v>
      </c>
      <c r="AB566" s="17" t="n">
        <f aca="false">Z566+AA566</f>
        <v>306080.964</v>
      </c>
      <c r="AC566" s="18" t="n">
        <v>304512.99</v>
      </c>
      <c r="AD566" s="17" t="n">
        <f aca="false">AC566-AB566</f>
        <v>-1567.97400000005</v>
      </c>
      <c r="AE566" s="17" t="n">
        <f aca="false">AA566+AD566</f>
        <v>8782.58999999996</v>
      </c>
      <c r="AF566" s="19" t="n">
        <f aca="false">IF(Z566&gt;0,AE566/Z566,0)</f>
        <v>0.0296979613864518</v>
      </c>
      <c r="AG566" s="16" t="n">
        <f aca="false">(U566-W566)*INDEX(Parametros!$H$2:$H$9,MATCH($E566,Parametros!$A$2:$A$9,0))+W566*INDEX(Parametros!$H$2:$H$9,MATCH($E566,Parametros!$A$2:$A$9,0))*Parametros!$N$3</f>
        <v>50618.7</v>
      </c>
      <c r="AH566" s="13" t="n">
        <v>14202</v>
      </c>
      <c r="AI566" s="16" t="n">
        <f aca="false">AH566*Parametros!$N$2</f>
        <v>1306.584</v>
      </c>
      <c r="AJ566" s="18" t="n">
        <v>17764</v>
      </c>
      <c r="AK566" s="18" t="n">
        <v>919</v>
      </c>
      <c r="AL566" s="17" t="n">
        <f aca="false">AG566+AI566+AJ566+AK566</f>
        <v>70608.284</v>
      </c>
      <c r="AM566" s="20" t="n">
        <f aca="false">IF(L566&gt;0,AL566/L566,0)</f>
        <v>0.267410039955311</v>
      </c>
      <c r="AN566" s="16" t="n">
        <f aca="false">L566*INDEX(Parametros!$G$2:$G$9,MATCH($E566,Parametros!$A$2:$A$9,0))</f>
        <v>472640.55</v>
      </c>
      <c r="AO566" s="17" t="n">
        <f aca="false">AN566-AC566-AL566</f>
        <v>97519.276</v>
      </c>
      <c r="AP566" s="15" t="n">
        <f aca="false">IF(AN566&gt;0,AO566/AN566,0)</f>
        <v>0.206328627537354</v>
      </c>
      <c r="AQ566" s="16" t="n">
        <f aca="false">INDEX(Parametros!$I$2:$I$9,MATCH($E566,Parametros!$A$2:$A$9,0))</f>
        <v>33200000</v>
      </c>
      <c r="AR566" s="19" t="n">
        <f aca="false">IF(AQ566&gt;0,AO566/AQ566,0)</f>
        <v>0.00293732759036145</v>
      </c>
    </row>
    <row r="567" customFormat="false" ht="15" hidden="false" customHeight="false" outlineLevel="0" collapsed="false">
      <c r="A567" s="5" t="s">
        <v>702</v>
      </c>
      <c r="B567" s="9" t="n">
        <v>46041</v>
      </c>
      <c r="C567" s="2" t="str">
        <f aca="false">TEXT(B567,"yyyy")</f>
        <v>2026</v>
      </c>
      <c r="D567" s="2" t="n">
        <f aca="false">WEEKNUM(B567,2)</f>
        <v>4</v>
      </c>
      <c r="E567" s="5" t="s">
        <v>140</v>
      </c>
      <c r="F567" s="6" t="str">
        <f aca="false">INDEX(Parametros!$B$2:$B$9,MATCH($E567,Parametros!$A$2:$A$9,0))</f>
        <v>Crema de cacahuate</v>
      </c>
      <c r="G567" s="10" t="n">
        <v>102.8</v>
      </c>
      <c r="H567" s="10" t="n">
        <v>7.3</v>
      </c>
      <c r="I567" s="11" t="n">
        <f aca="false">SUMIFS(Eventos_Paro!$J$2:$J$2186,Eventos_Paro!$D$2:$D$2186,$E567,Eventos_Paro!$B$2:$B$2186,$B567)</f>
        <v>2.58333333333333</v>
      </c>
      <c r="J567" s="12" t="n">
        <f aca="false">G567-H567-I567</f>
        <v>92.9166666666667</v>
      </c>
      <c r="K567" s="13" t="n">
        <v>308244</v>
      </c>
      <c r="L567" s="13" t="n">
        <v>329847</v>
      </c>
      <c r="M567" s="13" t="n">
        <v>6431</v>
      </c>
      <c r="N567" s="14" t="n">
        <f aca="false">L567+M567</f>
        <v>336278</v>
      </c>
      <c r="O567" s="11" t="n">
        <f aca="false">INDEX(Parametros!$D$2:$D$9,MATCH($E567,Parametros!$A$2:$A$9,0))</f>
        <v>4200</v>
      </c>
      <c r="P567" s="15" t="n">
        <f aca="false">IF((G567-H567)&gt;0,J567/(G567-H567),0)</f>
        <v>0.972949389179756</v>
      </c>
      <c r="Q567" s="15" t="n">
        <f aca="false">IF(J567*O567&gt;0,N567/(O567*J567),0)</f>
        <v>0.861698910954516</v>
      </c>
      <c r="R567" s="15" t="n">
        <f aca="false">IF(N567&gt;0,L567/N567,0)</f>
        <v>0.980875941928999</v>
      </c>
      <c r="S567" s="15" t="n">
        <f aca="false">P567*Q567*R567</f>
        <v>0.822356020942408</v>
      </c>
      <c r="T567" s="15" t="n">
        <f aca="false">IF(K567&gt;0,L567/K567,0)</f>
        <v>1.07008408922801</v>
      </c>
      <c r="U567" s="10" t="n">
        <v>1274.6</v>
      </c>
      <c r="V567" s="5" t="n">
        <v>12</v>
      </c>
      <c r="W567" s="10" t="n">
        <v>41</v>
      </c>
      <c r="X567" s="15" t="n">
        <f aca="false">IF(U567&gt;0,W567/U567,0)</f>
        <v>0.032166954338616</v>
      </c>
      <c r="Y567" s="12" t="n">
        <f aca="false">IF(U567&gt;0,L567/U567,0)</f>
        <v>258.78471677389</v>
      </c>
      <c r="Z567" s="16" t="n">
        <f aca="false">L567*INDEX(Parametros!$E$2:$E$9,MATCH($E567,Parametros!$A$2:$A$9,0))</f>
        <v>319951.59</v>
      </c>
      <c r="AA567" s="16" t="n">
        <f aca="false">Z567*INDEX(Parametros!$F$2:$F$9,MATCH($E567,Parametros!$A$2:$A$9,0))</f>
        <v>7038.93498</v>
      </c>
      <c r="AB567" s="17" t="n">
        <f aca="false">Z567+AA567</f>
        <v>326990.52498</v>
      </c>
      <c r="AC567" s="18" t="n">
        <v>329460.81</v>
      </c>
      <c r="AD567" s="17" t="n">
        <f aca="false">AC567-AB567</f>
        <v>2470.28502000001</v>
      </c>
      <c r="AE567" s="17" t="n">
        <f aca="false">AA567+AD567</f>
        <v>9509.22000000001</v>
      </c>
      <c r="AF567" s="19" t="n">
        <f aca="false">IF(Z567&gt;0,AE567/Z567,0)</f>
        <v>0.0297208087010913</v>
      </c>
      <c r="AG567" s="16" t="n">
        <f aca="false">(U567-W567)*INDEX(Parametros!$H$2:$H$9,MATCH($E567,Parametros!$A$2:$A$9,0))+W567*INDEX(Parametros!$H$2:$H$9,MATCH($E567,Parametros!$A$2:$A$9,0))*Parametros!$N$3</f>
        <v>40795.65</v>
      </c>
      <c r="AH567" s="13" t="n">
        <v>16823</v>
      </c>
      <c r="AI567" s="16" t="n">
        <f aca="false">AH567*Parametros!$N$2</f>
        <v>1547.716</v>
      </c>
      <c r="AJ567" s="18" t="n">
        <v>13568</v>
      </c>
      <c r="AK567" s="18" t="n">
        <v>2302</v>
      </c>
      <c r="AL567" s="17" t="n">
        <f aca="false">AG567+AI567+AJ567+AK567</f>
        <v>58213.366</v>
      </c>
      <c r="AM567" s="20" t="n">
        <f aca="false">IF(L567&gt;0,AL567/L567,0)</f>
        <v>0.176485964704848</v>
      </c>
      <c r="AN567" s="16" t="n">
        <f aca="false">L567*INDEX(Parametros!$G$2:$G$9,MATCH($E567,Parametros!$A$2:$A$9,0))</f>
        <v>534352.14</v>
      </c>
      <c r="AO567" s="17" t="n">
        <f aca="false">AN567-AC567-AL567</f>
        <v>146677.964</v>
      </c>
      <c r="AP567" s="15" t="n">
        <f aca="false">IF(AN567&gt;0,AO567/AN567,0)</f>
        <v>0.27449682151549</v>
      </c>
      <c r="AQ567" s="16" t="n">
        <f aca="false">INDEX(Parametros!$I$2:$I$9,MATCH($E567,Parametros!$A$2:$A$9,0))</f>
        <v>28000000</v>
      </c>
      <c r="AR567" s="19" t="n">
        <f aca="false">IF(AQ567&gt;0,AO567/AQ567,0)</f>
        <v>0.00523849871428572</v>
      </c>
    </row>
    <row r="568" customFormat="false" ht="15" hidden="false" customHeight="false" outlineLevel="0" collapsed="false">
      <c r="A568" s="5" t="s">
        <v>703</v>
      </c>
      <c r="B568" s="9" t="n">
        <v>46041</v>
      </c>
      <c r="C568" s="2" t="str">
        <f aca="false">TEXT(B568,"yyyy")</f>
        <v>2026</v>
      </c>
      <c r="D568" s="2" t="n">
        <f aca="false">WEEKNUM(B568,2)</f>
        <v>4</v>
      </c>
      <c r="E568" s="5" t="s">
        <v>142</v>
      </c>
      <c r="F568" s="6" t="str">
        <f aca="false">INDEX(Parametros!$B$2:$B$9,MATCH($E568,Parametros!$A$2:$A$9,0))</f>
        <v>Porciones single serve</v>
      </c>
      <c r="G568" s="10" t="n">
        <v>89.9</v>
      </c>
      <c r="H568" s="10" t="n">
        <v>6</v>
      </c>
      <c r="I568" s="11" t="n">
        <f aca="false">SUMIFS(Eventos_Paro!$J$2:$J$2186,Eventos_Paro!$D$2:$D$2186,$E568,Eventos_Paro!$B$2:$B$2186,$B568)</f>
        <v>2.03333333333333</v>
      </c>
      <c r="J568" s="12" t="n">
        <f aca="false">G568-H568-I568</f>
        <v>81.8666666666667</v>
      </c>
      <c r="K568" s="13" t="n">
        <v>167640</v>
      </c>
      <c r="L568" s="13" t="n">
        <v>173486</v>
      </c>
      <c r="M568" s="13" t="n">
        <v>10368</v>
      </c>
      <c r="N568" s="14" t="n">
        <f aca="false">L568+M568</f>
        <v>183854</v>
      </c>
      <c r="O568" s="11" t="n">
        <f aca="false">INDEX(Parametros!$D$2:$D$9,MATCH($E568,Parametros!$A$2:$A$9,0))</f>
        <v>2600</v>
      </c>
      <c r="P568" s="15" t="n">
        <f aca="false">IF((G568-H568)&gt;0,J568/(G568-H568),0)</f>
        <v>0.975764799364323</v>
      </c>
      <c r="Q568" s="15" t="n">
        <f aca="false">IF(J568*O568&gt;0,N568/(O568*J568),0)</f>
        <v>0.863759082936607</v>
      </c>
      <c r="R568" s="15" t="n">
        <f aca="false">IF(N568&gt;0,L568/N568,0)</f>
        <v>0.943607427632796</v>
      </c>
      <c r="S568" s="15" t="n">
        <f aca="false">P568*Q568*R568</f>
        <v>0.795296598514715</v>
      </c>
      <c r="T568" s="15" t="n">
        <f aca="false">IF(K568&gt;0,L568/K568,0)</f>
        <v>1.03487234550227</v>
      </c>
      <c r="U568" s="10" t="n">
        <v>1518.6</v>
      </c>
      <c r="V568" s="5" t="n">
        <v>16</v>
      </c>
      <c r="W568" s="10" t="n">
        <v>80.2</v>
      </c>
      <c r="X568" s="15" t="n">
        <f aca="false">IF(U568&gt;0,W568/U568,0)</f>
        <v>0.0528118003424207</v>
      </c>
      <c r="Y568" s="12" t="n">
        <f aca="false">IF(U568&gt;0,L568/U568,0)</f>
        <v>114.240748057421</v>
      </c>
      <c r="Z568" s="16" t="n">
        <f aca="false">L568*INDEX(Parametros!$E$2:$E$9,MATCH($E568,Parametros!$A$2:$A$9,0))</f>
        <v>128379.64</v>
      </c>
      <c r="AA568" s="16" t="n">
        <f aca="false">Z568*INDEX(Parametros!$F$2:$F$9,MATCH($E568,Parametros!$A$2:$A$9,0))</f>
        <v>5777.0838</v>
      </c>
      <c r="AB568" s="17" t="n">
        <f aca="false">Z568+AA568</f>
        <v>134156.7238</v>
      </c>
      <c r="AC568" s="18" t="n">
        <v>132131.09</v>
      </c>
      <c r="AD568" s="17" t="n">
        <f aca="false">AC568-AB568</f>
        <v>-2025.63380000001</v>
      </c>
      <c r="AE568" s="17" t="n">
        <f aca="false">AA568+AD568</f>
        <v>3751.44999999999</v>
      </c>
      <c r="AF568" s="19" t="n">
        <f aca="false">IF(Z568&gt;0,AE568/Z568,0)</f>
        <v>0.0292215338818522</v>
      </c>
      <c r="AG568" s="16" t="n">
        <f aca="false">(U568-W568)*INDEX(Parametros!$H$2:$H$9,MATCH($E568,Parametros!$A$2:$A$9,0))+W568*INDEX(Parametros!$H$2:$H$9,MATCH($E568,Parametros!$A$2:$A$9,0))*Parametros!$N$3</f>
        <v>46761</v>
      </c>
      <c r="AH568" s="13" t="n">
        <v>8920</v>
      </c>
      <c r="AI568" s="16" t="n">
        <f aca="false">AH568*Parametros!$N$2</f>
        <v>820.64</v>
      </c>
      <c r="AJ568" s="18" t="n">
        <v>12574</v>
      </c>
      <c r="AK568" s="18" t="n">
        <v>3001</v>
      </c>
      <c r="AL568" s="17" t="n">
        <f aca="false">AG568+AI568+AJ568+AK568</f>
        <v>63156.64</v>
      </c>
      <c r="AM568" s="20" t="n">
        <f aca="false">IF(L568&gt;0,AL568/L568,0)</f>
        <v>0.364044591494415</v>
      </c>
      <c r="AN568" s="16" t="n">
        <f aca="false">L568*INDEX(Parametros!$G$2:$G$9,MATCH($E568,Parametros!$A$2:$A$9,0))</f>
        <v>298395.92</v>
      </c>
      <c r="AO568" s="17" t="n">
        <f aca="false">AN568-AC568-AL568</f>
        <v>103108.19</v>
      </c>
      <c r="AP568" s="15" t="n">
        <f aca="false">IF(AN568&gt;0,AO568/AN568,0)</f>
        <v>0.34554155432152</v>
      </c>
      <c r="AQ568" s="16" t="n">
        <f aca="false">INDEX(Parametros!$I$2:$I$9,MATCH($E568,Parametros!$A$2:$A$9,0))</f>
        <v>15900000</v>
      </c>
      <c r="AR568" s="19" t="n">
        <f aca="false">IF(AQ568&gt;0,AO568/AQ568,0)</f>
        <v>0.00648479182389937</v>
      </c>
    </row>
    <row r="569" customFormat="false" ht="15" hidden="false" customHeight="false" outlineLevel="0" collapsed="false">
      <c r="A569" s="5" t="s">
        <v>704</v>
      </c>
      <c r="B569" s="9" t="n">
        <v>46041</v>
      </c>
      <c r="C569" s="2" t="str">
        <f aca="false">TEXT(B569,"yyyy")</f>
        <v>2026</v>
      </c>
      <c r="D569" s="2" t="n">
        <f aca="false">WEEKNUM(B569,2)</f>
        <v>4</v>
      </c>
      <c r="E569" s="5" t="s">
        <v>144</v>
      </c>
      <c r="F569" s="6" t="str">
        <f aca="false">INDEX(Parametros!$B$2:$B$9,MATCH($E569,Parametros!$A$2:$A$9,0))</f>
        <v>Salsas picantes</v>
      </c>
      <c r="G569" s="10" t="n">
        <v>106.4</v>
      </c>
      <c r="H569" s="10" t="n">
        <v>7.3</v>
      </c>
      <c r="I569" s="11" t="n">
        <f aca="false">SUMIFS(Eventos_Paro!$J$2:$J$2186,Eventos_Paro!$D$2:$D$2186,$E569,Eventos_Paro!$B$2:$B$2186,$B569)</f>
        <v>5.81666666666667</v>
      </c>
      <c r="J569" s="12" t="n">
        <f aca="false">G569-H569-I569</f>
        <v>93.2833333333334</v>
      </c>
      <c r="K569" s="13" t="n">
        <v>260160</v>
      </c>
      <c r="L569" s="13" t="n">
        <v>243887</v>
      </c>
      <c r="M569" s="13" t="n">
        <v>9535</v>
      </c>
      <c r="N569" s="14" t="n">
        <f aca="false">L569+M569</f>
        <v>253422</v>
      </c>
      <c r="O569" s="11" t="n">
        <f aca="false">INDEX(Parametros!$D$2:$D$9,MATCH($E569,Parametros!$A$2:$A$9,0))</f>
        <v>3100</v>
      </c>
      <c r="P569" s="15" t="n">
        <f aca="false">IF((G569-H569)&gt;0,J569/(G569-H569),0)</f>
        <v>0.941305079044736</v>
      </c>
      <c r="Q569" s="15" t="n">
        <f aca="false">IF(J569*O569&gt;0,N569/(O569*J569),0)</f>
        <v>0.876351962745019</v>
      </c>
      <c r="R569" s="15" t="n">
        <f aca="false">IF(N569&gt;0,L569/N569,0)</f>
        <v>0.962375010851465</v>
      </c>
      <c r="S569" s="15" t="n">
        <f aca="false">P569*Q569*R569</f>
        <v>0.793877152436444</v>
      </c>
      <c r="T569" s="15" t="n">
        <f aca="false">IF(K569&gt;0,L569/K569,0)</f>
        <v>0.937450030750308</v>
      </c>
      <c r="U569" s="10" t="n">
        <v>887.2</v>
      </c>
      <c r="V569" s="5" t="n">
        <v>8</v>
      </c>
      <c r="W569" s="10" t="n">
        <v>36</v>
      </c>
      <c r="X569" s="15" t="n">
        <f aca="false">IF(U569&gt;0,W569/U569,0)</f>
        <v>0.0405770964833183</v>
      </c>
      <c r="Y569" s="12" t="n">
        <f aca="false">IF(U569&gt;0,L569/U569,0)</f>
        <v>274.895175834085</v>
      </c>
      <c r="Z569" s="16" t="n">
        <f aca="false">L569*INDEX(Parametros!$E$2:$E$9,MATCH($E569,Parametros!$A$2:$A$9,0))</f>
        <v>160965.42</v>
      </c>
      <c r="AA569" s="16" t="n">
        <f aca="false">Z569*INDEX(Parametros!$F$2:$F$9,MATCH($E569,Parametros!$A$2:$A$9,0))</f>
        <v>4185.10092</v>
      </c>
      <c r="AB569" s="17" t="n">
        <f aca="false">Z569+AA569</f>
        <v>165150.52092</v>
      </c>
      <c r="AC569" s="18" t="n">
        <v>164368.96</v>
      </c>
      <c r="AD569" s="17" t="n">
        <f aca="false">AC569-AB569</f>
        <v>-781.560920000018</v>
      </c>
      <c r="AE569" s="17" t="n">
        <f aca="false">AA569+AD569</f>
        <v>3403.53999999998</v>
      </c>
      <c r="AF569" s="19" t="n">
        <f aca="false">IF(Z569&gt;0,AE569/Z569,0)</f>
        <v>0.0211445414797786</v>
      </c>
      <c r="AG569" s="16" t="n">
        <f aca="false">(U569-W569)*INDEX(Parametros!$H$2:$H$9,MATCH($E569,Parametros!$A$2:$A$9,0))+W569*INDEX(Parametros!$H$2:$H$9,MATCH($E569,Parametros!$A$2:$A$9,0))*Parametros!$N$3</f>
        <v>28513.8</v>
      </c>
      <c r="AH569" s="13" t="n">
        <v>12597</v>
      </c>
      <c r="AI569" s="16" t="n">
        <f aca="false">AH569*Parametros!$N$2</f>
        <v>1158.924</v>
      </c>
      <c r="AJ569" s="18" t="n">
        <v>6789</v>
      </c>
      <c r="AK569" s="18" t="n">
        <v>8072</v>
      </c>
      <c r="AL569" s="17" t="n">
        <f aca="false">AG569+AI569+AJ569+AK569</f>
        <v>44533.724</v>
      </c>
      <c r="AM569" s="20" t="n">
        <f aca="false">IF(L569&gt;0,AL569/L569,0)</f>
        <v>0.182599826969047</v>
      </c>
      <c r="AN569" s="16" t="n">
        <f aca="false">L569*INDEX(Parametros!$G$2:$G$9,MATCH($E569,Parametros!$A$2:$A$9,0))</f>
        <v>304858.75</v>
      </c>
      <c r="AO569" s="17" t="n">
        <f aca="false">AN569-AC569-AL569</f>
        <v>95956.066</v>
      </c>
      <c r="AP569" s="15" t="n">
        <f aca="false">IF(AN569&gt;0,AO569/AN569,0)</f>
        <v>0.314755820523439</v>
      </c>
      <c r="AQ569" s="16" t="n">
        <f aca="false">INDEX(Parametros!$I$2:$I$9,MATCH($E569,Parametros!$A$2:$A$9,0))</f>
        <v>13300000</v>
      </c>
      <c r="AR569" s="19" t="n">
        <f aca="false">IF(AQ569&gt;0,AO569/AQ569,0)</f>
        <v>0.00721474180451128</v>
      </c>
    </row>
    <row r="570" customFormat="false" ht="15" hidden="false" customHeight="false" outlineLevel="0" collapsed="false">
      <c r="A570" s="5" t="s">
        <v>705</v>
      </c>
      <c r="B570" s="9" t="n">
        <v>46048</v>
      </c>
      <c r="C570" s="2" t="str">
        <f aca="false">TEXT(B570,"yyyy")</f>
        <v>2026</v>
      </c>
      <c r="D570" s="2" t="n">
        <f aca="false">WEEKNUM(B570,2)</f>
        <v>5</v>
      </c>
      <c r="E570" s="5" t="s">
        <v>130</v>
      </c>
      <c r="F570" s="6" t="str">
        <f aca="false">INDEX(Parametros!$B$2:$B$9,MATCH($E570,Parametros!$A$2:$A$9,0))</f>
        <v>Ketchup botella</v>
      </c>
      <c r="G570" s="10" t="n">
        <v>127.8</v>
      </c>
      <c r="H570" s="10" t="n">
        <v>7</v>
      </c>
      <c r="I570" s="11" t="n">
        <f aca="false">SUMIFS(Eventos_Paro!$J$2:$J$2186,Eventos_Paro!$D$2:$D$2186,$E570,Eventos_Paro!$B$2:$B$2186,$B570)</f>
        <v>2.36666666666667</v>
      </c>
      <c r="J570" s="12" t="n">
        <f aca="false">G570-H570-I570</f>
        <v>118.433333333333</v>
      </c>
      <c r="K570" s="13" t="n">
        <v>836492</v>
      </c>
      <c r="L570" s="13" t="n">
        <v>928224</v>
      </c>
      <c r="M570" s="13" t="n">
        <v>19831</v>
      </c>
      <c r="N570" s="14" t="n">
        <f aca="false">L570+M570</f>
        <v>948055</v>
      </c>
      <c r="O570" s="11" t="n">
        <f aca="false">INDEX(Parametros!$D$2:$D$9,MATCH($E570,Parametros!$A$2:$A$9,0))</f>
        <v>9000</v>
      </c>
      <c r="P570" s="15" t="n">
        <f aca="false">IF((G570-H570)&gt;0,J570/(G570-H570),0)</f>
        <v>0.980408388520971</v>
      </c>
      <c r="Q570" s="15" t="n">
        <f aca="false">IF(J570*O570&gt;0,N570/(O570*J570),0)</f>
        <v>0.889440848109579</v>
      </c>
      <c r="R570" s="15" t="n">
        <f aca="false">IF(N570&gt;0,L570/N570,0)</f>
        <v>0.979082437200373</v>
      </c>
      <c r="S570" s="15" t="n">
        <f aca="false">P570*Q570*R570</f>
        <v>0.853774834437086</v>
      </c>
      <c r="T570" s="15" t="n">
        <f aca="false">IF(K570&gt;0,L570/K570,0)</f>
        <v>1.10966273437164</v>
      </c>
      <c r="U570" s="10" t="n">
        <v>1799.4</v>
      </c>
      <c r="V570" s="5" t="n">
        <v>13</v>
      </c>
      <c r="W570" s="10" t="n">
        <v>138</v>
      </c>
      <c r="X570" s="15" t="n">
        <f aca="false">IF(U570&gt;0,W570/U570,0)</f>
        <v>0.0766922307435812</v>
      </c>
      <c r="Y570" s="12" t="n">
        <f aca="false">IF(U570&gt;0,L570/U570,0)</f>
        <v>515.851950650217</v>
      </c>
      <c r="Z570" s="16" t="n">
        <f aca="false">L570*INDEX(Parametros!$E$2:$E$9,MATCH($E570,Parametros!$A$2:$A$9,0))</f>
        <v>389854.08</v>
      </c>
      <c r="AA570" s="16" t="n">
        <f aca="false">Z570*INDEX(Parametros!$F$2:$F$9,MATCH($E570,Parametros!$A$2:$A$9,0))</f>
        <v>7797.0816</v>
      </c>
      <c r="AB570" s="17" t="n">
        <f aca="false">Z570+AA570</f>
        <v>397651.1616</v>
      </c>
      <c r="AC570" s="18" t="n">
        <v>395406.14</v>
      </c>
      <c r="AD570" s="17" t="n">
        <f aca="false">AC570-AB570</f>
        <v>-2245.02159999992</v>
      </c>
      <c r="AE570" s="17" t="n">
        <f aca="false">AA570+AD570</f>
        <v>5552.06000000008</v>
      </c>
      <c r="AF570" s="19" t="n">
        <f aca="false">IF(Z570&gt;0,AE570/Z570,0)</f>
        <v>0.0142413797490591</v>
      </c>
      <c r="AG570" s="16" t="n">
        <f aca="false">(U570-W570)*INDEX(Parametros!$H$2:$H$9,MATCH($E570,Parametros!$A$2:$A$9,0))+W570*INDEX(Parametros!$H$2:$H$9,MATCH($E570,Parametros!$A$2:$A$9,0))*Parametros!$N$3</f>
        <v>58854.6</v>
      </c>
      <c r="AH570" s="13" t="n">
        <v>46610</v>
      </c>
      <c r="AI570" s="16" t="n">
        <f aca="false">AH570*Parametros!$N$2</f>
        <v>4288.12</v>
      </c>
      <c r="AJ570" s="18" t="n">
        <v>14847</v>
      </c>
      <c r="AK570" s="18" t="n">
        <v>2300</v>
      </c>
      <c r="AL570" s="17" t="n">
        <f aca="false">AG570+AI570+AJ570+AK570</f>
        <v>80289.72</v>
      </c>
      <c r="AM570" s="20" t="n">
        <f aca="false">IF(L570&gt;0,AL570/L570,0)</f>
        <v>0.0864982159478747</v>
      </c>
      <c r="AN570" s="16" t="n">
        <f aca="false">L570*INDEX(Parametros!$G$2:$G$9,MATCH($E570,Parametros!$A$2:$A$9,0))</f>
        <v>659039.04</v>
      </c>
      <c r="AO570" s="17" t="n">
        <f aca="false">AN570-AC570-AL570</f>
        <v>183343.18</v>
      </c>
      <c r="AP570" s="15" t="n">
        <f aca="false">IF(AN570&gt;0,AO570/AN570,0)</f>
        <v>0.278197752897916</v>
      </c>
      <c r="AQ570" s="16" t="n">
        <f aca="false">INDEX(Parametros!$I$2:$I$9,MATCH($E570,Parametros!$A$2:$A$9,0))</f>
        <v>29300000</v>
      </c>
      <c r="AR570" s="19" t="n">
        <f aca="false">IF(AQ570&gt;0,AO570/AQ570,0)</f>
        <v>0.00625744641638225</v>
      </c>
    </row>
    <row r="571" customFormat="false" ht="15" hidden="false" customHeight="false" outlineLevel="0" collapsed="false">
      <c r="A571" s="5" t="s">
        <v>706</v>
      </c>
      <c r="B571" s="9" t="n">
        <v>46048</v>
      </c>
      <c r="C571" s="2" t="str">
        <f aca="false">TEXT(B571,"yyyy")</f>
        <v>2026</v>
      </c>
      <c r="D571" s="2" t="n">
        <f aca="false">WEEKNUM(B571,2)</f>
        <v>5</v>
      </c>
      <c r="E571" s="5" t="s">
        <v>132</v>
      </c>
      <c r="F571" s="6" t="str">
        <f aca="false">INDEX(Parametros!$B$2:$B$9,MATCH($E571,Parametros!$A$2:$A$9,0))</f>
        <v>Mayonesa frasco</v>
      </c>
      <c r="G571" s="10" t="n">
        <v>118.9</v>
      </c>
      <c r="H571" s="10" t="n">
        <v>8.2</v>
      </c>
      <c r="I571" s="11" t="n">
        <f aca="false">SUMIFS(Eventos_Paro!$J$2:$J$2186,Eventos_Paro!$D$2:$D$2186,$E571,Eventos_Paro!$B$2:$B$2186,$B571)</f>
        <v>1.36666666666667</v>
      </c>
      <c r="J571" s="12" t="n">
        <f aca="false">G571-H571-I571</f>
        <v>109.333333333333</v>
      </c>
      <c r="K571" s="13" t="n">
        <v>553622</v>
      </c>
      <c r="L571" s="13" t="n">
        <v>613273</v>
      </c>
      <c r="M571" s="13" t="n">
        <v>11795</v>
      </c>
      <c r="N571" s="14" t="n">
        <f aca="false">L571+M571</f>
        <v>625068</v>
      </c>
      <c r="O571" s="11" t="n">
        <f aca="false">INDEX(Parametros!$D$2:$D$9,MATCH($E571,Parametros!$A$2:$A$9,0))</f>
        <v>6500</v>
      </c>
      <c r="P571" s="15" t="n">
        <f aca="false">IF((G571-H571)&gt;0,J571/(G571-H571),0)</f>
        <v>0.987654320987654</v>
      </c>
      <c r="Q571" s="15" t="n">
        <f aca="false">IF(J571*O571&gt;0,N571/(O571*J571),0)</f>
        <v>0.879551594746717</v>
      </c>
      <c r="R571" s="15" t="n">
        <f aca="false">IF(N571&gt;0,L571/N571,0)</f>
        <v>0.981130053050228</v>
      </c>
      <c r="S571" s="15" t="n">
        <f aca="false">P571*Q571*R571</f>
        <v>0.852300743520256</v>
      </c>
      <c r="T571" s="15" t="n">
        <f aca="false">IF(K571&gt;0,L571/K571,0)</f>
        <v>1.10774680196957</v>
      </c>
      <c r="U571" s="10" t="n">
        <v>1536.8</v>
      </c>
      <c r="V571" s="5" t="n">
        <v>12</v>
      </c>
      <c r="W571" s="10" t="n">
        <v>110</v>
      </c>
      <c r="X571" s="15" t="n">
        <f aca="false">IF(U571&gt;0,W571/U571,0)</f>
        <v>0.0715773034877668</v>
      </c>
      <c r="Y571" s="12" t="n">
        <f aca="false">IF(U571&gt;0,L571/U571,0)</f>
        <v>399.058433107756</v>
      </c>
      <c r="Z571" s="16" t="n">
        <f aca="false">L571*INDEX(Parametros!$E$2:$E$9,MATCH($E571,Parametros!$A$2:$A$9,0))</f>
        <v>374096.53</v>
      </c>
      <c r="AA571" s="16" t="n">
        <f aca="false">Z571*INDEX(Parametros!$F$2:$F$9,MATCH($E571,Parametros!$A$2:$A$9,0))</f>
        <v>9352.41325</v>
      </c>
      <c r="AB571" s="17" t="n">
        <f aca="false">Z571+AA571</f>
        <v>383448.94325</v>
      </c>
      <c r="AC571" s="18" t="n">
        <v>386593.03</v>
      </c>
      <c r="AD571" s="17" t="n">
        <f aca="false">AC571-AB571</f>
        <v>3144.08675000008</v>
      </c>
      <c r="AE571" s="17" t="n">
        <f aca="false">AA571+AD571</f>
        <v>12496.5000000001</v>
      </c>
      <c r="AF571" s="19" t="n">
        <f aca="false">IF(Z571&gt;0,AE571/Z571,0)</f>
        <v>0.0334044798544378</v>
      </c>
      <c r="AG571" s="16" t="n">
        <f aca="false">(U571-W571)*INDEX(Parametros!$H$2:$H$9,MATCH($E571,Parametros!$A$2:$A$9,0))+W571*INDEX(Parametros!$H$2:$H$9,MATCH($E571,Parametros!$A$2:$A$9,0))*Parametros!$N$3</f>
        <v>50141.7</v>
      </c>
      <c r="AH571" s="13" t="n">
        <v>30900</v>
      </c>
      <c r="AI571" s="16" t="n">
        <f aca="false">AH571*Parametros!$N$2</f>
        <v>2842.8</v>
      </c>
      <c r="AJ571" s="18" t="n">
        <v>14085</v>
      </c>
      <c r="AK571" s="18" t="n">
        <v>1140</v>
      </c>
      <c r="AL571" s="17" t="n">
        <f aca="false">AG571+AI571+AJ571+AK571</f>
        <v>68209.5</v>
      </c>
      <c r="AM571" s="20" t="n">
        <f aca="false">IF(L571&gt;0,AL571/L571,0)</f>
        <v>0.111222082172214</v>
      </c>
      <c r="AN571" s="16" t="n">
        <f aca="false">L571*INDEX(Parametros!$G$2:$G$9,MATCH($E571,Parametros!$A$2:$A$9,0))</f>
        <v>588742.08</v>
      </c>
      <c r="AO571" s="17" t="n">
        <f aca="false">AN571-AC571-AL571</f>
        <v>133939.55</v>
      </c>
      <c r="AP571" s="15" t="n">
        <f aca="false">IF(AN571&gt;0,AO571/AN571,0)</f>
        <v>0.227501234496437</v>
      </c>
      <c r="AQ571" s="16" t="n">
        <f aca="false">INDEX(Parametros!$I$2:$I$9,MATCH($E571,Parametros!$A$2:$A$9,0))</f>
        <v>29700000</v>
      </c>
      <c r="AR571" s="19" t="n">
        <f aca="false">IF(AQ571&gt;0,AO571/AQ571,0)</f>
        <v>0.00450974915824916</v>
      </c>
    </row>
    <row r="572" customFormat="false" ht="15" hidden="false" customHeight="false" outlineLevel="0" collapsed="false">
      <c r="A572" s="5" t="s">
        <v>707</v>
      </c>
      <c r="B572" s="9" t="n">
        <v>46048</v>
      </c>
      <c r="C572" s="2" t="str">
        <f aca="false">TEXT(B572,"yyyy")</f>
        <v>2026</v>
      </c>
      <c r="D572" s="2" t="n">
        <f aca="false">WEEKNUM(B572,2)</f>
        <v>5</v>
      </c>
      <c r="E572" s="5" t="s">
        <v>134</v>
      </c>
      <c r="F572" s="6" t="str">
        <f aca="false">INDEX(Parametros!$B$2:$B$9,MATCH($E572,Parametros!$A$2:$A$9,0))</f>
        <v>Aderezos vertibles</v>
      </c>
      <c r="G572" s="10" t="n">
        <v>129.5</v>
      </c>
      <c r="H572" s="10" t="n">
        <v>5.3</v>
      </c>
      <c r="I572" s="11" t="n">
        <f aca="false">SUMIFS(Eventos_Paro!$J$2:$J$2186,Eventos_Paro!$D$2:$D$2186,$E572,Eventos_Paro!$B$2:$B$2186,$B572)</f>
        <v>1.9</v>
      </c>
      <c r="J572" s="12" t="n">
        <f aca="false">G572-H572-I572</f>
        <v>122.3</v>
      </c>
      <c r="K572" s="13" t="n">
        <v>496910</v>
      </c>
      <c r="L572" s="13" t="n">
        <v>569052</v>
      </c>
      <c r="M572" s="13" t="n">
        <v>21146</v>
      </c>
      <c r="N572" s="14" t="n">
        <f aca="false">L572+M572</f>
        <v>590198</v>
      </c>
      <c r="O572" s="11" t="n">
        <f aca="false">INDEX(Parametros!$D$2:$D$9,MATCH($E572,Parametros!$A$2:$A$9,0))</f>
        <v>5200</v>
      </c>
      <c r="P572" s="15" t="n">
        <f aca="false">IF((G572-H572)&gt;0,J572/(G572-H572),0)</f>
        <v>0.984702093397746</v>
      </c>
      <c r="Q572" s="15" t="n">
        <f aca="false">IF(J572*O572&gt;0,N572/(O572*J572),0)</f>
        <v>0.928042644191459</v>
      </c>
      <c r="R572" s="15" t="n">
        <f aca="false">IF(N572&gt;0,L572/N572,0)</f>
        <v>0.964171345887312</v>
      </c>
      <c r="S572" s="15" t="n">
        <f aca="false">P572*Q572*R572</f>
        <v>0.881103678929766</v>
      </c>
      <c r="T572" s="15" t="n">
        <f aca="false">IF(K572&gt;0,L572/K572,0)</f>
        <v>1.14518121993922</v>
      </c>
      <c r="U572" s="10" t="n">
        <v>1896.4</v>
      </c>
      <c r="V572" s="5" t="n">
        <v>13</v>
      </c>
      <c r="W572" s="10" t="n">
        <v>212.9</v>
      </c>
      <c r="X572" s="15" t="n">
        <f aca="false">IF(U572&gt;0,W572/U572,0)</f>
        <v>0.112265344863953</v>
      </c>
      <c r="Y572" s="12" t="n">
        <f aca="false">IF(U572&gt;0,L572/U572,0)</f>
        <v>300.069605568445</v>
      </c>
      <c r="Z572" s="16" t="n">
        <f aca="false">L572*INDEX(Parametros!$E$2:$E$9,MATCH($E572,Parametros!$A$2:$A$9,0))</f>
        <v>312978.6</v>
      </c>
      <c r="AA572" s="16" t="n">
        <f aca="false">Z572*INDEX(Parametros!$F$2:$F$9,MATCH($E572,Parametros!$A$2:$A$9,0))</f>
        <v>9389.358</v>
      </c>
      <c r="AB572" s="17" t="n">
        <f aca="false">Z572+AA572</f>
        <v>322367.958</v>
      </c>
      <c r="AC572" s="18" t="n">
        <v>319510.85</v>
      </c>
      <c r="AD572" s="17" t="n">
        <f aca="false">AC572-AB572</f>
        <v>-2857.10800000007</v>
      </c>
      <c r="AE572" s="17" t="n">
        <f aca="false">AA572+AD572</f>
        <v>6532.24999999993</v>
      </c>
      <c r="AF572" s="19" t="n">
        <f aca="false">IF(Z572&gt;0,AE572/Z572,0)</f>
        <v>0.020871235285735</v>
      </c>
      <c r="AG572" s="16" t="n">
        <f aca="false">(U572-W572)*INDEX(Parametros!$H$2:$H$9,MATCH($E572,Parametros!$A$2:$A$9,0))+W572*INDEX(Parametros!$H$2:$H$9,MATCH($E572,Parametros!$A$2:$A$9,0))*Parametros!$N$3</f>
        <v>63089.775</v>
      </c>
      <c r="AH572" s="13" t="n">
        <v>29961</v>
      </c>
      <c r="AI572" s="16" t="n">
        <f aca="false">AH572*Parametros!$N$2</f>
        <v>2756.412</v>
      </c>
      <c r="AJ572" s="18" t="n">
        <v>11727</v>
      </c>
      <c r="AK572" s="18" t="n">
        <v>935</v>
      </c>
      <c r="AL572" s="17" t="n">
        <f aca="false">AG572+AI572+AJ572+AK572</f>
        <v>78508.187</v>
      </c>
      <c r="AM572" s="20" t="n">
        <f aca="false">IF(L572&gt;0,AL572/L572,0)</f>
        <v>0.137963115848815</v>
      </c>
      <c r="AN572" s="16" t="n">
        <f aca="false">L572*INDEX(Parametros!$G$2:$G$9,MATCH($E572,Parametros!$A$2:$A$9,0))</f>
        <v>580433.04</v>
      </c>
      <c r="AO572" s="17" t="n">
        <f aca="false">AN572-AC572-AL572</f>
        <v>182414.003</v>
      </c>
      <c r="AP572" s="15" t="n">
        <f aca="false">IF(AN572&gt;0,AO572/AN572,0)</f>
        <v>0.314272259552971</v>
      </c>
      <c r="AQ572" s="16" t="n">
        <f aca="false">INDEX(Parametros!$I$2:$I$9,MATCH($E572,Parametros!$A$2:$A$9,0))</f>
        <v>19300000</v>
      </c>
      <c r="AR572" s="19" t="n">
        <f aca="false">IF(AQ572&gt;0,AO572/AQ572,0)</f>
        <v>0.00945150274611399</v>
      </c>
    </row>
    <row r="573" customFormat="false" ht="15" hidden="false" customHeight="false" outlineLevel="0" collapsed="false">
      <c r="A573" s="5" t="s">
        <v>708</v>
      </c>
      <c r="B573" s="9" t="n">
        <v>46048</v>
      </c>
      <c r="C573" s="2" t="str">
        <f aca="false">TEXT(B573,"yyyy")</f>
        <v>2026</v>
      </c>
      <c r="D573" s="2" t="n">
        <f aca="false">WEEKNUM(B573,2)</f>
        <v>5</v>
      </c>
      <c r="E573" s="5" t="s">
        <v>136</v>
      </c>
      <c r="F573" s="6" t="str">
        <f aca="false">INDEX(Parametros!$B$2:$B$9,MATCH($E573,Parametros!$A$2:$A$9,0))</f>
        <v>Salsa BBQ</v>
      </c>
      <c r="G573" s="10" t="n">
        <v>55</v>
      </c>
      <c r="H573" s="10" t="n">
        <v>8.1</v>
      </c>
      <c r="I573" s="11" t="n">
        <f aca="false">SUMIFS(Eventos_Paro!$J$2:$J$2186,Eventos_Paro!$D$2:$D$2186,$E573,Eventos_Paro!$B$2:$B$2186,$B573)</f>
        <v>4.1</v>
      </c>
      <c r="J573" s="12" t="n">
        <f aca="false">G573-H573-I573</f>
        <v>42.8</v>
      </c>
      <c r="K573" s="13" t="n">
        <v>149097</v>
      </c>
      <c r="L573" s="13" t="n">
        <v>163514</v>
      </c>
      <c r="M573" s="13" t="n">
        <v>5300</v>
      </c>
      <c r="N573" s="14" t="n">
        <f aca="false">L573+M573</f>
        <v>168814</v>
      </c>
      <c r="O573" s="11" t="n">
        <f aca="false">INDEX(Parametros!$D$2:$D$9,MATCH($E573,Parametros!$A$2:$A$9,0))</f>
        <v>4800</v>
      </c>
      <c r="P573" s="15" t="n">
        <f aca="false">IF((G573-H573)&gt;0,J573/(G573-H573),0)</f>
        <v>0.912579957356077</v>
      </c>
      <c r="Q573" s="15" t="n">
        <f aca="false">IF(J573*O573&gt;0,N573/(O573*J573),0)</f>
        <v>0.821719236760125</v>
      </c>
      <c r="R573" s="15" t="n">
        <f aca="false">IF(N573&gt;0,L573/N573,0)</f>
        <v>0.968604499626808</v>
      </c>
      <c r="S573" s="15" t="n">
        <f aca="false">P573*Q573*R573</f>
        <v>0.726341506751955</v>
      </c>
      <c r="T573" s="15" t="n">
        <f aca="false">IF(K573&gt;0,L573/K573,0)</f>
        <v>1.09669543988142</v>
      </c>
      <c r="U573" s="10" t="n">
        <v>656.2</v>
      </c>
      <c r="V573" s="5" t="n">
        <v>11</v>
      </c>
      <c r="W573" s="10" t="n">
        <v>51.2</v>
      </c>
      <c r="X573" s="15" t="n">
        <f aca="false">IF(U573&gt;0,W573/U573,0)</f>
        <v>0.0780249923803718</v>
      </c>
      <c r="Y573" s="12" t="n">
        <f aca="false">IF(U573&gt;0,L573/U573,0)</f>
        <v>249.183175861018</v>
      </c>
      <c r="Z573" s="16" t="n">
        <f aca="false">L573*INDEX(Parametros!$E$2:$E$9,MATCH($E573,Parametros!$A$2:$A$9,0))</f>
        <v>94838.12</v>
      </c>
      <c r="AA573" s="16" t="n">
        <f aca="false">Z573*INDEX(Parametros!$F$2:$F$9,MATCH($E573,Parametros!$A$2:$A$9,0))</f>
        <v>2655.46736</v>
      </c>
      <c r="AB573" s="17" t="n">
        <f aca="false">Z573+AA573</f>
        <v>97493.58736</v>
      </c>
      <c r="AC573" s="18" t="n">
        <v>99285.24</v>
      </c>
      <c r="AD573" s="17" t="n">
        <f aca="false">AC573-AB573</f>
        <v>1791.65264000001</v>
      </c>
      <c r="AE573" s="17" t="n">
        <f aca="false">AA573+AD573</f>
        <v>4447.12000000002</v>
      </c>
      <c r="AF573" s="19" t="n">
        <f aca="false">IF(Z573&gt;0,AE573/Z573,0)</f>
        <v>0.0468916929184174</v>
      </c>
      <c r="AG573" s="16" t="n">
        <f aca="false">(U573-W573)*INDEX(Parametros!$H$2:$H$9,MATCH($E573,Parametros!$A$2:$A$9,0))+W573*INDEX(Parametros!$H$2:$H$9,MATCH($E573,Parametros!$A$2:$A$9,0))*Parametros!$N$3</f>
        <v>21476.7</v>
      </c>
      <c r="AH573" s="13" t="n">
        <v>8883</v>
      </c>
      <c r="AI573" s="16" t="n">
        <f aca="false">AH573*Parametros!$N$2</f>
        <v>817.236</v>
      </c>
      <c r="AJ573" s="18" t="n">
        <v>10554</v>
      </c>
      <c r="AK573" s="18" t="n">
        <v>4239</v>
      </c>
      <c r="AL573" s="17" t="n">
        <f aca="false">AG573+AI573+AJ573+AK573</f>
        <v>37086.936</v>
      </c>
      <c r="AM573" s="20" t="n">
        <f aca="false">IF(L573&gt;0,AL573/L573,0)</f>
        <v>0.226811991633744</v>
      </c>
      <c r="AN573" s="16" t="n">
        <f aca="false">L573*INDEX(Parametros!$G$2:$G$9,MATCH($E573,Parametros!$A$2:$A$9,0))</f>
        <v>160243.72</v>
      </c>
      <c r="AO573" s="17" t="n">
        <f aca="false">AN573-AC573-AL573</f>
        <v>23871.544</v>
      </c>
      <c r="AP573" s="15" t="n">
        <f aca="false">IF(AN573&gt;0,AO573/AN573,0)</f>
        <v>0.148970231095484</v>
      </c>
      <c r="AQ573" s="16" t="n">
        <f aca="false">INDEX(Parametros!$I$2:$I$9,MATCH($E573,Parametros!$A$2:$A$9,0))</f>
        <v>17000000</v>
      </c>
      <c r="AR573" s="19" t="n">
        <f aca="false">IF(AQ573&gt;0,AO573/AQ573,0)</f>
        <v>0.00140420847058824</v>
      </c>
    </row>
    <row r="574" customFormat="false" ht="15" hidden="false" customHeight="false" outlineLevel="0" collapsed="false">
      <c r="A574" s="5" t="s">
        <v>709</v>
      </c>
      <c r="B574" s="9" t="n">
        <v>46048</v>
      </c>
      <c r="C574" s="2" t="str">
        <f aca="false">TEXT(B574,"yyyy")</f>
        <v>2026</v>
      </c>
      <c r="D574" s="2" t="n">
        <f aca="false">WEEKNUM(B574,2)</f>
        <v>5</v>
      </c>
      <c r="E574" s="5" t="s">
        <v>138</v>
      </c>
      <c r="F574" s="6" t="str">
        <f aca="false">INDEX(Parametros!$B$2:$B$9,MATCH($E574,Parametros!$A$2:$A$9,0))</f>
        <v>Queso crema</v>
      </c>
      <c r="G574" s="10" t="n">
        <v>98.4</v>
      </c>
      <c r="H574" s="10" t="n">
        <v>8.4</v>
      </c>
      <c r="I574" s="11" t="n">
        <f aca="false">SUMIFS(Eventos_Paro!$J$2:$J$2186,Eventos_Paro!$D$2:$D$2186,$E574,Eventos_Paro!$B$2:$B$2186,$B574)</f>
        <v>1.61666666666667</v>
      </c>
      <c r="J574" s="12" t="n">
        <f aca="false">G574-H574-I574</f>
        <v>88.3833333333333</v>
      </c>
      <c r="K574" s="13" t="n">
        <v>263135</v>
      </c>
      <c r="L574" s="13" t="n">
        <v>275241</v>
      </c>
      <c r="M574" s="13" t="n">
        <v>10865</v>
      </c>
      <c r="N574" s="14" t="n">
        <f aca="false">L574+M574</f>
        <v>286106</v>
      </c>
      <c r="O574" s="11" t="n">
        <f aca="false">INDEX(Parametros!$D$2:$D$9,MATCH($E574,Parametros!$A$2:$A$9,0))</f>
        <v>3800</v>
      </c>
      <c r="P574" s="15" t="n">
        <f aca="false">IF((G574-H574)&gt;0,J574/(G574-H574),0)</f>
        <v>0.982037037037037</v>
      </c>
      <c r="Q574" s="15" t="n">
        <f aca="false">IF(J574*O574&gt;0,N574/(O574*J574),0)</f>
        <v>0.851869349027859</v>
      </c>
      <c r="R574" s="15" t="n">
        <f aca="false">IF(N574&gt;0,L574/N574,0)</f>
        <v>0.962024564322314</v>
      </c>
      <c r="S574" s="15" t="n">
        <f aca="false">P574*Q574*R574</f>
        <v>0.804798245614035</v>
      </c>
      <c r="T574" s="15" t="n">
        <f aca="false">IF(K574&gt;0,L574/K574,0)</f>
        <v>1.04600680259183</v>
      </c>
      <c r="U574" s="10" t="n">
        <v>1428.9</v>
      </c>
      <c r="V574" s="5" t="n">
        <v>14</v>
      </c>
      <c r="W574" s="10" t="n">
        <v>51.3</v>
      </c>
      <c r="X574" s="15" t="n">
        <f aca="false">IF(U574&gt;0,W574/U574,0)</f>
        <v>0.0359017425992022</v>
      </c>
      <c r="Y574" s="12" t="n">
        <f aca="false">IF(U574&gt;0,L574/U574,0)</f>
        <v>192.624396388831</v>
      </c>
      <c r="Z574" s="16" t="n">
        <f aca="false">L574*INDEX(Parametros!$E$2:$E$9,MATCH($E574,Parametros!$A$2:$A$9,0))</f>
        <v>308269.92</v>
      </c>
      <c r="AA574" s="16" t="n">
        <f aca="false">Z574*INDEX(Parametros!$F$2:$F$9,MATCH($E574,Parametros!$A$2:$A$9,0))</f>
        <v>10789.4472</v>
      </c>
      <c r="AB574" s="17" t="n">
        <f aca="false">Z574+AA574</f>
        <v>319059.3672</v>
      </c>
      <c r="AC574" s="18" t="n">
        <v>316473.06</v>
      </c>
      <c r="AD574" s="17" t="n">
        <f aca="false">AC574-AB574</f>
        <v>-2586.30720000004</v>
      </c>
      <c r="AE574" s="17" t="n">
        <f aca="false">AA574+AD574</f>
        <v>8203.13999999996</v>
      </c>
      <c r="AF574" s="19" t="n">
        <f aca="false">IF(Z574&gt;0,AE574/Z574,0)</f>
        <v>0.0266102511720896</v>
      </c>
      <c r="AG574" s="16" t="n">
        <f aca="false">(U574-W574)*INDEX(Parametros!$H$2:$H$9,MATCH($E574,Parametros!$A$2:$A$9,0))+W574*INDEX(Parametros!$H$2:$H$9,MATCH($E574,Parametros!$A$2:$A$9,0))*Parametros!$N$3</f>
        <v>48000.15</v>
      </c>
      <c r="AH574" s="13" t="n">
        <v>14301</v>
      </c>
      <c r="AI574" s="16" t="n">
        <f aca="false">AH574*Parametros!$N$2</f>
        <v>1315.692</v>
      </c>
      <c r="AJ574" s="18" t="n">
        <v>19953</v>
      </c>
      <c r="AK574" s="18" t="n">
        <v>1650</v>
      </c>
      <c r="AL574" s="17" t="n">
        <f aca="false">AG574+AI574+AJ574+AK574</f>
        <v>70918.842</v>
      </c>
      <c r="AM574" s="20" t="n">
        <f aca="false">IF(L574&gt;0,AL574/L574,0)</f>
        <v>0.257660893544203</v>
      </c>
      <c r="AN574" s="16" t="n">
        <f aca="false">L574*INDEX(Parametros!$G$2:$G$9,MATCH($E574,Parametros!$A$2:$A$9,0))</f>
        <v>492681.39</v>
      </c>
      <c r="AO574" s="17" t="n">
        <f aca="false">AN574-AC574-AL574</f>
        <v>105289.488</v>
      </c>
      <c r="AP574" s="15" t="n">
        <f aca="false">IF(AN574&gt;0,AO574/AN574,0)</f>
        <v>0.213707053152546</v>
      </c>
      <c r="AQ574" s="16" t="n">
        <f aca="false">INDEX(Parametros!$I$2:$I$9,MATCH($E574,Parametros!$A$2:$A$9,0))</f>
        <v>33200000</v>
      </c>
      <c r="AR574" s="19" t="n">
        <f aca="false">IF(AQ574&gt;0,AO574/AQ574,0)</f>
        <v>0.00317137012048193</v>
      </c>
    </row>
    <row r="575" customFormat="false" ht="15" hidden="false" customHeight="false" outlineLevel="0" collapsed="false">
      <c r="A575" s="5" t="s">
        <v>710</v>
      </c>
      <c r="B575" s="9" t="n">
        <v>46048</v>
      </c>
      <c r="C575" s="2" t="str">
        <f aca="false">TEXT(B575,"yyyy")</f>
        <v>2026</v>
      </c>
      <c r="D575" s="2" t="n">
        <f aca="false">WEEKNUM(B575,2)</f>
        <v>5</v>
      </c>
      <c r="E575" s="5" t="s">
        <v>140</v>
      </c>
      <c r="F575" s="6" t="str">
        <f aca="false">INDEX(Parametros!$B$2:$B$9,MATCH($E575,Parametros!$A$2:$A$9,0))</f>
        <v>Crema de cacahuate</v>
      </c>
      <c r="G575" s="10" t="n">
        <v>115.8</v>
      </c>
      <c r="H575" s="10" t="n">
        <v>5.9</v>
      </c>
      <c r="I575" s="11" t="n">
        <f aca="false">SUMIFS(Eventos_Paro!$J$2:$J$2186,Eventos_Paro!$D$2:$D$2186,$E575,Eventos_Paro!$B$2:$B$2186,$B575)</f>
        <v>0</v>
      </c>
      <c r="J575" s="12" t="n">
        <f aca="false">G575-H575-I575</f>
        <v>109.9</v>
      </c>
      <c r="K575" s="13" t="n">
        <v>355140</v>
      </c>
      <c r="L575" s="13" t="n">
        <v>389223</v>
      </c>
      <c r="M575" s="13" t="n">
        <v>11289</v>
      </c>
      <c r="N575" s="14" t="n">
        <f aca="false">L575+M575</f>
        <v>400512</v>
      </c>
      <c r="O575" s="11" t="n">
        <f aca="false">INDEX(Parametros!$D$2:$D$9,MATCH($E575,Parametros!$A$2:$A$9,0))</f>
        <v>4200</v>
      </c>
      <c r="P575" s="15" t="n">
        <f aca="false">IF((G575-H575)&gt;0,J575/(G575-H575),0)</f>
        <v>1</v>
      </c>
      <c r="Q575" s="15" t="n">
        <f aca="false">IF(J575*O575&gt;0,N575/(O575*J575),0)</f>
        <v>0.867697907188353</v>
      </c>
      <c r="R575" s="15" t="n">
        <f aca="false">IF(N575&gt;0,L575/N575,0)</f>
        <v>0.971813578619367</v>
      </c>
      <c r="S575" s="15" t="n">
        <f aca="false">P575*Q575*R575</f>
        <v>0.843240608345249</v>
      </c>
      <c r="T575" s="15" t="n">
        <f aca="false">IF(K575&gt;0,L575/K575,0)</f>
        <v>1.09597060314242</v>
      </c>
      <c r="U575" s="10" t="n">
        <v>1358.4</v>
      </c>
      <c r="V575" s="5" t="n">
        <v>11</v>
      </c>
      <c r="W575" s="10" t="n">
        <v>84.6</v>
      </c>
      <c r="X575" s="15" t="n">
        <f aca="false">IF(U575&gt;0,W575/U575,0)</f>
        <v>0.0622791519434629</v>
      </c>
      <c r="Y575" s="12" t="n">
        <f aca="false">IF(U575&gt;0,L575/U575,0)</f>
        <v>286.530477031802</v>
      </c>
      <c r="Z575" s="16" t="n">
        <f aca="false">L575*INDEX(Parametros!$E$2:$E$9,MATCH($E575,Parametros!$A$2:$A$9,0))</f>
        <v>377546.31</v>
      </c>
      <c r="AA575" s="16" t="n">
        <f aca="false">Z575*INDEX(Parametros!$F$2:$F$9,MATCH($E575,Parametros!$A$2:$A$9,0))</f>
        <v>8306.01882</v>
      </c>
      <c r="AB575" s="17" t="n">
        <f aca="false">Z575+AA575</f>
        <v>385852.32882</v>
      </c>
      <c r="AC575" s="18" t="n">
        <v>392235.82</v>
      </c>
      <c r="AD575" s="17" t="n">
        <f aca="false">AC575-AB575</f>
        <v>6383.49118000001</v>
      </c>
      <c r="AE575" s="17" t="n">
        <f aca="false">AA575+AD575</f>
        <v>14689.51</v>
      </c>
      <c r="AF575" s="19" t="n">
        <f aca="false">IF(Z575&gt;0,AE575/Z575,0)</f>
        <v>0.0389078362333882</v>
      </c>
      <c r="AG575" s="16" t="n">
        <f aca="false">(U575-W575)*INDEX(Parametros!$H$2:$H$9,MATCH($E575,Parametros!$A$2:$A$9,0))+W575*INDEX(Parametros!$H$2:$H$9,MATCH($E575,Parametros!$A$2:$A$9,0))*Parametros!$N$3</f>
        <v>44122.05</v>
      </c>
      <c r="AH575" s="13" t="n">
        <v>20381</v>
      </c>
      <c r="AI575" s="16" t="n">
        <f aca="false">AH575*Parametros!$N$2</f>
        <v>1875.052</v>
      </c>
      <c r="AJ575" s="18" t="n">
        <v>12975</v>
      </c>
      <c r="AK575" s="18" t="n">
        <v>0</v>
      </c>
      <c r="AL575" s="17" t="n">
        <f aca="false">AG575+AI575+AJ575+AK575</f>
        <v>58972.102</v>
      </c>
      <c r="AM575" s="20" t="n">
        <f aca="false">IF(L575&gt;0,AL575/L575,0)</f>
        <v>0.15151237722334</v>
      </c>
      <c r="AN575" s="16" t="n">
        <f aca="false">L575*INDEX(Parametros!$G$2:$G$9,MATCH($E575,Parametros!$A$2:$A$9,0))</f>
        <v>630541.26</v>
      </c>
      <c r="AO575" s="17" t="n">
        <f aca="false">AN575-AC575-AL575</f>
        <v>179333.338</v>
      </c>
      <c r="AP575" s="15" t="n">
        <f aca="false">IF(AN575&gt;0,AO575/AN575,0)</f>
        <v>0.284411741747083</v>
      </c>
      <c r="AQ575" s="16" t="n">
        <f aca="false">INDEX(Parametros!$I$2:$I$9,MATCH($E575,Parametros!$A$2:$A$9,0))</f>
        <v>28000000</v>
      </c>
      <c r="AR575" s="19" t="n">
        <f aca="false">IF(AQ575&gt;0,AO575/AQ575,0)</f>
        <v>0.00640476207142857</v>
      </c>
    </row>
    <row r="576" customFormat="false" ht="15" hidden="false" customHeight="false" outlineLevel="0" collapsed="false">
      <c r="A576" s="5" t="s">
        <v>711</v>
      </c>
      <c r="B576" s="9" t="n">
        <v>46048</v>
      </c>
      <c r="C576" s="2" t="str">
        <f aca="false">TEXT(B576,"yyyy")</f>
        <v>2026</v>
      </c>
      <c r="D576" s="2" t="n">
        <f aca="false">WEEKNUM(B576,2)</f>
        <v>5</v>
      </c>
      <c r="E576" s="5" t="s">
        <v>142</v>
      </c>
      <c r="F576" s="6" t="str">
        <f aca="false">INDEX(Parametros!$B$2:$B$9,MATCH($E576,Parametros!$A$2:$A$9,0))</f>
        <v>Porciones single serve</v>
      </c>
      <c r="G576" s="10" t="n">
        <v>120.5</v>
      </c>
      <c r="H576" s="10" t="n">
        <v>7.2</v>
      </c>
      <c r="I576" s="11" t="n">
        <f aca="false">SUMIFS(Eventos_Paro!$J$2:$J$2186,Eventos_Paro!$D$2:$D$2186,$E576,Eventos_Paro!$B$2:$B$2186,$B576)</f>
        <v>0.766666666666667</v>
      </c>
      <c r="J576" s="12" t="n">
        <f aca="false">G576-H576-I576</f>
        <v>112.533333333333</v>
      </c>
      <c r="K576" s="13" t="n">
        <v>226650</v>
      </c>
      <c r="L576" s="13" t="n">
        <v>254128</v>
      </c>
      <c r="M576" s="13" t="n">
        <v>14211</v>
      </c>
      <c r="N576" s="14" t="n">
        <f aca="false">L576+M576</f>
        <v>268339</v>
      </c>
      <c r="O576" s="11" t="n">
        <f aca="false">INDEX(Parametros!$D$2:$D$9,MATCH($E576,Parametros!$A$2:$A$9,0))</f>
        <v>2600</v>
      </c>
      <c r="P576" s="15" t="n">
        <f aca="false">IF((G576-H576)&gt;0,J576/(G576-H576),0)</f>
        <v>0.993233303912916</v>
      </c>
      <c r="Q576" s="15" t="n">
        <f aca="false">IF(J576*O576&gt;0,N576/(O576*J576),0)</f>
        <v>0.917126549398469</v>
      </c>
      <c r="R576" s="15" t="n">
        <f aca="false">IF(N576&gt;0,L576/N576,0)</f>
        <v>0.947040869944361</v>
      </c>
      <c r="S576" s="15" t="n">
        <f aca="false">P576*Q576*R576</f>
        <v>0.862679068504311</v>
      </c>
      <c r="T576" s="15" t="n">
        <f aca="false">IF(K576&gt;0,L576/K576,0)</f>
        <v>1.12123538495478</v>
      </c>
      <c r="U576" s="10" t="n">
        <v>2154.1</v>
      </c>
      <c r="V576" s="5" t="n">
        <v>16</v>
      </c>
      <c r="W576" s="10" t="n">
        <v>226.1</v>
      </c>
      <c r="X576" s="15" t="n">
        <f aca="false">IF(U576&gt;0,W576/U576,0)</f>
        <v>0.104962629404392</v>
      </c>
      <c r="Y576" s="12" t="n">
        <f aca="false">IF(U576&gt;0,L576/U576,0)</f>
        <v>117.974095910125</v>
      </c>
      <c r="Z576" s="16" t="n">
        <f aca="false">L576*INDEX(Parametros!$E$2:$E$9,MATCH($E576,Parametros!$A$2:$A$9,0))</f>
        <v>188054.72</v>
      </c>
      <c r="AA576" s="16" t="n">
        <f aca="false">Z576*INDEX(Parametros!$F$2:$F$9,MATCH($E576,Parametros!$A$2:$A$9,0))</f>
        <v>8462.4624</v>
      </c>
      <c r="AB576" s="17" t="n">
        <f aca="false">Z576+AA576</f>
        <v>196517.1824</v>
      </c>
      <c r="AC576" s="18" t="n">
        <v>193225.72</v>
      </c>
      <c r="AD576" s="17" t="n">
        <f aca="false">AC576-AB576</f>
        <v>-3291.46239999999</v>
      </c>
      <c r="AE576" s="17" t="n">
        <f aca="false">AA576+AD576</f>
        <v>5171.00000000001</v>
      </c>
      <c r="AF576" s="19" t="n">
        <f aca="false">IF(Z576&gt;0,AE576/Z576,0)</f>
        <v>0.027497315674927</v>
      </c>
      <c r="AG576" s="16" t="n">
        <f aca="false">(U576-W576)*INDEX(Parametros!$H$2:$H$9,MATCH($E576,Parametros!$A$2:$A$9,0))+W576*INDEX(Parametros!$H$2:$H$9,MATCH($E576,Parametros!$A$2:$A$9,0))*Parametros!$N$3</f>
        <v>68014.5</v>
      </c>
      <c r="AH576" s="13" t="n">
        <v>13426</v>
      </c>
      <c r="AI576" s="16" t="n">
        <f aca="false">AH576*Parametros!$N$2</f>
        <v>1235.192</v>
      </c>
      <c r="AJ576" s="18" t="n">
        <v>11727</v>
      </c>
      <c r="AK576" s="18" t="n">
        <v>530</v>
      </c>
      <c r="AL576" s="17" t="n">
        <f aca="false">AG576+AI576+AJ576+AK576</f>
        <v>81506.692</v>
      </c>
      <c r="AM576" s="20" t="n">
        <f aca="false">IF(L576&gt;0,AL576/L576,0)</f>
        <v>0.320730860039035</v>
      </c>
      <c r="AN576" s="16" t="n">
        <f aca="false">L576*INDEX(Parametros!$G$2:$G$9,MATCH($E576,Parametros!$A$2:$A$9,0))</f>
        <v>437100.16</v>
      </c>
      <c r="AO576" s="17" t="n">
        <f aca="false">AN576-AC576-AL576</f>
        <v>162367.748</v>
      </c>
      <c r="AP576" s="15" t="n">
        <f aca="false">IF(AN576&gt;0,AO576/AN576,0)</f>
        <v>0.371465771140418</v>
      </c>
      <c r="AQ576" s="16" t="n">
        <f aca="false">INDEX(Parametros!$I$2:$I$9,MATCH($E576,Parametros!$A$2:$A$9,0))</f>
        <v>15900000</v>
      </c>
      <c r="AR576" s="19" t="n">
        <f aca="false">IF(AQ576&gt;0,AO576/AQ576,0)</f>
        <v>0.0102118080503145</v>
      </c>
    </row>
    <row r="577" customFormat="false" ht="15" hidden="false" customHeight="false" outlineLevel="0" collapsed="false">
      <c r="A577" s="5" t="s">
        <v>712</v>
      </c>
      <c r="B577" s="9" t="n">
        <v>46048</v>
      </c>
      <c r="C577" s="2" t="str">
        <f aca="false">TEXT(B577,"yyyy")</f>
        <v>2026</v>
      </c>
      <c r="D577" s="2" t="n">
        <f aca="false">WEEKNUM(B577,2)</f>
        <v>5</v>
      </c>
      <c r="E577" s="5" t="s">
        <v>144</v>
      </c>
      <c r="F577" s="6" t="str">
        <f aca="false">INDEX(Parametros!$B$2:$B$9,MATCH($E577,Parametros!$A$2:$A$9,0))</f>
        <v>Salsas picantes</v>
      </c>
      <c r="G577" s="10" t="n">
        <v>96.3</v>
      </c>
      <c r="H577" s="10" t="n">
        <v>8.2</v>
      </c>
      <c r="I577" s="11" t="n">
        <f aca="false">SUMIFS(Eventos_Paro!$J$2:$J$2186,Eventos_Paro!$D$2:$D$2186,$E577,Eventos_Paro!$B$2:$B$2186,$B577)</f>
        <v>9.1</v>
      </c>
      <c r="J577" s="12" t="n">
        <f aca="false">G577-H577-I577</f>
        <v>79</v>
      </c>
      <c r="K577" s="13" t="n">
        <v>230847</v>
      </c>
      <c r="L577" s="13" t="n">
        <v>208545</v>
      </c>
      <c r="M577" s="13" t="n">
        <v>5421</v>
      </c>
      <c r="N577" s="14" t="n">
        <f aca="false">L577+M577</f>
        <v>213966</v>
      </c>
      <c r="O577" s="11" t="n">
        <f aca="false">INDEX(Parametros!$D$2:$D$9,MATCH($E577,Parametros!$A$2:$A$9,0))</f>
        <v>3100</v>
      </c>
      <c r="P577" s="15" t="n">
        <f aca="false">IF((G577-H577)&gt;0,J577/(G577-H577),0)</f>
        <v>0.896708286038593</v>
      </c>
      <c r="Q577" s="15" t="n">
        <f aca="false">IF(J577*O577&gt;0,N577/(O577*J577),0)</f>
        <v>0.873687219273173</v>
      </c>
      <c r="R577" s="15" t="n">
        <f aca="false">IF(N577&gt;0,L577/N577,0)</f>
        <v>0.974664198984885</v>
      </c>
      <c r="S577" s="15" t="n">
        <f aca="false">P577*Q577*R577</f>
        <v>0.763593423895134</v>
      </c>
      <c r="T577" s="15" t="n">
        <f aca="false">IF(K577&gt;0,L577/K577,0)</f>
        <v>0.903390557382162</v>
      </c>
      <c r="U577" s="10" t="n">
        <v>978.4</v>
      </c>
      <c r="V577" s="5" t="n">
        <v>10</v>
      </c>
      <c r="W577" s="10" t="n">
        <v>15.4</v>
      </c>
      <c r="X577" s="15" t="n">
        <f aca="false">IF(U577&gt;0,W577/U577,0)</f>
        <v>0.0157399836467702</v>
      </c>
      <c r="Y577" s="12" t="n">
        <f aca="false">IF(U577&gt;0,L577/U577,0)</f>
        <v>213.149018806214</v>
      </c>
      <c r="Z577" s="16" t="n">
        <f aca="false">L577*INDEX(Parametros!$E$2:$E$9,MATCH($E577,Parametros!$A$2:$A$9,0))</f>
        <v>137639.7</v>
      </c>
      <c r="AA577" s="16" t="n">
        <f aca="false">Z577*INDEX(Parametros!$F$2:$F$9,MATCH($E577,Parametros!$A$2:$A$9,0))</f>
        <v>3578.6322</v>
      </c>
      <c r="AB577" s="17" t="n">
        <f aca="false">Z577+AA577</f>
        <v>141218.3322</v>
      </c>
      <c r="AC577" s="18" t="n">
        <v>142153.91</v>
      </c>
      <c r="AD577" s="17" t="n">
        <f aca="false">AC577-AB577</f>
        <v>935.577799999999</v>
      </c>
      <c r="AE577" s="17" t="n">
        <f aca="false">AA577+AD577</f>
        <v>4514.21</v>
      </c>
      <c r="AF577" s="19" t="n">
        <f aca="false">IF(Z577&gt;0,AE577/Z577,0)</f>
        <v>0.0327972961289512</v>
      </c>
      <c r="AG577" s="16" t="n">
        <f aca="false">(U577-W577)*INDEX(Parametros!$H$2:$H$9,MATCH($E577,Parametros!$A$2:$A$9,0))+W577*INDEX(Parametros!$H$2:$H$9,MATCH($E577,Parametros!$A$2:$A$9,0))*Parametros!$N$3</f>
        <v>31062.15</v>
      </c>
      <c r="AH577" s="13" t="n">
        <v>11634</v>
      </c>
      <c r="AI577" s="16" t="n">
        <f aca="false">AH577*Parametros!$N$2</f>
        <v>1070.328</v>
      </c>
      <c r="AJ577" s="18" t="n">
        <v>6308</v>
      </c>
      <c r="AK577" s="18" t="n">
        <v>4884</v>
      </c>
      <c r="AL577" s="17" t="n">
        <f aca="false">AG577+AI577+AJ577+AK577</f>
        <v>43324.478</v>
      </c>
      <c r="AM577" s="20" t="n">
        <f aca="false">IF(L577&gt;0,AL577/L577,0)</f>
        <v>0.207746424033182</v>
      </c>
      <c r="AN577" s="16" t="n">
        <f aca="false">L577*INDEX(Parametros!$G$2:$G$9,MATCH($E577,Parametros!$A$2:$A$9,0))</f>
        <v>260681.25</v>
      </c>
      <c r="AO577" s="17" t="n">
        <f aca="false">AN577-AC577-AL577</f>
        <v>75202.862</v>
      </c>
      <c r="AP577" s="15" t="n">
        <f aca="false">IF(AN577&gt;0,AO577/AN577,0)</f>
        <v>0.288485888417368</v>
      </c>
      <c r="AQ577" s="16" t="n">
        <f aca="false">INDEX(Parametros!$I$2:$I$9,MATCH($E577,Parametros!$A$2:$A$9,0))</f>
        <v>13300000</v>
      </c>
      <c r="AR577" s="19" t="n">
        <f aca="false">IF(AQ577&gt;0,AO577/AQ577,0)</f>
        <v>0.00565435052631579</v>
      </c>
    </row>
    <row r="578" customFormat="false" ht="15" hidden="false" customHeight="false" outlineLevel="0" collapsed="false">
      <c r="A578" s="5" t="s">
        <v>713</v>
      </c>
      <c r="B578" s="9" t="n">
        <v>46055</v>
      </c>
      <c r="C578" s="2" t="str">
        <f aca="false">TEXT(B578,"yyyy")</f>
        <v>2026</v>
      </c>
      <c r="D578" s="2" t="n">
        <f aca="false">WEEKNUM(B578,2)</f>
        <v>6</v>
      </c>
      <c r="E578" s="5" t="s">
        <v>130</v>
      </c>
      <c r="F578" s="6" t="str">
        <f aca="false">INDEX(Parametros!$B$2:$B$9,MATCH($E578,Parametros!$A$2:$A$9,0))</f>
        <v>Ketchup botella</v>
      </c>
      <c r="G578" s="10" t="n">
        <v>112.8</v>
      </c>
      <c r="H578" s="10" t="n">
        <v>6.1</v>
      </c>
      <c r="I578" s="11" t="n">
        <f aca="false">SUMIFS(Eventos_Paro!$J$2:$J$2186,Eventos_Paro!$D$2:$D$2186,$E578,Eventos_Paro!$B$2:$B$2186,$B578)</f>
        <v>4.15</v>
      </c>
      <c r="J578" s="12" t="n">
        <f aca="false">G578-H578-I578</f>
        <v>102.55</v>
      </c>
      <c r="K578" s="13" t="n">
        <v>740149</v>
      </c>
      <c r="L578" s="13" t="n">
        <v>805583</v>
      </c>
      <c r="M578" s="13" t="n">
        <v>24108</v>
      </c>
      <c r="N578" s="14" t="n">
        <f aca="false">L578+M578</f>
        <v>829691</v>
      </c>
      <c r="O578" s="11" t="n">
        <f aca="false">INDEX(Parametros!$D$2:$D$9,MATCH($E578,Parametros!$A$2:$A$9,0))</f>
        <v>9000</v>
      </c>
      <c r="P578" s="15" t="n">
        <f aca="false">IF((G578-H578)&gt;0,J578/(G578-H578),0)</f>
        <v>0.961105904404873</v>
      </c>
      <c r="Q578" s="15" t="n">
        <f aca="false">IF(J578*O578&gt;0,N578/(O578*J578),0)</f>
        <v>0.898955523051086</v>
      </c>
      <c r="R578" s="15" t="n">
        <f aca="false">IF(N578&gt;0,L578/N578,0)</f>
        <v>0.970943399410142</v>
      </c>
      <c r="S578" s="15" t="n">
        <f aca="false">P578*Q578*R578</f>
        <v>0.838886806206394</v>
      </c>
      <c r="T578" s="15" t="n">
        <f aca="false">IF(K578&gt;0,L578/K578,0)</f>
        <v>1.08840652355134</v>
      </c>
      <c r="U578" s="10" t="n">
        <v>1718.2</v>
      </c>
      <c r="V578" s="5" t="n">
        <v>14</v>
      </c>
      <c r="W578" s="10" t="n">
        <v>139</v>
      </c>
      <c r="X578" s="15" t="n">
        <f aca="false">IF(U578&gt;0,W578/U578,0)</f>
        <v>0.0808986148294727</v>
      </c>
      <c r="Y578" s="12" t="n">
        <f aca="false">IF(U578&gt;0,L578/U578,0)</f>
        <v>468.852869281807</v>
      </c>
      <c r="Z578" s="16" t="n">
        <f aca="false">L578*INDEX(Parametros!$E$2:$E$9,MATCH($E578,Parametros!$A$2:$A$9,0))</f>
        <v>338344.86</v>
      </c>
      <c r="AA578" s="16" t="n">
        <f aca="false">Z578*INDEX(Parametros!$F$2:$F$9,MATCH($E578,Parametros!$A$2:$A$9,0))</f>
        <v>6766.8972</v>
      </c>
      <c r="AB578" s="17" t="n">
        <f aca="false">Z578+AA578</f>
        <v>345111.7572</v>
      </c>
      <c r="AC578" s="18" t="n">
        <v>345706.71</v>
      </c>
      <c r="AD578" s="17" t="n">
        <f aca="false">AC578-AB578</f>
        <v>594.952800000028</v>
      </c>
      <c r="AE578" s="17" t="n">
        <f aca="false">AA578+AD578</f>
        <v>7361.85000000003</v>
      </c>
      <c r="AF578" s="19" t="n">
        <f aca="false">IF(Z578&gt;0,AE578/Z578,0)</f>
        <v>0.0217584212746723</v>
      </c>
      <c r="AG578" s="16" t="n">
        <f aca="false">(U578-W578)*INDEX(Parametros!$H$2:$H$9,MATCH($E578,Parametros!$A$2:$A$9,0))+W578*INDEX(Parametros!$H$2:$H$9,MATCH($E578,Parametros!$A$2:$A$9,0))*Parametros!$N$3</f>
        <v>56312.55</v>
      </c>
      <c r="AH578" s="13" t="n">
        <v>42079</v>
      </c>
      <c r="AI578" s="16" t="n">
        <f aca="false">AH578*Parametros!$N$2</f>
        <v>3871.268</v>
      </c>
      <c r="AJ578" s="18" t="n">
        <v>13558</v>
      </c>
      <c r="AK578" s="18" t="n">
        <v>4297</v>
      </c>
      <c r="AL578" s="17" t="n">
        <f aca="false">AG578+AI578+AJ578+AK578</f>
        <v>78038.818</v>
      </c>
      <c r="AM578" s="20" t="n">
        <f aca="false">IF(L578&gt;0,AL578/L578,0)</f>
        <v>0.0968724737239986</v>
      </c>
      <c r="AN578" s="16" t="n">
        <f aca="false">L578*INDEX(Parametros!$G$2:$G$9,MATCH($E578,Parametros!$A$2:$A$9,0))</f>
        <v>571963.93</v>
      </c>
      <c r="AO578" s="17" t="n">
        <f aca="false">AN578-AC578-AL578</f>
        <v>148218.402</v>
      </c>
      <c r="AP578" s="15" t="n">
        <f aca="false">IF(AN578&gt;0,AO578/AN578,0)</f>
        <v>0.259139421606534</v>
      </c>
      <c r="AQ578" s="16" t="n">
        <f aca="false">INDEX(Parametros!$I$2:$I$9,MATCH($E578,Parametros!$A$2:$A$9,0))</f>
        <v>29300000</v>
      </c>
      <c r="AR578" s="19" t="n">
        <f aca="false">IF(AQ578&gt;0,AO578/AQ578,0)</f>
        <v>0.00505864853242321</v>
      </c>
    </row>
    <row r="579" customFormat="false" ht="15" hidden="false" customHeight="false" outlineLevel="0" collapsed="false">
      <c r="A579" s="5" t="s">
        <v>714</v>
      </c>
      <c r="B579" s="9" t="n">
        <v>46055</v>
      </c>
      <c r="C579" s="2" t="str">
        <f aca="false">TEXT(B579,"yyyy")</f>
        <v>2026</v>
      </c>
      <c r="D579" s="2" t="n">
        <f aca="false">WEEKNUM(B579,2)</f>
        <v>6</v>
      </c>
      <c r="E579" s="5" t="s">
        <v>132</v>
      </c>
      <c r="F579" s="6" t="str">
        <f aca="false">INDEX(Parametros!$B$2:$B$9,MATCH($E579,Parametros!$A$2:$A$9,0))</f>
        <v>Mayonesa frasco</v>
      </c>
      <c r="G579" s="10" t="n">
        <v>114.5</v>
      </c>
      <c r="H579" s="10" t="n">
        <v>5.3</v>
      </c>
      <c r="I579" s="11" t="n">
        <f aca="false">SUMIFS(Eventos_Paro!$J$2:$J$2186,Eventos_Paro!$D$2:$D$2186,$E579,Eventos_Paro!$B$2:$B$2186,$B579)</f>
        <v>1.6</v>
      </c>
      <c r="J579" s="12" t="n">
        <f aca="false">G579-H579-I579</f>
        <v>107.6</v>
      </c>
      <c r="K579" s="13" t="n">
        <v>547077</v>
      </c>
      <c r="L579" s="13" t="n">
        <v>610123</v>
      </c>
      <c r="M579" s="13" t="n">
        <v>14705</v>
      </c>
      <c r="N579" s="14" t="n">
        <f aca="false">L579+M579</f>
        <v>624828</v>
      </c>
      <c r="O579" s="11" t="n">
        <f aca="false">INDEX(Parametros!$D$2:$D$9,MATCH($E579,Parametros!$A$2:$A$9,0))</f>
        <v>6500</v>
      </c>
      <c r="P579" s="15" t="n">
        <f aca="false">IF((G579-H579)&gt;0,J579/(G579-H579),0)</f>
        <v>0.985347985347985</v>
      </c>
      <c r="Q579" s="15" t="n">
        <f aca="false">IF(J579*O579&gt;0,N579/(O579*J579),0)</f>
        <v>0.893377180440378</v>
      </c>
      <c r="R579" s="15" t="n">
        <f aca="false">IF(N579&gt;0,L579/N579,0)</f>
        <v>0.976465523312015</v>
      </c>
      <c r="S579" s="15" t="n">
        <f aca="false">P579*Q579*R579</f>
        <v>0.859570301493378</v>
      </c>
      <c r="T579" s="15" t="n">
        <f aca="false">IF(K579&gt;0,L579/K579,0)</f>
        <v>1.11524154735074</v>
      </c>
      <c r="U579" s="10" t="n">
        <v>1494.3</v>
      </c>
      <c r="V579" s="5" t="n">
        <v>12</v>
      </c>
      <c r="W579" s="10" t="n">
        <v>120.3</v>
      </c>
      <c r="X579" s="15" t="n">
        <f aca="false">IF(U579&gt;0,W579/U579,0)</f>
        <v>0.080505922505521</v>
      </c>
      <c r="Y579" s="12" t="n">
        <f aca="false">IF(U579&gt;0,L579/U579,0)</f>
        <v>408.300207454996</v>
      </c>
      <c r="Z579" s="16" t="n">
        <f aca="false">L579*INDEX(Parametros!$E$2:$E$9,MATCH($E579,Parametros!$A$2:$A$9,0))</f>
        <v>372175.03</v>
      </c>
      <c r="AA579" s="16" t="n">
        <f aca="false">Z579*INDEX(Parametros!$F$2:$F$9,MATCH($E579,Parametros!$A$2:$A$9,0))</f>
        <v>9304.37575</v>
      </c>
      <c r="AB579" s="17" t="n">
        <f aca="false">Z579+AA579</f>
        <v>381479.40575</v>
      </c>
      <c r="AC579" s="18" t="n">
        <v>386119.86</v>
      </c>
      <c r="AD579" s="17" t="n">
        <f aca="false">AC579-AB579</f>
        <v>4640.45425000001</v>
      </c>
      <c r="AE579" s="17" t="n">
        <f aca="false">AA579+AD579</f>
        <v>13944.83</v>
      </c>
      <c r="AF579" s="19" t="n">
        <f aca="false">IF(Z579&gt;0,AE579/Z579,0)</f>
        <v>0.0374684728311838</v>
      </c>
      <c r="AG579" s="16" t="n">
        <f aca="false">(U579-W579)*INDEX(Parametros!$H$2:$H$9,MATCH($E579,Parametros!$A$2:$A$9,0))+W579*INDEX(Parametros!$H$2:$H$9,MATCH($E579,Parametros!$A$2:$A$9,0))*Parametros!$N$3</f>
        <v>48965.175</v>
      </c>
      <c r="AH579" s="13" t="n">
        <v>32030</v>
      </c>
      <c r="AI579" s="16" t="n">
        <f aca="false">AH579*Parametros!$N$2</f>
        <v>2946.76</v>
      </c>
      <c r="AJ579" s="18" t="n">
        <v>13207</v>
      </c>
      <c r="AK579" s="18" t="n">
        <v>1446</v>
      </c>
      <c r="AL579" s="17" t="n">
        <f aca="false">AG579+AI579+AJ579+AK579</f>
        <v>66564.935</v>
      </c>
      <c r="AM579" s="20" t="n">
        <f aca="false">IF(L579&gt;0,AL579/L579,0)</f>
        <v>0.109100845239403</v>
      </c>
      <c r="AN579" s="16" t="n">
        <f aca="false">L579*INDEX(Parametros!$G$2:$G$9,MATCH($E579,Parametros!$A$2:$A$9,0))</f>
        <v>585718.08</v>
      </c>
      <c r="AO579" s="17" t="n">
        <f aca="false">AN579-AC579-AL579</f>
        <v>133033.285</v>
      </c>
      <c r="AP579" s="15" t="n">
        <f aca="false">IF(AN579&gt;0,AO579/AN579,0)</f>
        <v>0.227128527430808</v>
      </c>
      <c r="AQ579" s="16" t="n">
        <f aca="false">INDEX(Parametros!$I$2:$I$9,MATCH($E579,Parametros!$A$2:$A$9,0))</f>
        <v>29700000</v>
      </c>
      <c r="AR579" s="19" t="n">
        <f aca="false">IF(AQ579&gt;0,AO579/AQ579,0)</f>
        <v>0.00447923518518519</v>
      </c>
    </row>
    <row r="580" customFormat="false" ht="15" hidden="false" customHeight="false" outlineLevel="0" collapsed="false">
      <c r="A580" s="5" t="s">
        <v>715</v>
      </c>
      <c r="B580" s="9" t="n">
        <v>46055</v>
      </c>
      <c r="C580" s="2" t="str">
        <f aca="false">TEXT(B580,"yyyy")</f>
        <v>2026</v>
      </c>
      <c r="D580" s="2" t="n">
        <f aca="false">WEEKNUM(B580,2)</f>
        <v>6</v>
      </c>
      <c r="E580" s="5" t="s">
        <v>134</v>
      </c>
      <c r="F580" s="6" t="str">
        <f aca="false">INDEX(Parametros!$B$2:$B$9,MATCH($E580,Parametros!$A$2:$A$9,0))</f>
        <v>Aderezos vertibles</v>
      </c>
      <c r="G580" s="10" t="n">
        <v>120.6</v>
      </c>
      <c r="H580" s="10" t="n">
        <v>6.2</v>
      </c>
      <c r="I580" s="11" t="n">
        <f aca="false">SUMIFS(Eventos_Paro!$J$2:$J$2186,Eventos_Paro!$D$2:$D$2186,$E580,Eventos_Paro!$B$2:$B$2186,$B580)</f>
        <v>1.5</v>
      </c>
      <c r="J580" s="12" t="n">
        <f aca="false">G580-H580-I580</f>
        <v>112.9</v>
      </c>
      <c r="K580" s="13" t="n">
        <v>458503</v>
      </c>
      <c r="L580" s="13" t="n">
        <v>504950</v>
      </c>
      <c r="M580" s="13" t="n">
        <v>20610</v>
      </c>
      <c r="N580" s="14" t="n">
        <f aca="false">L580+M580</f>
        <v>525560</v>
      </c>
      <c r="O580" s="11" t="n">
        <f aca="false">INDEX(Parametros!$D$2:$D$9,MATCH($E580,Parametros!$A$2:$A$9,0))</f>
        <v>5200</v>
      </c>
      <c r="P580" s="15" t="n">
        <f aca="false">IF((G580-H580)&gt;0,J580/(G580-H580),0)</f>
        <v>0.986888111888112</v>
      </c>
      <c r="Q580" s="15" t="n">
        <f aca="false">IF(J580*O580&gt;0,N580/(O580*J580),0)</f>
        <v>0.895210192818696</v>
      </c>
      <c r="R580" s="15" t="n">
        <f aca="false">IF(N580&gt;0,L580/N580,0)</f>
        <v>0.96078468681026</v>
      </c>
      <c r="S580" s="15" t="n">
        <f aca="false">P580*Q580*R580</f>
        <v>0.848826654115116</v>
      </c>
      <c r="T580" s="15" t="n">
        <f aca="false">IF(K580&gt;0,L580/K580,0)</f>
        <v>1.10130140915109</v>
      </c>
      <c r="U580" s="10" t="n">
        <v>1371.2</v>
      </c>
      <c r="V580" s="5" t="n">
        <v>11</v>
      </c>
      <c r="W580" s="10" t="n">
        <v>44.6</v>
      </c>
      <c r="X580" s="15" t="n">
        <f aca="false">IF(U580&gt;0,W580/U580,0)</f>
        <v>0.0325262543757293</v>
      </c>
      <c r="Y580" s="12" t="n">
        <f aca="false">IF(U580&gt;0,L580/U580,0)</f>
        <v>368.254084014002</v>
      </c>
      <c r="Z580" s="16" t="n">
        <f aca="false">L580*INDEX(Parametros!$E$2:$E$9,MATCH($E580,Parametros!$A$2:$A$9,0))</f>
        <v>277722.5</v>
      </c>
      <c r="AA580" s="16" t="n">
        <f aca="false">Z580*INDEX(Parametros!$F$2:$F$9,MATCH($E580,Parametros!$A$2:$A$9,0))</f>
        <v>8331.675</v>
      </c>
      <c r="AB580" s="17" t="n">
        <f aca="false">Z580+AA580</f>
        <v>286054.175</v>
      </c>
      <c r="AC580" s="18" t="n">
        <v>290289.59</v>
      </c>
      <c r="AD580" s="17" t="n">
        <f aca="false">AC580-AB580</f>
        <v>4235.41500000004</v>
      </c>
      <c r="AE580" s="17" t="n">
        <f aca="false">AA580+AD580</f>
        <v>12567.09</v>
      </c>
      <c r="AF580" s="19" t="n">
        <f aca="false">IF(Z580&gt;0,AE580/Z580,0)</f>
        <v>0.0452505288552423</v>
      </c>
      <c r="AG580" s="16" t="n">
        <f aca="false">(U580-W580)*INDEX(Parametros!$H$2:$H$9,MATCH($E580,Parametros!$A$2:$A$9,0))+W580*INDEX(Parametros!$H$2:$H$9,MATCH($E580,Parametros!$A$2:$A$9,0))*Parametros!$N$3</f>
        <v>43895.25</v>
      </c>
      <c r="AH580" s="13" t="n">
        <v>25417</v>
      </c>
      <c r="AI580" s="16" t="n">
        <f aca="false">AH580*Parametros!$N$2</f>
        <v>2338.364</v>
      </c>
      <c r="AJ580" s="18" t="n">
        <v>9888</v>
      </c>
      <c r="AK580" s="18" t="n">
        <v>1634</v>
      </c>
      <c r="AL580" s="17" t="n">
        <f aca="false">AG580+AI580+AJ580+AK580</f>
        <v>57755.614</v>
      </c>
      <c r="AM580" s="20" t="n">
        <f aca="false">IF(L580&gt;0,AL580/L580,0)</f>
        <v>0.114378877116546</v>
      </c>
      <c r="AN580" s="16" t="n">
        <f aca="false">L580*INDEX(Parametros!$G$2:$G$9,MATCH($E580,Parametros!$A$2:$A$9,0))</f>
        <v>515049</v>
      </c>
      <c r="AO580" s="17" t="n">
        <f aca="false">AN580-AC580-AL580</f>
        <v>167003.796</v>
      </c>
      <c r="AP580" s="15" t="n">
        <f aca="false">IF(AN580&gt;0,AO580/AN580,0)</f>
        <v>0.324248364718697</v>
      </c>
      <c r="AQ580" s="16" t="n">
        <f aca="false">INDEX(Parametros!$I$2:$I$9,MATCH($E580,Parametros!$A$2:$A$9,0))</f>
        <v>19300000</v>
      </c>
      <c r="AR580" s="19" t="n">
        <f aca="false">IF(AQ580&gt;0,AO580/AQ580,0)</f>
        <v>0.00865304642487047</v>
      </c>
    </row>
    <row r="581" customFormat="false" ht="15" hidden="false" customHeight="false" outlineLevel="0" collapsed="false">
      <c r="A581" s="5" t="s">
        <v>716</v>
      </c>
      <c r="B581" s="9" t="n">
        <v>46055</v>
      </c>
      <c r="C581" s="2" t="str">
        <f aca="false">TEXT(B581,"yyyy")</f>
        <v>2026</v>
      </c>
      <c r="D581" s="2" t="n">
        <f aca="false">WEEKNUM(B581,2)</f>
        <v>6</v>
      </c>
      <c r="E581" s="5" t="s">
        <v>136</v>
      </c>
      <c r="F581" s="6" t="str">
        <f aca="false">INDEX(Parametros!$B$2:$B$9,MATCH($E581,Parametros!$A$2:$A$9,0))</f>
        <v>Salsa BBQ</v>
      </c>
      <c r="G581" s="10" t="n">
        <v>79</v>
      </c>
      <c r="H581" s="10" t="n">
        <v>7.9</v>
      </c>
      <c r="I581" s="11" t="n">
        <f aca="false">SUMIFS(Eventos_Paro!$J$2:$J$2186,Eventos_Paro!$D$2:$D$2186,$E581,Eventos_Paro!$B$2:$B$2186,$B581)</f>
        <v>3.2</v>
      </c>
      <c r="J581" s="12" t="n">
        <f aca="false">G581-H581-I581</f>
        <v>67.9</v>
      </c>
      <c r="K581" s="13" t="n">
        <v>228100</v>
      </c>
      <c r="L581" s="13" t="n">
        <v>269917</v>
      </c>
      <c r="M581" s="13" t="n">
        <v>6598</v>
      </c>
      <c r="N581" s="14" t="n">
        <f aca="false">L581+M581</f>
        <v>276515</v>
      </c>
      <c r="O581" s="11" t="n">
        <f aca="false">INDEX(Parametros!$D$2:$D$9,MATCH($E581,Parametros!$A$2:$A$9,0))</f>
        <v>4800</v>
      </c>
      <c r="P581" s="15" t="n">
        <f aca="false">IF((G581-H581)&gt;0,J581/(G581-H581),0)</f>
        <v>0.954992967651196</v>
      </c>
      <c r="Q581" s="15" t="n">
        <f aca="false">IF(J581*O581&gt;0,N581/(O581*J581),0)</f>
        <v>0.848413721158567</v>
      </c>
      <c r="R581" s="15" t="n">
        <f aca="false">IF(N581&gt;0,L581/N581,0)</f>
        <v>0.976138726651357</v>
      </c>
      <c r="S581" s="15" t="n">
        <f aca="false">P581*Q581*R581</f>
        <v>0.790896038443507</v>
      </c>
      <c r="T581" s="15" t="n">
        <f aca="false">IF(K581&gt;0,L581/K581,0)</f>
        <v>1.18332748794388</v>
      </c>
      <c r="U581" s="10" t="n">
        <v>940.5</v>
      </c>
      <c r="V581" s="5" t="n">
        <v>11</v>
      </c>
      <c r="W581" s="10" t="n">
        <v>71.5</v>
      </c>
      <c r="X581" s="15" t="n">
        <f aca="false">IF(U581&gt;0,W581/U581,0)</f>
        <v>0.0760233918128655</v>
      </c>
      <c r="Y581" s="12" t="n">
        <f aca="false">IF(U581&gt;0,L581/U581,0)</f>
        <v>286.993088782563</v>
      </c>
      <c r="Z581" s="16" t="n">
        <f aca="false">L581*INDEX(Parametros!$E$2:$E$9,MATCH($E581,Parametros!$A$2:$A$9,0))</f>
        <v>156551.86</v>
      </c>
      <c r="AA581" s="16" t="n">
        <f aca="false">Z581*INDEX(Parametros!$F$2:$F$9,MATCH($E581,Parametros!$A$2:$A$9,0))</f>
        <v>4383.45208</v>
      </c>
      <c r="AB581" s="17" t="n">
        <f aca="false">Z581+AA581</f>
        <v>160935.31208</v>
      </c>
      <c r="AC581" s="18" t="n">
        <v>162278.92</v>
      </c>
      <c r="AD581" s="17" t="n">
        <f aca="false">AC581-AB581</f>
        <v>1343.60792000004</v>
      </c>
      <c r="AE581" s="17" t="n">
        <f aca="false">AA581+AD581</f>
        <v>5727.06000000004</v>
      </c>
      <c r="AF581" s="19" t="n">
        <f aca="false">IF(Z581&gt;0,AE581/Z581,0)</f>
        <v>0.0365825101024034</v>
      </c>
      <c r="AG581" s="16" t="n">
        <f aca="false">(U581-W581)*INDEX(Parametros!$H$2:$H$9,MATCH($E581,Parametros!$A$2:$A$9,0))+W581*INDEX(Parametros!$H$2:$H$9,MATCH($E581,Parametros!$A$2:$A$9,0))*Parametros!$N$3</f>
        <v>30751.875</v>
      </c>
      <c r="AH581" s="13" t="n">
        <v>14230</v>
      </c>
      <c r="AI581" s="16" t="n">
        <f aca="false">AH581*Parametros!$N$2</f>
        <v>1309.16</v>
      </c>
      <c r="AJ581" s="18" t="n">
        <v>9143</v>
      </c>
      <c r="AK581" s="18" t="n">
        <v>1624</v>
      </c>
      <c r="AL581" s="17" t="n">
        <f aca="false">AG581+AI581+AJ581+AK581</f>
        <v>42828.035</v>
      </c>
      <c r="AM581" s="20" t="n">
        <f aca="false">IF(L581&gt;0,AL581/L581,0)</f>
        <v>0.158671128532104</v>
      </c>
      <c r="AN581" s="16" t="n">
        <f aca="false">L581*INDEX(Parametros!$G$2:$G$9,MATCH($E581,Parametros!$A$2:$A$9,0))</f>
        <v>264518.66</v>
      </c>
      <c r="AO581" s="17" t="n">
        <f aca="false">AN581-AC581-AL581</f>
        <v>59411.705</v>
      </c>
      <c r="AP581" s="15" t="n">
        <f aca="false">IF(AN581&gt;0,AO581/AN581,0)</f>
        <v>0.224603077151532</v>
      </c>
      <c r="AQ581" s="16" t="n">
        <f aca="false">INDEX(Parametros!$I$2:$I$9,MATCH($E581,Parametros!$A$2:$A$9,0))</f>
        <v>17000000</v>
      </c>
      <c r="AR581" s="19" t="n">
        <f aca="false">IF(AQ581&gt;0,AO581/AQ581,0)</f>
        <v>0.00349480617647059</v>
      </c>
    </row>
    <row r="582" customFormat="false" ht="15" hidden="false" customHeight="false" outlineLevel="0" collapsed="false">
      <c r="A582" s="5" t="s">
        <v>717</v>
      </c>
      <c r="B582" s="9" t="n">
        <v>46055</v>
      </c>
      <c r="C582" s="2" t="str">
        <f aca="false">TEXT(B582,"yyyy")</f>
        <v>2026</v>
      </c>
      <c r="D582" s="2" t="n">
        <f aca="false">WEEKNUM(B582,2)</f>
        <v>6</v>
      </c>
      <c r="E582" s="5" t="s">
        <v>138</v>
      </c>
      <c r="F582" s="6" t="str">
        <f aca="false">INDEX(Parametros!$B$2:$B$9,MATCH($E582,Parametros!$A$2:$A$9,0))</f>
        <v>Queso crema</v>
      </c>
      <c r="G582" s="10" t="n">
        <v>104.6</v>
      </c>
      <c r="H582" s="10" t="n">
        <v>8.7</v>
      </c>
      <c r="I582" s="11" t="n">
        <f aca="false">SUMIFS(Eventos_Paro!$J$2:$J$2186,Eventos_Paro!$D$2:$D$2186,$E582,Eventos_Paro!$B$2:$B$2186,$B582)</f>
        <v>2.43333333333333</v>
      </c>
      <c r="J582" s="12" t="n">
        <f aca="false">G582-H582-I582</f>
        <v>93.4666666666667</v>
      </c>
      <c r="K582" s="13" t="n">
        <v>280876</v>
      </c>
      <c r="L582" s="13" t="n">
        <v>261234</v>
      </c>
      <c r="M582" s="13" t="n">
        <v>10320</v>
      </c>
      <c r="N582" s="14" t="n">
        <f aca="false">L582+M582</f>
        <v>271554</v>
      </c>
      <c r="O582" s="11" t="n">
        <f aca="false">INDEX(Parametros!$D$2:$D$9,MATCH($E582,Parametros!$A$2:$A$9,0))</f>
        <v>3800</v>
      </c>
      <c r="P582" s="15" t="n">
        <f aca="false">IF((G582-H582)&gt;0,J582/(G582-H582),0)</f>
        <v>0.974626346889121</v>
      </c>
      <c r="Q582" s="15" t="n">
        <f aca="false">IF(J582*O582&gt;0,N582/(O582*J582),0)</f>
        <v>0.764567535100233</v>
      </c>
      <c r="R582" s="15" t="n">
        <f aca="false">IF(N582&gt;0,L582/N582,0)</f>
        <v>0.961996508981639</v>
      </c>
      <c r="S582" s="15" t="n">
        <f aca="false">P582*Q582*R582</f>
        <v>0.716848691070742</v>
      </c>
      <c r="T582" s="15" t="n">
        <f aca="false">IF(K582&gt;0,L582/K582,0)</f>
        <v>0.930068784801834</v>
      </c>
      <c r="U582" s="10" t="n">
        <v>1653.4</v>
      </c>
      <c r="V582" s="5" t="n">
        <v>15</v>
      </c>
      <c r="W582" s="10" t="n">
        <v>84.4</v>
      </c>
      <c r="X582" s="15" t="n">
        <f aca="false">IF(U582&gt;0,W582/U582,0)</f>
        <v>0.0510463287770654</v>
      </c>
      <c r="Y582" s="12" t="n">
        <f aca="false">IF(U582&gt;0,L582/U582,0)</f>
        <v>157.99806459417</v>
      </c>
      <c r="Z582" s="16" t="n">
        <f aca="false">L582*INDEX(Parametros!$E$2:$E$9,MATCH($E582,Parametros!$A$2:$A$9,0))</f>
        <v>292582.08</v>
      </c>
      <c r="AA582" s="16" t="n">
        <f aca="false">Z582*INDEX(Parametros!$F$2:$F$9,MATCH($E582,Parametros!$A$2:$A$9,0))</f>
        <v>10240.3728</v>
      </c>
      <c r="AB582" s="17" t="n">
        <f aca="false">Z582+AA582</f>
        <v>302822.4528</v>
      </c>
      <c r="AC582" s="18" t="n">
        <v>299531.35</v>
      </c>
      <c r="AD582" s="17" t="n">
        <f aca="false">AC582-AB582</f>
        <v>-3291.10280000005</v>
      </c>
      <c r="AE582" s="17" t="n">
        <f aca="false">AA582+AD582</f>
        <v>6949.26999999995</v>
      </c>
      <c r="AF582" s="19" t="n">
        <f aca="false">IF(Z582&gt;0,AE582/Z582,0)</f>
        <v>0.0237515229914284</v>
      </c>
      <c r="AG582" s="16" t="n">
        <f aca="false">(U582-W582)*INDEX(Parametros!$H$2:$H$9,MATCH($E582,Parametros!$A$2:$A$9,0))+W582*INDEX(Parametros!$H$2:$H$9,MATCH($E582,Parametros!$A$2:$A$9,0))*Parametros!$N$3</f>
        <v>55954.8</v>
      </c>
      <c r="AH582" s="13" t="n">
        <v>14766</v>
      </c>
      <c r="AI582" s="16" t="n">
        <f aca="false">AH582*Parametros!$N$2</f>
        <v>1358.472</v>
      </c>
      <c r="AJ582" s="18" t="n">
        <v>17019</v>
      </c>
      <c r="AK582" s="18" t="n">
        <v>1811</v>
      </c>
      <c r="AL582" s="17" t="n">
        <f aca="false">AG582+AI582+AJ582+AK582</f>
        <v>76143.272</v>
      </c>
      <c r="AM582" s="20" t="n">
        <f aca="false">IF(L582&gt;0,AL582/L582,0)</f>
        <v>0.291475351600481</v>
      </c>
      <c r="AN582" s="16" t="n">
        <f aca="false">L582*INDEX(Parametros!$G$2:$G$9,MATCH($E582,Parametros!$A$2:$A$9,0))</f>
        <v>467608.86</v>
      </c>
      <c r="AO582" s="17" t="n">
        <f aca="false">AN582-AC582-AL582</f>
        <v>91934.238</v>
      </c>
      <c r="AP582" s="15" t="n">
        <f aca="false">IF(AN582&gt;0,AO582/AN582,0)</f>
        <v>0.196604995893363</v>
      </c>
      <c r="AQ582" s="16" t="n">
        <f aca="false">INDEX(Parametros!$I$2:$I$9,MATCH($E582,Parametros!$A$2:$A$9,0))</f>
        <v>33200000</v>
      </c>
      <c r="AR582" s="19" t="n">
        <f aca="false">IF(AQ582&gt;0,AO582/AQ582,0)</f>
        <v>0.00276910355421687</v>
      </c>
    </row>
    <row r="583" customFormat="false" ht="15" hidden="false" customHeight="false" outlineLevel="0" collapsed="false">
      <c r="A583" s="5" t="s">
        <v>718</v>
      </c>
      <c r="B583" s="9" t="n">
        <v>46055</v>
      </c>
      <c r="C583" s="2" t="str">
        <f aca="false">TEXT(B583,"yyyy")</f>
        <v>2026</v>
      </c>
      <c r="D583" s="2" t="n">
        <f aca="false">WEEKNUM(B583,2)</f>
        <v>6</v>
      </c>
      <c r="E583" s="5" t="s">
        <v>140</v>
      </c>
      <c r="F583" s="6" t="str">
        <f aca="false">INDEX(Parametros!$B$2:$B$9,MATCH($E583,Parametros!$A$2:$A$9,0))</f>
        <v>Crema de cacahuate</v>
      </c>
      <c r="G583" s="10" t="n">
        <v>96.2</v>
      </c>
      <c r="H583" s="10" t="n">
        <v>7</v>
      </c>
      <c r="I583" s="11" t="n">
        <f aca="false">SUMIFS(Eventos_Paro!$J$2:$J$2186,Eventos_Paro!$D$2:$D$2186,$E583,Eventos_Paro!$B$2:$B$2186,$B583)</f>
        <v>4.66666666666667</v>
      </c>
      <c r="J583" s="12" t="n">
        <f aca="false">G583-H583-I583</f>
        <v>84.5333333333333</v>
      </c>
      <c r="K583" s="13" t="n">
        <v>288753</v>
      </c>
      <c r="L583" s="13" t="n">
        <v>292024</v>
      </c>
      <c r="M583" s="13" t="n">
        <v>6007</v>
      </c>
      <c r="N583" s="14" t="n">
        <f aca="false">L583+M583</f>
        <v>298031</v>
      </c>
      <c r="O583" s="11" t="n">
        <f aca="false">INDEX(Parametros!$D$2:$D$9,MATCH($E583,Parametros!$A$2:$A$9,0))</f>
        <v>4200</v>
      </c>
      <c r="P583" s="15" t="n">
        <f aca="false">IF((G583-H583)&gt;0,J583/(G583-H583),0)</f>
        <v>0.947683109118087</v>
      </c>
      <c r="Q583" s="15" t="n">
        <f aca="false">IF(J583*O583&gt;0,N583/(O583*J583),0)</f>
        <v>0.839429360072105</v>
      </c>
      <c r="R583" s="15" t="n">
        <f aca="false">IF(N583&gt;0,L583/N583,0)</f>
        <v>0.97984437860491</v>
      </c>
      <c r="S583" s="15" t="n">
        <f aca="false">P583*Q583*R583</f>
        <v>0.779478966474482</v>
      </c>
      <c r="T583" s="15" t="n">
        <f aca="false">IF(K583&gt;0,L583/K583,0)</f>
        <v>1.01132802083442</v>
      </c>
      <c r="U583" s="10" t="n">
        <v>1226.9</v>
      </c>
      <c r="V583" s="5" t="n">
        <v>12</v>
      </c>
      <c r="W583" s="10" t="n">
        <v>72.5</v>
      </c>
      <c r="X583" s="15" t="n">
        <f aca="false">IF(U583&gt;0,W583/U583,0)</f>
        <v>0.0590920205395713</v>
      </c>
      <c r="Y583" s="12" t="n">
        <f aca="false">IF(U583&gt;0,L583/U583,0)</f>
        <v>238.017768359279</v>
      </c>
      <c r="Z583" s="16" t="n">
        <f aca="false">L583*INDEX(Parametros!$E$2:$E$9,MATCH($E583,Parametros!$A$2:$A$9,0))</f>
        <v>283263.28</v>
      </c>
      <c r="AA583" s="16" t="n">
        <f aca="false">Z583*INDEX(Parametros!$F$2:$F$9,MATCH($E583,Parametros!$A$2:$A$9,0))</f>
        <v>6231.79216</v>
      </c>
      <c r="AB583" s="17" t="n">
        <f aca="false">Z583+AA583</f>
        <v>289495.07216</v>
      </c>
      <c r="AC583" s="18" t="n">
        <v>295517.95</v>
      </c>
      <c r="AD583" s="17" t="n">
        <f aca="false">AC583-AB583</f>
        <v>6022.87784000003</v>
      </c>
      <c r="AE583" s="17" t="n">
        <f aca="false">AA583+AD583</f>
        <v>12254.67</v>
      </c>
      <c r="AF583" s="19" t="n">
        <f aca="false">IF(Z583&gt;0,AE583/Z583,0)</f>
        <v>0.0432624729897925</v>
      </c>
      <c r="AG583" s="16" t="n">
        <f aca="false">(U583-W583)*INDEX(Parametros!$H$2:$H$9,MATCH($E583,Parametros!$A$2:$A$9,0))+W583*INDEX(Parametros!$H$2:$H$9,MATCH($E583,Parametros!$A$2:$A$9,0))*Parametros!$N$3</f>
        <v>39789.225</v>
      </c>
      <c r="AH583" s="13" t="n">
        <v>15302</v>
      </c>
      <c r="AI583" s="16" t="n">
        <f aca="false">AH583*Parametros!$N$2</f>
        <v>1407.784</v>
      </c>
      <c r="AJ583" s="18" t="n">
        <v>13870</v>
      </c>
      <c r="AK583" s="18" t="n">
        <v>3973</v>
      </c>
      <c r="AL583" s="17" t="n">
        <f aca="false">AG583+AI583+AJ583+AK583</f>
        <v>59040.009</v>
      </c>
      <c r="AM583" s="20" t="n">
        <f aca="false">IF(L583&gt;0,AL583/L583,0)</f>
        <v>0.202175194504561</v>
      </c>
      <c r="AN583" s="16" t="n">
        <f aca="false">L583*INDEX(Parametros!$G$2:$G$9,MATCH($E583,Parametros!$A$2:$A$9,0))</f>
        <v>473078.88</v>
      </c>
      <c r="AO583" s="17" t="n">
        <f aca="false">AN583-AC583-AL583</f>
        <v>118520.921</v>
      </c>
      <c r="AP583" s="15" t="n">
        <f aca="false">IF(AN583&gt;0,AO583/AN583,0)</f>
        <v>0.250530991787247</v>
      </c>
      <c r="AQ583" s="16" t="n">
        <f aca="false">INDEX(Parametros!$I$2:$I$9,MATCH($E583,Parametros!$A$2:$A$9,0))</f>
        <v>28000000</v>
      </c>
      <c r="AR583" s="19" t="n">
        <f aca="false">IF(AQ583&gt;0,AO583/AQ583,0)</f>
        <v>0.00423289003571429</v>
      </c>
    </row>
    <row r="584" customFormat="false" ht="15" hidden="false" customHeight="false" outlineLevel="0" collapsed="false">
      <c r="A584" s="5" t="s">
        <v>719</v>
      </c>
      <c r="B584" s="9" t="n">
        <v>46055</v>
      </c>
      <c r="C584" s="2" t="str">
        <f aca="false">TEXT(B584,"yyyy")</f>
        <v>2026</v>
      </c>
      <c r="D584" s="2" t="n">
        <f aca="false">WEEKNUM(B584,2)</f>
        <v>6</v>
      </c>
      <c r="E584" s="5" t="s">
        <v>142</v>
      </c>
      <c r="F584" s="6" t="str">
        <f aca="false">INDEX(Parametros!$B$2:$B$9,MATCH($E584,Parametros!$A$2:$A$9,0))</f>
        <v>Porciones single serve</v>
      </c>
      <c r="G584" s="10" t="n">
        <v>135.1</v>
      </c>
      <c r="H584" s="10" t="n">
        <v>5.7</v>
      </c>
      <c r="I584" s="11" t="n">
        <f aca="false">SUMIFS(Eventos_Paro!$J$2:$J$2186,Eventos_Paro!$D$2:$D$2186,$E584,Eventos_Paro!$B$2:$B$2186,$B584)</f>
        <v>2.36666666666667</v>
      </c>
      <c r="J584" s="12" t="n">
        <f aca="false">G584-H584-I584</f>
        <v>127.033333333333</v>
      </c>
      <c r="K584" s="13" t="n">
        <v>259310</v>
      </c>
      <c r="L584" s="13" t="n">
        <v>238933</v>
      </c>
      <c r="M584" s="13" t="n">
        <v>9421</v>
      </c>
      <c r="N584" s="14" t="n">
        <f aca="false">L584+M584</f>
        <v>248354</v>
      </c>
      <c r="O584" s="11" t="n">
        <f aca="false">INDEX(Parametros!$D$2:$D$9,MATCH($E584,Parametros!$A$2:$A$9,0))</f>
        <v>2600</v>
      </c>
      <c r="P584" s="15" t="n">
        <f aca="false">IF((G584-H584)&gt;0,J584/(G584-H584),0)</f>
        <v>0.981710458526533</v>
      </c>
      <c r="Q584" s="15" t="n">
        <f aca="false">IF(J584*O584&gt;0,N584/(O584*J584),0)</f>
        <v>0.751934683002644</v>
      </c>
      <c r="R584" s="15" t="n">
        <f aca="false">IF(N584&gt;0,L584/N584,0)</f>
        <v>0.962066244151493</v>
      </c>
      <c r="S584" s="15" t="n">
        <f aca="false">P584*Q584*R584</f>
        <v>0.710180121269766</v>
      </c>
      <c r="T584" s="15" t="n">
        <f aca="false">IF(K584&gt;0,L584/K584,0)</f>
        <v>0.921418379545718</v>
      </c>
      <c r="U584" s="10" t="n">
        <v>2205.9</v>
      </c>
      <c r="V584" s="5" t="n">
        <v>16</v>
      </c>
      <c r="W584" s="10" t="n">
        <v>44.3</v>
      </c>
      <c r="X584" s="15" t="n">
        <f aca="false">IF(U584&gt;0,W584/U584,0)</f>
        <v>0.0200825060066186</v>
      </c>
      <c r="Y584" s="12" t="n">
        <f aca="false">IF(U584&gt;0,L584/U584,0)</f>
        <v>108.315426809919</v>
      </c>
      <c r="Z584" s="16" t="n">
        <f aca="false">L584*INDEX(Parametros!$E$2:$E$9,MATCH($E584,Parametros!$A$2:$A$9,0))</f>
        <v>176810.42</v>
      </c>
      <c r="AA584" s="16" t="n">
        <f aca="false">Z584*INDEX(Parametros!$F$2:$F$9,MATCH($E584,Parametros!$A$2:$A$9,0))</f>
        <v>7956.4689</v>
      </c>
      <c r="AB584" s="17" t="n">
        <f aca="false">Z584+AA584</f>
        <v>184766.8889</v>
      </c>
      <c r="AC584" s="18" t="n">
        <v>185684.78</v>
      </c>
      <c r="AD584" s="17" t="n">
        <f aca="false">AC584-AB584</f>
        <v>917.891100000008</v>
      </c>
      <c r="AE584" s="17" t="n">
        <f aca="false">AA584+AD584</f>
        <v>8874.36000000001</v>
      </c>
      <c r="AF584" s="19" t="n">
        <f aca="false">IF(Z584&gt;0,AE584/Z584,0)</f>
        <v>0.0501913857791866</v>
      </c>
      <c r="AG584" s="16" t="n">
        <f aca="false">(U584-W584)*INDEX(Parametros!$H$2:$H$9,MATCH($E584,Parametros!$A$2:$A$9,0))+W584*INDEX(Parametros!$H$2:$H$9,MATCH($E584,Parametros!$A$2:$A$9,0))*Parametros!$N$3</f>
        <v>66841.5</v>
      </c>
      <c r="AH584" s="13" t="n">
        <v>12534</v>
      </c>
      <c r="AI584" s="16" t="n">
        <f aca="false">AH584*Parametros!$N$2</f>
        <v>1153.128</v>
      </c>
      <c r="AJ584" s="18" t="n">
        <v>10938</v>
      </c>
      <c r="AK584" s="18" t="n">
        <v>3327</v>
      </c>
      <c r="AL584" s="17" t="n">
        <f aca="false">AG584+AI584+AJ584+AK584</f>
        <v>82259.628</v>
      </c>
      <c r="AM584" s="20" t="n">
        <f aca="false">IF(L584&gt;0,AL584/L584,0)</f>
        <v>0.344279057308953</v>
      </c>
      <c r="AN584" s="16" t="n">
        <f aca="false">L584*INDEX(Parametros!$G$2:$G$9,MATCH($E584,Parametros!$A$2:$A$9,0))</f>
        <v>410964.76</v>
      </c>
      <c r="AO584" s="17" t="n">
        <f aca="false">AN584-AC584-AL584</f>
        <v>143020.352</v>
      </c>
      <c r="AP584" s="15" t="n">
        <f aca="false">IF(AN584&gt;0,AO584/AN584,0)</f>
        <v>0.348011230938633</v>
      </c>
      <c r="AQ584" s="16" t="n">
        <f aca="false">INDEX(Parametros!$I$2:$I$9,MATCH($E584,Parametros!$A$2:$A$9,0))</f>
        <v>15900000</v>
      </c>
      <c r="AR584" s="19" t="n">
        <f aca="false">IF(AQ584&gt;0,AO584/AQ584,0)</f>
        <v>0.0089949906918239</v>
      </c>
    </row>
    <row r="585" customFormat="false" ht="15" hidden="false" customHeight="false" outlineLevel="0" collapsed="false">
      <c r="A585" s="5" t="s">
        <v>720</v>
      </c>
      <c r="B585" s="9" t="n">
        <v>46055</v>
      </c>
      <c r="C585" s="2" t="str">
        <f aca="false">TEXT(B585,"yyyy")</f>
        <v>2026</v>
      </c>
      <c r="D585" s="2" t="n">
        <f aca="false">WEEKNUM(B585,2)</f>
        <v>6</v>
      </c>
      <c r="E585" s="5" t="s">
        <v>144</v>
      </c>
      <c r="F585" s="6" t="str">
        <f aca="false">INDEX(Parametros!$B$2:$B$9,MATCH($E585,Parametros!$A$2:$A$9,0))</f>
        <v>Salsas picantes</v>
      </c>
      <c r="G585" s="10" t="n">
        <v>101.3</v>
      </c>
      <c r="H585" s="10" t="n">
        <v>5.6</v>
      </c>
      <c r="I585" s="11" t="n">
        <f aca="false">SUMIFS(Eventos_Paro!$J$2:$J$2186,Eventos_Paro!$D$2:$D$2186,$E585,Eventos_Paro!$B$2:$B$2186,$B585)</f>
        <v>0</v>
      </c>
      <c r="J585" s="12" t="n">
        <f aca="false">G585-H585-I585</f>
        <v>95.7</v>
      </c>
      <c r="K585" s="13" t="n">
        <v>250093</v>
      </c>
      <c r="L585" s="13" t="n">
        <v>242297</v>
      </c>
      <c r="M585" s="13" t="n">
        <v>4281</v>
      </c>
      <c r="N585" s="14" t="n">
        <f aca="false">L585+M585</f>
        <v>246578</v>
      </c>
      <c r="O585" s="11" t="n">
        <f aca="false">INDEX(Parametros!$D$2:$D$9,MATCH($E585,Parametros!$A$2:$A$9,0))</f>
        <v>3100</v>
      </c>
      <c r="P585" s="15" t="n">
        <f aca="false">IF((G585-H585)&gt;0,J585/(G585-H585),0)</f>
        <v>1</v>
      </c>
      <c r="Q585" s="15" t="n">
        <f aca="false">IF(J585*O585&gt;0,N585/(O585*J585),0)</f>
        <v>0.831152458961135</v>
      </c>
      <c r="R585" s="15" t="n">
        <f aca="false">IF(N585&gt;0,L585/N585,0)</f>
        <v>0.982638353786631</v>
      </c>
      <c r="S585" s="15" t="n">
        <f aca="false">P585*Q585*R585</f>
        <v>0.816722284019281</v>
      </c>
      <c r="T585" s="15" t="n">
        <f aca="false">IF(K585&gt;0,L585/K585,0)</f>
        <v>0.968827596134238</v>
      </c>
      <c r="U585" s="10" t="n">
        <v>836.7</v>
      </c>
      <c r="V585" s="5" t="n">
        <v>8</v>
      </c>
      <c r="W585" s="10" t="n">
        <v>26.3</v>
      </c>
      <c r="X585" s="15" t="n">
        <f aca="false">IF(U585&gt;0,W585/U585,0)</f>
        <v>0.0314330106370264</v>
      </c>
      <c r="Y585" s="12" t="n">
        <f aca="false">IF(U585&gt;0,L585/U585,0)</f>
        <v>289.58647065854</v>
      </c>
      <c r="Z585" s="16" t="n">
        <f aca="false">L585*INDEX(Parametros!$E$2:$E$9,MATCH($E585,Parametros!$A$2:$A$9,0))</f>
        <v>159916.02</v>
      </c>
      <c r="AA585" s="16" t="n">
        <f aca="false">Z585*INDEX(Parametros!$F$2:$F$9,MATCH($E585,Parametros!$A$2:$A$9,0))</f>
        <v>4157.81652</v>
      </c>
      <c r="AB585" s="17" t="n">
        <f aca="false">Z585+AA585</f>
        <v>164073.83652</v>
      </c>
      <c r="AC585" s="18" t="n">
        <v>167659.03</v>
      </c>
      <c r="AD585" s="17" t="n">
        <f aca="false">AC585-AB585</f>
        <v>3585.19347999999</v>
      </c>
      <c r="AE585" s="17" t="n">
        <f aca="false">AA585+AD585</f>
        <v>7743.00999999999</v>
      </c>
      <c r="AF585" s="19" t="n">
        <f aca="false">IF(Z585&gt;0,AE585/Z585,0)</f>
        <v>0.0484192265415309</v>
      </c>
      <c r="AG585" s="16" t="n">
        <f aca="false">(U585-W585)*INDEX(Parametros!$H$2:$H$9,MATCH($E585,Parametros!$A$2:$A$9,0))+W585*INDEX(Parametros!$H$2:$H$9,MATCH($E585,Parametros!$A$2:$A$9,0))*Parametros!$N$3</f>
        <v>26770.275</v>
      </c>
      <c r="AH585" s="13" t="n">
        <v>12249</v>
      </c>
      <c r="AI585" s="16" t="n">
        <f aca="false">AH585*Parametros!$N$2</f>
        <v>1126.908</v>
      </c>
      <c r="AJ585" s="18" t="n">
        <v>7832</v>
      </c>
      <c r="AK585" s="18" t="n">
        <v>0</v>
      </c>
      <c r="AL585" s="17" t="n">
        <f aca="false">AG585+AI585+AJ585+AK585</f>
        <v>35729.183</v>
      </c>
      <c r="AM585" s="20" t="n">
        <f aca="false">IF(L585&gt;0,AL585/L585,0)</f>
        <v>0.147460278088462</v>
      </c>
      <c r="AN585" s="16" t="n">
        <f aca="false">L585*INDEX(Parametros!$G$2:$G$9,MATCH($E585,Parametros!$A$2:$A$9,0))</f>
        <v>302871.25</v>
      </c>
      <c r="AO585" s="17" t="n">
        <f aca="false">AN585-AC585-AL585</f>
        <v>99483.037</v>
      </c>
      <c r="AP585" s="15" t="n">
        <f aca="false">IF(AN585&gt;0,AO585/AN585,0)</f>
        <v>0.328466425915302</v>
      </c>
      <c r="AQ585" s="16" t="n">
        <f aca="false">INDEX(Parametros!$I$2:$I$9,MATCH($E585,Parametros!$A$2:$A$9,0))</f>
        <v>13300000</v>
      </c>
      <c r="AR585" s="19" t="n">
        <f aca="false">IF(AQ585&gt;0,AO585/AQ585,0)</f>
        <v>0.00747992759398496</v>
      </c>
    </row>
    <row r="586" customFormat="false" ht="15" hidden="false" customHeight="false" outlineLevel="0" collapsed="false">
      <c r="A586" s="5" t="s">
        <v>721</v>
      </c>
      <c r="B586" s="9" t="n">
        <v>46062</v>
      </c>
      <c r="C586" s="2" t="str">
        <f aca="false">TEXT(B586,"yyyy")</f>
        <v>2026</v>
      </c>
      <c r="D586" s="2" t="n">
        <f aca="false">WEEKNUM(B586,2)</f>
        <v>7</v>
      </c>
      <c r="E586" s="5" t="s">
        <v>130</v>
      </c>
      <c r="F586" s="6" t="str">
        <f aca="false">INDEX(Parametros!$B$2:$B$9,MATCH($E586,Parametros!$A$2:$A$9,0))</f>
        <v>Ketchup botella</v>
      </c>
      <c r="G586" s="10" t="n">
        <v>117.6</v>
      </c>
      <c r="H586" s="10" t="n">
        <v>7.7</v>
      </c>
      <c r="I586" s="11" t="n">
        <f aca="false">SUMIFS(Eventos_Paro!$J$2:$J$2186,Eventos_Paro!$D$2:$D$2186,$E586,Eventos_Paro!$B$2:$B$2186,$B586)</f>
        <v>0</v>
      </c>
      <c r="J586" s="12" t="n">
        <f aca="false">G586-H586-I586</f>
        <v>109.9</v>
      </c>
      <c r="K586" s="13" t="n">
        <v>764099</v>
      </c>
      <c r="L586" s="13" t="n">
        <v>857159</v>
      </c>
      <c r="M586" s="13" t="n">
        <v>13913</v>
      </c>
      <c r="N586" s="14" t="n">
        <f aca="false">L586+M586</f>
        <v>871072</v>
      </c>
      <c r="O586" s="11" t="n">
        <f aca="false">INDEX(Parametros!$D$2:$D$9,MATCH($E586,Parametros!$A$2:$A$9,0))</f>
        <v>9000</v>
      </c>
      <c r="P586" s="15" t="n">
        <f aca="false">IF((G586-H586)&gt;0,J586/(G586-H586),0)</f>
        <v>1</v>
      </c>
      <c r="Q586" s="15" t="n">
        <f aca="false">IF(J586*O586&gt;0,N586/(O586*J586),0)</f>
        <v>0.880671317359216</v>
      </c>
      <c r="R586" s="15" t="n">
        <f aca="false">IF(N586&gt;0,L586/N586,0)</f>
        <v>0.984027726755079</v>
      </c>
      <c r="S586" s="15" t="n">
        <f aca="false">P586*Q586*R586</f>
        <v>0.866604994439389</v>
      </c>
      <c r="T586" s="15" t="n">
        <f aca="false">IF(K586&gt;0,L586/K586,0)</f>
        <v>1.12179050096912</v>
      </c>
      <c r="U586" s="10" t="n">
        <v>1783.6</v>
      </c>
      <c r="V586" s="5" t="n">
        <v>15</v>
      </c>
      <c r="W586" s="10" t="n">
        <v>19.6</v>
      </c>
      <c r="X586" s="15" t="n">
        <f aca="false">IF(U586&gt;0,W586/U586,0)</f>
        <v>0.010989010989011</v>
      </c>
      <c r="Y586" s="12" t="n">
        <f aca="false">IF(U586&gt;0,L586/U586,0)</f>
        <v>480.578044404575</v>
      </c>
      <c r="Z586" s="16" t="n">
        <f aca="false">L586*INDEX(Parametros!$E$2:$E$9,MATCH($E586,Parametros!$A$2:$A$9,0))</f>
        <v>360006.78</v>
      </c>
      <c r="AA586" s="16" t="n">
        <f aca="false">Z586*INDEX(Parametros!$F$2:$F$9,MATCH($E586,Parametros!$A$2:$A$9,0))</f>
        <v>7200.1356</v>
      </c>
      <c r="AB586" s="17" t="n">
        <f aca="false">Z586+AA586</f>
        <v>367206.9156</v>
      </c>
      <c r="AC586" s="18" t="n">
        <v>368014.37</v>
      </c>
      <c r="AD586" s="17" t="n">
        <f aca="false">AC586-AB586</f>
        <v>807.454400000046</v>
      </c>
      <c r="AE586" s="17" t="n">
        <f aca="false">AA586+AD586</f>
        <v>8007.59000000005</v>
      </c>
      <c r="AF586" s="19" t="n">
        <f aca="false">IF(Z586&gt;0,AE586/Z586,0)</f>
        <v>0.0222428866478572</v>
      </c>
      <c r="AG586" s="16" t="n">
        <f aca="false">(U586-W586)*INDEX(Parametros!$H$2:$H$9,MATCH($E586,Parametros!$A$2:$A$9,0))+W586*INDEX(Parametros!$H$2:$H$9,MATCH($E586,Parametros!$A$2:$A$9,0))*Parametros!$N$3</f>
        <v>56492.1</v>
      </c>
      <c r="AH586" s="13" t="n">
        <v>44850</v>
      </c>
      <c r="AI586" s="16" t="n">
        <f aca="false">AH586*Parametros!$N$2</f>
        <v>4126.2</v>
      </c>
      <c r="AJ586" s="18" t="n">
        <v>11117</v>
      </c>
      <c r="AK586" s="18" t="n">
        <v>0</v>
      </c>
      <c r="AL586" s="17" t="n">
        <f aca="false">AG586+AI586+AJ586+AK586</f>
        <v>71735.3</v>
      </c>
      <c r="AM586" s="20" t="n">
        <f aca="false">IF(L586&gt;0,AL586/L586,0)</f>
        <v>0.0836896071790648</v>
      </c>
      <c r="AN586" s="16" t="n">
        <f aca="false">L586*INDEX(Parametros!$G$2:$G$9,MATCH($E586,Parametros!$A$2:$A$9,0))</f>
        <v>608582.89</v>
      </c>
      <c r="AO586" s="17" t="n">
        <f aca="false">AN586-AC586-AL586</f>
        <v>168833.22</v>
      </c>
      <c r="AP586" s="15" t="n">
        <f aca="false">IF(AN586&gt;0,AO586/AN586,0)</f>
        <v>0.27742025412512</v>
      </c>
      <c r="AQ586" s="16" t="n">
        <f aca="false">INDEX(Parametros!$I$2:$I$9,MATCH($E586,Parametros!$A$2:$A$9,0))</f>
        <v>29300000</v>
      </c>
      <c r="AR586" s="19" t="n">
        <f aca="false">IF(AQ586&gt;0,AO586/AQ586,0)</f>
        <v>0.00576222593856655</v>
      </c>
    </row>
    <row r="587" customFormat="false" ht="15" hidden="false" customHeight="false" outlineLevel="0" collapsed="false">
      <c r="A587" s="5" t="s">
        <v>722</v>
      </c>
      <c r="B587" s="9" t="n">
        <v>46062</v>
      </c>
      <c r="C587" s="2" t="str">
        <f aca="false">TEXT(B587,"yyyy")</f>
        <v>2026</v>
      </c>
      <c r="D587" s="2" t="n">
        <f aca="false">WEEKNUM(B587,2)</f>
        <v>7</v>
      </c>
      <c r="E587" s="5" t="s">
        <v>132</v>
      </c>
      <c r="F587" s="6" t="str">
        <f aca="false">INDEX(Parametros!$B$2:$B$9,MATCH($E587,Parametros!$A$2:$A$9,0))</f>
        <v>Mayonesa frasco</v>
      </c>
      <c r="G587" s="10" t="n">
        <v>115.6</v>
      </c>
      <c r="H587" s="10" t="n">
        <v>6.6</v>
      </c>
      <c r="I587" s="11" t="n">
        <f aca="false">SUMIFS(Eventos_Paro!$J$2:$J$2186,Eventos_Paro!$D$2:$D$2186,$E587,Eventos_Paro!$B$2:$B$2186,$B587)</f>
        <v>4.15</v>
      </c>
      <c r="J587" s="12" t="n">
        <f aca="false">G587-H587-I587</f>
        <v>104.85</v>
      </c>
      <c r="K587" s="13" t="n">
        <v>547330</v>
      </c>
      <c r="L587" s="13" t="n">
        <v>546176</v>
      </c>
      <c r="M587" s="13" t="n">
        <v>17418</v>
      </c>
      <c r="N587" s="14" t="n">
        <f aca="false">L587+M587</f>
        <v>563594</v>
      </c>
      <c r="O587" s="11" t="n">
        <f aca="false">INDEX(Parametros!$D$2:$D$9,MATCH($E587,Parametros!$A$2:$A$9,0))</f>
        <v>6500</v>
      </c>
      <c r="P587" s="15" t="n">
        <f aca="false">IF((G587-H587)&gt;0,J587/(G587-H587),0)</f>
        <v>0.961926605504587</v>
      </c>
      <c r="Q587" s="15" t="n">
        <f aca="false">IF(J587*O587&gt;0,N587/(O587*J587),0)</f>
        <v>0.826960126187594</v>
      </c>
      <c r="R587" s="15" t="n">
        <f aca="false">IF(N587&gt;0,L587/N587,0)</f>
        <v>0.969094773897522</v>
      </c>
      <c r="S587" s="15" t="n">
        <f aca="false">P587*Q587*R587</f>
        <v>0.770890613973183</v>
      </c>
      <c r="T587" s="15" t="n">
        <f aca="false">IF(K587&gt;0,L587/K587,0)</f>
        <v>0.99789158277456</v>
      </c>
      <c r="U587" s="10" t="n">
        <v>1470</v>
      </c>
      <c r="V587" s="5" t="n">
        <v>12</v>
      </c>
      <c r="W587" s="10" t="n">
        <v>82.8</v>
      </c>
      <c r="X587" s="15" t="n">
        <f aca="false">IF(U587&gt;0,W587/U587,0)</f>
        <v>0.0563265306122449</v>
      </c>
      <c r="Y587" s="12" t="n">
        <f aca="false">IF(U587&gt;0,L587/U587,0)</f>
        <v>371.548299319728</v>
      </c>
      <c r="Z587" s="16" t="n">
        <f aca="false">L587*INDEX(Parametros!$E$2:$E$9,MATCH($E587,Parametros!$A$2:$A$9,0))</f>
        <v>333167.36</v>
      </c>
      <c r="AA587" s="16" t="n">
        <f aca="false">Z587*INDEX(Parametros!$F$2:$F$9,MATCH($E587,Parametros!$A$2:$A$9,0))</f>
        <v>8329.184</v>
      </c>
      <c r="AB587" s="17" t="n">
        <f aca="false">Z587+AA587</f>
        <v>341496.544</v>
      </c>
      <c r="AC587" s="18" t="n">
        <v>347190.5</v>
      </c>
      <c r="AD587" s="17" t="n">
        <f aca="false">AC587-AB587</f>
        <v>5693.95600000001</v>
      </c>
      <c r="AE587" s="17" t="n">
        <f aca="false">AA587+AD587</f>
        <v>14023.14</v>
      </c>
      <c r="AF587" s="19" t="n">
        <f aca="false">IF(Z587&gt;0,AE587/Z587,0)</f>
        <v>0.0420903776408349</v>
      </c>
      <c r="AG587" s="16" t="n">
        <f aca="false">(U587-W587)*INDEX(Parametros!$H$2:$H$9,MATCH($E587,Parametros!$A$2:$A$9,0))+W587*INDEX(Parametros!$H$2:$H$9,MATCH($E587,Parametros!$A$2:$A$9,0))*Parametros!$N$3</f>
        <v>47609.1</v>
      </c>
      <c r="AH587" s="13" t="n">
        <v>27575</v>
      </c>
      <c r="AI587" s="16" t="n">
        <f aca="false">AH587*Parametros!$N$2</f>
        <v>2536.9</v>
      </c>
      <c r="AJ587" s="18" t="n">
        <v>13814</v>
      </c>
      <c r="AK587" s="18" t="n">
        <v>4163</v>
      </c>
      <c r="AL587" s="17" t="n">
        <f aca="false">AG587+AI587+AJ587+AK587</f>
        <v>68123</v>
      </c>
      <c r="AM587" s="20" t="n">
        <f aca="false">IF(L587&gt;0,AL587/L587,0)</f>
        <v>0.124727194164518</v>
      </c>
      <c r="AN587" s="16" t="n">
        <f aca="false">L587*INDEX(Parametros!$G$2:$G$9,MATCH($E587,Parametros!$A$2:$A$9,0))</f>
        <v>524328.96</v>
      </c>
      <c r="AO587" s="17" t="n">
        <f aca="false">AN587-AC587-AL587</f>
        <v>109015.46</v>
      </c>
      <c r="AP587" s="15" t="n">
        <f aca="false">IF(AN587&gt;0,AO587/AN587,0)</f>
        <v>0.207914245286013</v>
      </c>
      <c r="AQ587" s="16" t="n">
        <f aca="false">INDEX(Parametros!$I$2:$I$9,MATCH($E587,Parametros!$A$2:$A$9,0))</f>
        <v>29700000</v>
      </c>
      <c r="AR587" s="19" t="n">
        <f aca="false">IF(AQ587&gt;0,AO587/AQ587,0)</f>
        <v>0.00367055420875421</v>
      </c>
    </row>
    <row r="588" customFormat="false" ht="15" hidden="false" customHeight="false" outlineLevel="0" collapsed="false">
      <c r="A588" s="5" t="s">
        <v>723</v>
      </c>
      <c r="B588" s="9" t="n">
        <v>46062</v>
      </c>
      <c r="C588" s="2" t="str">
        <f aca="false">TEXT(B588,"yyyy")</f>
        <v>2026</v>
      </c>
      <c r="D588" s="2" t="n">
        <f aca="false">WEEKNUM(B588,2)</f>
        <v>7</v>
      </c>
      <c r="E588" s="5" t="s">
        <v>134</v>
      </c>
      <c r="F588" s="6" t="str">
        <f aca="false">INDEX(Parametros!$B$2:$B$9,MATCH($E588,Parametros!$A$2:$A$9,0))</f>
        <v>Aderezos vertibles</v>
      </c>
      <c r="G588" s="10" t="n">
        <v>106.7</v>
      </c>
      <c r="H588" s="10" t="n">
        <v>7</v>
      </c>
      <c r="I588" s="11" t="n">
        <f aca="false">SUMIFS(Eventos_Paro!$J$2:$J$2186,Eventos_Paro!$D$2:$D$2186,$E588,Eventos_Paro!$B$2:$B$2186,$B588)</f>
        <v>2.41666666666667</v>
      </c>
      <c r="J588" s="12" t="n">
        <f aca="false">G588-H588-I588</f>
        <v>97.2833333333333</v>
      </c>
      <c r="K588" s="13" t="n">
        <v>400505</v>
      </c>
      <c r="L588" s="13" t="n">
        <v>396433</v>
      </c>
      <c r="M588" s="13" t="n">
        <v>15322</v>
      </c>
      <c r="N588" s="14" t="n">
        <f aca="false">L588+M588</f>
        <v>411755</v>
      </c>
      <c r="O588" s="11" t="n">
        <f aca="false">INDEX(Parametros!$D$2:$D$9,MATCH($E588,Parametros!$A$2:$A$9,0))</f>
        <v>5200</v>
      </c>
      <c r="P588" s="15" t="n">
        <f aca="false">IF((G588-H588)&gt;0,J588/(G588-H588),0)</f>
        <v>0.97576061517887</v>
      </c>
      <c r="Q588" s="15" t="n">
        <f aca="false">IF(J588*O588&gt;0,N588/(O588*J588),0)</f>
        <v>0.813948814591268</v>
      </c>
      <c r="R588" s="15" t="n">
        <f aca="false">IF(N588&gt;0,L588/N588,0)</f>
        <v>0.962788551444427</v>
      </c>
      <c r="S588" s="15" t="n">
        <f aca="false">P588*Q588*R588</f>
        <v>0.764665149294036</v>
      </c>
      <c r="T588" s="15" t="n">
        <f aca="false">IF(K588&gt;0,L588/K588,0)</f>
        <v>0.989832836044494</v>
      </c>
      <c r="U588" s="10" t="n">
        <v>1260.5</v>
      </c>
      <c r="V588" s="5" t="n">
        <v>11</v>
      </c>
      <c r="W588" s="10" t="n">
        <v>86.8</v>
      </c>
      <c r="X588" s="15" t="n">
        <f aca="false">IF(U588&gt;0,W588/U588,0)</f>
        <v>0.0688615628718762</v>
      </c>
      <c r="Y588" s="12" t="n">
        <f aca="false">IF(U588&gt;0,L588/U588,0)</f>
        <v>314.504561681872</v>
      </c>
      <c r="Z588" s="16" t="n">
        <f aca="false">L588*INDEX(Parametros!$E$2:$E$9,MATCH($E588,Parametros!$A$2:$A$9,0))</f>
        <v>218038.15</v>
      </c>
      <c r="AA588" s="16" t="n">
        <f aca="false">Z588*INDEX(Parametros!$F$2:$F$9,MATCH($E588,Parametros!$A$2:$A$9,0))</f>
        <v>6541.1445</v>
      </c>
      <c r="AB588" s="17" t="n">
        <f aca="false">Z588+AA588</f>
        <v>224579.2945</v>
      </c>
      <c r="AC588" s="18" t="n">
        <v>220334.18</v>
      </c>
      <c r="AD588" s="17" t="n">
        <f aca="false">AC588-AB588</f>
        <v>-4245.11450000003</v>
      </c>
      <c r="AE588" s="17" t="n">
        <f aca="false">AA588+AD588</f>
        <v>2296.02999999998</v>
      </c>
      <c r="AF588" s="19" t="n">
        <f aca="false">IF(Z588&gt;0,AE588/Z588,0)</f>
        <v>0.0105304048855669</v>
      </c>
      <c r="AG588" s="16" t="n">
        <f aca="false">(U588-W588)*INDEX(Parametros!$H$2:$H$9,MATCH($E588,Parametros!$A$2:$A$9,0))+W588*INDEX(Parametros!$H$2:$H$9,MATCH($E588,Parametros!$A$2:$A$9,0))*Parametros!$N$3</f>
        <v>41072.85</v>
      </c>
      <c r="AH588" s="13" t="n">
        <v>20955</v>
      </c>
      <c r="AI588" s="16" t="n">
        <f aca="false">AH588*Parametros!$N$2</f>
        <v>1927.86</v>
      </c>
      <c r="AJ588" s="18" t="n">
        <v>10803</v>
      </c>
      <c r="AK588" s="18" t="n">
        <v>1821</v>
      </c>
      <c r="AL588" s="17" t="n">
        <f aca="false">AG588+AI588+AJ588+AK588</f>
        <v>55624.71</v>
      </c>
      <c r="AM588" s="20" t="n">
        <f aca="false">IF(L588&gt;0,AL588/L588,0)</f>
        <v>0.140313016323061</v>
      </c>
      <c r="AN588" s="16" t="n">
        <f aca="false">L588*INDEX(Parametros!$G$2:$G$9,MATCH($E588,Parametros!$A$2:$A$9,0))</f>
        <v>404361.66</v>
      </c>
      <c r="AO588" s="17" t="n">
        <f aca="false">AN588-AC588-AL588</f>
        <v>128402.77</v>
      </c>
      <c r="AP588" s="15" t="n">
        <f aca="false">IF(AN588&gt;0,AO588/AN588,0)</f>
        <v>0.317544373519488</v>
      </c>
      <c r="AQ588" s="16" t="n">
        <f aca="false">INDEX(Parametros!$I$2:$I$9,MATCH($E588,Parametros!$A$2:$A$9,0))</f>
        <v>19300000</v>
      </c>
      <c r="AR588" s="19" t="n">
        <f aca="false">IF(AQ588&gt;0,AO588/AQ588,0)</f>
        <v>0.00665299326424871</v>
      </c>
    </row>
    <row r="589" customFormat="false" ht="15" hidden="false" customHeight="false" outlineLevel="0" collapsed="false">
      <c r="A589" s="5" t="s">
        <v>724</v>
      </c>
      <c r="B589" s="9" t="n">
        <v>46062</v>
      </c>
      <c r="C589" s="2" t="str">
        <f aca="false">TEXT(B589,"yyyy")</f>
        <v>2026</v>
      </c>
      <c r="D589" s="2" t="n">
        <f aca="false">WEEKNUM(B589,2)</f>
        <v>7</v>
      </c>
      <c r="E589" s="5" t="s">
        <v>136</v>
      </c>
      <c r="F589" s="6" t="str">
        <f aca="false">INDEX(Parametros!$B$2:$B$9,MATCH($E589,Parametros!$A$2:$A$9,0))</f>
        <v>Salsa BBQ</v>
      </c>
      <c r="G589" s="10" t="n">
        <v>92.5</v>
      </c>
      <c r="H589" s="10" t="n">
        <v>5.5</v>
      </c>
      <c r="I589" s="11" t="n">
        <f aca="false">SUMIFS(Eventos_Paro!$J$2:$J$2186,Eventos_Paro!$D$2:$D$2186,$E589,Eventos_Paro!$B$2:$B$2186,$B589)</f>
        <v>4.25</v>
      </c>
      <c r="J589" s="12" t="n">
        <f aca="false">G589-H589-I589</f>
        <v>82.75</v>
      </c>
      <c r="K589" s="13" t="n">
        <v>282439</v>
      </c>
      <c r="L589" s="13" t="n">
        <v>313593</v>
      </c>
      <c r="M589" s="13" t="n">
        <v>9014</v>
      </c>
      <c r="N589" s="14" t="n">
        <f aca="false">L589+M589</f>
        <v>322607</v>
      </c>
      <c r="O589" s="11" t="n">
        <f aca="false">INDEX(Parametros!$D$2:$D$9,MATCH($E589,Parametros!$A$2:$A$9,0))</f>
        <v>4800</v>
      </c>
      <c r="P589" s="15" t="n">
        <f aca="false">IF((G589-H589)&gt;0,J589/(G589-H589),0)</f>
        <v>0.951149425287356</v>
      </c>
      <c r="Q589" s="15" t="n">
        <f aca="false">IF(J589*O589&gt;0,N589/(O589*J589),0)</f>
        <v>0.812202920443102</v>
      </c>
      <c r="R589" s="15" t="n">
        <f aca="false">IF(N589&gt;0,L589/N589,0)</f>
        <v>0.972058882789276</v>
      </c>
      <c r="S589" s="15" t="n">
        <f aca="false">P589*Q589*R589</f>
        <v>0.750941091954023</v>
      </c>
      <c r="T589" s="15" t="n">
        <f aca="false">IF(K589&gt;0,L589/K589,0)</f>
        <v>1.11030346375678</v>
      </c>
      <c r="U589" s="10" t="n">
        <v>998.1</v>
      </c>
      <c r="V589" s="5" t="n">
        <v>10</v>
      </c>
      <c r="W589" s="10" t="n">
        <v>73.1</v>
      </c>
      <c r="X589" s="15" t="n">
        <f aca="false">IF(U589&gt;0,W589/U589,0)</f>
        <v>0.0732391543933474</v>
      </c>
      <c r="Y589" s="12" t="n">
        <f aca="false">IF(U589&gt;0,L589/U589,0)</f>
        <v>314.189960925759</v>
      </c>
      <c r="Z589" s="16" t="n">
        <f aca="false">L589*INDEX(Parametros!$E$2:$E$9,MATCH($E589,Parametros!$A$2:$A$9,0))</f>
        <v>181883.94</v>
      </c>
      <c r="AA589" s="16" t="n">
        <f aca="false">Z589*INDEX(Parametros!$F$2:$F$9,MATCH($E589,Parametros!$A$2:$A$9,0))</f>
        <v>5092.75032</v>
      </c>
      <c r="AB589" s="17" t="n">
        <f aca="false">Z589+AA589</f>
        <v>186976.69032</v>
      </c>
      <c r="AC589" s="18" t="n">
        <v>186259.36</v>
      </c>
      <c r="AD589" s="17" t="n">
        <f aca="false">AC589-AB589</f>
        <v>-717.330319999979</v>
      </c>
      <c r="AE589" s="17" t="n">
        <f aca="false">AA589+AD589</f>
        <v>4375.42000000002</v>
      </c>
      <c r="AF589" s="19" t="n">
        <f aca="false">IF(Z589&gt;0,AE589/Z589,0)</f>
        <v>0.0240561096268314</v>
      </c>
      <c r="AG589" s="16" t="n">
        <f aca="false">(U589-W589)*INDEX(Parametros!$H$2:$H$9,MATCH($E589,Parametros!$A$2:$A$9,0))+W589*INDEX(Parametros!$H$2:$H$9,MATCH($E589,Parametros!$A$2:$A$9,0))*Parametros!$N$3</f>
        <v>32591.475</v>
      </c>
      <c r="AH589" s="13" t="n">
        <v>16727</v>
      </c>
      <c r="AI589" s="16" t="n">
        <f aca="false">AH589*Parametros!$N$2</f>
        <v>1538.884</v>
      </c>
      <c r="AJ589" s="18" t="n">
        <v>6473</v>
      </c>
      <c r="AK589" s="18" t="n">
        <v>4085</v>
      </c>
      <c r="AL589" s="17" t="n">
        <f aca="false">AG589+AI589+AJ589+AK589</f>
        <v>44688.359</v>
      </c>
      <c r="AM589" s="20" t="n">
        <f aca="false">IF(L589&gt;0,AL589/L589,0)</f>
        <v>0.142504325670535</v>
      </c>
      <c r="AN589" s="16" t="n">
        <f aca="false">L589*INDEX(Parametros!$G$2:$G$9,MATCH($E589,Parametros!$A$2:$A$9,0))</f>
        <v>307321.14</v>
      </c>
      <c r="AO589" s="17" t="n">
        <f aca="false">AN589-AC589-AL589</f>
        <v>76373.421</v>
      </c>
      <c r="AP589" s="15" t="n">
        <f aca="false">IF(AN589&gt;0,AO589/AN589,0)</f>
        <v>0.248513398720309</v>
      </c>
      <c r="AQ589" s="16" t="n">
        <f aca="false">INDEX(Parametros!$I$2:$I$9,MATCH($E589,Parametros!$A$2:$A$9,0))</f>
        <v>17000000</v>
      </c>
      <c r="AR589" s="19" t="n">
        <f aca="false">IF(AQ589&gt;0,AO589/AQ589,0)</f>
        <v>0.00449255417647059</v>
      </c>
    </row>
    <row r="590" customFormat="false" ht="15" hidden="false" customHeight="false" outlineLevel="0" collapsed="false">
      <c r="A590" s="5" t="s">
        <v>725</v>
      </c>
      <c r="B590" s="9" t="n">
        <v>46062</v>
      </c>
      <c r="C590" s="2" t="str">
        <f aca="false">TEXT(B590,"yyyy")</f>
        <v>2026</v>
      </c>
      <c r="D590" s="2" t="n">
        <f aca="false">WEEKNUM(B590,2)</f>
        <v>7</v>
      </c>
      <c r="E590" s="5" t="s">
        <v>138</v>
      </c>
      <c r="F590" s="6" t="str">
        <f aca="false">INDEX(Parametros!$B$2:$B$9,MATCH($E590,Parametros!$A$2:$A$9,0))</f>
        <v>Queso crema</v>
      </c>
      <c r="G590" s="10" t="n">
        <v>115.2</v>
      </c>
      <c r="H590" s="10" t="n">
        <v>7</v>
      </c>
      <c r="I590" s="11" t="n">
        <f aca="false">SUMIFS(Eventos_Paro!$J$2:$J$2186,Eventos_Paro!$D$2:$D$2186,$E590,Eventos_Paro!$B$2:$B$2186,$B590)</f>
        <v>3.85</v>
      </c>
      <c r="J590" s="12" t="n">
        <f aca="false">G590-H590-I590</f>
        <v>104.35</v>
      </c>
      <c r="K590" s="13" t="n">
        <v>317629</v>
      </c>
      <c r="L590" s="13" t="n">
        <v>324479</v>
      </c>
      <c r="M590" s="13" t="n">
        <v>13862</v>
      </c>
      <c r="N590" s="14" t="n">
        <f aca="false">L590+M590</f>
        <v>338341</v>
      </c>
      <c r="O590" s="11" t="n">
        <f aca="false">INDEX(Parametros!$D$2:$D$9,MATCH($E590,Parametros!$A$2:$A$9,0))</f>
        <v>3800</v>
      </c>
      <c r="P590" s="15" t="n">
        <f aca="false">IF((G590-H590)&gt;0,J590/(G590-H590),0)</f>
        <v>0.964417744916821</v>
      </c>
      <c r="Q590" s="15" t="n">
        <f aca="false">IF(J590*O590&gt;0,N590/(O590*J590),0)</f>
        <v>0.853254482636875</v>
      </c>
      <c r="R590" s="15" t="n">
        <f aca="false">IF(N590&gt;0,L590/N590,0)</f>
        <v>0.959029499824142</v>
      </c>
      <c r="S590" s="15" t="n">
        <f aca="false">P590*Q590*R590</f>
        <v>0.789179394882771</v>
      </c>
      <c r="T590" s="15" t="n">
        <f aca="false">IF(K590&gt;0,L590/K590,0)</f>
        <v>1.02156604088418</v>
      </c>
      <c r="U590" s="10" t="n">
        <v>1899.2</v>
      </c>
      <c r="V590" s="5" t="n">
        <v>16</v>
      </c>
      <c r="W590" s="10" t="n">
        <v>56</v>
      </c>
      <c r="X590" s="15" t="n">
        <f aca="false">IF(U590&gt;0,W590/U590,0)</f>
        <v>0.029486099410278</v>
      </c>
      <c r="Y590" s="12" t="n">
        <f aca="false">IF(U590&gt;0,L590/U590,0)</f>
        <v>170.850358045493</v>
      </c>
      <c r="Z590" s="16" t="n">
        <f aca="false">L590*INDEX(Parametros!$E$2:$E$9,MATCH($E590,Parametros!$A$2:$A$9,0))</f>
        <v>363416.48</v>
      </c>
      <c r="AA590" s="16" t="n">
        <f aca="false">Z590*INDEX(Parametros!$F$2:$F$9,MATCH($E590,Parametros!$A$2:$A$9,0))</f>
        <v>12719.5768</v>
      </c>
      <c r="AB590" s="17" t="n">
        <f aca="false">Z590+AA590</f>
        <v>376136.0568</v>
      </c>
      <c r="AC590" s="18" t="n">
        <v>377439.26</v>
      </c>
      <c r="AD590" s="17" t="n">
        <f aca="false">AC590-AB590</f>
        <v>1303.20319999999</v>
      </c>
      <c r="AE590" s="17" t="n">
        <f aca="false">AA590+AD590</f>
        <v>14022.78</v>
      </c>
      <c r="AF590" s="19" t="n">
        <f aca="false">IF(Z590&gt;0,AE590/Z590,0)</f>
        <v>0.0385859771686743</v>
      </c>
      <c r="AG590" s="16" t="n">
        <f aca="false">(U590-W590)*INDEX(Parametros!$H$2:$H$9,MATCH($E590,Parametros!$A$2:$A$9,0))+W590*INDEX(Parametros!$H$2:$H$9,MATCH($E590,Parametros!$A$2:$A$9,0))*Parametros!$N$3</f>
        <v>63597.6</v>
      </c>
      <c r="AH590" s="13" t="n">
        <v>16826</v>
      </c>
      <c r="AI590" s="16" t="n">
        <f aca="false">AH590*Parametros!$N$2</f>
        <v>1547.992</v>
      </c>
      <c r="AJ590" s="18" t="n">
        <v>18035</v>
      </c>
      <c r="AK590" s="18" t="n">
        <v>3535</v>
      </c>
      <c r="AL590" s="17" t="n">
        <f aca="false">AG590+AI590+AJ590+AK590</f>
        <v>86715.592</v>
      </c>
      <c r="AM590" s="20" t="n">
        <f aca="false">IF(L590&gt;0,AL590/L590,0)</f>
        <v>0.267245621442374</v>
      </c>
      <c r="AN590" s="16" t="n">
        <f aca="false">L590*INDEX(Parametros!$G$2:$G$9,MATCH($E590,Parametros!$A$2:$A$9,0))</f>
        <v>580817.41</v>
      </c>
      <c r="AO590" s="17" t="n">
        <f aca="false">AN590-AC590-AL590</f>
        <v>116662.558</v>
      </c>
      <c r="AP590" s="15" t="n">
        <f aca="false">IF(AN590&gt;0,AO590/AN590,0)</f>
        <v>0.200859264876375</v>
      </c>
      <c r="AQ590" s="16" t="n">
        <f aca="false">INDEX(Parametros!$I$2:$I$9,MATCH($E590,Parametros!$A$2:$A$9,0))</f>
        <v>33200000</v>
      </c>
      <c r="AR590" s="19" t="n">
        <f aca="false">IF(AQ590&gt;0,AO590/AQ590,0)</f>
        <v>0.00351393246987952</v>
      </c>
    </row>
    <row r="591" customFormat="false" ht="15" hidden="false" customHeight="false" outlineLevel="0" collapsed="false">
      <c r="A591" s="5" t="s">
        <v>726</v>
      </c>
      <c r="B591" s="9" t="n">
        <v>46062</v>
      </c>
      <c r="C591" s="2" t="str">
        <f aca="false">TEXT(B591,"yyyy")</f>
        <v>2026</v>
      </c>
      <c r="D591" s="2" t="n">
        <f aca="false">WEEKNUM(B591,2)</f>
        <v>7</v>
      </c>
      <c r="E591" s="5" t="s">
        <v>140</v>
      </c>
      <c r="F591" s="6" t="str">
        <f aca="false">INDEX(Parametros!$B$2:$B$9,MATCH($E591,Parametros!$A$2:$A$9,0))</f>
        <v>Crema de cacahuate</v>
      </c>
      <c r="G591" s="10" t="n">
        <v>105</v>
      </c>
      <c r="H591" s="10" t="n">
        <v>8.3</v>
      </c>
      <c r="I591" s="11" t="n">
        <f aca="false">SUMIFS(Eventos_Paro!$J$2:$J$2186,Eventos_Paro!$D$2:$D$2186,$E591,Eventos_Paro!$B$2:$B$2186,$B591)</f>
        <v>2.45</v>
      </c>
      <c r="J591" s="12" t="n">
        <f aca="false">G591-H591-I591</f>
        <v>94.25</v>
      </c>
      <c r="K591" s="13" t="n">
        <v>313751</v>
      </c>
      <c r="L591" s="13" t="n">
        <v>327926</v>
      </c>
      <c r="M591" s="13" t="n">
        <v>14069</v>
      </c>
      <c r="N591" s="14" t="n">
        <f aca="false">L591+M591</f>
        <v>341995</v>
      </c>
      <c r="O591" s="11" t="n">
        <f aca="false">INDEX(Parametros!$D$2:$D$9,MATCH($E591,Parametros!$A$2:$A$9,0))</f>
        <v>4200</v>
      </c>
      <c r="P591" s="15" t="n">
        <f aca="false">IF((G591-H591)&gt;0,J591/(G591-H591),0)</f>
        <v>0.974663908996898</v>
      </c>
      <c r="Q591" s="15" t="n">
        <f aca="false">IF(J591*O591&gt;0,N591/(O591*J591),0)</f>
        <v>0.863950991537199</v>
      </c>
      <c r="R591" s="15" t="n">
        <f aca="false">IF(N591&gt;0,L591/N591,0)</f>
        <v>0.958861971666252</v>
      </c>
      <c r="S591" s="15" t="n">
        <f aca="false">P591*Q591*R591</f>
        <v>0.807421086324913</v>
      </c>
      <c r="T591" s="15" t="n">
        <f aca="false">IF(K591&gt;0,L591/K591,0)</f>
        <v>1.04517913887127</v>
      </c>
      <c r="U591" s="10" t="n">
        <v>1318.2</v>
      </c>
      <c r="V591" s="5" t="n">
        <v>12</v>
      </c>
      <c r="W591" s="10" t="n">
        <v>58.2</v>
      </c>
      <c r="X591" s="15" t="n">
        <f aca="false">IF(U591&gt;0,W591/U591,0)</f>
        <v>0.0441511151570323</v>
      </c>
      <c r="Y591" s="12" t="n">
        <f aca="false">IF(U591&gt;0,L591/U591,0)</f>
        <v>248.768016992869</v>
      </c>
      <c r="Z591" s="16" t="n">
        <f aca="false">L591*INDEX(Parametros!$E$2:$E$9,MATCH($E591,Parametros!$A$2:$A$9,0))</f>
        <v>318088.22</v>
      </c>
      <c r="AA591" s="16" t="n">
        <f aca="false">Z591*INDEX(Parametros!$F$2:$F$9,MATCH($E591,Parametros!$A$2:$A$9,0))</f>
        <v>6997.94084</v>
      </c>
      <c r="AB591" s="17" t="n">
        <f aca="false">Z591+AA591</f>
        <v>325086.16084</v>
      </c>
      <c r="AC591" s="18" t="n">
        <v>324605.36</v>
      </c>
      <c r="AD591" s="17" t="n">
        <f aca="false">AC591-AB591</f>
        <v>-480.800839999982</v>
      </c>
      <c r="AE591" s="17" t="n">
        <f aca="false">AA591+AD591</f>
        <v>6517.14000000002</v>
      </c>
      <c r="AF591" s="19" t="n">
        <f aca="false">IF(Z591&gt;0,AE591/Z591,0)</f>
        <v>0.0204884670045311</v>
      </c>
      <c r="AG591" s="16" t="n">
        <f aca="false">(U591-W591)*INDEX(Parametros!$H$2:$H$9,MATCH($E591,Parametros!$A$2:$A$9,0))+W591*INDEX(Parametros!$H$2:$H$9,MATCH($E591,Parametros!$A$2:$A$9,0))*Parametros!$N$3</f>
        <v>42439.95</v>
      </c>
      <c r="AH591" s="13" t="n">
        <v>17300</v>
      </c>
      <c r="AI591" s="16" t="n">
        <f aca="false">AH591*Parametros!$N$2</f>
        <v>1591.6</v>
      </c>
      <c r="AJ591" s="18" t="n">
        <v>10647</v>
      </c>
      <c r="AK591" s="18" t="n">
        <v>1907</v>
      </c>
      <c r="AL591" s="17" t="n">
        <f aca="false">AG591+AI591+AJ591+AK591</f>
        <v>56585.55</v>
      </c>
      <c r="AM591" s="20" t="n">
        <f aca="false">IF(L591&gt;0,AL591/L591,0)</f>
        <v>0.172555851015168</v>
      </c>
      <c r="AN591" s="16" t="n">
        <f aca="false">L591*INDEX(Parametros!$G$2:$G$9,MATCH($E591,Parametros!$A$2:$A$9,0))</f>
        <v>531240.12</v>
      </c>
      <c r="AO591" s="17" t="n">
        <f aca="false">AN591-AC591-AL591</f>
        <v>150049.21</v>
      </c>
      <c r="AP591" s="15" t="n">
        <f aca="false">IF(AN591&gt;0,AO591/AN591,0)</f>
        <v>0.282450824685455</v>
      </c>
      <c r="AQ591" s="16" t="n">
        <f aca="false">INDEX(Parametros!$I$2:$I$9,MATCH($E591,Parametros!$A$2:$A$9,0))</f>
        <v>28000000</v>
      </c>
      <c r="AR591" s="19" t="n">
        <f aca="false">IF(AQ591&gt;0,AO591/AQ591,0)</f>
        <v>0.00535890035714286</v>
      </c>
    </row>
    <row r="592" customFormat="false" ht="15" hidden="false" customHeight="false" outlineLevel="0" collapsed="false">
      <c r="A592" s="5" t="s">
        <v>727</v>
      </c>
      <c r="B592" s="9" t="n">
        <v>46062</v>
      </c>
      <c r="C592" s="2" t="str">
        <f aca="false">TEXT(B592,"yyyy")</f>
        <v>2026</v>
      </c>
      <c r="D592" s="2" t="n">
        <f aca="false">WEEKNUM(B592,2)</f>
        <v>7</v>
      </c>
      <c r="E592" s="5" t="s">
        <v>142</v>
      </c>
      <c r="F592" s="6" t="str">
        <f aca="false">INDEX(Parametros!$B$2:$B$9,MATCH($E592,Parametros!$A$2:$A$9,0))</f>
        <v>Porciones single serve</v>
      </c>
      <c r="G592" s="10" t="n">
        <v>122.7</v>
      </c>
      <c r="H592" s="10" t="n">
        <v>8.5</v>
      </c>
      <c r="I592" s="11" t="n">
        <f aca="false">SUMIFS(Eventos_Paro!$J$2:$J$2186,Eventos_Paro!$D$2:$D$2186,$E592,Eventos_Paro!$B$2:$B$2186,$B592)</f>
        <v>11.4166666666667</v>
      </c>
      <c r="J592" s="12" t="n">
        <f aca="false">G592-H592-I592</f>
        <v>102.783333333333</v>
      </c>
      <c r="K592" s="13" t="n">
        <v>229377</v>
      </c>
      <c r="L592" s="13" t="n">
        <v>181982</v>
      </c>
      <c r="M592" s="13" t="n">
        <v>10460</v>
      </c>
      <c r="N592" s="14" t="n">
        <f aca="false">L592+M592</f>
        <v>192442</v>
      </c>
      <c r="O592" s="11" t="n">
        <f aca="false">INDEX(Parametros!$D$2:$D$9,MATCH($E592,Parametros!$A$2:$A$9,0))</f>
        <v>2600</v>
      </c>
      <c r="P592" s="15" t="n">
        <f aca="false">IF((G592-H592)&gt;0,J592/(G592-H592),0)</f>
        <v>0.900029188558085</v>
      </c>
      <c r="Q592" s="15" t="n">
        <f aca="false">IF(J592*O592&gt;0,N592/(O592*J592),0)</f>
        <v>0.720118247246511</v>
      </c>
      <c r="R592" s="15" t="n">
        <f aca="false">IF(N592&gt;0,L592/N592,0)</f>
        <v>0.945645960860935</v>
      </c>
      <c r="S592" s="15" t="n">
        <f aca="false">P592*Q592*R592</f>
        <v>0.612899097399973</v>
      </c>
      <c r="T592" s="15" t="n">
        <f aca="false">IF(K592&gt;0,L592/K592,0)</f>
        <v>0.793375098636742</v>
      </c>
      <c r="U592" s="10" t="n">
        <v>2193.6</v>
      </c>
      <c r="V592" s="5" t="n">
        <v>16</v>
      </c>
      <c r="W592" s="10" t="n">
        <v>230.4</v>
      </c>
      <c r="X592" s="15" t="n">
        <f aca="false">IF(U592&gt;0,W592/U592,0)</f>
        <v>0.105032822757112</v>
      </c>
      <c r="Y592" s="12" t="n">
        <f aca="false">IF(U592&gt;0,L592/U592,0)</f>
        <v>82.9604303428155</v>
      </c>
      <c r="Z592" s="16" t="n">
        <f aca="false">L592*INDEX(Parametros!$E$2:$E$9,MATCH($E592,Parametros!$A$2:$A$9,0))</f>
        <v>134666.68</v>
      </c>
      <c r="AA592" s="16" t="n">
        <f aca="false">Z592*INDEX(Parametros!$F$2:$F$9,MATCH($E592,Parametros!$A$2:$A$9,0))</f>
        <v>6060.0006</v>
      </c>
      <c r="AB592" s="17" t="n">
        <f aca="false">Z592+AA592</f>
        <v>140726.6806</v>
      </c>
      <c r="AC592" s="18" t="n">
        <v>139381.85</v>
      </c>
      <c r="AD592" s="17" t="n">
        <f aca="false">AC592-AB592</f>
        <v>-1344.83059999999</v>
      </c>
      <c r="AE592" s="17" t="n">
        <f aca="false">AA592+AD592</f>
        <v>4715.17000000001</v>
      </c>
      <c r="AF592" s="19" t="n">
        <f aca="false">IF(Z592&gt;0,AE592/Z592,0)</f>
        <v>0.0350136351471649</v>
      </c>
      <c r="AG592" s="16" t="n">
        <f aca="false">(U592-W592)*INDEX(Parametros!$H$2:$H$9,MATCH($E592,Parametros!$A$2:$A$9,0))+W592*INDEX(Parametros!$H$2:$H$9,MATCH($E592,Parametros!$A$2:$A$9,0))*Parametros!$N$3</f>
        <v>69264</v>
      </c>
      <c r="AH592" s="13" t="n">
        <v>10805</v>
      </c>
      <c r="AI592" s="16" t="n">
        <f aca="false">AH592*Parametros!$N$2</f>
        <v>994.06</v>
      </c>
      <c r="AJ592" s="18" t="n">
        <v>9446</v>
      </c>
      <c r="AK592" s="18" t="n">
        <v>12124</v>
      </c>
      <c r="AL592" s="17" t="n">
        <f aca="false">AG592+AI592+AJ592+AK592</f>
        <v>91828.06</v>
      </c>
      <c r="AM592" s="20" t="n">
        <f aca="false">IF(L592&gt;0,AL592/L592,0)</f>
        <v>0.5045996856832</v>
      </c>
      <c r="AN592" s="16" t="n">
        <f aca="false">L592*INDEX(Parametros!$G$2:$G$9,MATCH($E592,Parametros!$A$2:$A$9,0))</f>
        <v>313009.04</v>
      </c>
      <c r="AO592" s="17" t="n">
        <f aca="false">AN592-AC592-AL592</f>
        <v>81799.13</v>
      </c>
      <c r="AP592" s="15" t="n">
        <f aca="false">IF(AN592&gt;0,AO592/AN592,0)</f>
        <v>0.261331525760406</v>
      </c>
      <c r="AQ592" s="16" t="n">
        <f aca="false">INDEX(Parametros!$I$2:$I$9,MATCH($E592,Parametros!$A$2:$A$9,0))</f>
        <v>15900000</v>
      </c>
      <c r="AR592" s="19" t="n">
        <f aca="false">IF(AQ592&gt;0,AO592/AQ592,0)</f>
        <v>0.00514459937106918</v>
      </c>
    </row>
    <row r="593" customFormat="false" ht="15" hidden="false" customHeight="false" outlineLevel="0" collapsed="false">
      <c r="A593" s="5" t="s">
        <v>728</v>
      </c>
      <c r="B593" s="9" t="n">
        <v>46062</v>
      </c>
      <c r="C593" s="2" t="str">
        <f aca="false">TEXT(B593,"yyyy")</f>
        <v>2026</v>
      </c>
      <c r="D593" s="2" t="n">
        <f aca="false">WEEKNUM(B593,2)</f>
        <v>7</v>
      </c>
      <c r="E593" s="5" t="s">
        <v>144</v>
      </c>
      <c r="F593" s="6" t="str">
        <f aca="false">INDEX(Parametros!$B$2:$B$9,MATCH($E593,Parametros!$A$2:$A$9,0))</f>
        <v>Salsas picantes</v>
      </c>
      <c r="G593" s="10" t="n">
        <v>101.2</v>
      </c>
      <c r="H593" s="10" t="n">
        <v>6.9</v>
      </c>
      <c r="I593" s="11" t="n">
        <f aca="false">SUMIFS(Eventos_Paro!$J$2:$J$2186,Eventos_Paro!$D$2:$D$2186,$E593,Eventos_Paro!$B$2:$B$2186,$B593)</f>
        <v>1.48333333333333</v>
      </c>
      <c r="J593" s="12" t="n">
        <f aca="false">G593-H593-I593</f>
        <v>92.8166666666667</v>
      </c>
      <c r="K593" s="13" t="n">
        <v>245594</v>
      </c>
      <c r="L593" s="13" t="n">
        <v>237267</v>
      </c>
      <c r="M593" s="13" t="n">
        <v>6921</v>
      </c>
      <c r="N593" s="14" t="n">
        <f aca="false">L593+M593</f>
        <v>244188</v>
      </c>
      <c r="O593" s="11" t="n">
        <f aca="false">INDEX(Parametros!$D$2:$D$9,MATCH($E593,Parametros!$A$2:$A$9,0))</f>
        <v>3100</v>
      </c>
      <c r="P593" s="15" t="n">
        <f aca="false">IF((G593-H593)&gt;0,J593/(G593-H593),0)</f>
        <v>0.984270060091905</v>
      </c>
      <c r="Q593" s="15" t="n">
        <f aca="false">IF(J593*O593&gt;0,N593/(O593*J593),0)</f>
        <v>0.848665712845881</v>
      </c>
      <c r="R593" s="15" t="n">
        <f aca="false">IF(N593&gt;0,L593/N593,0)</f>
        <v>0.971657083886186</v>
      </c>
      <c r="S593" s="15" t="n">
        <f aca="false">P593*Q593*R593</f>
        <v>0.81164095371669</v>
      </c>
      <c r="T593" s="15" t="n">
        <f aca="false">IF(K593&gt;0,L593/K593,0)</f>
        <v>0.966094448561447</v>
      </c>
      <c r="U593" s="10" t="n">
        <v>864.4</v>
      </c>
      <c r="V593" s="5" t="n">
        <v>8</v>
      </c>
      <c r="W593" s="10" t="n">
        <v>54.8</v>
      </c>
      <c r="X593" s="15" t="n">
        <f aca="false">IF(U593&gt;0,W593/U593,0)</f>
        <v>0.0633965756594169</v>
      </c>
      <c r="Y593" s="12" t="n">
        <f aca="false">IF(U593&gt;0,L593/U593,0)</f>
        <v>274.487505784359</v>
      </c>
      <c r="Z593" s="16" t="n">
        <f aca="false">L593*INDEX(Parametros!$E$2:$E$9,MATCH($E593,Parametros!$A$2:$A$9,0))</f>
        <v>156596.22</v>
      </c>
      <c r="AA593" s="16" t="n">
        <f aca="false">Z593*INDEX(Parametros!$F$2:$F$9,MATCH($E593,Parametros!$A$2:$A$9,0))</f>
        <v>4071.50172</v>
      </c>
      <c r="AB593" s="17" t="n">
        <f aca="false">Z593+AA593</f>
        <v>160667.72172</v>
      </c>
      <c r="AC593" s="18" t="n">
        <v>159309.11</v>
      </c>
      <c r="AD593" s="17" t="n">
        <f aca="false">AC593-AB593</f>
        <v>-1358.61172000002</v>
      </c>
      <c r="AE593" s="17" t="n">
        <f aca="false">AA593+AD593</f>
        <v>2712.88999999998</v>
      </c>
      <c r="AF593" s="19" t="n">
        <f aca="false">IF(Z593&gt;0,AE593/Z593,0)</f>
        <v>0.0173241091004622</v>
      </c>
      <c r="AG593" s="16" t="n">
        <f aca="false">(U593-W593)*INDEX(Parametros!$H$2:$H$9,MATCH($E593,Parametros!$A$2:$A$9,0))+W593*INDEX(Parametros!$H$2:$H$9,MATCH($E593,Parametros!$A$2:$A$9,0))*Parametros!$N$3</f>
        <v>28091.7</v>
      </c>
      <c r="AH593" s="13" t="n">
        <v>12163</v>
      </c>
      <c r="AI593" s="16" t="n">
        <f aca="false">AH593*Parametros!$N$2</f>
        <v>1118.996</v>
      </c>
      <c r="AJ593" s="18" t="n">
        <v>7381</v>
      </c>
      <c r="AK593" s="18" t="n">
        <v>1436</v>
      </c>
      <c r="AL593" s="17" t="n">
        <f aca="false">AG593+AI593+AJ593+AK593</f>
        <v>38027.696</v>
      </c>
      <c r="AM593" s="20" t="n">
        <f aca="false">IF(L593&gt;0,AL593/L593,0)</f>
        <v>0.160273851820944</v>
      </c>
      <c r="AN593" s="16" t="n">
        <f aca="false">L593*INDEX(Parametros!$G$2:$G$9,MATCH($E593,Parametros!$A$2:$A$9,0))</f>
        <v>296583.75</v>
      </c>
      <c r="AO593" s="17" t="n">
        <f aca="false">AN593-AC593-AL593</f>
        <v>99246.944</v>
      </c>
      <c r="AP593" s="15" t="n">
        <f aca="false">IF(AN593&gt;0,AO593/AN593,0)</f>
        <v>0.334633788938201</v>
      </c>
      <c r="AQ593" s="16" t="n">
        <f aca="false">INDEX(Parametros!$I$2:$I$9,MATCH($E593,Parametros!$A$2:$A$9,0))</f>
        <v>13300000</v>
      </c>
      <c r="AR593" s="19" t="n">
        <f aca="false">IF(AQ593&gt;0,AO593/AQ593,0)</f>
        <v>0.00746217624060151</v>
      </c>
    </row>
    <row r="594" customFormat="false" ht="15" hidden="false" customHeight="false" outlineLevel="0" collapsed="false">
      <c r="A594" s="5" t="s">
        <v>729</v>
      </c>
      <c r="B594" s="9" t="n">
        <v>46069</v>
      </c>
      <c r="C594" s="2" t="str">
        <f aca="false">TEXT(B594,"yyyy")</f>
        <v>2026</v>
      </c>
      <c r="D594" s="2" t="n">
        <f aca="false">WEEKNUM(B594,2)</f>
        <v>8</v>
      </c>
      <c r="E594" s="5" t="s">
        <v>130</v>
      </c>
      <c r="F594" s="6" t="str">
        <f aca="false">INDEX(Parametros!$B$2:$B$9,MATCH($E594,Parametros!$A$2:$A$9,0))</f>
        <v>Ketchup botella</v>
      </c>
      <c r="G594" s="10" t="n">
        <v>112.7</v>
      </c>
      <c r="H594" s="10" t="n">
        <v>7</v>
      </c>
      <c r="I594" s="11" t="n">
        <f aca="false">SUMIFS(Eventos_Paro!$J$2:$J$2186,Eventos_Paro!$D$2:$D$2186,$E594,Eventos_Paro!$B$2:$B$2186,$B594)</f>
        <v>3.73333333333333</v>
      </c>
      <c r="J594" s="12" t="n">
        <f aca="false">G594-H594-I594</f>
        <v>101.966666666667</v>
      </c>
      <c r="K594" s="13" t="n">
        <v>736962</v>
      </c>
      <c r="L594" s="13" t="n">
        <v>782019</v>
      </c>
      <c r="M594" s="13" t="n">
        <v>11828</v>
      </c>
      <c r="N594" s="14" t="n">
        <f aca="false">L594+M594</f>
        <v>793847</v>
      </c>
      <c r="O594" s="11" t="n">
        <f aca="false">INDEX(Parametros!$D$2:$D$9,MATCH($E594,Parametros!$A$2:$A$9,0))</f>
        <v>9000</v>
      </c>
      <c r="P594" s="15" t="n">
        <f aca="false">IF((G594-H594)&gt;0,J594/(G594-H594),0)</f>
        <v>0.964679911699779</v>
      </c>
      <c r="Q594" s="15" t="n">
        <f aca="false">IF(J594*O594&gt;0,N594/(O594*J594),0)</f>
        <v>0.86503977334641</v>
      </c>
      <c r="R594" s="15" t="n">
        <f aca="false">IF(N594&gt;0,L594/N594,0)</f>
        <v>0.985100403478252</v>
      </c>
      <c r="S594" s="15" t="n">
        <f aca="false">P594*Q594*R594</f>
        <v>0.82205298013245</v>
      </c>
      <c r="T594" s="15" t="n">
        <f aca="false">IF(K594&gt;0,L594/K594,0)</f>
        <v>1.061138837552</v>
      </c>
      <c r="U594" s="10" t="n">
        <v>1711.3</v>
      </c>
      <c r="V594" s="5" t="n">
        <v>14</v>
      </c>
      <c r="W594" s="10" t="n">
        <v>133.5</v>
      </c>
      <c r="X594" s="15" t="n">
        <f aca="false">IF(U594&gt;0,W594/U594,0)</f>
        <v>0.0780108689300532</v>
      </c>
      <c r="Y594" s="12" t="n">
        <f aca="false">IF(U594&gt;0,L594/U594,0)</f>
        <v>456.973645766377</v>
      </c>
      <c r="Z594" s="16" t="n">
        <f aca="false">L594*INDEX(Parametros!$E$2:$E$9,MATCH($E594,Parametros!$A$2:$A$9,0))</f>
        <v>328447.98</v>
      </c>
      <c r="AA594" s="16" t="n">
        <f aca="false">Z594*INDEX(Parametros!$F$2:$F$9,MATCH($E594,Parametros!$A$2:$A$9,0))</f>
        <v>6568.9596</v>
      </c>
      <c r="AB594" s="17" t="n">
        <f aca="false">Z594+AA594</f>
        <v>335016.9396</v>
      </c>
      <c r="AC594" s="18" t="n">
        <v>326465.37</v>
      </c>
      <c r="AD594" s="17" t="n">
        <f aca="false">AC594-AB594</f>
        <v>-8551.56959999999</v>
      </c>
      <c r="AE594" s="17" t="n">
        <f aca="false">AA594+AD594</f>
        <v>-1982.60999999999</v>
      </c>
      <c r="AF594" s="19" t="n">
        <f aca="false">IF(Z594&gt;0,AE594/Z594,0)</f>
        <v>-0.0060362983508073</v>
      </c>
      <c r="AG594" s="16" t="n">
        <f aca="false">(U594-W594)*INDEX(Parametros!$H$2:$H$9,MATCH($E594,Parametros!$A$2:$A$9,0))+W594*INDEX(Parametros!$H$2:$H$9,MATCH($E594,Parametros!$A$2:$A$9,0))*Parametros!$N$3</f>
        <v>56008.575</v>
      </c>
      <c r="AH594" s="13" t="n">
        <v>41279</v>
      </c>
      <c r="AI594" s="16" t="n">
        <f aca="false">AH594*Parametros!$N$2</f>
        <v>3797.668</v>
      </c>
      <c r="AJ594" s="18" t="n">
        <v>17258</v>
      </c>
      <c r="AK594" s="18" t="n">
        <v>2969</v>
      </c>
      <c r="AL594" s="17" t="n">
        <f aca="false">AG594+AI594+AJ594+AK594</f>
        <v>80033.243</v>
      </c>
      <c r="AM594" s="20" t="n">
        <f aca="false">IF(L594&gt;0,AL594/L594,0)</f>
        <v>0.102341813945697</v>
      </c>
      <c r="AN594" s="16" t="n">
        <f aca="false">L594*INDEX(Parametros!$G$2:$G$9,MATCH($E594,Parametros!$A$2:$A$9,0))</f>
        <v>555233.49</v>
      </c>
      <c r="AO594" s="17" t="n">
        <f aca="false">AN594-AC594-AL594</f>
        <v>148734.877</v>
      </c>
      <c r="AP594" s="15" t="n">
        <f aca="false">IF(AN594&gt;0,AO594/AN594,0)</f>
        <v>0.267878072340341</v>
      </c>
      <c r="AQ594" s="16" t="n">
        <f aca="false">INDEX(Parametros!$I$2:$I$9,MATCH($E594,Parametros!$A$2:$A$9,0))</f>
        <v>29300000</v>
      </c>
      <c r="AR594" s="19" t="n">
        <f aca="false">IF(AQ594&gt;0,AO594/AQ594,0)</f>
        <v>0.00507627566552901</v>
      </c>
    </row>
    <row r="595" customFormat="false" ht="15" hidden="false" customHeight="false" outlineLevel="0" collapsed="false">
      <c r="A595" s="5" t="s">
        <v>730</v>
      </c>
      <c r="B595" s="9" t="n">
        <v>46069</v>
      </c>
      <c r="C595" s="2" t="str">
        <f aca="false">TEXT(B595,"yyyy")</f>
        <v>2026</v>
      </c>
      <c r="D595" s="2" t="n">
        <f aca="false">WEEKNUM(B595,2)</f>
        <v>8</v>
      </c>
      <c r="E595" s="5" t="s">
        <v>132</v>
      </c>
      <c r="F595" s="6" t="str">
        <f aca="false">INDEX(Parametros!$B$2:$B$9,MATCH($E595,Parametros!$A$2:$A$9,0))</f>
        <v>Mayonesa frasco</v>
      </c>
      <c r="G595" s="10" t="n">
        <v>110.9</v>
      </c>
      <c r="H595" s="10" t="n">
        <v>5.6</v>
      </c>
      <c r="I595" s="11" t="n">
        <f aca="false">SUMIFS(Eventos_Paro!$J$2:$J$2186,Eventos_Paro!$D$2:$D$2186,$E595,Eventos_Paro!$B$2:$B$2186,$B595)</f>
        <v>6.85</v>
      </c>
      <c r="J595" s="12" t="n">
        <f aca="false">G595-H595-I595</f>
        <v>98.45</v>
      </c>
      <c r="K595" s="13" t="n">
        <v>530236</v>
      </c>
      <c r="L595" s="13" t="n">
        <v>534394</v>
      </c>
      <c r="M595" s="13" t="n">
        <v>13317</v>
      </c>
      <c r="N595" s="14" t="n">
        <f aca="false">L595+M595</f>
        <v>547711</v>
      </c>
      <c r="O595" s="11" t="n">
        <f aca="false">INDEX(Parametros!$D$2:$D$9,MATCH($E595,Parametros!$A$2:$A$9,0))</f>
        <v>6500</v>
      </c>
      <c r="P595" s="15" t="n">
        <f aca="false">IF((G595-H595)&gt;0,J595/(G595-H595),0)</f>
        <v>0.934947768281102</v>
      </c>
      <c r="Q595" s="15" t="n">
        <f aca="false">IF(J595*O595&gt;0,N595/(O595*J595),0)</f>
        <v>0.855898738133375</v>
      </c>
      <c r="R595" s="15" t="n">
        <f aca="false">IF(N595&gt;0,L595/N595,0)</f>
        <v>0.975686082623866</v>
      </c>
      <c r="S595" s="15" t="n">
        <f aca="false">P595*Q595*R595</f>
        <v>0.780764117174373</v>
      </c>
      <c r="T595" s="15" t="n">
        <f aca="false">IF(K595&gt;0,L595/K595,0)</f>
        <v>1.00784179120241</v>
      </c>
      <c r="U595" s="10" t="n">
        <v>1604.2</v>
      </c>
      <c r="V595" s="5" t="n">
        <v>14</v>
      </c>
      <c r="W595" s="10" t="n">
        <v>51.6</v>
      </c>
      <c r="X595" s="15" t="n">
        <f aca="false">IF(U595&gt;0,W595/U595,0)</f>
        <v>0.032165565390849</v>
      </c>
      <c r="Y595" s="12" t="n">
        <f aca="false">IF(U595&gt;0,L595/U595,0)</f>
        <v>333.121805261189</v>
      </c>
      <c r="Z595" s="16" t="n">
        <f aca="false">L595*INDEX(Parametros!$E$2:$E$9,MATCH($E595,Parametros!$A$2:$A$9,0))</f>
        <v>325980.34</v>
      </c>
      <c r="AA595" s="16" t="n">
        <f aca="false">Z595*INDEX(Parametros!$F$2:$F$9,MATCH($E595,Parametros!$A$2:$A$9,0))</f>
        <v>8149.5085</v>
      </c>
      <c r="AB595" s="17" t="n">
        <f aca="false">Z595+AA595</f>
        <v>334129.8485</v>
      </c>
      <c r="AC595" s="18" t="n">
        <v>326578.86</v>
      </c>
      <c r="AD595" s="17" t="n">
        <f aca="false">AC595-AB595</f>
        <v>-7550.98849999998</v>
      </c>
      <c r="AE595" s="17" t="n">
        <f aca="false">AA595+AD595</f>
        <v>598.520000000022</v>
      </c>
      <c r="AF595" s="19" t="n">
        <f aca="false">IF(Z595&gt;0,AE595/Z595,0)</f>
        <v>0.00183606164715339</v>
      </c>
      <c r="AG595" s="16" t="n">
        <f aca="false">(U595-W595)*INDEX(Parametros!$H$2:$H$9,MATCH($E595,Parametros!$A$2:$A$9,0))+W595*INDEX(Parametros!$H$2:$H$9,MATCH($E595,Parametros!$A$2:$A$9,0))*Parametros!$N$3</f>
        <v>51345</v>
      </c>
      <c r="AH595" s="13" t="n">
        <v>26698</v>
      </c>
      <c r="AI595" s="16" t="n">
        <f aca="false">AH595*Parametros!$N$2</f>
        <v>2456.216</v>
      </c>
      <c r="AJ595" s="18" t="n">
        <v>14633</v>
      </c>
      <c r="AK595" s="18" t="n">
        <v>7211</v>
      </c>
      <c r="AL595" s="17" t="n">
        <f aca="false">AG595+AI595+AJ595+AK595</f>
        <v>75645.216</v>
      </c>
      <c r="AM595" s="20" t="n">
        <f aca="false">IF(L595&gt;0,AL595/L595,0)</f>
        <v>0.141553265942357</v>
      </c>
      <c r="AN595" s="16" t="n">
        <f aca="false">L595*INDEX(Parametros!$G$2:$G$9,MATCH($E595,Parametros!$A$2:$A$9,0))</f>
        <v>513018.24</v>
      </c>
      <c r="AO595" s="17" t="n">
        <f aca="false">AN595-AC595-AL595</f>
        <v>110794.164</v>
      </c>
      <c r="AP595" s="15" t="n">
        <f aca="false">IF(AN595&gt;0,AO595/AN595,0)</f>
        <v>0.215965350471749</v>
      </c>
      <c r="AQ595" s="16" t="n">
        <f aca="false">INDEX(Parametros!$I$2:$I$9,MATCH($E595,Parametros!$A$2:$A$9,0))</f>
        <v>29700000</v>
      </c>
      <c r="AR595" s="19" t="n">
        <f aca="false">IF(AQ595&gt;0,AO595/AQ595,0)</f>
        <v>0.00373044323232323</v>
      </c>
    </row>
    <row r="596" customFormat="false" ht="15" hidden="false" customHeight="false" outlineLevel="0" collapsed="false">
      <c r="A596" s="5" t="s">
        <v>731</v>
      </c>
      <c r="B596" s="9" t="n">
        <v>46069</v>
      </c>
      <c r="C596" s="2" t="str">
        <f aca="false">TEXT(B596,"yyyy")</f>
        <v>2026</v>
      </c>
      <c r="D596" s="2" t="n">
        <f aca="false">WEEKNUM(B596,2)</f>
        <v>8</v>
      </c>
      <c r="E596" s="5" t="s">
        <v>134</v>
      </c>
      <c r="F596" s="6" t="str">
        <f aca="false">INDEX(Parametros!$B$2:$B$9,MATCH($E596,Parametros!$A$2:$A$9,0))</f>
        <v>Aderezos vertibles</v>
      </c>
      <c r="G596" s="10" t="n">
        <v>104.6</v>
      </c>
      <c r="H596" s="10" t="n">
        <v>8</v>
      </c>
      <c r="I596" s="11" t="n">
        <f aca="false">SUMIFS(Eventos_Paro!$J$2:$J$2186,Eventos_Paro!$D$2:$D$2186,$E596,Eventos_Paro!$B$2:$B$2186,$B596)</f>
        <v>0.9</v>
      </c>
      <c r="J596" s="12" t="n">
        <f aca="false">G596-H596-I596</f>
        <v>95.7</v>
      </c>
      <c r="K596" s="13" t="n">
        <v>389142</v>
      </c>
      <c r="L596" s="13" t="n">
        <v>382500</v>
      </c>
      <c r="M596" s="13" t="n">
        <v>17922</v>
      </c>
      <c r="N596" s="14" t="n">
        <f aca="false">L596+M596</f>
        <v>400422</v>
      </c>
      <c r="O596" s="11" t="n">
        <f aca="false">INDEX(Parametros!$D$2:$D$9,MATCH($E596,Parametros!$A$2:$A$9,0))</f>
        <v>5200</v>
      </c>
      <c r="P596" s="15" t="n">
        <f aca="false">IF((G596-H596)&gt;0,J596/(G596-H596),0)</f>
        <v>0.990683229813665</v>
      </c>
      <c r="Q596" s="15" t="n">
        <f aca="false">IF(J596*O596&gt;0,N596/(O596*J596),0)</f>
        <v>0.804641909814324</v>
      </c>
      <c r="R596" s="15" t="n">
        <f aca="false">IF(N596&gt;0,L596/N596,0)</f>
        <v>0.955242219458471</v>
      </c>
      <c r="S596" s="15" t="n">
        <f aca="false">P596*Q596*R596</f>
        <v>0.76146679407549</v>
      </c>
      <c r="T596" s="15" t="n">
        <f aca="false">IF(K596&gt;0,L596/K596,0)</f>
        <v>0.982931680466257</v>
      </c>
      <c r="U596" s="10" t="n">
        <v>1314.8</v>
      </c>
      <c r="V596" s="5" t="n">
        <v>12</v>
      </c>
      <c r="W596" s="10" t="n">
        <v>59.6</v>
      </c>
      <c r="X596" s="15" t="n">
        <f aca="false">IF(U596&gt;0,W596/U596,0)</f>
        <v>0.0453300882263462</v>
      </c>
      <c r="Y596" s="12" t="n">
        <f aca="false">IF(U596&gt;0,L596/U596,0)</f>
        <v>290.918770915729</v>
      </c>
      <c r="Z596" s="16" t="n">
        <f aca="false">L596*INDEX(Parametros!$E$2:$E$9,MATCH($E596,Parametros!$A$2:$A$9,0))</f>
        <v>210375</v>
      </c>
      <c r="AA596" s="16" t="n">
        <f aca="false">Z596*INDEX(Parametros!$F$2:$F$9,MATCH($E596,Parametros!$A$2:$A$9,0))</f>
        <v>6311.25</v>
      </c>
      <c r="AB596" s="17" t="n">
        <f aca="false">Z596+AA596</f>
        <v>216686.25</v>
      </c>
      <c r="AC596" s="18" t="n">
        <v>213720.16</v>
      </c>
      <c r="AD596" s="17" t="n">
        <f aca="false">AC596-AB596</f>
        <v>-2966.09000000003</v>
      </c>
      <c r="AE596" s="17" t="n">
        <f aca="false">AA596+AD596</f>
        <v>3345.15999999998</v>
      </c>
      <c r="AF596" s="19" t="n">
        <f aca="false">IF(Z596&gt;0,AE596/Z596,0)</f>
        <v>0.0159009387997622</v>
      </c>
      <c r="AG596" s="16" t="n">
        <f aca="false">(U596-W596)*INDEX(Parametros!$H$2:$H$9,MATCH($E596,Parametros!$A$2:$A$9,0))+W596*INDEX(Parametros!$H$2:$H$9,MATCH($E596,Parametros!$A$2:$A$9,0))*Parametros!$N$3</f>
        <v>42354.9</v>
      </c>
      <c r="AH596" s="13" t="n">
        <v>20977</v>
      </c>
      <c r="AI596" s="16" t="n">
        <f aca="false">AH596*Parametros!$N$2</f>
        <v>1929.884</v>
      </c>
      <c r="AJ596" s="18" t="n">
        <v>12245</v>
      </c>
      <c r="AK596" s="18" t="n">
        <v>755</v>
      </c>
      <c r="AL596" s="17" t="n">
        <f aca="false">AG596+AI596+AJ596+AK596</f>
        <v>57284.784</v>
      </c>
      <c r="AM596" s="20" t="n">
        <f aca="false">IF(L596&gt;0,AL596/L596,0)</f>
        <v>0.149764141176471</v>
      </c>
      <c r="AN596" s="16" t="n">
        <f aca="false">L596*INDEX(Parametros!$G$2:$G$9,MATCH($E596,Parametros!$A$2:$A$9,0))</f>
        <v>390150</v>
      </c>
      <c r="AO596" s="17" t="n">
        <f aca="false">AN596-AC596-AL596</f>
        <v>119145.056</v>
      </c>
      <c r="AP596" s="15" t="n">
        <f aca="false">IF(AN596&gt;0,AO596/AN596,0)</f>
        <v>0.305382688709471</v>
      </c>
      <c r="AQ596" s="16" t="n">
        <f aca="false">INDEX(Parametros!$I$2:$I$9,MATCH($E596,Parametros!$A$2:$A$9,0))</f>
        <v>19300000</v>
      </c>
      <c r="AR596" s="19" t="n">
        <f aca="false">IF(AQ596&gt;0,AO596/AQ596,0)</f>
        <v>0.00617331896373057</v>
      </c>
    </row>
    <row r="597" customFormat="false" ht="15" hidden="false" customHeight="false" outlineLevel="0" collapsed="false">
      <c r="A597" s="5" t="s">
        <v>732</v>
      </c>
      <c r="B597" s="9" t="n">
        <v>46069</v>
      </c>
      <c r="C597" s="2" t="str">
        <f aca="false">TEXT(B597,"yyyy")</f>
        <v>2026</v>
      </c>
      <c r="D597" s="2" t="n">
        <f aca="false">WEEKNUM(B597,2)</f>
        <v>8</v>
      </c>
      <c r="E597" s="5" t="s">
        <v>136</v>
      </c>
      <c r="F597" s="6" t="str">
        <f aca="false">INDEX(Parametros!$B$2:$B$9,MATCH($E597,Parametros!$A$2:$A$9,0))</f>
        <v>Salsa BBQ</v>
      </c>
      <c r="G597" s="10" t="n">
        <v>90.6</v>
      </c>
      <c r="H597" s="10" t="n">
        <v>7</v>
      </c>
      <c r="I597" s="11" t="n">
        <f aca="false">SUMIFS(Eventos_Paro!$J$2:$J$2186,Eventos_Paro!$D$2:$D$2186,$E597,Eventos_Paro!$B$2:$B$2186,$B597)</f>
        <v>0.9</v>
      </c>
      <c r="J597" s="12" t="n">
        <f aca="false">G597-H597-I597</f>
        <v>82.7</v>
      </c>
      <c r="K597" s="13" t="n">
        <v>275320</v>
      </c>
      <c r="L597" s="13" t="n">
        <v>352454</v>
      </c>
      <c r="M597" s="13" t="n">
        <v>5021</v>
      </c>
      <c r="N597" s="14" t="n">
        <f aca="false">L597+M597</f>
        <v>357475</v>
      </c>
      <c r="O597" s="11" t="n">
        <f aca="false">INDEX(Parametros!$D$2:$D$9,MATCH($E597,Parametros!$A$2:$A$9,0))</f>
        <v>4800</v>
      </c>
      <c r="P597" s="15" t="n">
        <f aca="false">IF((G597-H597)&gt;0,J597/(G597-H597),0)</f>
        <v>0.989234449760766</v>
      </c>
      <c r="Q597" s="15" t="n">
        <f aca="false">IF(J597*O597&gt;0,N597/(O597*J597),0)</f>
        <v>0.900531539701733</v>
      </c>
      <c r="R597" s="15" t="n">
        <f aca="false">IF(N597&gt;0,L597/N597,0)</f>
        <v>0.985954262535842</v>
      </c>
      <c r="S597" s="15" t="n">
        <f aca="false">P597*Q597*R597</f>
        <v>0.878324362041467</v>
      </c>
      <c r="T597" s="15" t="n">
        <f aca="false">IF(K597&gt;0,L597/K597,0)</f>
        <v>1.28016126688944</v>
      </c>
      <c r="U597" s="10" t="n">
        <v>974.7</v>
      </c>
      <c r="V597" s="5" t="n">
        <v>10</v>
      </c>
      <c r="W597" s="10" t="n">
        <v>68.7</v>
      </c>
      <c r="X597" s="15" t="n">
        <f aca="false">IF(U597&gt;0,W597/U597,0)</f>
        <v>0.0704832256078793</v>
      </c>
      <c r="Y597" s="12" t="n">
        <f aca="false">IF(U597&gt;0,L597/U597,0)</f>
        <v>361.602544372627</v>
      </c>
      <c r="Z597" s="16" t="n">
        <f aca="false">L597*INDEX(Parametros!$E$2:$E$9,MATCH($E597,Parametros!$A$2:$A$9,0))</f>
        <v>204423.32</v>
      </c>
      <c r="AA597" s="16" t="n">
        <f aca="false">Z597*INDEX(Parametros!$F$2:$F$9,MATCH($E597,Parametros!$A$2:$A$9,0))</f>
        <v>5723.85296</v>
      </c>
      <c r="AB597" s="17" t="n">
        <f aca="false">Z597+AA597</f>
        <v>210147.17296</v>
      </c>
      <c r="AC597" s="18" t="n">
        <v>207758.71</v>
      </c>
      <c r="AD597" s="17" t="n">
        <f aca="false">AC597-AB597</f>
        <v>-2388.46295999998</v>
      </c>
      <c r="AE597" s="17" t="n">
        <f aca="false">AA597+AD597</f>
        <v>3335.39000000002</v>
      </c>
      <c r="AF597" s="19" t="n">
        <f aca="false">IF(Z597&gt;0,AE597/Z597,0)</f>
        <v>0.0163160934867902</v>
      </c>
      <c r="AG597" s="16" t="n">
        <f aca="false">(U597-W597)*INDEX(Parametros!$H$2:$H$9,MATCH($E597,Parametros!$A$2:$A$9,0))+W597*INDEX(Parametros!$H$2:$H$9,MATCH($E597,Parametros!$A$2:$A$9,0))*Parametros!$N$3</f>
        <v>31785.075</v>
      </c>
      <c r="AH597" s="13" t="n">
        <v>17930</v>
      </c>
      <c r="AI597" s="16" t="n">
        <f aca="false">AH597*Parametros!$N$2</f>
        <v>1649.56</v>
      </c>
      <c r="AJ597" s="18" t="n">
        <v>8883</v>
      </c>
      <c r="AK597" s="18" t="n">
        <v>850</v>
      </c>
      <c r="AL597" s="17" t="n">
        <f aca="false">AG597+AI597+AJ597+AK597</f>
        <v>43167.635</v>
      </c>
      <c r="AM597" s="20" t="n">
        <f aca="false">IF(L597&gt;0,AL597/L597,0)</f>
        <v>0.122477358747525</v>
      </c>
      <c r="AN597" s="16" t="n">
        <f aca="false">L597*INDEX(Parametros!$G$2:$G$9,MATCH($E597,Parametros!$A$2:$A$9,0))</f>
        <v>345404.92</v>
      </c>
      <c r="AO597" s="17" t="n">
        <f aca="false">AN597-AC597-AL597</f>
        <v>94478.575</v>
      </c>
      <c r="AP597" s="15" t="n">
        <f aca="false">IF(AN597&gt;0,AO597/AN597,0)</f>
        <v>0.273529905132793</v>
      </c>
      <c r="AQ597" s="16" t="n">
        <f aca="false">INDEX(Parametros!$I$2:$I$9,MATCH($E597,Parametros!$A$2:$A$9,0))</f>
        <v>17000000</v>
      </c>
      <c r="AR597" s="19" t="n">
        <f aca="false">IF(AQ597&gt;0,AO597/AQ597,0)</f>
        <v>0.00555756323529412</v>
      </c>
    </row>
    <row r="598" customFormat="false" ht="15" hidden="false" customHeight="false" outlineLevel="0" collapsed="false">
      <c r="A598" s="5" t="s">
        <v>733</v>
      </c>
      <c r="B598" s="9" t="n">
        <v>46069</v>
      </c>
      <c r="C598" s="2" t="str">
        <f aca="false">TEXT(B598,"yyyy")</f>
        <v>2026</v>
      </c>
      <c r="D598" s="2" t="n">
        <f aca="false">WEEKNUM(B598,2)</f>
        <v>8</v>
      </c>
      <c r="E598" s="5" t="s">
        <v>138</v>
      </c>
      <c r="F598" s="6" t="str">
        <f aca="false">INDEX(Parametros!$B$2:$B$9,MATCH($E598,Parametros!$A$2:$A$9,0))</f>
        <v>Queso crema</v>
      </c>
      <c r="G598" s="10" t="n">
        <v>120.8</v>
      </c>
      <c r="H598" s="10" t="n">
        <v>8.8</v>
      </c>
      <c r="I598" s="11" t="n">
        <f aca="false">SUMIFS(Eventos_Paro!$J$2:$J$2186,Eventos_Paro!$D$2:$D$2186,$E598,Eventos_Paro!$B$2:$B$2186,$B598)</f>
        <v>4.6</v>
      </c>
      <c r="J598" s="12" t="n">
        <f aca="false">G598-H598-I598</f>
        <v>107.4</v>
      </c>
      <c r="K598" s="13" t="n">
        <v>329708</v>
      </c>
      <c r="L598" s="13" t="n">
        <v>345505</v>
      </c>
      <c r="M598" s="13" t="n">
        <v>15379</v>
      </c>
      <c r="N598" s="14" t="n">
        <f aca="false">L598+M598</f>
        <v>360884</v>
      </c>
      <c r="O598" s="11" t="n">
        <f aca="false">INDEX(Parametros!$D$2:$D$9,MATCH($E598,Parametros!$A$2:$A$9,0))</f>
        <v>3800</v>
      </c>
      <c r="P598" s="15" t="n">
        <f aca="false">IF((G598-H598)&gt;0,J598/(G598-H598),0)</f>
        <v>0.958928571428572</v>
      </c>
      <c r="Q598" s="15" t="n">
        <f aca="false">IF(J598*O598&gt;0,N598/(O598*J598),0)</f>
        <v>0.88425953151034</v>
      </c>
      <c r="R598" s="15" t="n">
        <f aca="false">IF(N598&gt;0,L598/N598,0)</f>
        <v>0.957385198567961</v>
      </c>
      <c r="S598" s="15" t="n">
        <f aca="false">P598*Q598*R598</f>
        <v>0.811806860902256</v>
      </c>
      <c r="T598" s="15" t="n">
        <f aca="false">IF(K598&gt;0,L598/K598,0)</f>
        <v>1.04791209191163</v>
      </c>
      <c r="U598" s="10" t="n">
        <v>1989.5</v>
      </c>
      <c r="V598" s="5" t="n">
        <v>15</v>
      </c>
      <c r="W598" s="10" t="n">
        <v>177.5</v>
      </c>
      <c r="X598" s="15" t="n">
        <f aca="false">IF(U598&gt;0,W598/U598,0)</f>
        <v>0.0892183965820558</v>
      </c>
      <c r="Y598" s="12" t="n">
        <f aca="false">IF(U598&gt;0,L598/U598,0)</f>
        <v>173.664237245539</v>
      </c>
      <c r="Z598" s="16" t="n">
        <f aca="false">L598*INDEX(Parametros!$E$2:$E$9,MATCH($E598,Parametros!$A$2:$A$9,0))</f>
        <v>386965.6</v>
      </c>
      <c r="AA598" s="16" t="n">
        <f aca="false">Z598*INDEX(Parametros!$F$2:$F$9,MATCH($E598,Parametros!$A$2:$A$9,0))</f>
        <v>13543.796</v>
      </c>
      <c r="AB598" s="17" t="n">
        <f aca="false">Z598+AA598</f>
        <v>400509.396</v>
      </c>
      <c r="AC598" s="18" t="n">
        <v>394158.79</v>
      </c>
      <c r="AD598" s="17" t="n">
        <f aca="false">AC598-AB598</f>
        <v>-6350.60600000009</v>
      </c>
      <c r="AE598" s="17" t="n">
        <f aca="false">AA598+AD598</f>
        <v>7193.18999999992</v>
      </c>
      <c r="AF598" s="19" t="n">
        <f aca="false">IF(Z598&gt;0,AE598/Z598,0)</f>
        <v>0.0185887065930406</v>
      </c>
      <c r="AG598" s="16" t="n">
        <f aca="false">(U598-W598)*INDEX(Parametros!$H$2:$H$9,MATCH($E598,Parametros!$A$2:$A$9,0))+W598*INDEX(Parametros!$H$2:$H$9,MATCH($E598,Parametros!$A$2:$A$9,0))*Parametros!$N$3</f>
        <v>68582.25</v>
      </c>
      <c r="AH598" s="13" t="n">
        <v>16985</v>
      </c>
      <c r="AI598" s="16" t="n">
        <f aca="false">AH598*Parametros!$N$2</f>
        <v>1562.62</v>
      </c>
      <c r="AJ598" s="18" t="n">
        <v>18834</v>
      </c>
      <c r="AK598" s="18" t="n">
        <v>3438</v>
      </c>
      <c r="AL598" s="17" t="n">
        <f aca="false">AG598+AI598+AJ598+AK598</f>
        <v>92416.87</v>
      </c>
      <c r="AM598" s="20" t="n">
        <f aca="false">IF(L598&gt;0,AL598/L598,0)</f>
        <v>0.267483451759019</v>
      </c>
      <c r="AN598" s="16" t="n">
        <f aca="false">L598*INDEX(Parametros!$G$2:$G$9,MATCH($E598,Parametros!$A$2:$A$9,0))</f>
        <v>618453.95</v>
      </c>
      <c r="AO598" s="17" t="n">
        <f aca="false">AN598-AC598-AL598</f>
        <v>131878.29</v>
      </c>
      <c r="AP598" s="15" t="n">
        <f aca="false">IF(AN598&gt;0,AO598/AN598,0)</f>
        <v>0.213238657461886</v>
      </c>
      <c r="AQ598" s="16" t="n">
        <f aca="false">INDEX(Parametros!$I$2:$I$9,MATCH($E598,Parametros!$A$2:$A$9,0))</f>
        <v>33200000</v>
      </c>
      <c r="AR598" s="19" t="n">
        <f aca="false">IF(AQ598&gt;0,AO598/AQ598,0)</f>
        <v>0.00397223765060241</v>
      </c>
    </row>
    <row r="599" customFormat="false" ht="15" hidden="false" customHeight="false" outlineLevel="0" collapsed="false">
      <c r="A599" s="5" t="s">
        <v>734</v>
      </c>
      <c r="B599" s="9" t="n">
        <v>46069</v>
      </c>
      <c r="C599" s="2" t="str">
        <f aca="false">TEXT(B599,"yyyy")</f>
        <v>2026</v>
      </c>
      <c r="D599" s="2" t="n">
        <f aca="false">WEEKNUM(B599,2)</f>
        <v>8</v>
      </c>
      <c r="E599" s="5" t="s">
        <v>140</v>
      </c>
      <c r="F599" s="6" t="str">
        <f aca="false">INDEX(Parametros!$B$2:$B$9,MATCH($E599,Parametros!$A$2:$A$9,0))</f>
        <v>Crema de cacahuate</v>
      </c>
      <c r="G599" s="10" t="n">
        <v>110.2</v>
      </c>
      <c r="H599" s="10" t="n">
        <v>5.4</v>
      </c>
      <c r="I599" s="11" t="n">
        <f aca="false">SUMIFS(Eventos_Paro!$J$2:$J$2186,Eventos_Paro!$D$2:$D$2186,$E599,Eventos_Paro!$B$2:$B$2186,$B599)</f>
        <v>0</v>
      </c>
      <c r="J599" s="12" t="n">
        <f aca="false">G599-H599-I599</f>
        <v>104.8</v>
      </c>
      <c r="K599" s="13" t="n">
        <v>340987</v>
      </c>
      <c r="L599" s="13" t="n">
        <v>382176</v>
      </c>
      <c r="M599" s="13" t="n">
        <v>8012</v>
      </c>
      <c r="N599" s="14" t="n">
        <f aca="false">L599+M599</f>
        <v>390188</v>
      </c>
      <c r="O599" s="11" t="n">
        <f aca="false">INDEX(Parametros!$D$2:$D$9,MATCH($E599,Parametros!$A$2:$A$9,0))</f>
        <v>4200</v>
      </c>
      <c r="P599" s="15" t="n">
        <f aca="false">IF((G599-H599)&gt;0,J599/(G599-H599),0)</f>
        <v>1</v>
      </c>
      <c r="Q599" s="15" t="n">
        <f aca="false">IF(J599*O599&gt;0,N599/(O599*J599),0)</f>
        <v>0.886468556888404</v>
      </c>
      <c r="R599" s="15" t="n">
        <f aca="false">IF(N599&gt;0,L599/N599,0)</f>
        <v>0.9794663085487</v>
      </c>
      <c r="S599" s="15" t="n">
        <f aca="false">P599*Q599*R599</f>
        <v>0.868266085059978</v>
      </c>
      <c r="T599" s="15" t="n">
        <f aca="false">IF(K599&gt;0,L599/K599,0)</f>
        <v>1.1207934613343</v>
      </c>
      <c r="U599" s="10" t="n">
        <v>1367.5</v>
      </c>
      <c r="V599" s="5" t="n">
        <v>12</v>
      </c>
      <c r="W599" s="10" t="n">
        <v>45.1</v>
      </c>
      <c r="X599" s="15" t="n">
        <f aca="false">IF(U599&gt;0,W599/U599,0)</f>
        <v>0.0329798903107861</v>
      </c>
      <c r="Y599" s="12" t="n">
        <f aca="false">IF(U599&gt;0,L599/U599,0)</f>
        <v>279.470566727605</v>
      </c>
      <c r="Z599" s="16" t="n">
        <f aca="false">L599*INDEX(Parametros!$E$2:$E$9,MATCH($E599,Parametros!$A$2:$A$9,0))</f>
        <v>370710.72</v>
      </c>
      <c r="AA599" s="16" t="n">
        <f aca="false">Z599*INDEX(Parametros!$F$2:$F$9,MATCH($E599,Parametros!$A$2:$A$9,0))</f>
        <v>8155.63584</v>
      </c>
      <c r="AB599" s="17" t="n">
        <f aca="false">Z599+AA599</f>
        <v>378866.35584</v>
      </c>
      <c r="AC599" s="18" t="n">
        <v>373668</v>
      </c>
      <c r="AD599" s="17" t="n">
        <f aca="false">AC599-AB599</f>
        <v>-5198.35583999998</v>
      </c>
      <c r="AE599" s="17" t="n">
        <f aca="false">AA599+AD599</f>
        <v>2957.28000000002</v>
      </c>
      <c r="AF599" s="19" t="n">
        <f aca="false">IF(Z599&gt;0,AE599/Z599,0)</f>
        <v>0.00797732528479356</v>
      </c>
      <c r="AG599" s="16" t="n">
        <f aca="false">(U599-W599)*INDEX(Parametros!$H$2:$H$9,MATCH($E599,Parametros!$A$2:$A$9,0))+W599*INDEX(Parametros!$H$2:$H$9,MATCH($E599,Parametros!$A$2:$A$9,0))*Parametros!$N$3</f>
        <v>43786.575</v>
      </c>
      <c r="AH599" s="13" t="n">
        <v>18447</v>
      </c>
      <c r="AI599" s="16" t="n">
        <f aca="false">AH599*Parametros!$N$2</f>
        <v>1697.124</v>
      </c>
      <c r="AJ599" s="18" t="n">
        <v>12264</v>
      </c>
      <c r="AK599" s="18" t="n">
        <v>0</v>
      </c>
      <c r="AL599" s="17" t="n">
        <f aca="false">AG599+AI599+AJ599+AK599</f>
        <v>57747.699</v>
      </c>
      <c r="AM599" s="20" t="n">
        <f aca="false">IF(L599&gt;0,AL599/L599,0)</f>
        <v>0.151102369065561</v>
      </c>
      <c r="AN599" s="16" t="n">
        <f aca="false">L599*INDEX(Parametros!$G$2:$G$9,MATCH($E599,Parametros!$A$2:$A$9,0))</f>
        <v>619125.12</v>
      </c>
      <c r="AO599" s="17" t="n">
        <f aca="false">AN599-AC599-AL599</f>
        <v>187709.421</v>
      </c>
      <c r="AP599" s="15" t="n">
        <f aca="false">IF(AN599&gt;0,AO599/AN599,0)</f>
        <v>0.303184953955672</v>
      </c>
      <c r="AQ599" s="16" t="n">
        <f aca="false">INDEX(Parametros!$I$2:$I$9,MATCH($E599,Parametros!$A$2:$A$9,0))</f>
        <v>28000000</v>
      </c>
      <c r="AR599" s="19" t="n">
        <f aca="false">IF(AQ599&gt;0,AO599/AQ599,0)</f>
        <v>0.00670390789285714</v>
      </c>
    </row>
    <row r="600" customFormat="false" ht="15" hidden="false" customHeight="false" outlineLevel="0" collapsed="false">
      <c r="A600" s="5" t="s">
        <v>735</v>
      </c>
      <c r="B600" s="9" t="n">
        <v>46069</v>
      </c>
      <c r="C600" s="2" t="str">
        <f aca="false">TEXT(B600,"yyyy")</f>
        <v>2026</v>
      </c>
      <c r="D600" s="2" t="n">
        <f aca="false">WEEKNUM(B600,2)</f>
        <v>8</v>
      </c>
      <c r="E600" s="5" t="s">
        <v>142</v>
      </c>
      <c r="F600" s="6" t="str">
        <f aca="false">INDEX(Parametros!$B$2:$B$9,MATCH($E600,Parametros!$A$2:$A$9,0))</f>
        <v>Porciones single serve</v>
      </c>
      <c r="G600" s="10" t="n">
        <v>103.7</v>
      </c>
      <c r="H600" s="10" t="n">
        <v>8.8</v>
      </c>
      <c r="I600" s="11" t="n">
        <f aca="false">SUMIFS(Eventos_Paro!$J$2:$J$2186,Eventos_Paro!$D$2:$D$2186,$E600,Eventos_Paro!$B$2:$B$2186,$B600)</f>
        <v>3.08333333333333</v>
      </c>
      <c r="J600" s="12" t="n">
        <f aca="false">G600-H600-I600</f>
        <v>91.8166666666667</v>
      </c>
      <c r="K600" s="13" t="n">
        <v>191147</v>
      </c>
      <c r="L600" s="13" t="n">
        <v>163006</v>
      </c>
      <c r="M600" s="13" t="n">
        <v>9358</v>
      </c>
      <c r="N600" s="14" t="n">
        <f aca="false">L600+M600</f>
        <v>172364</v>
      </c>
      <c r="O600" s="11" t="n">
        <f aca="false">INDEX(Parametros!$D$2:$D$9,MATCH($E600,Parametros!$A$2:$A$9,0))</f>
        <v>2600</v>
      </c>
      <c r="P600" s="15" t="n">
        <f aca="false">IF((G600-H600)&gt;0,J600/(G600-H600),0)</f>
        <v>0.967509659290481</v>
      </c>
      <c r="Q600" s="15" t="n">
        <f aca="false">IF(J600*O600&gt;0,N600/(O600*J600),0)</f>
        <v>0.722024100423084</v>
      </c>
      <c r="R600" s="15" t="n">
        <f aca="false">IF(N600&gt;0,L600/N600,0)</f>
        <v>0.945707920447425</v>
      </c>
      <c r="S600" s="15" t="n">
        <f aca="false">P600*Q600*R600</f>
        <v>0.660638729026506</v>
      </c>
      <c r="T600" s="15" t="n">
        <f aca="false">IF(K600&gt;0,L600/K600,0)</f>
        <v>0.852778228274574</v>
      </c>
      <c r="U600" s="10" t="n">
        <v>1739.1</v>
      </c>
      <c r="V600" s="5" t="n">
        <v>16</v>
      </c>
      <c r="W600" s="10" t="n">
        <v>79.9</v>
      </c>
      <c r="X600" s="15" t="n">
        <f aca="false">IF(U600&gt;0,W600/U600,0)</f>
        <v>0.0459433040078201</v>
      </c>
      <c r="Y600" s="12" t="n">
        <f aca="false">IF(U600&gt;0,L600/U600,0)</f>
        <v>93.7300902765798</v>
      </c>
      <c r="Z600" s="16" t="n">
        <f aca="false">L600*INDEX(Parametros!$E$2:$E$9,MATCH($E600,Parametros!$A$2:$A$9,0))</f>
        <v>120624.44</v>
      </c>
      <c r="AA600" s="16" t="n">
        <f aca="false">Z600*INDEX(Parametros!$F$2:$F$9,MATCH($E600,Parametros!$A$2:$A$9,0))</f>
        <v>5428.0998</v>
      </c>
      <c r="AB600" s="17" t="n">
        <f aca="false">Z600+AA600</f>
        <v>126052.5398</v>
      </c>
      <c r="AC600" s="18" t="n">
        <v>126392.27</v>
      </c>
      <c r="AD600" s="17" t="n">
        <f aca="false">AC600-AB600</f>
        <v>339.730200000005</v>
      </c>
      <c r="AE600" s="17" t="n">
        <f aca="false">AA600+AD600</f>
        <v>5767.83000000001</v>
      </c>
      <c r="AF600" s="19" t="n">
        <f aca="false">IF(Z600&gt;0,AE600/Z600,0)</f>
        <v>0.0478164292410394</v>
      </c>
      <c r="AG600" s="16" t="n">
        <f aca="false">(U600-W600)*INDEX(Parametros!$H$2:$H$9,MATCH($E600,Parametros!$A$2:$A$9,0))+W600*INDEX(Parametros!$H$2:$H$9,MATCH($E600,Parametros!$A$2:$A$9,0))*Parametros!$N$3</f>
        <v>53371.5</v>
      </c>
      <c r="AH600" s="13" t="n">
        <v>9353</v>
      </c>
      <c r="AI600" s="16" t="n">
        <f aca="false">AH600*Parametros!$N$2</f>
        <v>860.476</v>
      </c>
      <c r="AJ600" s="18" t="n">
        <v>11336</v>
      </c>
      <c r="AK600" s="18" t="n">
        <v>2653</v>
      </c>
      <c r="AL600" s="17" t="n">
        <f aca="false">AG600+AI600+AJ600+AK600</f>
        <v>68220.976</v>
      </c>
      <c r="AM600" s="20" t="n">
        <f aca="false">IF(L600&gt;0,AL600/L600,0)</f>
        <v>0.418518189514496</v>
      </c>
      <c r="AN600" s="16" t="n">
        <f aca="false">L600*INDEX(Parametros!$G$2:$G$9,MATCH($E600,Parametros!$A$2:$A$9,0))</f>
        <v>280370.32</v>
      </c>
      <c r="AO600" s="17" t="n">
        <f aca="false">AN600-AC600-AL600</f>
        <v>85757.074</v>
      </c>
      <c r="AP600" s="15" t="n">
        <f aca="false">IF(AN600&gt;0,AO600/AN600,0)</f>
        <v>0.305870728399497</v>
      </c>
      <c r="AQ600" s="16" t="n">
        <f aca="false">INDEX(Parametros!$I$2:$I$9,MATCH($E600,Parametros!$A$2:$A$9,0))</f>
        <v>15900000</v>
      </c>
      <c r="AR600" s="19" t="n">
        <f aca="false">IF(AQ600&gt;0,AO600/AQ600,0)</f>
        <v>0.00539352666666667</v>
      </c>
    </row>
    <row r="601" customFormat="false" ht="15" hidden="false" customHeight="false" outlineLevel="0" collapsed="false">
      <c r="A601" s="5" t="s">
        <v>736</v>
      </c>
      <c r="B601" s="9" t="n">
        <v>46069</v>
      </c>
      <c r="C601" s="2" t="str">
        <f aca="false">TEXT(B601,"yyyy")</f>
        <v>2026</v>
      </c>
      <c r="D601" s="2" t="n">
        <f aca="false">WEEKNUM(B601,2)</f>
        <v>8</v>
      </c>
      <c r="E601" s="5" t="s">
        <v>144</v>
      </c>
      <c r="F601" s="6" t="str">
        <f aca="false">INDEX(Parametros!$B$2:$B$9,MATCH($E601,Parametros!$A$2:$A$9,0))</f>
        <v>Salsas picantes</v>
      </c>
      <c r="G601" s="10" t="n">
        <v>85.7</v>
      </c>
      <c r="H601" s="10" t="n">
        <v>8.2</v>
      </c>
      <c r="I601" s="11" t="n">
        <f aca="false">SUMIFS(Eventos_Paro!$J$2:$J$2186,Eventos_Paro!$D$2:$D$2186,$E601,Eventos_Paro!$B$2:$B$2186,$B601)</f>
        <v>2.08333333333333</v>
      </c>
      <c r="J601" s="12" t="n">
        <f aca="false">G601-H601-I601</f>
        <v>75.4166666666667</v>
      </c>
      <c r="K601" s="13" t="n">
        <v>201009</v>
      </c>
      <c r="L601" s="13" t="n">
        <v>192172</v>
      </c>
      <c r="M601" s="13" t="n">
        <v>4738</v>
      </c>
      <c r="N601" s="14" t="n">
        <f aca="false">L601+M601</f>
        <v>196910</v>
      </c>
      <c r="O601" s="11" t="n">
        <f aca="false">INDEX(Parametros!$D$2:$D$9,MATCH($E601,Parametros!$A$2:$A$9,0))</f>
        <v>3100</v>
      </c>
      <c r="P601" s="15" t="n">
        <f aca="false">IF((G601-H601)&gt;0,J601/(G601-H601),0)</f>
        <v>0.973118279569893</v>
      </c>
      <c r="Q601" s="15" t="n">
        <f aca="false">IF(J601*O601&gt;0,N601/(O601*J601),0)</f>
        <v>0.842245589021565</v>
      </c>
      <c r="R601" s="15" t="n">
        <f aca="false">IF(N601&gt;0,L601/N601,0)</f>
        <v>0.975938245899142</v>
      </c>
      <c r="S601" s="15" t="n">
        <f aca="false">P601*Q601*R601</f>
        <v>0.799883454734651</v>
      </c>
      <c r="T601" s="15" t="n">
        <f aca="false">IF(K601&gt;0,L601/K601,0)</f>
        <v>0.956036794372391</v>
      </c>
      <c r="U601" s="10" t="n">
        <v>812.8</v>
      </c>
      <c r="V601" s="5" t="n">
        <v>9</v>
      </c>
      <c r="W601" s="10" t="n">
        <v>41.5</v>
      </c>
      <c r="X601" s="15" t="n">
        <f aca="false">IF(U601&gt;0,W601/U601,0)</f>
        <v>0.0510580708661417</v>
      </c>
      <c r="Y601" s="12" t="n">
        <f aca="false">IF(U601&gt;0,L601/U601,0)</f>
        <v>236.432086614173</v>
      </c>
      <c r="Z601" s="16" t="n">
        <f aca="false">L601*INDEX(Parametros!$E$2:$E$9,MATCH($E601,Parametros!$A$2:$A$9,0))</f>
        <v>126833.52</v>
      </c>
      <c r="AA601" s="16" t="n">
        <f aca="false">Z601*INDEX(Parametros!$F$2:$F$9,MATCH($E601,Parametros!$A$2:$A$9,0))</f>
        <v>3297.67152</v>
      </c>
      <c r="AB601" s="17" t="n">
        <f aca="false">Z601+AA601</f>
        <v>130131.19152</v>
      </c>
      <c r="AC601" s="18" t="n">
        <v>132026.16</v>
      </c>
      <c r="AD601" s="17" t="n">
        <f aca="false">AC601-AB601</f>
        <v>1894.96848</v>
      </c>
      <c r="AE601" s="17" t="n">
        <f aca="false">AA601+AD601</f>
        <v>5192.64</v>
      </c>
      <c r="AF601" s="19" t="n">
        <f aca="false">IF(Z601&gt;0,AE601/Z601,0)</f>
        <v>0.0409405967759942</v>
      </c>
      <c r="AG601" s="16" t="n">
        <f aca="false">(U601-W601)*INDEX(Parametros!$H$2:$H$9,MATCH($E601,Parametros!$A$2:$A$9,0))+W601*INDEX(Parametros!$H$2:$H$9,MATCH($E601,Parametros!$A$2:$A$9,0))*Parametros!$N$3</f>
        <v>26256.825</v>
      </c>
      <c r="AH601" s="13" t="n">
        <v>9866</v>
      </c>
      <c r="AI601" s="16" t="n">
        <f aca="false">AH601*Parametros!$N$2</f>
        <v>907.672</v>
      </c>
      <c r="AJ601" s="18" t="n">
        <v>5864</v>
      </c>
      <c r="AK601" s="18" t="n">
        <v>2237</v>
      </c>
      <c r="AL601" s="17" t="n">
        <f aca="false">AG601+AI601+AJ601+AK601</f>
        <v>35265.497</v>
      </c>
      <c r="AM601" s="20" t="n">
        <f aca="false">IF(L601&gt;0,AL601/L601,0)</f>
        <v>0.18351006910476</v>
      </c>
      <c r="AN601" s="16" t="n">
        <f aca="false">L601*INDEX(Parametros!$G$2:$G$9,MATCH($E601,Parametros!$A$2:$A$9,0))</f>
        <v>240215</v>
      </c>
      <c r="AO601" s="17" t="n">
        <f aca="false">AN601-AC601-AL601</f>
        <v>72923.343</v>
      </c>
      <c r="AP601" s="15" t="n">
        <f aca="false">IF(AN601&gt;0,AO601/AN601,0)</f>
        <v>0.303575309618467</v>
      </c>
      <c r="AQ601" s="16" t="n">
        <f aca="false">INDEX(Parametros!$I$2:$I$9,MATCH($E601,Parametros!$A$2:$A$9,0))</f>
        <v>13300000</v>
      </c>
      <c r="AR601" s="19" t="n">
        <f aca="false">IF(AQ601&gt;0,AO601/AQ601,0)</f>
        <v>0.00548295812030075</v>
      </c>
    </row>
    <row r="602" customFormat="false" ht="15" hidden="false" customHeight="false" outlineLevel="0" collapsed="false">
      <c r="A602" s="5" t="s">
        <v>737</v>
      </c>
      <c r="B602" s="9" t="n">
        <v>46076</v>
      </c>
      <c r="C602" s="2" t="str">
        <f aca="false">TEXT(B602,"yyyy")</f>
        <v>2026</v>
      </c>
      <c r="D602" s="2" t="n">
        <f aca="false">WEEKNUM(B602,2)</f>
        <v>9</v>
      </c>
      <c r="E602" s="5" t="s">
        <v>130</v>
      </c>
      <c r="F602" s="6" t="str">
        <f aca="false">INDEX(Parametros!$B$2:$B$9,MATCH($E602,Parametros!$A$2:$A$9,0))</f>
        <v>Ketchup botella</v>
      </c>
      <c r="G602" s="10" t="n">
        <v>116.5</v>
      </c>
      <c r="H602" s="10" t="n">
        <v>5.6</v>
      </c>
      <c r="I602" s="11" t="n">
        <f aca="false">SUMIFS(Eventos_Paro!$J$2:$J$2186,Eventos_Paro!$D$2:$D$2186,$E602,Eventos_Paro!$B$2:$B$2186,$B602)</f>
        <v>0</v>
      </c>
      <c r="J602" s="12" t="n">
        <f aca="false">G602-H602-I602</f>
        <v>110.9</v>
      </c>
      <c r="K602" s="13" t="n">
        <v>775750</v>
      </c>
      <c r="L602" s="13" t="n">
        <v>837371</v>
      </c>
      <c r="M602" s="13" t="n">
        <v>23871</v>
      </c>
      <c r="N602" s="14" t="n">
        <f aca="false">L602+M602</f>
        <v>861242</v>
      </c>
      <c r="O602" s="11" t="n">
        <f aca="false">INDEX(Parametros!$D$2:$D$9,MATCH($E602,Parametros!$A$2:$A$9,0))</f>
        <v>9000</v>
      </c>
      <c r="P602" s="15" t="n">
        <f aca="false">IF((G602-H602)&gt;0,J602/(G602-H602),0)</f>
        <v>1</v>
      </c>
      <c r="Q602" s="15" t="n">
        <f aca="false">IF(J602*O602&gt;0,N602/(O602*J602),0)</f>
        <v>0.862881474802124</v>
      </c>
      <c r="R602" s="15" t="n">
        <f aca="false">IF(N602&gt;0,L602/N602,0)</f>
        <v>0.972283051685821</v>
      </c>
      <c r="S602" s="15" t="n">
        <f aca="false">P602*Q602*R602</f>
        <v>0.838965033563771</v>
      </c>
      <c r="T602" s="15" t="n">
        <f aca="false">IF(K602&gt;0,L602/K602,0)</f>
        <v>1.07943409603609</v>
      </c>
      <c r="U602" s="10" t="n">
        <v>1664.8</v>
      </c>
      <c r="V602" s="5" t="n">
        <v>14</v>
      </c>
      <c r="W602" s="10" t="n">
        <v>33.8</v>
      </c>
      <c r="X602" s="15" t="n">
        <f aca="false">IF(U602&gt;0,W602/U602,0)</f>
        <v>0.0203027390677559</v>
      </c>
      <c r="Y602" s="12" t="n">
        <f aca="false">IF(U602&gt;0,L602/U602,0)</f>
        <v>502.985944257568</v>
      </c>
      <c r="Z602" s="16" t="n">
        <f aca="false">L602*INDEX(Parametros!$E$2:$E$9,MATCH($E602,Parametros!$A$2:$A$9,0))</f>
        <v>351695.82</v>
      </c>
      <c r="AA602" s="16" t="n">
        <f aca="false">Z602*INDEX(Parametros!$F$2:$F$9,MATCH($E602,Parametros!$A$2:$A$9,0))</f>
        <v>7033.9164</v>
      </c>
      <c r="AB602" s="17" t="n">
        <f aca="false">Z602+AA602</f>
        <v>358729.7364</v>
      </c>
      <c r="AC602" s="18" t="n">
        <v>356127.18</v>
      </c>
      <c r="AD602" s="17" t="n">
        <f aca="false">AC602-AB602</f>
        <v>-2602.5564</v>
      </c>
      <c r="AE602" s="17" t="n">
        <f aca="false">AA602+AD602</f>
        <v>4431.36</v>
      </c>
      <c r="AF602" s="19" t="n">
        <f aca="false">IF(Z602&gt;0,AE602/Z602,0)</f>
        <v>0.0125999791524392</v>
      </c>
      <c r="AG602" s="16" t="n">
        <f aca="false">(U602-W602)*INDEX(Parametros!$H$2:$H$9,MATCH($E602,Parametros!$A$2:$A$9,0))+W602*INDEX(Parametros!$H$2:$H$9,MATCH($E602,Parametros!$A$2:$A$9,0))*Parametros!$N$3</f>
        <v>52973.55</v>
      </c>
      <c r="AH602" s="13" t="n">
        <v>43411</v>
      </c>
      <c r="AI602" s="16" t="n">
        <f aca="false">AH602*Parametros!$N$2</f>
        <v>3993.812</v>
      </c>
      <c r="AJ602" s="18" t="n">
        <v>17700</v>
      </c>
      <c r="AK602" s="18" t="n">
        <v>0</v>
      </c>
      <c r="AL602" s="17" t="n">
        <f aca="false">AG602+AI602+AJ602+AK602</f>
        <v>74667.362</v>
      </c>
      <c r="AM602" s="20" t="n">
        <f aca="false">IF(L602&gt;0,AL602/L602,0)</f>
        <v>0.0891687937604718</v>
      </c>
      <c r="AN602" s="16" t="n">
        <f aca="false">L602*INDEX(Parametros!$G$2:$G$9,MATCH($E602,Parametros!$A$2:$A$9,0))</f>
        <v>594533.41</v>
      </c>
      <c r="AO602" s="17" t="n">
        <f aca="false">AN602-AC602-AL602</f>
        <v>163738.868</v>
      </c>
      <c r="AP602" s="15" t="n">
        <f aca="false">IF(AN602&gt;0,AO602/AN602,0)</f>
        <v>0.27540734506409</v>
      </c>
      <c r="AQ602" s="16" t="n">
        <f aca="false">INDEX(Parametros!$I$2:$I$9,MATCH($E602,Parametros!$A$2:$A$9,0))</f>
        <v>29300000</v>
      </c>
      <c r="AR602" s="19" t="n">
        <f aca="false">IF(AQ602&gt;0,AO602/AQ602,0)</f>
        <v>0.00558835726962457</v>
      </c>
    </row>
    <row r="603" customFormat="false" ht="15" hidden="false" customHeight="false" outlineLevel="0" collapsed="false">
      <c r="A603" s="5" t="s">
        <v>738</v>
      </c>
      <c r="B603" s="9" t="n">
        <v>46076</v>
      </c>
      <c r="C603" s="2" t="str">
        <f aca="false">TEXT(B603,"yyyy")</f>
        <v>2026</v>
      </c>
      <c r="D603" s="2" t="n">
        <f aca="false">WEEKNUM(B603,2)</f>
        <v>9</v>
      </c>
      <c r="E603" s="5" t="s">
        <v>132</v>
      </c>
      <c r="F603" s="6" t="str">
        <f aca="false">INDEX(Parametros!$B$2:$B$9,MATCH($E603,Parametros!$A$2:$A$9,0))</f>
        <v>Mayonesa frasco</v>
      </c>
      <c r="G603" s="10" t="n">
        <v>109.4</v>
      </c>
      <c r="H603" s="10" t="n">
        <v>5.4</v>
      </c>
      <c r="I603" s="11" t="n">
        <f aca="false">SUMIFS(Eventos_Paro!$J$2:$J$2186,Eventos_Paro!$D$2:$D$2186,$E603,Eventos_Paro!$B$2:$B$2186,$B603)</f>
        <v>0.416666666666667</v>
      </c>
      <c r="J603" s="12" t="n">
        <f aca="false">G603-H603-I603</f>
        <v>103.583333333333</v>
      </c>
      <c r="K603" s="13" t="n">
        <v>525405</v>
      </c>
      <c r="L603" s="13" t="n">
        <v>563926</v>
      </c>
      <c r="M603" s="13" t="n">
        <v>16203</v>
      </c>
      <c r="N603" s="14" t="n">
        <f aca="false">L603+M603</f>
        <v>580129</v>
      </c>
      <c r="O603" s="11" t="n">
        <f aca="false">INDEX(Parametros!$D$2:$D$9,MATCH($E603,Parametros!$A$2:$A$9,0))</f>
        <v>6500</v>
      </c>
      <c r="P603" s="15" t="n">
        <f aca="false">IF((G603-H603)&gt;0,J603/(G603-H603),0)</f>
        <v>0.99599358974359</v>
      </c>
      <c r="Q603" s="15" t="n">
        <f aca="false">IF(J603*O603&gt;0,N603/(O603*J603),0)</f>
        <v>0.861631041524847</v>
      </c>
      <c r="R603" s="15" t="n">
        <f aca="false">IF(N603&gt;0,L603/N603,0)</f>
        <v>0.972070005119551</v>
      </c>
      <c r="S603" s="15" t="n">
        <f aca="false">P603*Q603*R603</f>
        <v>0.834210059171598</v>
      </c>
      <c r="T603" s="15" t="n">
        <f aca="false">IF(K603&gt;0,L603/K603,0)</f>
        <v>1.07331677467858</v>
      </c>
      <c r="U603" s="10" t="n">
        <v>1335.6</v>
      </c>
      <c r="V603" s="5" t="n">
        <v>12</v>
      </c>
      <c r="W603" s="10" t="n">
        <v>22.8</v>
      </c>
      <c r="X603" s="15" t="n">
        <f aca="false">IF(U603&gt;0,W603/U603,0)</f>
        <v>0.0170709793351303</v>
      </c>
      <c r="Y603" s="12" t="n">
        <f aca="false">IF(U603&gt;0,L603/U603,0)</f>
        <v>422.226714585205</v>
      </c>
      <c r="Z603" s="16" t="n">
        <f aca="false">L603*INDEX(Parametros!$E$2:$E$9,MATCH($E603,Parametros!$A$2:$A$9,0))</f>
        <v>343994.86</v>
      </c>
      <c r="AA603" s="16" t="n">
        <f aca="false">Z603*INDEX(Parametros!$F$2:$F$9,MATCH($E603,Parametros!$A$2:$A$9,0))</f>
        <v>8599.8715</v>
      </c>
      <c r="AB603" s="17" t="n">
        <f aca="false">Z603+AA603</f>
        <v>352594.7315</v>
      </c>
      <c r="AC603" s="18" t="n">
        <v>348902.94</v>
      </c>
      <c r="AD603" s="17" t="n">
        <f aca="false">AC603-AB603</f>
        <v>-3691.79149999999</v>
      </c>
      <c r="AE603" s="17" t="n">
        <f aca="false">AA603+AD603</f>
        <v>4908.08000000001</v>
      </c>
      <c r="AF603" s="19" t="n">
        <f aca="false">IF(Z603&gt;0,AE603/Z603,0)</f>
        <v>0.0142678876073904</v>
      </c>
      <c r="AG603" s="16" t="n">
        <f aca="false">(U603-W603)*INDEX(Parametros!$H$2:$H$9,MATCH($E603,Parametros!$A$2:$A$9,0))+W603*INDEX(Parametros!$H$2:$H$9,MATCH($E603,Parametros!$A$2:$A$9,0))*Parametros!$N$3</f>
        <v>42430.5</v>
      </c>
      <c r="AH603" s="13" t="n">
        <v>28388</v>
      </c>
      <c r="AI603" s="16" t="n">
        <f aca="false">AH603*Parametros!$N$2</f>
        <v>2611.696</v>
      </c>
      <c r="AJ603" s="18" t="n">
        <v>12703</v>
      </c>
      <c r="AK603" s="18" t="n">
        <v>381</v>
      </c>
      <c r="AL603" s="17" t="n">
        <f aca="false">AG603+AI603+AJ603+AK603</f>
        <v>58126.196</v>
      </c>
      <c r="AM603" s="20" t="n">
        <f aca="false">IF(L603&gt;0,AL603/L603,0)</f>
        <v>0.103074155119643</v>
      </c>
      <c r="AN603" s="16" t="n">
        <f aca="false">L603*INDEX(Parametros!$G$2:$G$9,MATCH($E603,Parametros!$A$2:$A$9,0))</f>
        <v>541368.96</v>
      </c>
      <c r="AO603" s="17" t="n">
        <f aca="false">AN603-AC603-AL603</f>
        <v>134339.824</v>
      </c>
      <c r="AP603" s="15" t="n">
        <f aca="false">IF(AN603&gt;0,AO603/AN603,0)</f>
        <v>0.248148368166509</v>
      </c>
      <c r="AQ603" s="16" t="n">
        <f aca="false">INDEX(Parametros!$I$2:$I$9,MATCH($E603,Parametros!$A$2:$A$9,0))</f>
        <v>29700000</v>
      </c>
      <c r="AR603" s="19" t="n">
        <f aca="false">IF(AQ603&gt;0,AO603/AQ603,0)</f>
        <v>0.0045232263973064</v>
      </c>
    </row>
    <row r="604" customFormat="false" ht="15" hidden="false" customHeight="false" outlineLevel="0" collapsed="false">
      <c r="A604" s="5" t="s">
        <v>739</v>
      </c>
      <c r="B604" s="9" t="n">
        <v>46076</v>
      </c>
      <c r="C604" s="2" t="str">
        <f aca="false">TEXT(B604,"yyyy")</f>
        <v>2026</v>
      </c>
      <c r="D604" s="2" t="n">
        <f aca="false">WEEKNUM(B604,2)</f>
        <v>9</v>
      </c>
      <c r="E604" s="5" t="s">
        <v>134</v>
      </c>
      <c r="F604" s="6" t="str">
        <f aca="false">INDEX(Parametros!$B$2:$B$9,MATCH($E604,Parametros!$A$2:$A$9,0))</f>
        <v>Aderezos vertibles</v>
      </c>
      <c r="G604" s="10" t="n">
        <v>101.9</v>
      </c>
      <c r="H604" s="10" t="n">
        <v>6.5</v>
      </c>
      <c r="I604" s="11" t="n">
        <f aca="false">SUMIFS(Eventos_Paro!$J$2:$J$2186,Eventos_Paro!$D$2:$D$2186,$E604,Eventos_Paro!$B$2:$B$2186,$B604)</f>
        <v>2.6</v>
      </c>
      <c r="J604" s="12" t="n">
        <f aca="false">G604-H604-I604</f>
        <v>92.8</v>
      </c>
      <c r="K604" s="13" t="n">
        <v>385567</v>
      </c>
      <c r="L604" s="13" t="n">
        <v>383395</v>
      </c>
      <c r="M604" s="13" t="n">
        <v>15738</v>
      </c>
      <c r="N604" s="14" t="n">
        <f aca="false">L604+M604</f>
        <v>399133</v>
      </c>
      <c r="O604" s="11" t="n">
        <f aca="false">INDEX(Parametros!$D$2:$D$9,MATCH($E604,Parametros!$A$2:$A$9,0))</f>
        <v>5200</v>
      </c>
      <c r="P604" s="15" t="n">
        <f aca="false">IF((G604-H604)&gt;0,J604/(G604-H604),0)</f>
        <v>0.972746331236897</v>
      </c>
      <c r="Q604" s="15" t="n">
        <f aca="false">IF(J604*O604&gt;0,N604/(O604*J604),0)</f>
        <v>0.827115799071618</v>
      </c>
      <c r="R604" s="15" t="n">
        <f aca="false">IF(N604&gt;0,L604/N604,0)</f>
        <v>0.960569534465955</v>
      </c>
      <c r="S604" s="15" t="n">
        <f aca="false">P604*Q604*R604</f>
        <v>0.77284913723593</v>
      </c>
      <c r="T604" s="15" t="n">
        <f aca="false">IF(K604&gt;0,L604/K604,0)</f>
        <v>0.994366737817293</v>
      </c>
      <c r="U604" s="10" t="n">
        <v>1110.5</v>
      </c>
      <c r="V604" s="5" t="n">
        <v>10</v>
      </c>
      <c r="W604" s="10" t="n">
        <v>91.5</v>
      </c>
      <c r="X604" s="15" t="n">
        <f aca="false">IF(U604&gt;0,W604/U604,0)</f>
        <v>0.0823953174245835</v>
      </c>
      <c r="Y604" s="12" t="n">
        <f aca="false">IF(U604&gt;0,L604/U604,0)</f>
        <v>345.245384961729</v>
      </c>
      <c r="Z604" s="16" t="n">
        <f aca="false">L604*INDEX(Parametros!$E$2:$E$9,MATCH($E604,Parametros!$A$2:$A$9,0))</f>
        <v>210867.25</v>
      </c>
      <c r="AA604" s="16" t="n">
        <f aca="false">Z604*INDEX(Parametros!$F$2:$F$9,MATCH($E604,Parametros!$A$2:$A$9,0))</f>
        <v>6326.0175</v>
      </c>
      <c r="AB604" s="17" t="n">
        <f aca="false">Z604+AA604</f>
        <v>217193.2675</v>
      </c>
      <c r="AC604" s="18" t="n">
        <v>213691.97</v>
      </c>
      <c r="AD604" s="17" t="n">
        <f aca="false">AC604-AB604</f>
        <v>-3501.29750000002</v>
      </c>
      <c r="AE604" s="17" t="n">
        <f aca="false">AA604+AD604</f>
        <v>2824.71999999999</v>
      </c>
      <c r="AF604" s="19" t="n">
        <f aca="false">IF(Z604&gt;0,AE604/Z604,0)</f>
        <v>0.0133957264582337</v>
      </c>
      <c r="AG604" s="16" t="n">
        <f aca="false">(U604-W604)*INDEX(Parametros!$H$2:$H$9,MATCH($E604,Parametros!$A$2:$A$9,0))+W604*INDEX(Parametros!$H$2:$H$9,MATCH($E604,Parametros!$A$2:$A$9,0))*Parametros!$N$3</f>
        <v>36421.875</v>
      </c>
      <c r="AH604" s="13" t="n">
        <v>20133</v>
      </c>
      <c r="AI604" s="16" t="n">
        <f aca="false">AH604*Parametros!$N$2</f>
        <v>1852.236</v>
      </c>
      <c r="AJ604" s="18" t="n">
        <v>8881</v>
      </c>
      <c r="AK604" s="18" t="n">
        <v>1545</v>
      </c>
      <c r="AL604" s="17" t="n">
        <f aca="false">AG604+AI604+AJ604+AK604</f>
        <v>48700.111</v>
      </c>
      <c r="AM604" s="20" t="n">
        <f aca="false">IF(L604&gt;0,AL604/L604,0)</f>
        <v>0.127023333637632</v>
      </c>
      <c r="AN604" s="16" t="n">
        <f aca="false">L604*INDEX(Parametros!$G$2:$G$9,MATCH($E604,Parametros!$A$2:$A$9,0))</f>
        <v>391062.9</v>
      </c>
      <c r="AO604" s="17" t="n">
        <f aca="false">AN604-AC604-AL604</f>
        <v>128670.819</v>
      </c>
      <c r="AP604" s="15" t="n">
        <f aca="false">IF(AN604&gt;0,AO604/AN604,0)</f>
        <v>0.329028447853274</v>
      </c>
      <c r="AQ604" s="16" t="n">
        <f aca="false">INDEX(Parametros!$I$2:$I$9,MATCH($E604,Parametros!$A$2:$A$9,0))</f>
        <v>19300000</v>
      </c>
      <c r="AR604" s="19" t="n">
        <f aca="false">IF(AQ604&gt;0,AO604/AQ604,0)</f>
        <v>0.0066668818134715</v>
      </c>
    </row>
    <row r="605" customFormat="false" ht="15" hidden="false" customHeight="false" outlineLevel="0" collapsed="false">
      <c r="A605" s="5" t="s">
        <v>740</v>
      </c>
      <c r="B605" s="9" t="n">
        <v>46076</v>
      </c>
      <c r="C605" s="2" t="str">
        <f aca="false">TEXT(B605,"yyyy")</f>
        <v>2026</v>
      </c>
      <c r="D605" s="2" t="n">
        <f aca="false">WEEKNUM(B605,2)</f>
        <v>9</v>
      </c>
      <c r="E605" s="5" t="s">
        <v>136</v>
      </c>
      <c r="F605" s="6" t="str">
        <f aca="false">INDEX(Parametros!$B$2:$B$9,MATCH($E605,Parametros!$A$2:$A$9,0))</f>
        <v>Salsa BBQ</v>
      </c>
      <c r="G605" s="10" t="n">
        <v>97.5</v>
      </c>
      <c r="H605" s="10" t="n">
        <v>8.2</v>
      </c>
      <c r="I605" s="11" t="n">
        <f aca="false">SUMIFS(Eventos_Paro!$J$2:$J$2186,Eventos_Paro!$D$2:$D$2186,$E605,Eventos_Paro!$B$2:$B$2186,$B605)</f>
        <v>2.53333333333333</v>
      </c>
      <c r="J605" s="12" t="n">
        <f aca="false">G605-H605-I605</f>
        <v>86.7666666666667</v>
      </c>
      <c r="K605" s="13" t="n">
        <v>298986</v>
      </c>
      <c r="L605" s="13" t="n">
        <v>334363</v>
      </c>
      <c r="M605" s="13" t="n">
        <v>12787</v>
      </c>
      <c r="N605" s="14" t="n">
        <f aca="false">L605+M605</f>
        <v>347150</v>
      </c>
      <c r="O605" s="11" t="n">
        <f aca="false">INDEX(Parametros!$D$2:$D$9,MATCH($E605,Parametros!$A$2:$A$9,0))</f>
        <v>4800</v>
      </c>
      <c r="P605" s="15" t="n">
        <f aca="false">IF((G605-H605)&gt;0,J605/(G605-H605),0)</f>
        <v>0.971631205673759</v>
      </c>
      <c r="Q605" s="15" t="n">
        <f aca="false">IF(J605*O605&gt;0,N605/(O605*J605),0)</f>
        <v>0.833533422973492</v>
      </c>
      <c r="R605" s="15" t="n">
        <f aca="false">IF(N605&gt;0,L605/N605,0)</f>
        <v>0.963165778481924</v>
      </c>
      <c r="S605" s="15" t="n">
        <f aca="false">P605*Q605*R605</f>
        <v>0.780055524449422</v>
      </c>
      <c r="T605" s="15" t="n">
        <f aca="false">IF(K605&gt;0,L605/K605,0)</f>
        <v>1.11832326597232</v>
      </c>
      <c r="U605" s="10" t="n">
        <v>1115.7</v>
      </c>
      <c r="V605" s="5" t="n">
        <v>11</v>
      </c>
      <c r="W605" s="10" t="n">
        <v>43.2</v>
      </c>
      <c r="X605" s="15" t="n">
        <f aca="false">IF(U605&gt;0,W605/U605,0)</f>
        <v>0.0387200860446357</v>
      </c>
      <c r="Y605" s="12" t="n">
        <f aca="false">IF(U605&gt;0,L605/U605,0)</f>
        <v>299.68898449404</v>
      </c>
      <c r="Z605" s="16" t="n">
        <f aca="false">L605*INDEX(Parametros!$E$2:$E$9,MATCH($E605,Parametros!$A$2:$A$9,0))</f>
        <v>193930.54</v>
      </c>
      <c r="AA605" s="16" t="n">
        <f aca="false">Z605*INDEX(Parametros!$F$2:$F$9,MATCH($E605,Parametros!$A$2:$A$9,0))</f>
        <v>5430.05512</v>
      </c>
      <c r="AB605" s="17" t="n">
        <f aca="false">Z605+AA605</f>
        <v>199360.59512</v>
      </c>
      <c r="AC605" s="18" t="n">
        <v>202615.71</v>
      </c>
      <c r="AD605" s="17" t="n">
        <f aca="false">AC605-AB605</f>
        <v>3255.11488000001</v>
      </c>
      <c r="AE605" s="17" t="n">
        <f aca="false">AA605+AD605</f>
        <v>8685.17000000001</v>
      </c>
      <c r="AF605" s="19" t="n">
        <f aca="false">IF(Z605&gt;0,AE605/Z605,0)</f>
        <v>0.0447849523855294</v>
      </c>
      <c r="AG605" s="16" t="n">
        <f aca="false">(U605-W605)*INDEX(Parametros!$H$2:$H$9,MATCH($E605,Parametros!$A$2:$A$9,0))+W605*INDEX(Parametros!$H$2:$H$9,MATCH($E605,Parametros!$A$2:$A$9,0))*Parametros!$N$3</f>
        <v>35824.95</v>
      </c>
      <c r="AH605" s="13" t="n">
        <v>17695</v>
      </c>
      <c r="AI605" s="16" t="n">
        <f aca="false">AH605*Parametros!$N$2</f>
        <v>1627.94</v>
      </c>
      <c r="AJ605" s="18" t="n">
        <v>9618</v>
      </c>
      <c r="AK605" s="18" t="n">
        <v>1734</v>
      </c>
      <c r="AL605" s="17" t="n">
        <f aca="false">AG605+AI605+AJ605+AK605</f>
        <v>48804.89</v>
      </c>
      <c r="AM605" s="20" t="n">
        <f aca="false">IF(L605&gt;0,AL605/L605,0)</f>
        <v>0.145963787859303</v>
      </c>
      <c r="AN605" s="16" t="n">
        <f aca="false">L605*INDEX(Parametros!$G$2:$G$9,MATCH($E605,Parametros!$A$2:$A$9,0))</f>
        <v>327675.74</v>
      </c>
      <c r="AO605" s="17" t="n">
        <f aca="false">AN605-AC605-AL605</f>
        <v>76255.14</v>
      </c>
      <c r="AP605" s="15" t="n">
        <f aca="false">IF(AN605&gt;0,AO605/AN605,0)</f>
        <v>0.232715244650092</v>
      </c>
      <c r="AQ605" s="16" t="n">
        <f aca="false">INDEX(Parametros!$I$2:$I$9,MATCH($E605,Parametros!$A$2:$A$9,0))</f>
        <v>17000000</v>
      </c>
      <c r="AR605" s="19" t="n">
        <f aca="false">IF(AQ605&gt;0,AO605/AQ605,0)</f>
        <v>0.00448559647058824</v>
      </c>
    </row>
    <row r="606" customFormat="false" ht="15" hidden="false" customHeight="false" outlineLevel="0" collapsed="false">
      <c r="A606" s="5" t="s">
        <v>741</v>
      </c>
      <c r="B606" s="9" t="n">
        <v>46076</v>
      </c>
      <c r="C606" s="2" t="str">
        <f aca="false">TEXT(B606,"yyyy")</f>
        <v>2026</v>
      </c>
      <c r="D606" s="2" t="n">
        <f aca="false">WEEKNUM(B606,2)</f>
        <v>9</v>
      </c>
      <c r="E606" s="5" t="s">
        <v>138</v>
      </c>
      <c r="F606" s="6" t="str">
        <f aca="false">INDEX(Parametros!$B$2:$B$9,MATCH($E606,Parametros!$A$2:$A$9,0))</f>
        <v>Queso crema</v>
      </c>
      <c r="G606" s="10" t="n">
        <v>101.7</v>
      </c>
      <c r="H606" s="10" t="n">
        <v>5.6</v>
      </c>
      <c r="I606" s="11" t="n">
        <f aca="false">SUMIFS(Eventos_Paro!$J$2:$J$2186,Eventos_Paro!$D$2:$D$2186,$E606,Eventos_Paro!$B$2:$B$2186,$B606)</f>
        <v>2.11666666666667</v>
      </c>
      <c r="J606" s="12" t="n">
        <f aca="false">G606-H606-I606</f>
        <v>93.9833333333334</v>
      </c>
      <c r="K606" s="13" t="n">
        <v>283828</v>
      </c>
      <c r="L606" s="13" t="n">
        <v>271087</v>
      </c>
      <c r="M606" s="13" t="n">
        <v>11918</v>
      </c>
      <c r="N606" s="14" t="n">
        <f aca="false">L606+M606</f>
        <v>283005</v>
      </c>
      <c r="O606" s="11" t="n">
        <f aca="false">INDEX(Parametros!$D$2:$D$9,MATCH($E606,Parametros!$A$2:$A$9,0))</f>
        <v>3800</v>
      </c>
      <c r="P606" s="15" t="n">
        <f aca="false">IF((G606-H606)&gt;0,J606/(G606-H606),0)</f>
        <v>0.977974332292751</v>
      </c>
      <c r="Q606" s="15" t="n">
        <f aca="false">IF(J606*O606&gt;0,N606/(O606*J606),0)</f>
        <v>0.79242773541408</v>
      </c>
      <c r="R606" s="15" t="n">
        <f aca="false">IF(N606&gt;0,L606/N606,0)</f>
        <v>0.957887669829155</v>
      </c>
      <c r="S606" s="15" t="n">
        <f aca="false">P606*Q606*R606</f>
        <v>0.74233802508352</v>
      </c>
      <c r="T606" s="15" t="n">
        <f aca="false">IF(K606&gt;0,L606/K606,0)</f>
        <v>0.955110137125301</v>
      </c>
      <c r="U606" s="10" t="n">
        <v>1738.4</v>
      </c>
      <c r="V606" s="5" t="n">
        <v>16</v>
      </c>
      <c r="W606" s="10" t="n">
        <v>111.2</v>
      </c>
      <c r="X606" s="15" t="n">
        <f aca="false">IF(U606&gt;0,W606/U606,0)</f>
        <v>0.0639668660837552</v>
      </c>
      <c r="Y606" s="12" t="n">
        <f aca="false">IF(U606&gt;0,L606/U606,0)</f>
        <v>155.940520018408</v>
      </c>
      <c r="Z606" s="16" t="n">
        <f aca="false">L606*INDEX(Parametros!$E$2:$E$9,MATCH($E606,Parametros!$A$2:$A$9,0))</f>
        <v>303617.44</v>
      </c>
      <c r="AA606" s="16" t="n">
        <f aca="false">Z606*INDEX(Parametros!$F$2:$F$9,MATCH($E606,Parametros!$A$2:$A$9,0))</f>
        <v>10626.6104</v>
      </c>
      <c r="AB606" s="17" t="n">
        <f aca="false">Z606+AA606</f>
        <v>314244.0504</v>
      </c>
      <c r="AC606" s="18" t="n">
        <v>305008.24</v>
      </c>
      <c r="AD606" s="17" t="n">
        <f aca="false">AC606-AB606</f>
        <v>-9235.81040000002</v>
      </c>
      <c r="AE606" s="17" t="n">
        <f aca="false">AA606+AD606</f>
        <v>1390.79999999998</v>
      </c>
      <c r="AF606" s="19" t="n">
        <f aca="false">IF(Z606&gt;0,AE606/Z606,0)</f>
        <v>0.00458076453052231</v>
      </c>
      <c r="AG606" s="16" t="n">
        <f aca="false">(U606-W606)*INDEX(Parametros!$H$2:$H$9,MATCH($E606,Parametros!$A$2:$A$9,0))+W606*INDEX(Parametros!$H$2:$H$9,MATCH($E606,Parametros!$A$2:$A$9,0))*Parametros!$N$3</f>
        <v>59202</v>
      </c>
      <c r="AH606" s="13" t="n">
        <v>14489</v>
      </c>
      <c r="AI606" s="16" t="n">
        <f aca="false">AH606*Parametros!$N$2</f>
        <v>1332.988</v>
      </c>
      <c r="AJ606" s="18" t="n">
        <v>18284</v>
      </c>
      <c r="AK606" s="18" t="n">
        <v>2093</v>
      </c>
      <c r="AL606" s="17" t="n">
        <f aca="false">AG606+AI606+AJ606+AK606</f>
        <v>80911.988</v>
      </c>
      <c r="AM606" s="20" t="n">
        <f aca="false">IF(L606&gt;0,AL606/L606,0)</f>
        <v>0.298472401848853</v>
      </c>
      <c r="AN606" s="16" t="n">
        <f aca="false">L606*INDEX(Parametros!$G$2:$G$9,MATCH($E606,Parametros!$A$2:$A$9,0))</f>
        <v>485245.73</v>
      </c>
      <c r="AO606" s="17" t="n">
        <f aca="false">AN606-AC606-AL606</f>
        <v>99325.502</v>
      </c>
      <c r="AP606" s="15" t="n">
        <f aca="false">IF(AN606&gt;0,AO606/AN606,0)</f>
        <v>0.204691140713387</v>
      </c>
      <c r="AQ606" s="16" t="n">
        <f aca="false">INDEX(Parametros!$I$2:$I$9,MATCH($E606,Parametros!$A$2:$A$9,0))</f>
        <v>33200000</v>
      </c>
      <c r="AR606" s="19" t="n">
        <f aca="false">IF(AQ606&gt;0,AO606/AQ606,0)</f>
        <v>0.00299173198795181</v>
      </c>
    </row>
    <row r="607" customFormat="false" ht="15" hidden="false" customHeight="false" outlineLevel="0" collapsed="false">
      <c r="A607" s="5" t="s">
        <v>742</v>
      </c>
      <c r="B607" s="9" t="n">
        <v>46076</v>
      </c>
      <c r="C607" s="2" t="str">
        <f aca="false">TEXT(B607,"yyyy")</f>
        <v>2026</v>
      </c>
      <c r="D607" s="2" t="n">
        <f aca="false">WEEKNUM(B607,2)</f>
        <v>9</v>
      </c>
      <c r="E607" s="5" t="s">
        <v>140</v>
      </c>
      <c r="F607" s="6" t="str">
        <f aca="false">INDEX(Parametros!$B$2:$B$9,MATCH($E607,Parametros!$A$2:$A$9,0))</f>
        <v>Crema de cacahuate</v>
      </c>
      <c r="G607" s="10" t="n">
        <v>100.8</v>
      </c>
      <c r="H607" s="10" t="n">
        <v>6.6</v>
      </c>
      <c r="I607" s="11" t="n">
        <f aca="false">SUMIFS(Eventos_Paro!$J$2:$J$2186,Eventos_Paro!$D$2:$D$2186,$E607,Eventos_Paro!$B$2:$B$2186,$B607)</f>
        <v>2.01666666666667</v>
      </c>
      <c r="J607" s="12" t="n">
        <f aca="false">G607-H607-I607</f>
        <v>92.1833333333333</v>
      </c>
      <c r="K607" s="13" t="n">
        <v>307502</v>
      </c>
      <c r="L607" s="13" t="n">
        <v>329868</v>
      </c>
      <c r="M607" s="13" t="n">
        <v>9943</v>
      </c>
      <c r="N607" s="14" t="n">
        <f aca="false">L607+M607</f>
        <v>339811</v>
      </c>
      <c r="O607" s="11" t="n">
        <f aca="false">INDEX(Parametros!$D$2:$D$9,MATCH($E607,Parametros!$A$2:$A$9,0))</f>
        <v>4200</v>
      </c>
      <c r="P607" s="15" t="n">
        <f aca="false">IF((G607-H607)&gt;0,J607/(G607-H607),0)</f>
        <v>0.978591648973815</v>
      </c>
      <c r="Q607" s="15" t="n">
        <f aca="false">IF(J607*O607&gt;0,N607/(O607*J607),0)</f>
        <v>0.877679055711961</v>
      </c>
      <c r="R607" s="15" t="n">
        <f aca="false">IF(N607&gt;0,L607/N607,0)</f>
        <v>0.970739617022404</v>
      </c>
      <c r="S607" s="15" t="n">
        <f aca="false">P607*Q607*R607</f>
        <v>0.833757961783439</v>
      </c>
      <c r="T607" s="15" t="n">
        <f aca="false">IF(K607&gt;0,L607/K607,0)</f>
        <v>1.07273448627976</v>
      </c>
      <c r="U607" s="10" t="n">
        <v>1242.6</v>
      </c>
      <c r="V607" s="5" t="n">
        <v>12</v>
      </c>
      <c r="W607" s="10" t="n">
        <v>33</v>
      </c>
      <c r="X607" s="15" t="n">
        <f aca="false">IF(U607&gt;0,W607/U607,0)</f>
        <v>0.0265572187349107</v>
      </c>
      <c r="Y607" s="12" t="n">
        <f aca="false">IF(U607&gt;0,L607/U607,0)</f>
        <v>265.465958474167</v>
      </c>
      <c r="Z607" s="16" t="n">
        <f aca="false">L607*INDEX(Parametros!$E$2:$E$9,MATCH($E607,Parametros!$A$2:$A$9,0))</f>
        <v>319971.96</v>
      </c>
      <c r="AA607" s="16" t="n">
        <f aca="false">Z607*INDEX(Parametros!$F$2:$F$9,MATCH($E607,Parametros!$A$2:$A$9,0))</f>
        <v>7039.38312</v>
      </c>
      <c r="AB607" s="17" t="n">
        <f aca="false">Z607+AA607</f>
        <v>327011.34312</v>
      </c>
      <c r="AC607" s="18" t="n">
        <v>330904.88</v>
      </c>
      <c r="AD607" s="17" t="n">
        <f aca="false">AC607-AB607</f>
        <v>3893.53688000003</v>
      </c>
      <c r="AE607" s="17" t="n">
        <f aca="false">AA607+AD607</f>
        <v>10932.92</v>
      </c>
      <c r="AF607" s="19" t="n">
        <f aca="false">IF(Z607&gt;0,AE607/Z607,0)</f>
        <v>0.034168369003334</v>
      </c>
      <c r="AG607" s="16" t="n">
        <f aca="false">(U607-W607)*INDEX(Parametros!$H$2:$H$9,MATCH($E607,Parametros!$A$2:$A$9,0))+W607*INDEX(Parametros!$H$2:$H$9,MATCH($E607,Parametros!$A$2:$A$9,0))*Parametros!$N$3</f>
        <v>39661.65</v>
      </c>
      <c r="AH607" s="13" t="n">
        <v>17433</v>
      </c>
      <c r="AI607" s="16" t="n">
        <f aca="false">AH607*Parametros!$N$2</f>
        <v>1603.836</v>
      </c>
      <c r="AJ607" s="18" t="n">
        <v>10914</v>
      </c>
      <c r="AK607" s="18" t="n">
        <v>2417</v>
      </c>
      <c r="AL607" s="17" t="n">
        <f aca="false">AG607+AI607+AJ607+AK607</f>
        <v>54596.486</v>
      </c>
      <c r="AM607" s="20" t="n">
        <f aca="false">IF(L607&gt;0,AL607/L607,0)</f>
        <v>0.165510101010101</v>
      </c>
      <c r="AN607" s="16" t="n">
        <f aca="false">L607*INDEX(Parametros!$G$2:$G$9,MATCH($E607,Parametros!$A$2:$A$9,0))</f>
        <v>534386.16</v>
      </c>
      <c r="AO607" s="17" t="n">
        <f aca="false">AN607-AC607-AL607</f>
        <v>148884.794</v>
      </c>
      <c r="AP607" s="15" t="n">
        <f aca="false">IF(AN607&gt;0,AO607/AN607,0)</f>
        <v>0.278609000652262</v>
      </c>
      <c r="AQ607" s="16" t="n">
        <f aca="false">INDEX(Parametros!$I$2:$I$9,MATCH($E607,Parametros!$A$2:$A$9,0))</f>
        <v>28000000</v>
      </c>
      <c r="AR607" s="19" t="n">
        <f aca="false">IF(AQ607&gt;0,AO607/AQ607,0)</f>
        <v>0.00531731407142857</v>
      </c>
    </row>
    <row r="608" customFormat="false" ht="15" hidden="false" customHeight="false" outlineLevel="0" collapsed="false">
      <c r="A608" s="5" t="s">
        <v>743</v>
      </c>
      <c r="B608" s="9" t="n">
        <v>46076</v>
      </c>
      <c r="C608" s="2" t="str">
        <f aca="false">TEXT(B608,"yyyy")</f>
        <v>2026</v>
      </c>
      <c r="D608" s="2" t="n">
        <f aca="false">WEEKNUM(B608,2)</f>
        <v>9</v>
      </c>
      <c r="E608" s="5" t="s">
        <v>142</v>
      </c>
      <c r="F608" s="6" t="str">
        <f aca="false">INDEX(Parametros!$B$2:$B$9,MATCH($E608,Parametros!$A$2:$A$9,0))</f>
        <v>Porciones single serve</v>
      </c>
      <c r="G608" s="10" t="n">
        <v>102.1</v>
      </c>
      <c r="H608" s="10" t="n">
        <v>6.4</v>
      </c>
      <c r="I608" s="11" t="n">
        <f aca="false">SUMIFS(Eventos_Paro!$J$2:$J$2186,Eventos_Paro!$D$2:$D$2186,$E608,Eventos_Paro!$B$2:$B$2186,$B608)</f>
        <v>4.3</v>
      </c>
      <c r="J608" s="12" t="n">
        <f aca="false">G608-H608-I608</f>
        <v>91.4</v>
      </c>
      <c r="K608" s="13" t="n">
        <v>193390</v>
      </c>
      <c r="L608" s="13" t="n">
        <v>198593</v>
      </c>
      <c r="M608" s="13" t="n">
        <v>8565</v>
      </c>
      <c r="N608" s="14" t="n">
        <f aca="false">L608+M608</f>
        <v>207158</v>
      </c>
      <c r="O608" s="11" t="n">
        <f aca="false">INDEX(Parametros!$D$2:$D$9,MATCH($E608,Parametros!$A$2:$A$9,0))</f>
        <v>2600</v>
      </c>
      <c r="P608" s="15" t="n">
        <f aca="false">IF((G608-H608)&gt;0,J608/(G608-H608),0)</f>
        <v>0.955067920585162</v>
      </c>
      <c r="Q608" s="15" t="n">
        <f aca="false">IF(J608*O608&gt;0,N608/(O608*J608),0)</f>
        <v>0.871730348426191</v>
      </c>
      <c r="R608" s="15" t="n">
        <f aca="false">IF(N608&gt;0,L608/N608,0)</f>
        <v>0.958654746618523</v>
      </c>
      <c r="S608" s="15" t="n">
        <f aca="false">P608*Q608*R608</f>
        <v>0.798139217104735</v>
      </c>
      <c r="T608" s="15" t="n">
        <f aca="false">IF(K608&gt;0,L608/K608,0)</f>
        <v>1.02690418325663</v>
      </c>
      <c r="U608" s="10" t="n">
        <v>1772.9</v>
      </c>
      <c r="V608" s="5" t="n">
        <v>16</v>
      </c>
      <c r="W608" s="10" t="n">
        <v>139.3</v>
      </c>
      <c r="X608" s="15" t="n">
        <f aca="false">IF(U608&gt;0,W608/U608,0)</f>
        <v>0.0785718314625754</v>
      </c>
      <c r="Y608" s="12" t="n">
        <f aca="false">IF(U608&gt;0,L608/U608,0)</f>
        <v>112.015906142478</v>
      </c>
      <c r="Z608" s="16" t="n">
        <f aca="false">L608*INDEX(Parametros!$E$2:$E$9,MATCH($E608,Parametros!$A$2:$A$9,0))</f>
        <v>146958.82</v>
      </c>
      <c r="AA608" s="16" t="n">
        <f aca="false">Z608*INDEX(Parametros!$F$2:$F$9,MATCH($E608,Parametros!$A$2:$A$9,0))</f>
        <v>6613.1469</v>
      </c>
      <c r="AB608" s="17" t="n">
        <f aca="false">Z608+AA608</f>
        <v>153571.9669</v>
      </c>
      <c r="AC608" s="18" t="n">
        <v>149814.19</v>
      </c>
      <c r="AD608" s="17" t="n">
        <f aca="false">AC608-AB608</f>
        <v>-3757.7769</v>
      </c>
      <c r="AE608" s="17" t="n">
        <f aca="false">AA608+AD608</f>
        <v>2855.37</v>
      </c>
      <c r="AF608" s="19" t="n">
        <f aca="false">IF(Z608&gt;0,AE608/Z608,0)</f>
        <v>0.0194297286818171</v>
      </c>
      <c r="AG608" s="16" t="n">
        <f aca="false">(U608-W608)*INDEX(Parametros!$H$2:$H$9,MATCH($E608,Parametros!$A$2:$A$9,0))+W608*INDEX(Parametros!$H$2:$H$9,MATCH($E608,Parametros!$A$2:$A$9,0))*Parametros!$N$3</f>
        <v>55276.5</v>
      </c>
      <c r="AH608" s="13" t="n">
        <v>10428</v>
      </c>
      <c r="AI608" s="16" t="n">
        <f aca="false">AH608*Parametros!$N$2</f>
        <v>959.376</v>
      </c>
      <c r="AJ608" s="18" t="n">
        <v>11379</v>
      </c>
      <c r="AK608" s="18" t="n">
        <v>4521</v>
      </c>
      <c r="AL608" s="17" t="n">
        <f aca="false">AG608+AI608+AJ608+AK608</f>
        <v>72135.876</v>
      </c>
      <c r="AM608" s="20" t="n">
        <f aca="false">IF(L608&gt;0,AL608/L608,0)</f>
        <v>0.363234736370366</v>
      </c>
      <c r="AN608" s="16" t="n">
        <f aca="false">L608*INDEX(Parametros!$G$2:$G$9,MATCH($E608,Parametros!$A$2:$A$9,0))</f>
        <v>341579.96</v>
      </c>
      <c r="AO608" s="17" t="n">
        <f aca="false">AN608-AC608-AL608</f>
        <v>119629.894</v>
      </c>
      <c r="AP608" s="15" t="n">
        <f aca="false">IF(AN608&gt;0,AO608/AN608,0)</f>
        <v>0.350225153723889</v>
      </c>
      <c r="AQ608" s="16" t="n">
        <f aca="false">INDEX(Parametros!$I$2:$I$9,MATCH($E608,Parametros!$A$2:$A$9,0))</f>
        <v>15900000</v>
      </c>
      <c r="AR608" s="19" t="n">
        <f aca="false">IF(AQ608&gt;0,AO608/AQ608,0)</f>
        <v>0.00752389270440252</v>
      </c>
    </row>
    <row r="609" customFormat="false" ht="15" hidden="false" customHeight="false" outlineLevel="0" collapsed="false">
      <c r="A609" s="5" t="s">
        <v>744</v>
      </c>
      <c r="B609" s="9" t="n">
        <v>46076</v>
      </c>
      <c r="C609" s="2" t="str">
        <f aca="false">TEXT(B609,"yyyy")</f>
        <v>2026</v>
      </c>
      <c r="D609" s="2" t="n">
        <f aca="false">WEEKNUM(B609,2)</f>
        <v>9</v>
      </c>
      <c r="E609" s="5" t="s">
        <v>144</v>
      </c>
      <c r="F609" s="6" t="str">
        <f aca="false">INDEX(Parametros!$B$2:$B$9,MATCH($E609,Parametros!$A$2:$A$9,0))</f>
        <v>Salsas picantes</v>
      </c>
      <c r="G609" s="10" t="n">
        <v>107</v>
      </c>
      <c r="H609" s="10" t="n">
        <v>6.3</v>
      </c>
      <c r="I609" s="11" t="n">
        <f aca="false">SUMIFS(Eventos_Paro!$J$2:$J$2186,Eventos_Paro!$D$2:$D$2186,$E609,Eventos_Paro!$B$2:$B$2186,$B609)</f>
        <v>4.88333333333333</v>
      </c>
      <c r="J609" s="12" t="n">
        <f aca="false">G609-H609-I609</f>
        <v>95.8166666666667</v>
      </c>
      <c r="K609" s="13" t="n">
        <v>259937</v>
      </c>
      <c r="L609" s="13" t="n">
        <v>250667</v>
      </c>
      <c r="M609" s="13" t="n">
        <v>9966</v>
      </c>
      <c r="N609" s="14" t="n">
        <f aca="false">L609+M609</f>
        <v>260633</v>
      </c>
      <c r="O609" s="11" t="n">
        <f aca="false">INDEX(Parametros!$D$2:$D$9,MATCH($E609,Parametros!$A$2:$A$9,0))</f>
        <v>3100</v>
      </c>
      <c r="P609" s="15" t="n">
        <f aca="false">IF((G609-H609)&gt;0,J609/(G609-H609),0)</f>
        <v>0.951506123800066</v>
      </c>
      <c r="Q609" s="15" t="n">
        <f aca="false">IF(J609*O609&gt;0,N609/(O609*J609),0)</f>
        <v>0.87745863235682</v>
      </c>
      <c r="R609" s="15" t="n">
        <f aca="false">IF(N609&gt;0,L609/N609,0)</f>
        <v>0.961762324801541</v>
      </c>
      <c r="S609" s="15" t="n">
        <f aca="false">P609*Q609*R609</f>
        <v>0.802982349360925</v>
      </c>
      <c r="T609" s="15" t="n">
        <f aca="false">IF(K609&gt;0,L609/K609,0)</f>
        <v>0.964337512551118</v>
      </c>
      <c r="U609" s="10" t="n">
        <v>1003.1</v>
      </c>
      <c r="V609" s="5" t="n">
        <v>9</v>
      </c>
      <c r="W609" s="10" t="n">
        <v>40.1</v>
      </c>
      <c r="X609" s="15" t="n">
        <f aca="false">IF(U609&gt;0,W609/U609,0)</f>
        <v>0.0399760741700728</v>
      </c>
      <c r="Y609" s="12" t="n">
        <f aca="false">IF(U609&gt;0,L609/U609,0)</f>
        <v>249.892333765328</v>
      </c>
      <c r="Z609" s="16" t="n">
        <f aca="false">L609*INDEX(Parametros!$E$2:$E$9,MATCH($E609,Parametros!$A$2:$A$9,0))</f>
        <v>165440.22</v>
      </c>
      <c r="AA609" s="16" t="n">
        <f aca="false">Z609*INDEX(Parametros!$F$2:$F$9,MATCH($E609,Parametros!$A$2:$A$9,0))</f>
        <v>4301.44572</v>
      </c>
      <c r="AB609" s="17" t="n">
        <f aca="false">Z609+AA609</f>
        <v>169741.66572</v>
      </c>
      <c r="AC609" s="18" t="n">
        <v>172799.22</v>
      </c>
      <c r="AD609" s="17" t="n">
        <f aca="false">AC609-AB609</f>
        <v>3057.55428000001</v>
      </c>
      <c r="AE609" s="17" t="n">
        <f aca="false">AA609+AD609</f>
        <v>7359.00000000001</v>
      </c>
      <c r="AF609" s="19" t="n">
        <f aca="false">IF(Z609&gt;0,AE609/Z609,0)</f>
        <v>0.0444813238280269</v>
      </c>
      <c r="AG609" s="16" t="n">
        <f aca="false">(U609-W609)*INDEX(Parametros!$H$2:$H$9,MATCH($E609,Parametros!$A$2:$A$9,0))+W609*INDEX(Parametros!$H$2:$H$9,MATCH($E609,Parametros!$A$2:$A$9,0))*Parametros!$N$3</f>
        <v>32229.225</v>
      </c>
      <c r="AH609" s="13" t="n">
        <v>13360</v>
      </c>
      <c r="AI609" s="16" t="n">
        <f aca="false">AH609*Parametros!$N$2</f>
        <v>1229.12</v>
      </c>
      <c r="AJ609" s="18" t="n">
        <v>6884</v>
      </c>
      <c r="AK609" s="18" t="n">
        <v>4068</v>
      </c>
      <c r="AL609" s="17" t="n">
        <f aca="false">AG609+AI609+AJ609+AK609</f>
        <v>44410.345</v>
      </c>
      <c r="AM609" s="20" t="n">
        <f aca="false">IF(L609&gt;0,AL609/L609,0)</f>
        <v>0.177168693924609</v>
      </c>
      <c r="AN609" s="16" t="n">
        <f aca="false">L609*INDEX(Parametros!$G$2:$G$9,MATCH($E609,Parametros!$A$2:$A$9,0))</f>
        <v>313333.75</v>
      </c>
      <c r="AO609" s="17" t="n">
        <f aca="false">AN609-AC609-AL609</f>
        <v>96124.185</v>
      </c>
      <c r="AP609" s="15" t="n">
        <f aca="false">IF(AN609&gt;0,AO609/AN609,0)</f>
        <v>0.306778905879115</v>
      </c>
      <c r="AQ609" s="16" t="n">
        <f aca="false">INDEX(Parametros!$I$2:$I$9,MATCH($E609,Parametros!$A$2:$A$9,0))</f>
        <v>13300000</v>
      </c>
      <c r="AR609" s="19" t="n">
        <f aca="false">IF(AQ609&gt;0,AO609/AQ609,0)</f>
        <v>0.00722738233082707</v>
      </c>
    </row>
    <row r="610" customFormat="false" ht="15" hidden="false" customHeight="false" outlineLevel="0" collapsed="false">
      <c r="A610" s="5" t="s">
        <v>745</v>
      </c>
      <c r="B610" s="9" t="n">
        <v>46083</v>
      </c>
      <c r="C610" s="2" t="str">
        <f aca="false">TEXT(B610,"yyyy")</f>
        <v>2026</v>
      </c>
      <c r="D610" s="2" t="n">
        <f aca="false">WEEKNUM(B610,2)</f>
        <v>10</v>
      </c>
      <c r="E610" s="5" t="s">
        <v>130</v>
      </c>
      <c r="F610" s="6" t="str">
        <f aca="false">INDEX(Parametros!$B$2:$B$9,MATCH($E610,Parametros!$A$2:$A$9,0))</f>
        <v>Ketchup botella</v>
      </c>
      <c r="G610" s="10" t="n">
        <v>116</v>
      </c>
      <c r="H610" s="10" t="n">
        <v>6.3</v>
      </c>
      <c r="I610" s="11" t="n">
        <f aca="false">SUMIFS(Eventos_Paro!$J$2:$J$2186,Eventos_Paro!$D$2:$D$2186,$E610,Eventos_Paro!$B$2:$B$2186,$B610)</f>
        <v>1.56666666666667</v>
      </c>
      <c r="J610" s="12" t="n">
        <f aca="false">G610-H610-I610</f>
        <v>108.133333333333</v>
      </c>
      <c r="K610" s="13" t="n">
        <v>770187</v>
      </c>
      <c r="L610" s="13" t="n">
        <v>832388</v>
      </c>
      <c r="M610" s="13" t="n">
        <v>23994</v>
      </c>
      <c r="N610" s="14" t="n">
        <f aca="false">L610+M610</f>
        <v>856382</v>
      </c>
      <c r="O610" s="11" t="n">
        <f aca="false">INDEX(Parametros!$D$2:$D$9,MATCH($E610,Parametros!$A$2:$A$9,0))</f>
        <v>9000</v>
      </c>
      <c r="P610" s="15" t="n">
        <f aca="false">IF((G610-H610)&gt;0,J610/(G610-H610),0)</f>
        <v>0.985718626557278</v>
      </c>
      <c r="Q610" s="15" t="n">
        <f aca="false">IF(J610*O610&gt;0,N610/(O610*J610),0)</f>
        <v>0.879965063707357</v>
      </c>
      <c r="R610" s="15" t="n">
        <f aca="false">IF(N610&gt;0,L610/N610,0)</f>
        <v>0.97198212947026</v>
      </c>
      <c r="S610" s="15" t="n">
        <f aca="false">P610*Q610*R610</f>
        <v>0.843095310442621</v>
      </c>
      <c r="T610" s="15" t="n">
        <f aca="false">IF(K610&gt;0,L610/K610,0)</f>
        <v>1.08076090611761</v>
      </c>
      <c r="U610" s="10" t="n">
        <v>1881.6</v>
      </c>
      <c r="V610" s="5" t="n">
        <v>15</v>
      </c>
      <c r="W610" s="10" t="n">
        <v>141.6</v>
      </c>
      <c r="X610" s="15" t="n">
        <f aca="false">IF(U610&gt;0,W610/U610,0)</f>
        <v>0.0752551020408163</v>
      </c>
      <c r="Y610" s="12" t="n">
        <f aca="false">IF(U610&gt;0,L610/U610,0)</f>
        <v>442.383078231293</v>
      </c>
      <c r="Z610" s="16" t="n">
        <f aca="false">L610*INDEX(Parametros!$E$2:$E$9,MATCH($E610,Parametros!$A$2:$A$9,0))</f>
        <v>349602.96</v>
      </c>
      <c r="AA610" s="16" t="n">
        <f aca="false">Z610*INDEX(Parametros!$F$2:$F$9,MATCH($E610,Parametros!$A$2:$A$9,0))</f>
        <v>6992.0592</v>
      </c>
      <c r="AB610" s="17" t="n">
        <f aca="false">Z610+AA610</f>
        <v>356595.0192</v>
      </c>
      <c r="AC610" s="18" t="n">
        <v>356460.09</v>
      </c>
      <c r="AD610" s="17" t="n">
        <f aca="false">AC610-AB610</f>
        <v>-134.929199999955</v>
      </c>
      <c r="AE610" s="17" t="n">
        <f aca="false">AA610+AD610</f>
        <v>6857.13000000005</v>
      </c>
      <c r="AF610" s="19" t="n">
        <f aca="false">IF(Z610&gt;0,AE610/Z610,0)</f>
        <v>0.0196140501785226</v>
      </c>
      <c r="AG610" s="16" t="n">
        <f aca="false">(U610-W610)*INDEX(Parametros!$H$2:$H$9,MATCH($E610,Parametros!$A$2:$A$9,0))+W610*INDEX(Parametros!$H$2:$H$9,MATCH($E610,Parametros!$A$2:$A$9,0))*Parametros!$N$3</f>
        <v>61500.6</v>
      </c>
      <c r="AH610" s="13" t="n">
        <v>41252</v>
      </c>
      <c r="AI610" s="16" t="n">
        <f aca="false">AH610*Parametros!$N$2</f>
        <v>3795.184</v>
      </c>
      <c r="AJ610" s="18" t="n">
        <v>16464</v>
      </c>
      <c r="AK610" s="18" t="n">
        <v>1357</v>
      </c>
      <c r="AL610" s="17" t="n">
        <f aca="false">AG610+AI610+AJ610+AK610</f>
        <v>83116.784</v>
      </c>
      <c r="AM610" s="20" t="n">
        <f aca="false">IF(L610&gt;0,AL610/L610,0)</f>
        <v>0.099853414513424</v>
      </c>
      <c r="AN610" s="16" t="n">
        <f aca="false">L610*INDEX(Parametros!$G$2:$G$9,MATCH($E610,Parametros!$A$2:$A$9,0))</f>
        <v>590995.48</v>
      </c>
      <c r="AO610" s="17" t="n">
        <f aca="false">AN610-AC610-AL610</f>
        <v>151418.606</v>
      </c>
      <c r="AP610" s="15" t="n">
        <f aca="false">IF(AN610&gt;0,AO610/AN610,0)</f>
        <v>0.25620941466422</v>
      </c>
      <c r="AQ610" s="16" t="n">
        <f aca="false">INDEX(Parametros!$I$2:$I$9,MATCH($E610,Parametros!$A$2:$A$9,0))</f>
        <v>29300000</v>
      </c>
      <c r="AR610" s="19" t="n">
        <f aca="false">IF(AQ610&gt;0,AO610/AQ610,0)</f>
        <v>0.00516787051194539</v>
      </c>
    </row>
    <row r="611" customFormat="false" ht="15" hidden="false" customHeight="false" outlineLevel="0" collapsed="false">
      <c r="A611" s="5" t="s">
        <v>746</v>
      </c>
      <c r="B611" s="9" t="n">
        <v>46083</v>
      </c>
      <c r="C611" s="2" t="str">
        <f aca="false">TEXT(B611,"yyyy")</f>
        <v>2026</v>
      </c>
      <c r="D611" s="2" t="n">
        <f aca="false">WEEKNUM(B611,2)</f>
        <v>10</v>
      </c>
      <c r="E611" s="5" t="s">
        <v>132</v>
      </c>
      <c r="F611" s="6" t="str">
        <f aca="false">INDEX(Parametros!$B$2:$B$9,MATCH($E611,Parametros!$A$2:$A$9,0))</f>
        <v>Mayonesa frasco</v>
      </c>
      <c r="G611" s="10" t="n">
        <v>108.8</v>
      </c>
      <c r="H611" s="10" t="n">
        <v>7.6</v>
      </c>
      <c r="I611" s="11" t="n">
        <f aca="false">SUMIFS(Eventos_Paro!$J$2:$J$2186,Eventos_Paro!$D$2:$D$2186,$E611,Eventos_Paro!$B$2:$B$2186,$B611)</f>
        <v>1.85</v>
      </c>
      <c r="J611" s="12" t="n">
        <f aca="false">G611-H611-I611</f>
        <v>99.35</v>
      </c>
      <c r="K611" s="13" t="n">
        <v>513146</v>
      </c>
      <c r="L611" s="13" t="n">
        <v>562872</v>
      </c>
      <c r="M611" s="13" t="n">
        <v>12220</v>
      </c>
      <c r="N611" s="14" t="n">
        <f aca="false">L611+M611</f>
        <v>575092</v>
      </c>
      <c r="O611" s="11" t="n">
        <f aca="false">INDEX(Parametros!$D$2:$D$9,MATCH($E611,Parametros!$A$2:$A$9,0))</f>
        <v>6500</v>
      </c>
      <c r="P611" s="15" t="n">
        <f aca="false">IF((G611-H611)&gt;0,J611/(G611-H611),0)</f>
        <v>0.981719367588933</v>
      </c>
      <c r="Q611" s="15" t="n">
        <f aca="false">IF(J611*O611&gt;0,N611/(O611*J611),0)</f>
        <v>0.890545468622972</v>
      </c>
      <c r="R611" s="15" t="n">
        <f aca="false">IF(N611&gt;0,L611/N611,0)</f>
        <v>0.978751225890814</v>
      </c>
      <c r="S611" s="15" t="n">
        <f aca="false">P611*Q611*R611</f>
        <v>0.85568865916692</v>
      </c>
      <c r="T611" s="15" t="n">
        <f aca="false">IF(K611&gt;0,L611/K611,0)</f>
        <v>1.09690419490749</v>
      </c>
      <c r="U611" s="10" t="n">
        <v>1537.2</v>
      </c>
      <c r="V611" s="5" t="n">
        <v>13</v>
      </c>
      <c r="W611" s="10" t="n">
        <v>122.8</v>
      </c>
      <c r="X611" s="15" t="n">
        <f aca="false">IF(U611&gt;0,W611/U611,0)</f>
        <v>0.0798855061150143</v>
      </c>
      <c r="Y611" s="12" t="n">
        <f aca="false">IF(U611&gt;0,L611/U611,0)</f>
        <v>366.167056986729</v>
      </c>
      <c r="Z611" s="16" t="n">
        <f aca="false">L611*INDEX(Parametros!$E$2:$E$9,MATCH($E611,Parametros!$A$2:$A$9,0))</f>
        <v>343351.92</v>
      </c>
      <c r="AA611" s="16" t="n">
        <f aca="false">Z611*INDEX(Parametros!$F$2:$F$9,MATCH($E611,Parametros!$A$2:$A$9,0))</f>
        <v>8583.798</v>
      </c>
      <c r="AB611" s="17" t="n">
        <f aca="false">Z611+AA611</f>
        <v>351935.718</v>
      </c>
      <c r="AC611" s="18" t="n">
        <v>351204.23</v>
      </c>
      <c r="AD611" s="17" t="n">
        <f aca="false">AC611-AB611</f>
        <v>-731.488000000012</v>
      </c>
      <c r="AE611" s="17" t="n">
        <f aca="false">AA611+AD611</f>
        <v>7852.30999999999</v>
      </c>
      <c r="AF611" s="19" t="n">
        <f aca="false">IF(Z611&gt;0,AE611/Z611,0)</f>
        <v>0.0228695677600987</v>
      </c>
      <c r="AG611" s="16" t="n">
        <f aca="false">(U611-W611)*INDEX(Parametros!$H$2:$H$9,MATCH($E611,Parametros!$A$2:$A$9,0))+W611*INDEX(Parametros!$H$2:$H$9,MATCH($E611,Parametros!$A$2:$A$9,0))*Parametros!$N$3</f>
        <v>50355.9</v>
      </c>
      <c r="AH611" s="13" t="n">
        <v>28572</v>
      </c>
      <c r="AI611" s="16" t="n">
        <f aca="false">AH611*Parametros!$N$2</f>
        <v>2628.624</v>
      </c>
      <c r="AJ611" s="18" t="n">
        <v>12340</v>
      </c>
      <c r="AK611" s="18" t="n">
        <v>1553</v>
      </c>
      <c r="AL611" s="17" t="n">
        <f aca="false">AG611+AI611+AJ611+AK611</f>
        <v>66877.524</v>
      </c>
      <c r="AM611" s="20" t="n">
        <f aca="false">IF(L611&gt;0,AL611/L611,0)</f>
        <v>0.118814799812391</v>
      </c>
      <c r="AN611" s="16" t="n">
        <f aca="false">L611*INDEX(Parametros!$G$2:$G$9,MATCH($E611,Parametros!$A$2:$A$9,0))</f>
        <v>540357.12</v>
      </c>
      <c r="AO611" s="17" t="n">
        <f aca="false">AN611-AC611-AL611</f>
        <v>122275.366</v>
      </c>
      <c r="AP611" s="15" t="n">
        <f aca="false">IF(AN611&gt;0,AO611/AN611,0)</f>
        <v>0.226286212347864</v>
      </c>
      <c r="AQ611" s="16" t="n">
        <f aca="false">INDEX(Parametros!$I$2:$I$9,MATCH($E611,Parametros!$A$2:$A$9,0))</f>
        <v>29700000</v>
      </c>
      <c r="AR611" s="19" t="n">
        <f aca="false">IF(AQ611&gt;0,AO611/AQ611,0)</f>
        <v>0.00411701569023569</v>
      </c>
    </row>
    <row r="612" customFormat="false" ht="15" hidden="false" customHeight="false" outlineLevel="0" collapsed="false">
      <c r="A612" s="5" t="s">
        <v>747</v>
      </c>
      <c r="B612" s="9" t="n">
        <v>46083</v>
      </c>
      <c r="C612" s="2" t="str">
        <f aca="false">TEXT(B612,"yyyy")</f>
        <v>2026</v>
      </c>
      <c r="D612" s="2" t="n">
        <f aca="false">WEEKNUM(B612,2)</f>
        <v>10</v>
      </c>
      <c r="E612" s="5" t="s">
        <v>134</v>
      </c>
      <c r="F612" s="6" t="str">
        <f aca="false">INDEX(Parametros!$B$2:$B$9,MATCH($E612,Parametros!$A$2:$A$9,0))</f>
        <v>Aderezos vertibles</v>
      </c>
      <c r="G612" s="10" t="n">
        <v>111.3</v>
      </c>
      <c r="H612" s="10" t="n">
        <v>8</v>
      </c>
      <c r="I612" s="11" t="n">
        <f aca="false">SUMIFS(Eventos_Paro!$J$2:$J$2186,Eventos_Paro!$D$2:$D$2186,$E612,Eventos_Paro!$B$2:$B$2186,$B612)</f>
        <v>2.46666666666667</v>
      </c>
      <c r="J612" s="12" t="n">
        <f aca="false">G612-H612-I612</f>
        <v>100.833333333333</v>
      </c>
      <c r="K612" s="13" t="n">
        <v>419036</v>
      </c>
      <c r="L612" s="13" t="n">
        <v>432595</v>
      </c>
      <c r="M612" s="13" t="n">
        <v>15695</v>
      </c>
      <c r="N612" s="14" t="n">
        <f aca="false">L612+M612</f>
        <v>448290</v>
      </c>
      <c r="O612" s="11" t="n">
        <f aca="false">INDEX(Parametros!$D$2:$D$9,MATCH($E612,Parametros!$A$2:$A$9,0))</f>
        <v>5200</v>
      </c>
      <c r="P612" s="15" t="n">
        <f aca="false">IF((G612-H612)&gt;0,J612/(G612-H612),0)</f>
        <v>0.976121329461117</v>
      </c>
      <c r="Q612" s="15" t="n">
        <f aca="false">IF(J612*O612&gt;0,N612/(O612*J612),0)</f>
        <v>0.85497139224412</v>
      </c>
      <c r="R612" s="15" t="n">
        <f aca="false">IF(N612&gt;0,L612/N612,0)</f>
        <v>0.964989181110442</v>
      </c>
      <c r="S612" s="15" t="n">
        <f aca="false">P612*Q612*R612</f>
        <v>0.805337329659692</v>
      </c>
      <c r="T612" s="15" t="n">
        <f aca="false">IF(K612&gt;0,L612/K612,0)</f>
        <v>1.0323576017335</v>
      </c>
      <c r="U612" s="10" t="n">
        <v>1383</v>
      </c>
      <c r="V612" s="5" t="n">
        <v>12</v>
      </c>
      <c r="W612" s="10" t="n">
        <v>47.4</v>
      </c>
      <c r="X612" s="15" t="n">
        <f aca="false">IF(U612&gt;0,W612/U612,0)</f>
        <v>0.0342733188720174</v>
      </c>
      <c r="Y612" s="12" t="n">
        <f aca="false">IF(U612&gt;0,L612/U612,0)</f>
        <v>312.794649313088</v>
      </c>
      <c r="Z612" s="16" t="n">
        <f aca="false">L612*INDEX(Parametros!$E$2:$E$9,MATCH($E612,Parametros!$A$2:$A$9,0))</f>
        <v>237927.25</v>
      </c>
      <c r="AA612" s="16" t="n">
        <f aca="false">Z612*INDEX(Parametros!$F$2:$F$9,MATCH($E612,Parametros!$A$2:$A$9,0))</f>
        <v>7137.8175</v>
      </c>
      <c r="AB612" s="17" t="n">
        <f aca="false">Z612+AA612</f>
        <v>245065.0675</v>
      </c>
      <c r="AC612" s="18" t="n">
        <v>247646.9</v>
      </c>
      <c r="AD612" s="17" t="n">
        <f aca="false">AC612-AB612</f>
        <v>2581.83249999996</v>
      </c>
      <c r="AE612" s="17" t="n">
        <f aca="false">AA612+AD612</f>
        <v>9719.64999999996</v>
      </c>
      <c r="AF612" s="19" t="n">
        <f aca="false">IF(Z612&gt;0,AE612/Z612,0)</f>
        <v>0.0408513526718775</v>
      </c>
      <c r="AG612" s="16" t="n">
        <f aca="false">(U612-W612)*INDEX(Parametros!$H$2:$H$9,MATCH($E612,Parametros!$A$2:$A$9,0))+W612*INDEX(Parametros!$H$2:$H$9,MATCH($E612,Parametros!$A$2:$A$9,0))*Parametros!$N$3</f>
        <v>44311.05</v>
      </c>
      <c r="AH612" s="13" t="n">
        <v>24277</v>
      </c>
      <c r="AI612" s="16" t="n">
        <f aca="false">AH612*Parametros!$N$2</f>
        <v>2233.484</v>
      </c>
      <c r="AJ612" s="18" t="n">
        <v>9884</v>
      </c>
      <c r="AK612" s="18" t="n">
        <v>3296</v>
      </c>
      <c r="AL612" s="17" t="n">
        <f aca="false">AG612+AI612+AJ612+AK612</f>
        <v>59724.534</v>
      </c>
      <c r="AM612" s="20" t="n">
        <f aca="false">IF(L612&gt;0,AL612/L612,0)</f>
        <v>0.138061082536784</v>
      </c>
      <c r="AN612" s="16" t="n">
        <f aca="false">L612*INDEX(Parametros!$G$2:$G$9,MATCH($E612,Parametros!$A$2:$A$9,0))</f>
        <v>441246.9</v>
      </c>
      <c r="AO612" s="17" t="n">
        <f aca="false">AN612-AC612-AL612</f>
        <v>133875.466</v>
      </c>
      <c r="AP612" s="15" t="n">
        <f aca="false">IF(AN612&gt;0,AO612/AN612,0)</f>
        <v>0.303402621072239</v>
      </c>
      <c r="AQ612" s="16" t="n">
        <f aca="false">INDEX(Parametros!$I$2:$I$9,MATCH($E612,Parametros!$A$2:$A$9,0))</f>
        <v>19300000</v>
      </c>
      <c r="AR612" s="19" t="n">
        <f aca="false">IF(AQ612&gt;0,AO612/AQ612,0)</f>
        <v>0.00693655264248705</v>
      </c>
    </row>
    <row r="613" customFormat="false" ht="15" hidden="false" customHeight="false" outlineLevel="0" collapsed="false">
      <c r="A613" s="5" t="s">
        <v>748</v>
      </c>
      <c r="B613" s="9" t="n">
        <v>46083</v>
      </c>
      <c r="C613" s="2" t="str">
        <f aca="false">TEXT(B613,"yyyy")</f>
        <v>2026</v>
      </c>
      <c r="D613" s="2" t="n">
        <f aca="false">WEEKNUM(B613,2)</f>
        <v>10</v>
      </c>
      <c r="E613" s="5" t="s">
        <v>136</v>
      </c>
      <c r="F613" s="6" t="str">
        <f aca="false">INDEX(Parametros!$B$2:$B$9,MATCH($E613,Parametros!$A$2:$A$9,0))</f>
        <v>Salsa BBQ</v>
      </c>
      <c r="G613" s="10" t="n">
        <v>92.5</v>
      </c>
      <c r="H613" s="10" t="n">
        <v>8.2</v>
      </c>
      <c r="I613" s="11" t="n">
        <f aca="false">SUMIFS(Eventos_Paro!$J$2:$J$2186,Eventos_Paro!$D$2:$D$2186,$E613,Eventos_Paro!$B$2:$B$2186,$B613)</f>
        <v>0</v>
      </c>
      <c r="J613" s="12" t="n">
        <f aca="false">G613-H613-I613</f>
        <v>84.3</v>
      </c>
      <c r="K613" s="13" t="n">
        <v>287466</v>
      </c>
      <c r="L613" s="13" t="n">
        <v>319784</v>
      </c>
      <c r="M613" s="13" t="n">
        <v>11896</v>
      </c>
      <c r="N613" s="14" t="n">
        <f aca="false">L613+M613</f>
        <v>331680</v>
      </c>
      <c r="O613" s="11" t="n">
        <f aca="false">INDEX(Parametros!$D$2:$D$9,MATCH($E613,Parametros!$A$2:$A$9,0))</f>
        <v>4800</v>
      </c>
      <c r="P613" s="15" t="n">
        <f aca="false">IF((G613-H613)&gt;0,J613/(G613-H613),0)</f>
        <v>1</v>
      </c>
      <c r="Q613" s="15" t="n">
        <f aca="false">IF(J613*O613&gt;0,N613/(O613*J613),0)</f>
        <v>0.819691577698695</v>
      </c>
      <c r="R613" s="15" t="n">
        <f aca="false">IF(N613&gt;0,L613/N613,0)</f>
        <v>0.964134105161602</v>
      </c>
      <c r="S613" s="15" t="n">
        <f aca="false">P613*Q613*R613</f>
        <v>0.790292605773033</v>
      </c>
      <c r="T613" s="15" t="n">
        <f aca="false">IF(K613&gt;0,L613/K613,0)</f>
        <v>1.11242373011069</v>
      </c>
      <c r="U613" s="10" t="n">
        <v>1103</v>
      </c>
      <c r="V613" s="5" t="n">
        <v>11</v>
      </c>
      <c r="W613" s="10" t="n">
        <v>85.5</v>
      </c>
      <c r="X613" s="15" t="n">
        <f aca="false">IF(U613&gt;0,W613/U613,0)</f>
        <v>0.0775158658204896</v>
      </c>
      <c r="Y613" s="12" t="n">
        <f aca="false">IF(U613&gt;0,L613/U613,0)</f>
        <v>289.922030825023</v>
      </c>
      <c r="Z613" s="16" t="n">
        <f aca="false">L613*INDEX(Parametros!$E$2:$E$9,MATCH($E613,Parametros!$A$2:$A$9,0))</f>
        <v>185474.72</v>
      </c>
      <c r="AA613" s="16" t="n">
        <f aca="false">Z613*INDEX(Parametros!$F$2:$F$9,MATCH($E613,Parametros!$A$2:$A$9,0))</f>
        <v>5193.29216</v>
      </c>
      <c r="AB613" s="17" t="n">
        <f aca="false">Z613+AA613</f>
        <v>190668.01216</v>
      </c>
      <c r="AC613" s="18" t="n">
        <v>189758.1</v>
      </c>
      <c r="AD613" s="17" t="n">
        <f aca="false">AC613-AB613</f>
        <v>-909.912160000007</v>
      </c>
      <c r="AE613" s="17" t="n">
        <f aca="false">AA613+AD613</f>
        <v>4283.37999999999</v>
      </c>
      <c r="AF613" s="19" t="n">
        <f aca="false">IF(Z613&gt;0,AE613/Z613,0)</f>
        <v>0.0230941445820756</v>
      </c>
      <c r="AG613" s="16" t="n">
        <f aca="false">(U613-W613)*INDEX(Parametros!$H$2:$H$9,MATCH($E613,Parametros!$A$2:$A$9,0))+W613*INDEX(Parametros!$H$2:$H$9,MATCH($E613,Parametros!$A$2:$A$9,0))*Parametros!$N$3</f>
        <v>36091.125</v>
      </c>
      <c r="AH613" s="13" t="n">
        <v>16992</v>
      </c>
      <c r="AI613" s="16" t="n">
        <f aca="false">AH613*Parametros!$N$2</f>
        <v>1563.264</v>
      </c>
      <c r="AJ613" s="18" t="n">
        <v>8452</v>
      </c>
      <c r="AK613" s="18" t="n">
        <v>0</v>
      </c>
      <c r="AL613" s="17" t="n">
        <f aca="false">AG613+AI613+AJ613+AK613</f>
        <v>46106.389</v>
      </c>
      <c r="AM613" s="20" t="n">
        <f aca="false">IF(L613&gt;0,AL613/L613,0)</f>
        <v>0.144179786981212</v>
      </c>
      <c r="AN613" s="16" t="n">
        <f aca="false">L613*INDEX(Parametros!$G$2:$G$9,MATCH($E613,Parametros!$A$2:$A$9,0))</f>
        <v>313388.32</v>
      </c>
      <c r="AO613" s="17" t="n">
        <f aca="false">AN613-AC613-AL613</f>
        <v>77523.831</v>
      </c>
      <c r="AP613" s="15" t="n">
        <f aca="false">IF(AN613&gt;0,AO613/AN613,0)</f>
        <v>0.247373070572637</v>
      </c>
      <c r="AQ613" s="16" t="n">
        <f aca="false">INDEX(Parametros!$I$2:$I$9,MATCH($E613,Parametros!$A$2:$A$9,0))</f>
        <v>17000000</v>
      </c>
      <c r="AR613" s="19" t="n">
        <f aca="false">IF(AQ613&gt;0,AO613/AQ613,0)</f>
        <v>0.00456022535294118</v>
      </c>
    </row>
    <row r="614" customFormat="false" ht="15" hidden="false" customHeight="false" outlineLevel="0" collapsed="false">
      <c r="A614" s="5" t="s">
        <v>749</v>
      </c>
      <c r="B614" s="9" t="n">
        <v>46083</v>
      </c>
      <c r="C614" s="2" t="str">
        <f aca="false">TEXT(B614,"yyyy")</f>
        <v>2026</v>
      </c>
      <c r="D614" s="2" t="n">
        <f aca="false">WEEKNUM(B614,2)</f>
        <v>10</v>
      </c>
      <c r="E614" s="5" t="s">
        <v>138</v>
      </c>
      <c r="F614" s="6" t="str">
        <f aca="false">INDEX(Parametros!$B$2:$B$9,MATCH($E614,Parametros!$A$2:$A$9,0))</f>
        <v>Queso crema</v>
      </c>
      <c r="G614" s="10" t="n">
        <v>126.8</v>
      </c>
      <c r="H614" s="10" t="n">
        <v>6</v>
      </c>
      <c r="I614" s="11" t="n">
        <f aca="false">SUMIFS(Eventos_Paro!$J$2:$J$2186,Eventos_Paro!$D$2:$D$2186,$E614,Eventos_Paro!$B$2:$B$2186,$B614)</f>
        <v>1.6</v>
      </c>
      <c r="J614" s="12" t="n">
        <f aca="false">G614-H614-I614</f>
        <v>119.2</v>
      </c>
      <c r="K614" s="13" t="n">
        <v>358095</v>
      </c>
      <c r="L614" s="13" t="n">
        <v>334034</v>
      </c>
      <c r="M614" s="13" t="n">
        <v>13820</v>
      </c>
      <c r="N614" s="14" t="n">
        <f aca="false">L614+M614</f>
        <v>347854</v>
      </c>
      <c r="O614" s="11" t="n">
        <f aca="false">INDEX(Parametros!$D$2:$D$9,MATCH($E614,Parametros!$A$2:$A$9,0))</f>
        <v>3800</v>
      </c>
      <c r="P614" s="15" t="n">
        <f aca="false">IF((G614-H614)&gt;0,J614/(G614-H614),0)</f>
        <v>0.986754966887417</v>
      </c>
      <c r="Q614" s="15" t="n">
        <f aca="false">IF(J614*O614&gt;0,N614/(O614*J614),0)</f>
        <v>0.767957435535147</v>
      </c>
      <c r="R614" s="15" t="n">
        <f aca="false">IF(N614&gt;0,L614/N614,0)</f>
        <v>0.960270688277266</v>
      </c>
      <c r="S614" s="15" t="n">
        <f aca="false">P614*Q614*R614</f>
        <v>0.727679505054026</v>
      </c>
      <c r="T614" s="15" t="n">
        <f aca="false">IF(K614&gt;0,L614/K614,0)</f>
        <v>0.932808332984264</v>
      </c>
      <c r="U614" s="10" t="n">
        <v>2005.2</v>
      </c>
      <c r="V614" s="5" t="n">
        <v>15</v>
      </c>
      <c r="W614" s="10" t="n">
        <v>103.2</v>
      </c>
      <c r="X614" s="15" t="n">
        <f aca="false">IF(U614&gt;0,W614/U614,0)</f>
        <v>0.0514661879114303</v>
      </c>
      <c r="Y614" s="12" t="n">
        <f aca="false">IF(U614&gt;0,L614/U614,0)</f>
        <v>166.583881907042</v>
      </c>
      <c r="Z614" s="16" t="n">
        <f aca="false">L614*INDEX(Parametros!$E$2:$E$9,MATCH($E614,Parametros!$A$2:$A$9,0))</f>
        <v>374118.08</v>
      </c>
      <c r="AA614" s="16" t="n">
        <f aca="false">Z614*INDEX(Parametros!$F$2:$F$9,MATCH($E614,Parametros!$A$2:$A$9,0))</f>
        <v>13094.1328</v>
      </c>
      <c r="AB614" s="17" t="n">
        <f aca="false">Z614+AA614</f>
        <v>387212.2128</v>
      </c>
      <c r="AC614" s="18" t="n">
        <v>393819.99</v>
      </c>
      <c r="AD614" s="17" t="n">
        <f aca="false">AC614-AB614</f>
        <v>6607.77719999995</v>
      </c>
      <c r="AE614" s="17" t="n">
        <f aca="false">AA614+AD614</f>
        <v>19701.91</v>
      </c>
      <c r="AF614" s="19" t="n">
        <f aca="false">IF(Z614&gt;0,AE614/Z614,0)</f>
        <v>0.052662277107805</v>
      </c>
      <c r="AG614" s="16" t="n">
        <f aca="false">(U614-W614)*INDEX(Parametros!$H$2:$H$9,MATCH($E614,Parametros!$A$2:$A$9,0))+W614*INDEX(Parametros!$H$2:$H$9,MATCH($E614,Parametros!$A$2:$A$9,0))*Parametros!$N$3</f>
        <v>67874.4</v>
      </c>
      <c r="AH614" s="13" t="n">
        <v>17069</v>
      </c>
      <c r="AI614" s="16" t="n">
        <f aca="false">AH614*Parametros!$N$2</f>
        <v>1570.348</v>
      </c>
      <c r="AJ614" s="18" t="n">
        <v>20565</v>
      </c>
      <c r="AK614" s="18" t="n">
        <v>1657</v>
      </c>
      <c r="AL614" s="17" t="n">
        <f aca="false">AG614+AI614+AJ614+AK614</f>
        <v>91666.748</v>
      </c>
      <c r="AM614" s="20" t="n">
        <f aca="false">IF(L614&gt;0,AL614/L614,0)</f>
        <v>0.274423406000587</v>
      </c>
      <c r="AN614" s="16" t="n">
        <f aca="false">L614*INDEX(Parametros!$G$2:$G$9,MATCH($E614,Parametros!$A$2:$A$9,0))</f>
        <v>597920.86</v>
      </c>
      <c r="AO614" s="17" t="n">
        <f aca="false">AN614-AC614-AL614</f>
        <v>112434.122</v>
      </c>
      <c r="AP614" s="15" t="n">
        <f aca="false">IF(AN614&gt;0,AO614/AN614,0)</f>
        <v>0.188041812088643</v>
      </c>
      <c r="AQ614" s="16" t="n">
        <f aca="false">INDEX(Parametros!$I$2:$I$9,MATCH($E614,Parametros!$A$2:$A$9,0))</f>
        <v>33200000</v>
      </c>
      <c r="AR614" s="19" t="n">
        <f aca="false">IF(AQ614&gt;0,AO614/AQ614,0)</f>
        <v>0.00338656993975904</v>
      </c>
    </row>
    <row r="615" customFormat="false" ht="15" hidden="false" customHeight="false" outlineLevel="0" collapsed="false">
      <c r="A615" s="5" t="s">
        <v>750</v>
      </c>
      <c r="B615" s="9" t="n">
        <v>46083</v>
      </c>
      <c r="C615" s="2" t="str">
        <f aca="false">TEXT(B615,"yyyy")</f>
        <v>2026</v>
      </c>
      <c r="D615" s="2" t="n">
        <f aca="false">WEEKNUM(B615,2)</f>
        <v>10</v>
      </c>
      <c r="E615" s="5" t="s">
        <v>140</v>
      </c>
      <c r="F615" s="6" t="str">
        <f aca="false">INDEX(Parametros!$B$2:$B$9,MATCH($E615,Parametros!$A$2:$A$9,0))</f>
        <v>Crema de cacahuate</v>
      </c>
      <c r="G615" s="10" t="n">
        <v>104.2</v>
      </c>
      <c r="H615" s="10" t="n">
        <v>8.3</v>
      </c>
      <c r="I615" s="11" t="n">
        <f aca="false">SUMIFS(Eventos_Paro!$J$2:$J$2186,Eventos_Paro!$D$2:$D$2186,$E615,Eventos_Paro!$B$2:$B$2186,$B615)</f>
        <v>1.28333333333333</v>
      </c>
      <c r="J615" s="12" t="n">
        <f aca="false">G615-H615-I615</f>
        <v>94.6166666666667</v>
      </c>
      <c r="K615" s="13" t="n">
        <v>314206</v>
      </c>
      <c r="L615" s="13" t="n">
        <v>329622</v>
      </c>
      <c r="M615" s="13" t="n">
        <v>10342</v>
      </c>
      <c r="N615" s="14" t="n">
        <f aca="false">L615+M615</f>
        <v>339964</v>
      </c>
      <c r="O615" s="11" t="n">
        <f aca="false">INDEX(Parametros!$D$2:$D$9,MATCH($E615,Parametros!$A$2:$A$9,0))</f>
        <v>4200</v>
      </c>
      <c r="P615" s="15" t="n">
        <f aca="false">IF((G615-H615)&gt;0,J615/(G615-H615),0)</f>
        <v>0.98661800486618</v>
      </c>
      <c r="Q615" s="15" t="n">
        <f aca="false">IF(J615*O615&gt;0,N615/(O615*J615),0)</f>
        <v>0.855492085860238</v>
      </c>
      <c r="R615" s="15" t="n">
        <f aca="false">IF(N615&gt;0,L615/N615,0)</f>
        <v>0.969579131908084</v>
      </c>
      <c r="S615" s="15" t="n">
        <f aca="false">P615*Q615*R615</f>
        <v>0.818367346938775</v>
      </c>
      <c r="T615" s="15" t="n">
        <f aca="false">IF(K615&gt;0,L615/K615,0)</f>
        <v>1.04906335334144</v>
      </c>
      <c r="U615" s="10" t="n">
        <v>1286.8</v>
      </c>
      <c r="V615" s="5" t="n">
        <v>12</v>
      </c>
      <c r="W615" s="10" t="n">
        <v>36.4</v>
      </c>
      <c r="X615" s="15" t="n">
        <f aca="false">IF(U615&gt;0,W615/U615,0)</f>
        <v>0.0282872241218527</v>
      </c>
      <c r="Y615" s="12" t="n">
        <f aca="false">IF(U615&gt;0,L615/U615,0)</f>
        <v>256.156356854212</v>
      </c>
      <c r="Z615" s="16" t="n">
        <f aca="false">L615*INDEX(Parametros!$E$2:$E$9,MATCH($E615,Parametros!$A$2:$A$9,0))</f>
        <v>319733.34</v>
      </c>
      <c r="AA615" s="16" t="n">
        <f aca="false">Z615*INDEX(Parametros!$F$2:$F$9,MATCH($E615,Parametros!$A$2:$A$9,0))</f>
        <v>7034.13348</v>
      </c>
      <c r="AB615" s="17" t="n">
        <f aca="false">Z615+AA615</f>
        <v>326767.47348</v>
      </c>
      <c r="AC615" s="18" t="n">
        <v>325354.25</v>
      </c>
      <c r="AD615" s="17" t="n">
        <f aca="false">AC615-AB615</f>
        <v>-1413.22347999999</v>
      </c>
      <c r="AE615" s="17" t="n">
        <f aca="false">AA615+AD615</f>
        <v>5620.91000000001</v>
      </c>
      <c r="AF615" s="19" t="n">
        <f aca="false">IF(Z615&gt;0,AE615/Z615,0)</f>
        <v>0.017579993378232</v>
      </c>
      <c r="AG615" s="16" t="n">
        <f aca="false">(U615-W615)*INDEX(Parametros!$H$2:$H$9,MATCH($E615,Parametros!$A$2:$A$9,0))+W615*INDEX(Parametros!$H$2:$H$9,MATCH($E615,Parametros!$A$2:$A$9,0))*Parametros!$N$3</f>
        <v>41107.5</v>
      </c>
      <c r="AH615" s="13" t="n">
        <v>17689</v>
      </c>
      <c r="AI615" s="16" t="n">
        <f aca="false">AH615*Parametros!$N$2</f>
        <v>1627.388</v>
      </c>
      <c r="AJ615" s="18" t="n">
        <v>12003</v>
      </c>
      <c r="AK615" s="18" t="n">
        <v>942</v>
      </c>
      <c r="AL615" s="17" t="n">
        <f aca="false">AG615+AI615+AJ615+AK615</f>
        <v>55679.888</v>
      </c>
      <c r="AM615" s="20" t="n">
        <f aca="false">IF(L615&gt;0,AL615/L615,0)</f>
        <v>0.168920424000825</v>
      </c>
      <c r="AN615" s="16" t="n">
        <f aca="false">L615*INDEX(Parametros!$G$2:$G$9,MATCH($E615,Parametros!$A$2:$A$9,0))</f>
        <v>533987.64</v>
      </c>
      <c r="AO615" s="17" t="n">
        <f aca="false">AN615-AC615-AL615</f>
        <v>152953.502</v>
      </c>
      <c r="AP615" s="15" t="n">
        <f aca="false">IF(AN615&gt;0,AO615/AN615,0)</f>
        <v>0.286436408902648</v>
      </c>
      <c r="AQ615" s="16" t="n">
        <f aca="false">INDEX(Parametros!$I$2:$I$9,MATCH($E615,Parametros!$A$2:$A$9,0))</f>
        <v>28000000</v>
      </c>
      <c r="AR615" s="19" t="n">
        <f aca="false">IF(AQ615&gt;0,AO615/AQ615,0)</f>
        <v>0.00546262507142857</v>
      </c>
    </row>
    <row r="616" customFormat="false" ht="15" hidden="false" customHeight="false" outlineLevel="0" collapsed="false">
      <c r="A616" s="5" t="s">
        <v>751</v>
      </c>
      <c r="B616" s="9" t="n">
        <v>46083</v>
      </c>
      <c r="C616" s="2" t="str">
        <f aca="false">TEXT(B616,"yyyy")</f>
        <v>2026</v>
      </c>
      <c r="D616" s="2" t="n">
        <f aca="false">WEEKNUM(B616,2)</f>
        <v>10</v>
      </c>
      <c r="E616" s="5" t="s">
        <v>142</v>
      </c>
      <c r="F616" s="6" t="str">
        <f aca="false">INDEX(Parametros!$B$2:$B$9,MATCH($E616,Parametros!$A$2:$A$9,0))</f>
        <v>Porciones single serve</v>
      </c>
      <c r="G616" s="10" t="n">
        <v>93</v>
      </c>
      <c r="H616" s="10" t="n">
        <v>6.6</v>
      </c>
      <c r="I616" s="11" t="n">
        <f aca="false">SUMIFS(Eventos_Paro!$J$2:$J$2186,Eventos_Paro!$D$2:$D$2186,$E616,Eventos_Paro!$B$2:$B$2186,$B616)</f>
        <v>2.5</v>
      </c>
      <c r="J616" s="12" t="n">
        <f aca="false">G616-H616-I616</f>
        <v>83.9</v>
      </c>
      <c r="K616" s="13" t="n">
        <v>175240</v>
      </c>
      <c r="L616" s="13" t="n">
        <v>150984</v>
      </c>
      <c r="M616" s="13" t="n">
        <v>8691</v>
      </c>
      <c r="N616" s="14" t="n">
        <f aca="false">L616+M616</f>
        <v>159675</v>
      </c>
      <c r="O616" s="11" t="n">
        <f aca="false">INDEX(Parametros!$D$2:$D$9,MATCH($E616,Parametros!$A$2:$A$9,0))</f>
        <v>2600</v>
      </c>
      <c r="P616" s="15" t="n">
        <f aca="false">IF((G616-H616)&gt;0,J616/(G616-H616),0)</f>
        <v>0.971064814814815</v>
      </c>
      <c r="Q616" s="15" t="n">
        <f aca="false">IF(J616*O616&gt;0,N616/(O616*J616),0)</f>
        <v>0.731984046942331</v>
      </c>
      <c r="R616" s="15" t="n">
        <f aca="false">IF(N616&gt;0,L616/N616,0)</f>
        <v>0.945570690465007</v>
      </c>
      <c r="S616" s="15" t="n">
        <f aca="false">P616*Q616*R616</f>
        <v>0.672115384615385</v>
      </c>
      <c r="T616" s="15" t="n">
        <f aca="false">IF(K616&gt;0,L616/K616,0)</f>
        <v>0.861584113216161</v>
      </c>
      <c r="U616" s="10" t="n">
        <v>1786.6</v>
      </c>
      <c r="V616" s="5" t="n">
        <v>18</v>
      </c>
      <c r="W616" s="10" t="n">
        <v>112.6</v>
      </c>
      <c r="X616" s="15" t="n">
        <f aca="false">IF(U616&gt;0,W616/U616,0)</f>
        <v>0.0630247397290944</v>
      </c>
      <c r="Y616" s="12" t="n">
        <f aca="false">IF(U616&gt;0,L616/U616,0)</f>
        <v>84.5091234747565</v>
      </c>
      <c r="Z616" s="16" t="n">
        <f aca="false">L616*INDEX(Parametros!$E$2:$E$9,MATCH($E616,Parametros!$A$2:$A$9,0))</f>
        <v>111728.16</v>
      </c>
      <c r="AA616" s="16" t="n">
        <f aca="false">Z616*INDEX(Parametros!$F$2:$F$9,MATCH($E616,Parametros!$A$2:$A$9,0))</f>
        <v>5027.7672</v>
      </c>
      <c r="AB616" s="17" t="n">
        <f aca="false">Z616+AA616</f>
        <v>116755.9272</v>
      </c>
      <c r="AC616" s="18" t="n">
        <v>116587.12</v>
      </c>
      <c r="AD616" s="17" t="n">
        <f aca="false">AC616-AB616</f>
        <v>-168.80720000001</v>
      </c>
      <c r="AE616" s="17" t="n">
        <f aca="false">AA616+AD616</f>
        <v>4858.95999999999</v>
      </c>
      <c r="AF616" s="19" t="n">
        <f aca="false">IF(Z616&gt;0,AE616/Z616,0)</f>
        <v>0.0434891257494976</v>
      </c>
      <c r="AG616" s="16" t="n">
        <f aca="false">(U616-W616)*INDEX(Parametros!$H$2:$H$9,MATCH($E616,Parametros!$A$2:$A$9,0))+W616*INDEX(Parametros!$H$2:$H$9,MATCH($E616,Parametros!$A$2:$A$9,0))*Parametros!$N$3</f>
        <v>55287</v>
      </c>
      <c r="AH616" s="13" t="n">
        <v>8553</v>
      </c>
      <c r="AI616" s="16" t="n">
        <f aca="false">AH616*Parametros!$N$2</f>
        <v>786.876</v>
      </c>
      <c r="AJ616" s="18" t="n">
        <v>10302</v>
      </c>
      <c r="AK616" s="18" t="n">
        <v>1851</v>
      </c>
      <c r="AL616" s="17" t="n">
        <f aca="false">AG616+AI616+AJ616+AK616</f>
        <v>68226.876</v>
      </c>
      <c r="AM616" s="20" t="n">
        <f aca="false">IF(L616&gt;0,AL616/L616,0)</f>
        <v>0.451881497377205</v>
      </c>
      <c r="AN616" s="16" t="n">
        <f aca="false">L616*INDEX(Parametros!$G$2:$G$9,MATCH($E616,Parametros!$A$2:$A$9,0))</f>
        <v>259692.48</v>
      </c>
      <c r="AO616" s="17" t="n">
        <f aca="false">AN616-AC616-AL616</f>
        <v>74878.484</v>
      </c>
      <c r="AP616" s="15" t="n">
        <f aca="false">IF(AN616&gt;0,AO616/AN616,0)</f>
        <v>0.288335203237306</v>
      </c>
      <c r="AQ616" s="16" t="n">
        <f aca="false">INDEX(Parametros!$I$2:$I$9,MATCH($E616,Parametros!$A$2:$A$9,0))</f>
        <v>15900000</v>
      </c>
      <c r="AR616" s="19" t="n">
        <f aca="false">IF(AQ616&gt;0,AO616/AQ616,0)</f>
        <v>0.0047093386163522</v>
      </c>
    </row>
    <row r="617" customFormat="false" ht="15" hidden="false" customHeight="false" outlineLevel="0" collapsed="false">
      <c r="A617" s="5" t="s">
        <v>752</v>
      </c>
      <c r="B617" s="9" t="n">
        <v>46083</v>
      </c>
      <c r="C617" s="2" t="str">
        <f aca="false">TEXT(B617,"yyyy")</f>
        <v>2026</v>
      </c>
      <c r="D617" s="2" t="n">
        <f aca="false">WEEKNUM(B617,2)</f>
        <v>10</v>
      </c>
      <c r="E617" s="5" t="s">
        <v>144</v>
      </c>
      <c r="F617" s="6" t="str">
        <f aca="false">INDEX(Parametros!$B$2:$B$9,MATCH($E617,Parametros!$A$2:$A$9,0))</f>
        <v>Salsas picantes</v>
      </c>
      <c r="G617" s="10" t="n">
        <v>99.8</v>
      </c>
      <c r="H617" s="10" t="n">
        <v>5.5</v>
      </c>
      <c r="I617" s="11" t="n">
        <f aca="false">SUMIFS(Eventos_Paro!$J$2:$J$2186,Eventos_Paro!$D$2:$D$2186,$E617,Eventos_Paro!$B$2:$B$2186,$B617)</f>
        <v>4.33333333333333</v>
      </c>
      <c r="J617" s="12" t="n">
        <f aca="false">G617-H617-I617</f>
        <v>89.9666666666667</v>
      </c>
      <c r="K617" s="13" t="n">
        <v>242112</v>
      </c>
      <c r="L617" s="13" t="n">
        <v>235519</v>
      </c>
      <c r="M617" s="13" t="n">
        <v>7644</v>
      </c>
      <c r="N617" s="14" t="n">
        <f aca="false">L617+M617</f>
        <v>243163</v>
      </c>
      <c r="O617" s="11" t="n">
        <f aca="false">INDEX(Parametros!$D$2:$D$9,MATCH($E617,Parametros!$A$2:$A$9,0))</f>
        <v>3100</v>
      </c>
      <c r="P617" s="15" t="n">
        <f aca="false">IF((G617-H617)&gt;0,J617/(G617-H617),0)</f>
        <v>0.954047366560622</v>
      </c>
      <c r="Q617" s="15" t="n">
        <f aca="false">IF(J617*O617&gt;0,N617/(O617*J617),0)</f>
        <v>0.871874887951332</v>
      </c>
      <c r="R617" s="15" t="n">
        <f aca="false">IF(N617&gt;0,L617/N617,0)</f>
        <v>0.968564296377327</v>
      </c>
      <c r="S617" s="15" t="n">
        <f aca="false">P617*Q617*R617</f>
        <v>0.805661410050286</v>
      </c>
      <c r="T617" s="15" t="n">
        <f aca="false">IF(K617&gt;0,L617/K617,0)</f>
        <v>0.972768801215966</v>
      </c>
      <c r="U617" s="10" t="n">
        <v>1043.3</v>
      </c>
      <c r="V617" s="5" t="n">
        <v>10</v>
      </c>
      <c r="W617" s="10" t="n">
        <v>45.3</v>
      </c>
      <c r="X617" s="15" t="n">
        <f aca="false">IF(U617&gt;0,W617/U617,0)</f>
        <v>0.0434199175692514</v>
      </c>
      <c r="Y617" s="12" t="n">
        <f aca="false">IF(U617&gt;0,L617/U617,0)</f>
        <v>225.744272979967</v>
      </c>
      <c r="Z617" s="16" t="n">
        <f aca="false">L617*INDEX(Parametros!$E$2:$E$9,MATCH($E617,Parametros!$A$2:$A$9,0))</f>
        <v>155442.54</v>
      </c>
      <c r="AA617" s="16" t="n">
        <f aca="false">Z617*INDEX(Parametros!$F$2:$F$9,MATCH($E617,Parametros!$A$2:$A$9,0))</f>
        <v>4041.50604</v>
      </c>
      <c r="AB617" s="17" t="n">
        <f aca="false">Z617+AA617</f>
        <v>159484.04604</v>
      </c>
      <c r="AC617" s="18" t="n">
        <v>161157.81</v>
      </c>
      <c r="AD617" s="17" t="n">
        <f aca="false">AC617-AB617</f>
        <v>1673.76395999998</v>
      </c>
      <c r="AE617" s="17" t="n">
        <f aca="false">AA617+AD617</f>
        <v>5715.26999999998</v>
      </c>
      <c r="AF617" s="19" t="n">
        <f aca="false">IF(Z617&gt;0,AE617/Z617,0)</f>
        <v>0.0367677342380019</v>
      </c>
      <c r="AG617" s="16" t="n">
        <f aca="false">(U617-W617)*INDEX(Parametros!$H$2:$H$9,MATCH($E617,Parametros!$A$2:$A$9,0))+W617*INDEX(Parametros!$H$2:$H$9,MATCH($E617,Parametros!$A$2:$A$9,0))*Parametros!$N$3</f>
        <v>33577.425</v>
      </c>
      <c r="AH617" s="13" t="n">
        <v>12038</v>
      </c>
      <c r="AI617" s="16" t="n">
        <f aca="false">AH617*Parametros!$N$2</f>
        <v>1107.496</v>
      </c>
      <c r="AJ617" s="18" t="n">
        <v>6367</v>
      </c>
      <c r="AK617" s="18" t="n">
        <v>3544</v>
      </c>
      <c r="AL617" s="17" t="n">
        <f aca="false">AG617+AI617+AJ617+AK617</f>
        <v>44595.921</v>
      </c>
      <c r="AM617" s="20" t="n">
        <f aca="false">IF(L617&gt;0,AL617/L617,0)</f>
        <v>0.189351691370972</v>
      </c>
      <c r="AN617" s="16" t="n">
        <f aca="false">L617*INDEX(Parametros!$G$2:$G$9,MATCH($E617,Parametros!$A$2:$A$9,0))</f>
        <v>294398.75</v>
      </c>
      <c r="AO617" s="17" t="n">
        <f aca="false">AN617-AC617-AL617</f>
        <v>88645.019</v>
      </c>
      <c r="AP617" s="15" t="n">
        <f aca="false">IF(AN617&gt;0,AO617/AN617,0)</f>
        <v>0.301105283225557</v>
      </c>
      <c r="AQ617" s="16" t="n">
        <f aca="false">INDEX(Parametros!$I$2:$I$9,MATCH($E617,Parametros!$A$2:$A$9,0))</f>
        <v>13300000</v>
      </c>
      <c r="AR617" s="19" t="n">
        <f aca="false">IF(AQ617&gt;0,AO617/AQ617,0)</f>
        <v>0.00666503902255639</v>
      </c>
    </row>
    <row r="618" customFormat="false" ht="15" hidden="false" customHeight="false" outlineLevel="0" collapsed="false">
      <c r="A618" s="5" t="s">
        <v>753</v>
      </c>
      <c r="B618" s="9" t="n">
        <v>46090</v>
      </c>
      <c r="C618" s="2" t="str">
        <f aca="false">TEXT(B618,"yyyy")</f>
        <v>2026</v>
      </c>
      <c r="D618" s="2" t="n">
        <f aca="false">WEEKNUM(B618,2)</f>
        <v>11</v>
      </c>
      <c r="E618" s="5" t="s">
        <v>130</v>
      </c>
      <c r="F618" s="6" t="str">
        <f aca="false">INDEX(Parametros!$B$2:$B$9,MATCH($E618,Parametros!$A$2:$A$9,0))</f>
        <v>Ketchup botella</v>
      </c>
      <c r="G618" s="10" t="n">
        <v>116.3</v>
      </c>
      <c r="H618" s="10" t="n">
        <v>6.2</v>
      </c>
      <c r="I618" s="11" t="n">
        <f aca="false">SUMIFS(Eventos_Paro!$J$2:$J$2186,Eventos_Paro!$D$2:$D$2186,$E618,Eventos_Paro!$B$2:$B$2186,$B618)</f>
        <v>1.71666666666667</v>
      </c>
      <c r="J618" s="12" t="n">
        <f aca="false">G618-H618-I618</f>
        <v>108.383333333333</v>
      </c>
      <c r="K618" s="13" t="n">
        <v>776123</v>
      </c>
      <c r="L618" s="13" t="n">
        <v>827426</v>
      </c>
      <c r="M618" s="13" t="n">
        <v>27419</v>
      </c>
      <c r="N618" s="14" t="n">
        <f aca="false">L618+M618</f>
        <v>854845</v>
      </c>
      <c r="O618" s="11" t="n">
        <f aca="false">INDEX(Parametros!$D$2:$D$9,MATCH($E618,Parametros!$A$2:$A$9,0))</f>
        <v>9000</v>
      </c>
      <c r="P618" s="15" t="n">
        <f aca="false">IF((G618-H618)&gt;0,J618/(G618-H618),0)</f>
        <v>0.984408113835907</v>
      </c>
      <c r="Q618" s="15" t="n">
        <f aca="false">IF(J618*O618&gt;0,N618/(O618*J618),0)</f>
        <v>0.876359628889231</v>
      </c>
      <c r="R618" s="15" t="n">
        <f aca="false">IF(N618&gt;0,L618/N618,0)</f>
        <v>0.967925179418491</v>
      </c>
      <c r="S618" s="15" t="n">
        <f aca="false">P618*Q618*R618</f>
        <v>0.835024724997477</v>
      </c>
      <c r="T618" s="15" t="n">
        <f aca="false">IF(K618&gt;0,L618/K618,0)</f>
        <v>1.06610163595203</v>
      </c>
      <c r="U618" s="10" t="n">
        <v>1728.2</v>
      </c>
      <c r="V618" s="5" t="n">
        <v>14</v>
      </c>
      <c r="W618" s="10" t="n">
        <v>100</v>
      </c>
      <c r="X618" s="15" t="n">
        <f aca="false">IF(U618&gt;0,W618/U618,0)</f>
        <v>0.0578636731859738</v>
      </c>
      <c r="Y618" s="12" t="n">
        <f aca="false">IF(U618&gt;0,L618/U618,0)</f>
        <v>478.779076495776</v>
      </c>
      <c r="Z618" s="16" t="n">
        <f aca="false">L618*INDEX(Parametros!$E$2:$E$9,MATCH($E618,Parametros!$A$2:$A$9,0))</f>
        <v>347518.92</v>
      </c>
      <c r="AA618" s="16" t="n">
        <f aca="false">Z618*INDEX(Parametros!$F$2:$F$9,MATCH($E618,Parametros!$A$2:$A$9,0))</f>
        <v>6950.3784</v>
      </c>
      <c r="AB618" s="17" t="n">
        <f aca="false">Z618+AA618</f>
        <v>354469.2984</v>
      </c>
      <c r="AC618" s="18" t="n">
        <v>352601.21</v>
      </c>
      <c r="AD618" s="17" t="n">
        <f aca="false">AC618-AB618</f>
        <v>-1868.08839999995</v>
      </c>
      <c r="AE618" s="17" t="n">
        <f aca="false">AA618+AD618</f>
        <v>5082.29000000005</v>
      </c>
      <c r="AF618" s="19" t="n">
        <f aca="false">IF(Z618&gt;0,AE618/Z618,0)</f>
        <v>0.0146244987179405</v>
      </c>
      <c r="AG618" s="16" t="n">
        <f aca="false">(U618-W618)*INDEX(Parametros!$H$2:$H$9,MATCH($E618,Parametros!$A$2:$A$9,0))+W618*INDEX(Parametros!$H$2:$H$9,MATCH($E618,Parametros!$A$2:$A$9,0))*Parametros!$N$3</f>
        <v>56013.3</v>
      </c>
      <c r="AH618" s="13" t="n">
        <v>43856</v>
      </c>
      <c r="AI618" s="16" t="n">
        <f aca="false">AH618*Parametros!$N$2</f>
        <v>4034.752</v>
      </c>
      <c r="AJ618" s="18" t="n">
        <v>14535</v>
      </c>
      <c r="AK618" s="18" t="n">
        <v>972</v>
      </c>
      <c r="AL618" s="17" t="n">
        <f aca="false">AG618+AI618+AJ618+AK618</f>
        <v>75555.052</v>
      </c>
      <c r="AM618" s="20" t="n">
        <f aca="false">IF(L618&gt;0,AL618/L618,0)</f>
        <v>0.0913133645788264</v>
      </c>
      <c r="AN618" s="16" t="n">
        <f aca="false">L618*INDEX(Parametros!$G$2:$G$9,MATCH($E618,Parametros!$A$2:$A$9,0))</f>
        <v>587472.46</v>
      </c>
      <c r="AO618" s="17" t="n">
        <f aca="false">AN618-AC618-AL618</f>
        <v>159316.198</v>
      </c>
      <c r="AP618" s="15" t="n">
        <f aca="false">IF(AN618&gt;0,AO618/AN618,0)</f>
        <v>0.271189219661463</v>
      </c>
      <c r="AQ618" s="16" t="n">
        <f aca="false">INDEX(Parametros!$I$2:$I$9,MATCH($E618,Parametros!$A$2:$A$9,0))</f>
        <v>29300000</v>
      </c>
      <c r="AR618" s="19" t="n">
        <f aca="false">IF(AQ618&gt;0,AO618/AQ618,0)</f>
        <v>0.00543741290102389</v>
      </c>
    </row>
    <row r="619" customFormat="false" ht="15" hidden="false" customHeight="false" outlineLevel="0" collapsed="false">
      <c r="A619" s="5" t="s">
        <v>754</v>
      </c>
      <c r="B619" s="9" t="n">
        <v>46090</v>
      </c>
      <c r="C619" s="2" t="str">
        <f aca="false">TEXT(B619,"yyyy")</f>
        <v>2026</v>
      </c>
      <c r="D619" s="2" t="n">
        <f aca="false">WEEKNUM(B619,2)</f>
        <v>11</v>
      </c>
      <c r="E619" s="5" t="s">
        <v>132</v>
      </c>
      <c r="F619" s="6" t="str">
        <f aca="false">INDEX(Parametros!$B$2:$B$9,MATCH($E619,Parametros!$A$2:$A$9,0))</f>
        <v>Mayonesa frasco</v>
      </c>
      <c r="G619" s="10" t="n">
        <v>118.9</v>
      </c>
      <c r="H619" s="10" t="n">
        <v>6.3</v>
      </c>
      <c r="I619" s="11" t="n">
        <f aca="false">SUMIFS(Eventos_Paro!$J$2:$J$2186,Eventos_Paro!$D$2:$D$2186,$E619,Eventos_Paro!$B$2:$B$2186,$B619)</f>
        <v>4.5</v>
      </c>
      <c r="J619" s="12" t="n">
        <f aca="false">G619-H619-I619</f>
        <v>108.1</v>
      </c>
      <c r="K619" s="13" t="n">
        <v>573261</v>
      </c>
      <c r="L619" s="13" t="n">
        <v>590546</v>
      </c>
      <c r="M619" s="13" t="n">
        <v>11447</v>
      </c>
      <c r="N619" s="14" t="n">
        <f aca="false">L619+M619</f>
        <v>601993</v>
      </c>
      <c r="O619" s="11" t="n">
        <f aca="false">INDEX(Parametros!$D$2:$D$9,MATCH($E619,Parametros!$A$2:$A$9,0))</f>
        <v>6500</v>
      </c>
      <c r="P619" s="15" t="n">
        <f aca="false">IF((G619-H619)&gt;0,J619/(G619-H619),0)</f>
        <v>0.960035523978686</v>
      </c>
      <c r="Q619" s="15" t="n">
        <f aca="false">IF(J619*O619&gt;0,N619/(O619*J619),0)</f>
        <v>0.856746602149007</v>
      </c>
      <c r="R619" s="15" t="n">
        <f aca="false">IF(N619&gt;0,L619/N619,0)</f>
        <v>0.980984828727244</v>
      </c>
      <c r="S619" s="15" t="n">
        <f aca="false">P619*Q619*R619</f>
        <v>0.806867058341304</v>
      </c>
      <c r="T619" s="15" t="n">
        <f aca="false">IF(K619&gt;0,L619/K619,0)</f>
        <v>1.03015205988197</v>
      </c>
      <c r="U619" s="10" t="n">
        <v>1679.9</v>
      </c>
      <c r="V619" s="5" t="n">
        <v>13</v>
      </c>
      <c r="W619" s="10" t="n">
        <v>134.2</v>
      </c>
      <c r="X619" s="15" t="n">
        <f aca="false">IF(U619&gt;0,W619/U619,0)</f>
        <v>0.0798857074825882</v>
      </c>
      <c r="Y619" s="12" t="n">
        <f aca="false">IF(U619&gt;0,L619/U619,0)</f>
        <v>351.536400976249</v>
      </c>
      <c r="Z619" s="16" t="n">
        <f aca="false">L619*INDEX(Parametros!$E$2:$E$9,MATCH($E619,Parametros!$A$2:$A$9,0))</f>
        <v>360233.06</v>
      </c>
      <c r="AA619" s="16" t="n">
        <f aca="false">Z619*INDEX(Parametros!$F$2:$F$9,MATCH($E619,Parametros!$A$2:$A$9,0))</f>
        <v>9005.8265</v>
      </c>
      <c r="AB619" s="17" t="n">
        <f aca="false">Z619+AA619</f>
        <v>369238.8865</v>
      </c>
      <c r="AC619" s="18" t="n">
        <v>369344.63</v>
      </c>
      <c r="AD619" s="17" t="n">
        <f aca="false">AC619-AB619</f>
        <v>105.743499999982</v>
      </c>
      <c r="AE619" s="17" t="n">
        <f aca="false">AA619+AD619</f>
        <v>9111.56999999998</v>
      </c>
      <c r="AF619" s="19" t="n">
        <f aca="false">IF(Z619&gt;0,AE619/Z619,0)</f>
        <v>0.0252935419086743</v>
      </c>
      <c r="AG619" s="16" t="n">
        <f aca="false">(U619-W619)*INDEX(Parametros!$H$2:$H$9,MATCH($E619,Parametros!$A$2:$A$9,0))+W619*INDEX(Parametros!$H$2:$H$9,MATCH($E619,Parametros!$A$2:$A$9,0))*Parametros!$N$3</f>
        <v>55030.5</v>
      </c>
      <c r="AH619" s="13" t="n">
        <v>30210</v>
      </c>
      <c r="AI619" s="16" t="n">
        <f aca="false">AH619*Parametros!$N$2</f>
        <v>2779.32</v>
      </c>
      <c r="AJ619" s="18" t="n">
        <v>13994</v>
      </c>
      <c r="AK619" s="18" t="n">
        <v>2953</v>
      </c>
      <c r="AL619" s="17" t="n">
        <f aca="false">AG619+AI619+AJ619+AK619</f>
        <v>74756.82</v>
      </c>
      <c r="AM619" s="20" t="n">
        <f aca="false">IF(L619&gt;0,AL619/L619,0)</f>
        <v>0.126589325810352</v>
      </c>
      <c r="AN619" s="16" t="n">
        <f aca="false">L619*INDEX(Parametros!$G$2:$G$9,MATCH($E619,Parametros!$A$2:$A$9,0))</f>
        <v>566924.16</v>
      </c>
      <c r="AO619" s="17" t="n">
        <f aca="false">AN619-AC619-AL619</f>
        <v>122822.71</v>
      </c>
      <c r="AP619" s="15" t="n">
        <f aca="false">IF(AN619&gt;0,AO619/AN619,0)</f>
        <v>0.21664751419308</v>
      </c>
      <c r="AQ619" s="16" t="n">
        <f aca="false">INDEX(Parametros!$I$2:$I$9,MATCH($E619,Parametros!$A$2:$A$9,0))</f>
        <v>29700000</v>
      </c>
      <c r="AR619" s="19" t="n">
        <f aca="false">IF(AQ619&gt;0,AO619/AQ619,0)</f>
        <v>0.00413544478114478</v>
      </c>
    </row>
    <row r="620" customFormat="false" ht="15" hidden="false" customHeight="false" outlineLevel="0" collapsed="false">
      <c r="A620" s="5" t="s">
        <v>755</v>
      </c>
      <c r="B620" s="9" t="n">
        <v>46090</v>
      </c>
      <c r="C620" s="2" t="str">
        <f aca="false">TEXT(B620,"yyyy")</f>
        <v>2026</v>
      </c>
      <c r="D620" s="2" t="n">
        <f aca="false">WEEKNUM(B620,2)</f>
        <v>11</v>
      </c>
      <c r="E620" s="5" t="s">
        <v>134</v>
      </c>
      <c r="F620" s="6" t="str">
        <f aca="false">INDEX(Parametros!$B$2:$B$9,MATCH($E620,Parametros!$A$2:$A$9,0))</f>
        <v>Aderezos vertibles</v>
      </c>
      <c r="G620" s="10" t="n">
        <v>111.3</v>
      </c>
      <c r="H620" s="10" t="n">
        <v>5.9</v>
      </c>
      <c r="I620" s="11" t="n">
        <f aca="false">SUMIFS(Eventos_Paro!$J$2:$J$2186,Eventos_Paro!$D$2:$D$2186,$E620,Eventos_Paro!$B$2:$B$2186,$B620)</f>
        <v>1.75</v>
      </c>
      <c r="J620" s="12" t="n">
        <f aca="false">G620-H620-I620</f>
        <v>103.65</v>
      </c>
      <c r="K620" s="13" t="n">
        <v>429284</v>
      </c>
      <c r="L620" s="13" t="n">
        <v>441035</v>
      </c>
      <c r="M620" s="13" t="n">
        <v>15824</v>
      </c>
      <c r="N620" s="14" t="n">
        <f aca="false">L620+M620</f>
        <v>456859</v>
      </c>
      <c r="O620" s="11" t="n">
        <f aca="false">INDEX(Parametros!$D$2:$D$9,MATCH($E620,Parametros!$A$2:$A$9,0))</f>
        <v>5200</v>
      </c>
      <c r="P620" s="15" t="n">
        <f aca="false">IF((G620-H620)&gt;0,J620/(G620-H620),0)</f>
        <v>0.983396584440228</v>
      </c>
      <c r="Q620" s="15" t="n">
        <f aca="false">IF(J620*O620&gt;0,N620/(O620*J620),0)</f>
        <v>0.847636275928606</v>
      </c>
      <c r="R620" s="15" t="n">
        <f aca="false">IF(N620&gt;0,L620/N620,0)</f>
        <v>0.965363492893869</v>
      </c>
      <c r="S620" s="15" t="n">
        <f aca="false">P620*Q620*R620</f>
        <v>0.804690921033426</v>
      </c>
      <c r="T620" s="15" t="n">
        <f aca="false">IF(K620&gt;0,L620/K620,0)</f>
        <v>1.02737348701559</v>
      </c>
      <c r="U620" s="10" t="n">
        <v>1285.1</v>
      </c>
      <c r="V620" s="5" t="n">
        <v>11</v>
      </c>
      <c r="W620" s="10" t="n">
        <v>60.8</v>
      </c>
      <c r="X620" s="15" t="n">
        <f aca="false">IF(U620&gt;0,W620/U620,0)</f>
        <v>0.0473114932690063</v>
      </c>
      <c r="Y620" s="12" t="n">
        <f aca="false">IF(U620&gt;0,L620/U620,0)</f>
        <v>343.191191346977</v>
      </c>
      <c r="Z620" s="16" t="n">
        <f aca="false">L620*INDEX(Parametros!$E$2:$E$9,MATCH($E620,Parametros!$A$2:$A$9,0))</f>
        <v>242569.25</v>
      </c>
      <c r="AA620" s="16" t="n">
        <f aca="false">Z620*INDEX(Parametros!$F$2:$F$9,MATCH($E620,Parametros!$A$2:$A$9,0))</f>
        <v>7277.0775</v>
      </c>
      <c r="AB620" s="17" t="n">
        <f aca="false">Z620+AA620</f>
        <v>249846.3275</v>
      </c>
      <c r="AC620" s="18" t="n">
        <v>252159.37</v>
      </c>
      <c r="AD620" s="17" t="n">
        <f aca="false">AC620-AB620</f>
        <v>2313.04249999995</v>
      </c>
      <c r="AE620" s="17" t="n">
        <f aca="false">AA620+AD620</f>
        <v>9590.11999999995</v>
      </c>
      <c r="AF620" s="19" t="n">
        <f aca="false">IF(Z620&gt;0,AE620/Z620,0)</f>
        <v>0.0395355965358344</v>
      </c>
      <c r="AG620" s="16" t="n">
        <f aca="false">(U620-W620)*INDEX(Parametros!$H$2:$H$9,MATCH($E620,Parametros!$A$2:$A$9,0))+W620*INDEX(Parametros!$H$2:$H$9,MATCH($E620,Parametros!$A$2:$A$9,0))*Parametros!$N$3</f>
        <v>41438.25</v>
      </c>
      <c r="AH620" s="13" t="n">
        <v>23547</v>
      </c>
      <c r="AI620" s="16" t="n">
        <f aca="false">AH620*Parametros!$N$2</f>
        <v>2166.324</v>
      </c>
      <c r="AJ620" s="18" t="n">
        <v>9206</v>
      </c>
      <c r="AK620" s="18" t="n">
        <v>760</v>
      </c>
      <c r="AL620" s="17" t="n">
        <f aca="false">AG620+AI620+AJ620+AK620</f>
        <v>53570.574</v>
      </c>
      <c r="AM620" s="20" t="n">
        <f aca="false">IF(L620&gt;0,AL620/L620,0)</f>
        <v>0.121465584364053</v>
      </c>
      <c r="AN620" s="16" t="n">
        <f aca="false">L620*INDEX(Parametros!$G$2:$G$9,MATCH($E620,Parametros!$A$2:$A$9,0))</f>
        <v>449855.7</v>
      </c>
      <c r="AO620" s="17" t="n">
        <f aca="false">AN620-AC620-AL620</f>
        <v>144125.756</v>
      </c>
      <c r="AP620" s="15" t="n">
        <f aca="false">IF(AN620&gt;0,AO620/AN620,0)</f>
        <v>0.320382193667881</v>
      </c>
      <c r="AQ620" s="16" t="n">
        <f aca="false">INDEX(Parametros!$I$2:$I$9,MATCH($E620,Parametros!$A$2:$A$9,0))</f>
        <v>19300000</v>
      </c>
      <c r="AR620" s="19" t="n">
        <f aca="false">IF(AQ620&gt;0,AO620/AQ620,0)</f>
        <v>0.00746765575129534</v>
      </c>
    </row>
    <row r="621" customFormat="false" ht="15" hidden="false" customHeight="false" outlineLevel="0" collapsed="false">
      <c r="A621" s="5" t="s">
        <v>756</v>
      </c>
      <c r="B621" s="9" t="n">
        <v>46090</v>
      </c>
      <c r="C621" s="2" t="str">
        <f aca="false">TEXT(B621,"yyyy")</f>
        <v>2026</v>
      </c>
      <c r="D621" s="2" t="n">
        <f aca="false">WEEKNUM(B621,2)</f>
        <v>11</v>
      </c>
      <c r="E621" s="5" t="s">
        <v>136</v>
      </c>
      <c r="F621" s="6" t="str">
        <f aca="false">INDEX(Parametros!$B$2:$B$9,MATCH($E621,Parametros!$A$2:$A$9,0))</f>
        <v>Salsa BBQ</v>
      </c>
      <c r="G621" s="10" t="n">
        <v>102.7</v>
      </c>
      <c r="H621" s="10" t="n">
        <v>6.7</v>
      </c>
      <c r="I621" s="11" t="n">
        <f aca="false">SUMIFS(Eventos_Paro!$J$2:$J$2186,Eventos_Paro!$D$2:$D$2186,$E621,Eventos_Paro!$B$2:$B$2186,$B621)</f>
        <v>0.4</v>
      </c>
      <c r="J621" s="12" t="n">
        <f aca="false">G621-H621-I621</f>
        <v>95.6</v>
      </c>
      <c r="K621" s="13" t="n">
        <v>333909</v>
      </c>
      <c r="L621" s="13" t="n">
        <v>379731</v>
      </c>
      <c r="M621" s="13" t="n">
        <v>11727</v>
      </c>
      <c r="N621" s="14" t="n">
        <f aca="false">L621+M621</f>
        <v>391458</v>
      </c>
      <c r="O621" s="11" t="n">
        <f aca="false">INDEX(Parametros!$D$2:$D$9,MATCH($E621,Parametros!$A$2:$A$9,0))</f>
        <v>4800</v>
      </c>
      <c r="P621" s="15" t="n">
        <f aca="false">IF((G621-H621)&gt;0,J621/(G621-H621),0)</f>
        <v>0.995833333333333</v>
      </c>
      <c r="Q621" s="15" t="n">
        <f aca="false">IF(J621*O621&gt;0,N621/(O621*J621),0)</f>
        <v>0.85307269874477</v>
      </c>
      <c r="R621" s="15" t="n">
        <f aca="false">IF(N621&gt;0,L621/N621,0)</f>
        <v>0.970042763208314</v>
      </c>
      <c r="S621" s="15" t="n">
        <f aca="false">P621*Q621*R621</f>
        <v>0.824069010416667</v>
      </c>
      <c r="T621" s="15" t="n">
        <f aca="false">IF(K621&gt;0,L621/K621,0)</f>
        <v>1.13722900550749</v>
      </c>
      <c r="U621" s="10" t="n">
        <v>1263.4</v>
      </c>
      <c r="V621" s="5" t="n">
        <v>12</v>
      </c>
      <c r="W621" s="10" t="n">
        <v>31</v>
      </c>
      <c r="X621" s="15" t="n">
        <f aca="false">IF(U621&gt;0,W621/U621,0)</f>
        <v>0.0245369637486148</v>
      </c>
      <c r="Y621" s="12" t="n">
        <f aca="false">IF(U621&gt;0,L621/U621,0)</f>
        <v>300.562767136299</v>
      </c>
      <c r="Z621" s="16" t="n">
        <f aca="false">L621*INDEX(Parametros!$E$2:$E$9,MATCH($E621,Parametros!$A$2:$A$9,0))</f>
        <v>220243.98</v>
      </c>
      <c r="AA621" s="16" t="n">
        <f aca="false">Z621*INDEX(Parametros!$F$2:$F$9,MATCH($E621,Parametros!$A$2:$A$9,0))</f>
        <v>6166.83144</v>
      </c>
      <c r="AB621" s="17" t="n">
        <f aca="false">Z621+AA621</f>
        <v>226410.81144</v>
      </c>
      <c r="AC621" s="18" t="n">
        <v>226952.81</v>
      </c>
      <c r="AD621" s="17" t="n">
        <f aca="false">AC621-AB621</f>
        <v>541.998560000007</v>
      </c>
      <c r="AE621" s="17" t="n">
        <f aca="false">AA621+AD621</f>
        <v>6708.83000000001</v>
      </c>
      <c r="AF621" s="19" t="n">
        <f aca="false">IF(Z621&gt;0,AE621/Z621,0)</f>
        <v>0.0304609006793285</v>
      </c>
      <c r="AG621" s="16" t="n">
        <f aca="false">(U621-W621)*INDEX(Parametros!$H$2:$H$9,MATCH($E621,Parametros!$A$2:$A$9,0))+W621*INDEX(Parametros!$H$2:$H$9,MATCH($E621,Parametros!$A$2:$A$9,0))*Parametros!$N$3</f>
        <v>40285.35</v>
      </c>
      <c r="AH621" s="13" t="n">
        <v>19135</v>
      </c>
      <c r="AI621" s="16" t="n">
        <f aca="false">AH621*Parametros!$N$2</f>
        <v>1760.42</v>
      </c>
      <c r="AJ621" s="18" t="n">
        <v>8848</v>
      </c>
      <c r="AK621" s="18" t="n">
        <v>312</v>
      </c>
      <c r="AL621" s="17" t="n">
        <f aca="false">AG621+AI621+AJ621+AK621</f>
        <v>51205.77</v>
      </c>
      <c r="AM621" s="20" t="n">
        <f aca="false">IF(L621&gt;0,AL621/L621,0)</f>
        <v>0.134847484140089</v>
      </c>
      <c r="AN621" s="16" t="n">
        <f aca="false">L621*INDEX(Parametros!$G$2:$G$9,MATCH($E621,Parametros!$A$2:$A$9,0))</f>
        <v>372136.38</v>
      </c>
      <c r="AO621" s="17" t="n">
        <f aca="false">AN621-AC621-AL621</f>
        <v>93977.8</v>
      </c>
      <c r="AP621" s="15" t="n">
        <f aca="false">IF(AN621&gt;0,AO621/AN621,0)</f>
        <v>0.252535911699899</v>
      </c>
      <c r="AQ621" s="16" t="n">
        <f aca="false">INDEX(Parametros!$I$2:$I$9,MATCH($E621,Parametros!$A$2:$A$9,0))</f>
        <v>17000000</v>
      </c>
      <c r="AR621" s="19" t="n">
        <f aca="false">IF(AQ621&gt;0,AO621/AQ621,0)</f>
        <v>0.00552810588235294</v>
      </c>
    </row>
    <row r="622" customFormat="false" ht="15" hidden="false" customHeight="false" outlineLevel="0" collapsed="false">
      <c r="A622" s="5" t="s">
        <v>757</v>
      </c>
      <c r="B622" s="9" t="n">
        <v>46090</v>
      </c>
      <c r="C622" s="2" t="str">
        <f aca="false">TEXT(B622,"yyyy")</f>
        <v>2026</v>
      </c>
      <c r="D622" s="2" t="n">
        <f aca="false">WEEKNUM(B622,2)</f>
        <v>11</v>
      </c>
      <c r="E622" s="5" t="s">
        <v>138</v>
      </c>
      <c r="F622" s="6" t="str">
        <f aca="false">INDEX(Parametros!$B$2:$B$9,MATCH($E622,Parametros!$A$2:$A$9,0))</f>
        <v>Queso crema</v>
      </c>
      <c r="G622" s="10" t="n">
        <v>115.5</v>
      </c>
      <c r="H622" s="10" t="n">
        <v>7</v>
      </c>
      <c r="I622" s="11" t="n">
        <f aca="false">SUMIFS(Eventos_Paro!$J$2:$J$2186,Eventos_Paro!$D$2:$D$2186,$E622,Eventos_Paro!$B$2:$B$2186,$B622)</f>
        <v>2.36666666666667</v>
      </c>
      <c r="J622" s="12" t="n">
        <f aca="false">G622-H622-I622</f>
        <v>106.133333333333</v>
      </c>
      <c r="K622" s="13" t="n">
        <v>322934</v>
      </c>
      <c r="L622" s="13" t="n">
        <v>303876</v>
      </c>
      <c r="M622" s="13" t="n">
        <v>12823</v>
      </c>
      <c r="N622" s="14" t="n">
        <f aca="false">L622+M622</f>
        <v>316699</v>
      </c>
      <c r="O622" s="11" t="n">
        <f aca="false">INDEX(Parametros!$D$2:$D$9,MATCH($E622,Parametros!$A$2:$A$9,0))</f>
        <v>3800</v>
      </c>
      <c r="P622" s="15" t="n">
        <f aca="false">IF((G622-H622)&gt;0,J622/(G622-H622),0)</f>
        <v>0.978187403993856</v>
      </c>
      <c r="Q622" s="15" t="n">
        <f aca="false">IF(J622*O622&gt;0,N622/(O622*J622),0)</f>
        <v>0.785256049986776</v>
      </c>
      <c r="R622" s="15" t="n">
        <f aca="false">IF(N622&gt;0,L622/N622,0)</f>
        <v>0.959510449985633</v>
      </c>
      <c r="S622" s="15" t="n">
        <f aca="false">P622*Q622*R622</f>
        <v>0.737026437060393</v>
      </c>
      <c r="T622" s="15" t="n">
        <f aca="false">IF(K622&gt;0,L622/K622,0)</f>
        <v>0.940984845200567</v>
      </c>
      <c r="U622" s="10" t="n">
        <v>1862.5</v>
      </c>
      <c r="V622" s="5" t="n">
        <v>15</v>
      </c>
      <c r="W622" s="10" t="n">
        <v>130</v>
      </c>
      <c r="X622" s="15" t="n">
        <f aca="false">IF(U622&gt;0,W622/U622,0)</f>
        <v>0.0697986577181208</v>
      </c>
      <c r="Y622" s="12" t="n">
        <f aca="false">IF(U622&gt;0,L622/U622,0)</f>
        <v>163.154899328859</v>
      </c>
      <c r="Z622" s="16" t="n">
        <f aca="false">L622*INDEX(Parametros!$E$2:$E$9,MATCH($E622,Parametros!$A$2:$A$9,0))</f>
        <v>340341.12</v>
      </c>
      <c r="AA622" s="16" t="n">
        <f aca="false">Z622*INDEX(Parametros!$F$2:$F$9,MATCH($E622,Parametros!$A$2:$A$9,0))</f>
        <v>11911.9392</v>
      </c>
      <c r="AB622" s="17" t="n">
        <f aca="false">Z622+AA622</f>
        <v>352253.0592</v>
      </c>
      <c r="AC622" s="18" t="n">
        <v>354665.72</v>
      </c>
      <c r="AD622" s="17" t="n">
        <f aca="false">AC622-AB622</f>
        <v>2412.6607999999</v>
      </c>
      <c r="AE622" s="17" t="n">
        <f aca="false">AA622+AD622</f>
        <v>14324.5999999999</v>
      </c>
      <c r="AF622" s="19" t="n">
        <f aca="false">IF(Z622&gt;0,AE622/Z622,0)</f>
        <v>0.0420889488757629</v>
      </c>
      <c r="AG622" s="16" t="n">
        <f aca="false">(U622-W622)*INDEX(Parametros!$H$2:$H$9,MATCH($E622,Parametros!$A$2:$A$9,0))+W622*INDEX(Parametros!$H$2:$H$9,MATCH($E622,Parametros!$A$2:$A$9,0))*Parametros!$N$3</f>
        <v>63607.5</v>
      </c>
      <c r="AH622" s="13" t="n">
        <v>16722</v>
      </c>
      <c r="AI622" s="16" t="n">
        <f aca="false">AH622*Parametros!$N$2</f>
        <v>1538.424</v>
      </c>
      <c r="AJ622" s="18" t="n">
        <v>17805</v>
      </c>
      <c r="AK622" s="18" t="n">
        <v>2037</v>
      </c>
      <c r="AL622" s="17" t="n">
        <f aca="false">AG622+AI622+AJ622+AK622</f>
        <v>84987.924</v>
      </c>
      <c r="AM622" s="20" t="n">
        <f aca="false">IF(L622&gt;0,AL622/L622,0)</f>
        <v>0.279679619318406</v>
      </c>
      <c r="AN622" s="16" t="n">
        <f aca="false">L622*INDEX(Parametros!$G$2:$G$9,MATCH($E622,Parametros!$A$2:$A$9,0))</f>
        <v>543938.04</v>
      </c>
      <c r="AO622" s="17" t="n">
        <f aca="false">AN622-AC622-AL622</f>
        <v>104284.396</v>
      </c>
      <c r="AP622" s="15" t="n">
        <f aca="false">IF(AN622&gt;0,AO622/AN622,0)</f>
        <v>0.191721093821642</v>
      </c>
      <c r="AQ622" s="16" t="n">
        <f aca="false">INDEX(Parametros!$I$2:$I$9,MATCH($E622,Parametros!$A$2:$A$9,0))</f>
        <v>33200000</v>
      </c>
      <c r="AR622" s="19" t="n">
        <f aca="false">IF(AQ622&gt;0,AO622/AQ622,0)</f>
        <v>0.00314109626506024</v>
      </c>
    </row>
    <row r="623" customFormat="false" ht="15" hidden="false" customHeight="false" outlineLevel="0" collapsed="false">
      <c r="A623" s="5" t="s">
        <v>758</v>
      </c>
      <c r="B623" s="9" t="n">
        <v>46090</v>
      </c>
      <c r="C623" s="2" t="str">
        <f aca="false">TEXT(B623,"yyyy")</f>
        <v>2026</v>
      </c>
      <c r="D623" s="2" t="n">
        <f aca="false">WEEKNUM(B623,2)</f>
        <v>11</v>
      </c>
      <c r="E623" s="5" t="s">
        <v>140</v>
      </c>
      <c r="F623" s="6" t="str">
        <f aca="false">INDEX(Parametros!$B$2:$B$9,MATCH($E623,Parametros!$A$2:$A$9,0))</f>
        <v>Crema de cacahuate</v>
      </c>
      <c r="G623" s="10" t="n">
        <v>118.5</v>
      </c>
      <c r="H623" s="10" t="n">
        <v>7.4</v>
      </c>
      <c r="I623" s="11" t="n">
        <f aca="false">SUMIFS(Eventos_Paro!$J$2:$J$2186,Eventos_Paro!$D$2:$D$2186,$E623,Eventos_Paro!$B$2:$B$2186,$B623)</f>
        <v>1.6</v>
      </c>
      <c r="J623" s="12" t="n">
        <f aca="false">G623-H623-I623</f>
        <v>109.5</v>
      </c>
      <c r="K623" s="13" t="n">
        <v>365480</v>
      </c>
      <c r="L623" s="13" t="n">
        <v>380904</v>
      </c>
      <c r="M623" s="13" t="n">
        <v>11027</v>
      </c>
      <c r="N623" s="14" t="n">
        <f aca="false">L623+M623</f>
        <v>391931</v>
      </c>
      <c r="O623" s="11" t="n">
        <f aca="false">INDEX(Parametros!$D$2:$D$9,MATCH($E623,Parametros!$A$2:$A$9,0))</f>
        <v>4200</v>
      </c>
      <c r="P623" s="15" t="n">
        <f aca="false">IF((G623-H623)&gt;0,J623/(G623-H623),0)</f>
        <v>0.985598559855986</v>
      </c>
      <c r="Q623" s="15" t="n">
        <f aca="false">IF(J623*O623&gt;0,N623/(O623*J623),0)</f>
        <v>0.852209175907806</v>
      </c>
      <c r="R623" s="15" t="n">
        <f aca="false">IF(N623&gt;0,L623/N623,0)</f>
        <v>0.971864945615427</v>
      </c>
      <c r="S623" s="15" t="n">
        <f aca="false">P623*Q623*R623</f>
        <v>0.816304487591616</v>
      </c>
      <c r="T623" s="15" t="n">
        <f aca="false">IF(K623&gt;0,L623/K623,0)</f>
        <v>1.04220203567911</v>
      </c>
      <c r="U623" s="10" t="n">
        <v>1526.1</v>
      </c>
      <c r="V623" s="5" t="n">
        <v>12</v>
      </c>
      <c r="W623" s="10" t="n">
        <v>104.1</v>
      </c>
      <c r="X623" s="15" t="n">
        <f aca="false">IF(U623&gt;0,W623/U623,0)</f>
        <v>0.0682130921957932</v>
      </c>
      <c r="Y623" s="12" t="n">
        <f aca="false">IF(U623&gt;0,L623/U623,0)</f>
        <v>249.593080401022</v>
      </c>
      <c r="Z623" s="16" t="n">
        <f aca="false">L623*INDEX(Parametros!$E$2:$E$9,MATCH($E623,Parametros!$A$2:$A$9,0))</f>
        <v>369476.88</v>
      </c>
      <c r="AA623" s="16" t="n">
        <f aca="false">Z623*INDEX(Parametros!$F$2:$F$9,MATCH($E623,Parametros!$A$2:$A$9,0))</f>
        <v>8128.49136</v>
      </c>
      <c r="AB623" s="17" t="n">
        <f aca="false">Z623+AA623</f>
        <v>377605.37136</v>
      </c>
      <c r="AC623" s="18" t="n">
        <v>380735.72</v>
      </c>
      <c r="AD623" s="17" t="n">
        <f aca="false">AC623-AB623</f>
        <v>3130.34863999998</v>
      </c>
      <c r="AE623" s="17" t="n">
        <f aca="false">AA623+AD623</f>
        <v>11258.84</v>
      </c>
      <c r="AF623" s="19" t="n">
        <f aca="false">IF(Z623&gt;0,AE623/Z623,0)</f>
        <v>0.0304723803015766</v>
      </c>
      <c r="AG623" s="16" t="n">
        <f aca="false">(U623-W623)*INDEX(Parametros!$H$2:$H$9,MATCH($E623,Parametros!$A$2:$A$9,0))+W623*INDEX(Parametros!$H$2:$H$9,MATCH($E623,Parametros!$A$2:$A$9,0))*Parametros!$N$3</f>
        <v>49711.725</v>
      </c>
      <c r="AH623" s="13" t="n">
        <v>20132</v>
      </c>
      <c r="AI623" s="16" t="n">
        <f aca="false">AH623*Parametros!$N$2</f>
        <v>1852.144</v>
      </c>
      <c r="AJ623" s="18" t="n">
        <v>14169</v>
      </c>
      <c r="AK623" s="18" t="n">
        <v>769</v>
      </c>
      <c r="AL623" s="17" t="n">
        <f aca="false">AG623+AI623+AJ623+AK623</f>
        <v>66501.869</v>
      </c>
      <c r="AM623" s="20" t="n">
        <f aca="false">IF(L623&gt;0,AL623/L623,0)</f>
        <v>0.174589579001533</v>
      </c>
      <c r="AN623" s="16" t="n">
        <f aca="false">L623*INDEX(Parametros!$G$2:$G$9,MATCH($E623,Parametros!$A$2:$A$9,0))</f>
        <v>617064.48</v>
      </c>
      <c r="AO623" s="17" t="n">
        <f aca="false">AN623-AC623-AL623</f>
        <v>169826.891</v>
      </c>
      <c r="AP623" s="15" t="n">
        <f aca="false">IF(AN623&gt;0,AO623/AN623,0)</f>
        <v>0.275217414880208</v>
      </c>
      <c r="AQ623" s="16" t="n">
        <f aca="false">INDEX(Parametros!$I$2:$I$9,MATCH($E623,Parametros!$A$2:$A$9,0))</f>
        <v>28000000</v>
      </c>
      <c r="AR623" s="19" t="n">
        <f aca="false">IF(AQ623&gt;0,AO623/AQ623,0)</f>
        <v>0.00606524610714286</v>
      </c>
    </row>
    <row r="624" customFormat="false" ht="15" hidden="false" customHeight="false" outlineLevel="0" collapsed="false">
      <c r="A624" s="5" t="s">
        <v>759</v>
      </c>
      <c r="B624" s="9" t="n">
        <v>46090</v>
      </c>
      <c r="C624" s="2" t="str">
        <f aca="false">TEXT(B624,"yyyy")</f>
        <v>2026</v>
      </c>
      <c r="D624" s="2" t="n">
        <f aca="false">WEEKNUM(B624,2)</f>
        <v>11</v>
      </c>
      <c r="E624" s="5" t="s">
        <v>142</v>
      </c>
      <c r="F624" s="6" t="str">
        <f aca="false">INDEX(Parametros!$B$2:$B$9,MATCH($E624,Parametros!$A$2:$A$9,0))</f>
        <v>Porciones single serve</v>
      </c>
      <c r="G624" s="10" t="n">
        <v>92.1</v>
      </c>
      <c r="H624" s="10" t="n">
        <v>6.2</v>
      </c>
      <c r="I624" s="11" t="n">
        <f aca="false">SUMIFS(Eventos_Paro!$J$2:$J$2186,Eventos_Paro!$D$2:$D$2186,$E624,Eventos_Paro!$B$2:$B$2186,$B624)</f>
        <v>1.36666666666667</v>
      </c>
      <c r="J624" s="12" t="n">
        <f aca="false">G624-H624-I624</f>
        <v>84.5333333333333</v>
      </c>
      <c r="K624" s="13" t="n">
        <v>174931</v>
      </c>
      <c r="L624" s="13" t="n">
        <v>173028</v>
      </c>
      <c r="M624" s="13" t="n">
        <v>10344</v>
      </c>
      <c r="N624" s="14" t="n">
        <f aca="false">L624+M624</f>
        <v>183372</v>
      </c>
      <c r="O624" s="11" t="n">
        <f aca="false">INDEX(Parametros!$D$2:$D$9,MATCH($E624,Parametros!$A$2:$A$9,0))</f>
        <v>2600</v>
      </c>
      <c r="P624" s="15" t="n">
        <f aca="false">IF((G624-H624)&gt;0,J624/(G624-H624),0)</f>
        <v>0.984090027163368</v>
      </c>
      <c r="Q624" s="15" t="n">
        <f aca="false">IF(J624*O624&gt;0,N624/(O624*J624),0)</f>
        <v>0.834318126668284</v>
      </c>
      <c r="R624" s="15" t="n">
        <f aca="false">IF(N624&gt;0,L624/N624,0)</f>
        <v>0.9435900791833</v>
      </c>
      <c r="S624" s="15" t="n">
        <f aca="false">P624*Q624*R624</f>
        <v>0.774729112563804</v>
      </c>
      <c r="T624" s="15" t="n">
        <f aca="false">IF(K624&gt;0,L624/K624,0)</f>
        <v>0.989121425019008</v>
      </c>
      <c r="U624" s="10" t="n">
        <v>1614.9</v>
      </c>
      <c r="V624" s="5" t="n">
        <v>17</v>
      </c>
      <c r="W624" s="10" t="n">
        <v>49.2</v>
      </c>
      <c r="X624" s="15" t="n">
        <f aca="false">IF(U624&gt;0,W624/U624,0)</f>
        <v>0.0304662827419654</v>
      </c>
      <c r="Y624" s="12" t="n">
        <f aca="false">IF(U624&gt;0,L624/U624,0)</f>
        <v>107.144714843024</v>
      </c>
      <c r="Z624" s="16" t="n">
        <f aca="false">L624*INDEX(Parametros!$E$2:$E$9,MATCH($E624,Parametros!$A$2:$A$9,0))</f>
        <v>128040.72</v>
      </c>
      <c r="AA624" s="16" t="n">
        <f aca="false">Z624*INDEX(Parametros!$F$2:$F$9,MATCH($E624,Parametros!$A$2:$A$9,0))</f>
        <v>5761.8324</v>
      </c>
      <c r="AB624" s="17" t="n">
        <f aca="false">Z624+AA624</f>
        <v>133802.5524</v>
      </c>
      <c r="AC624" s="18" t="n">
        <v>131804.62</v>
      </c>
      <c r="AD624" s="17" t="n">
        <f aca="false">AC624-AB624</f>
        <v>-1997.93240000002</v>
      </c>
      <c r="AE624" s="17" t="n">
        <f aca="false">AA624+AD624</f>
        <v>3763.89999999998</v>
      </c>
      <c r="AF624" s="19" t="n">
        <f aca="false">IF(Z624&gt;0,AE624/Z624,0)</f>
        <v>0.0293961171102442</v>
      </c>
      <c r="AG624" s="16" t="n">
        <f aca="false">(U624-W624)*INDEX(Parametros!$H$2:$H$9,MATCH($E624,Parametros!$A$2:$A$9,0))+W624*INDEX(Parametros!$H$2:$H$9,MATCH($E624,Parametros!$A$2:$A$9,0))*Parametros!$N$3</f>
        <v>49185</v>
      </c>
      <c r="AH624" s="13" t="n">
        <v>9467</v>
      </c>
      <c r="AI624" s="16" t="n">
        <f aca="false">AH624*Parametros!$N$2</f>
        <v>870.964</v>
      </c>
      <c r="AJ624" s="18" t="n">
        <v>13339</v>
      </c>
      <c r="AK624" s="18" t="n">
        <v>1307</v>
      </c>
      <c r="AL624" s="17" t="n">
        <f aca="false">AG624+AI624+AJ624+AK624</f>
        <v>64701.964</v>
      </c>
      <c r="AM624" s="20" t="n">
        <f aca="false">IF(L624&gt;0,AL624/L624,0)</f>
        <v>0.373939269944749</v>
      </c>
      <c r="AN624" s="16" t="n">
        <f aca="false">L624*INDEX(Parametros!$G$2:$G$9,MATCH($E624,Parametros!$A$2:$A$9,0))</f>
        <v>297608.16</v>
      </c>
      <c r="AO624" s="17" t="n">
        <f aca="false">AN624-AC624-AL624</f>
        <v>101101.576</v>
      </c>
      <c r="AP624" s="15" t="n">
        <f aca="false">IF(AN624&gt;0,AO624/AN624,0)</f>
        <v>0.339713722903297</v>
      </c>
      <c r="AQ624" s="16" t="n">
        <f aca="false">INDEX(Parametros!$I$2:$I$9,MATCH($E624,Parametros!$A$2:$A$9,0))</f>
        <v>15900000</v>
      </c>
      <c r="AR624" s="19" t="n">
        <f aca="false">IF(AQ624&gt;0,AO624/AQ624,0)</f>
        <v>0.00635858968553459</v>
      </c>
    </row>
    <row r="625" customFormat="false" ht="15" hidden="false" customHeight="false" outlineLevel="0" collapsed="false">
      <c r="A625" s="5" t="s">
        <v>760</v>
      </c>
      <c r="B625" s="9" t="n">
        <v>46090</v>
      </c>
      <c r="C625" s="2" t="str">
        <f aca="false">TEXT(B625,"yyyy")</f>
        <v>2026</v>
      </c>
      <c r="D625" s="2" t="n">
        <f aca="false">WEEKNUM(B625,2)</f>
        <v>11</v>
      </c>
      <c r="E625" s="5" t="s">
        <v>144</v>
      </c>
      <c r="F625" s="6" t="str">
        <f aca="false">INDEX(Parametros!$B$2:$B$9,MATCH($E625,Parametros!$A$2:$A$9,0))</f>
        <v>Salsas picantes</v>
      </c>
      <c r="G625" s="10" t="n">
        <v>98.4</v>
      </c>
      <c r="H625" s="10" t="n">
        <v>6.4</v>
      </c>
      <c r="I625" s="11" t="n">
        <f aca="false">SUMIFS(Eventos_Paro!$J$2:$J$2186,Eventos_Paro!$D$2:$D$2186,$E625,Eventos_Paro!$B$2:$B$2186,$B625)</f>
        <v>1.68333333333333</v>
      </c>
      <c r="J625" s="12" t="n">
        <f aca="false">G625-H625-I625</f>
        <v>90.3166666666667</v>
      </c>
      <c r="K625" s="13" t="n">
        <v>234817</v>
      </c>
      <c r="L625" s="13" t="n">
        <v>214757</v>
      </c>
      <c r="M625" s="13" t="n">
        <v>8718</v>
      </c>
      <c r="N625" s="14" t="n">
        <f aca="false">L625+M625</f>
        <v>223475</v>
      </c>
      <c r="O625" s="11" t="n">
        <f aca="false">INDEX(Parametros!$D$2:$D$9,MATCH($E625,Parametros!$A$2:$A$9,0))</f>
        <v>3100</v>
      </c>
      <c r="P625" s="15" t="n">
        <f aca="false">IF((G625-H625)&gt;0,J625/(G625-H625),0)</f>
        <v>0.981702898550725</v>
      </c>
      <c r="Q625" s="15" t="n">
        <f aca="false">IF(J625*O625&gt;0,N625/(O625*J625),0)</f>
        <v>0.798177261606415</v>
      </c>
      <c r="R625" s="15" t="n">
        <f aca="false">IF(N625&gt;0,L625/N625,0)</f>
        <v>0.960988924935675</v>
      </c>
      <c r="S625" s="15" t="n">
        <f aca="false">P625*Q625*R625</f>
        <v>0.753004908835905</v>
      </c>
      <c r="T625" s="15" t="n">
        <f aca="false">IF(K625&gt;0,L625/K625,0)</f>
        <v>0.914571772912523</v>
      </c>
      <c r="U625" s="10" t="n">
        <v>907.8</v>
      </c>
      <c r="V625" s="5" t="n">
        <v>9</v>
      </c>
      <c r="W625" s="10" t="n">
        <v>22.2</v>
      </c>
      <c r="X625" s="15" t="n">
        <f aca="false">IF(U625&gt;0,W625/U625,0)</f>
        <v>0.0244547257105089</v>
      </c>
      <c r="Y625" s="12" t="n">
        <f aca="false">IF(U625&gt;0,L625/U625,0)</f>
        <v>236.56862745098</v>
      </c>
      <c r="Z625" s="16" t="n">
        <f aca="false">L625*INDEX(Parametros!$E$2:$E$9,MATCH($E625,Parametros!$A$2:$A$9,0))</f>
        <v>141739.62</v>
      </c>
      <c r="AA625" s="16" t="n">
        <f aca="false">Z625*INDEX(Parametros!$F$2:$F$9,MATCH($E625,Parametros!$A$2:$A$9,0))</f>
        <v>3685.23012</v>
      </c>
      <c r="AB625" s="17" t="n">
        <f aca="false">Z625+AA625</f>
        <v>145424.85012</v>
      </c>
      <c r="AC625" s="18" t="n">
        <v>147230.33</v>
      </c>
      <c r="AD625" s="17" t="n">
        <f aca="false">AC625-AB625</f>
        <v>1805.47988</v>
      </c>
      <c r="AE625" s="17" t="n">
        <f aca="false">AA625+AD625</f>
        <v>5490.71</v>
      </c>
      <c r="AF625" s="19" t="n">
        <f aca="false">IF(Z625&gt;0,AE625/Z625,0)</f>
        <v>0.0387380042362185</v>
      </c>
      <c r="AG625" s="16" t="n">
        <f aca="false">(U625-W625)*INDEX(Parametros!$H$2:$H$9,MATCH($E625,Parametros!$A$2:$A$9,0))+W625*INDEX(Parametros!$H$2:$H$9,MATCH($E625,Parametros!$A$2:$A$9,0))*Parametros!$N$3</f>
        <v>28945.35</v>
      </c>
      <c r="AH625" s="13" t="n">
        <v>11486</v>
      </c>
      <c r="AI625" s="16" t="n">
        <f aca="false">AH625*Parametros!$N$2</f>
        <v>1056.712</v>
      </c>
      <c r="AJ625" s="18" t="n">
        <v>7035</v>
      </c>
      <c r="AK625" s="18" t="n">
        <v>1114</v>
      </c>
      <c r="AL625" s="17" t="n">
        <f aca="false">AG625+AI625+AJ625+AK625</f>
        <v>38151.062</v>
      </c>
      <c r="AM625" s="20" t="n">
        <f aca="false">IF(L625&gt;0,AL625/L625,0)</f>
        <v>0.177647583082274</v>
      </c>
      <c r="AN625" s="16" t="n">
        <f aca="false">L625*INDEX(Parametros!$G$2:$G$9,MATCH($E625,Parametros!$A$2:$A$9,0))</f>
        <v>268446.25</v>
      </c>
      <c r="AO625" s="17" t="n">
        <f aca="false">AN625-AC625-AL625</f>
        <v>83064.858</v>
      </c>
      <c r="AP625" s="15" t="n">
        <f aca="false">IF(AN625&gt;0,AO625/AN625,0)</f>
        <v>0.309428267297457</v>
      </c>
      <c r="AQ625" s="16" t="n">
        <f aca="false">INDEX(Parametros!$I$2:$I$9,MATCH($E625,Parametros!$A$2:$A$9,0))</f>
        <v>13300000</v>
      </c>
      <c r="AR625" s="19" t="n">
        <f aca="false">IF(AQ625&gt;0,AO625/AQ625,0)</f>
        <v>0.00624547804511278</v>
      </c>
    </row>
    <row r="626" customFormat="false" ht="15" hidden="false" customHeight="false" outlineLevel="0" collapsed="false">
      <c r="A626" s="5" t="s">
        <v>761</v>
      </c>
      <c r="B626" s="9" t="n">
        <v>46097</v>
      </c>
      <c r="C626" s="2" t="str">
        <f aca="false">TEXT(B626,"yyyy")</f>
        <v>2026</v>
      </c>
      <c r="D626" s="2" t="n">
        <f aca="false">WEEKNUM(B626,2)</f>
        <v>12</v>
      </c>
      <c r="E626" s="5" t="s">
        <v>130</v>
      </c>
      <c r="F626" s="6" t="str">
        <f aca="false">INDEX(Parametros!$B$2:$B$9,MATCH($E626,Parametros!$A$2:$A$9,0))</f>
        <v>Ketchup botella</v>
      </c>
      <c r="G626" s="10" t="n">
        <v>121.6</v>
      </c>
      <c r="H626" s="10" t="n">
        <v>9.1</v>
      </c>
      <c r="I626" s="11" t="n">
        <f aca="false">SUMIFS(Eventos_Paro!$J$2:$J$2186,Eventos_Paro!$D$2:$D$2186,$E626,Eventos_Paro!$B$2:$B$2186,$B626)</f>
        <v>2.1</v>
      </c>
      <c r="J626" s="12" t="n">
        <f aca="false">G626-H626-I626</f>
        <v>110.4</v>
      </c>
      <c r="K626" s="13" t="n">
        <v>796483</v>
      </c>
      <c r="L626" s="13" t="n">
        <v>831482</v>
      </c>
      <c r="M626" s="13" t="n">
        <v>21290</v>
      </c>
      <c r="N626" s="14" t="n">
        <f aca="false">L626+M626</f>
        <v>852772</v>
      </c>
      <c r="O626" s="11" t="n">
        <f aca="false">INDEX(Parametros!$D$2:$D$9,MATCH($E626,Parametros!$A$2:$A$9,0))</f>
        <v>9000</v>
      </c>
      <c r="P626" s="15" t="n">
        <f aca="false">IF((G626-H626)&gt;0,J626/(G626-H626),0)</f>
        <v>0.981333333333333</v>
      </c>
      <c r="Q626" s="15" t="n">
        <f aca="false">IF(J626*O626&gt;0,N626/(O626*J626),0)</f>
        <v>0.858264895330113</v>
      </c>
      <c r="R626" s="15" t="n">
        <f aca="false">IF(N626&gt;0,L626/N626,0)</f>
        <v>0.975034358538977</v>
      </c>
      <c r="S626" s="15" t="n">
        <f aca="false">P626*Q626*R626</f>
        <v>0.821216790123457</v>
      </c>
      <c r="T626" s="15" t="n">
        <f aca="false">IF(K626&gt;0,L626/K626,0)</f>
        <v>1.04394192970848</v>
      </c>
      <c r="U626" s="10" t="n">
        <v>1682.8</v>
      </c>
      <c r="V626" s="5" t="n">
        <v>13</v>
      </c>
      <c r="W626" s="10" t="n">
        <v>102</v>
      </c>
      <c r="X626" s="15" t="n">
        <f aca="false">IF(U626&gt;0,W626/U626,0)</f>
        <v>0.0606132636082719</v>
      </c>
      <c r="Y626" s="12" t="n">
        <f aca="false">IF(U626&gt;0,L626/U626,0)</f>
        <v>494.106251485619</v>
      </c>
      <c r="Z626" s="16" t="n">
        <f aca="false">L626*INDEX(Parametros!$E$2:$E$9,MATCH($E626,Parametros!$A$2:$A$9,0))</f>
        <v>349222.44</v>
      </c>
      <c r="AA626" s="16" t="n">
        <f aca="false">Z626*INDEX(Parametros!$F$2:$F$9,MATCH($E626,Parametros!$A$2:$A$9,0))</f>
        <v>6984.4488</v>
      </c>
      <c r="AB626" s="17" t="n">
        <f aca="false">Z626+AA626</f>
        <v>356206.8888</v>
      </c>
      <c r="AC626" s="18" t="n">
        <v>356873.24</v>
      </c>
      <c r="AD626" s="17" t="n">
        <f aca="false">AC626-AB626</f>
        <v>666.351199999976</v>
      </c>
      <c r="AE626" s="17" t="n">
        <f aca="false">AA626+AD626</f>
        <v>7650.79999999998</v>
      </c>
      <c r="AF626" s="19" t="n">
        <f aca="false">IF(Z626&gt;0,AE626/Z626,0)</f>
        <v>0.0219080996055121</v>
      </c>
      <c r="AG626" s="16" t="n">
        <f aca="false">(U626-W626)*INDEX(Parametros!$H$2:$H$9,MATCH($E626,Parametros!$A$2:$A$9,0))+W626*INDEX(Parametros!$H$2:$H$9,MATCH($E626,Parametros!$A$2:$A$9,0))*Parametros!$N$3</f>
        <v>54614.7</v>
      </c>
      <c r="AH626" s="13" t="n">
        <v>42571</v>
      </c>
      <c r="AI626" s="16" t="n">
        <f aca="false">AH626*Parametros!$N$2</f>
        <v>3916.532</v>
      </c>
      <c r="AJ626" s="18" t="n">
        <v>14919</v>
      </c>
      <c r="AK626" s="18" t="n">
        <v>2166</v>
      </c>
      <c r="AL626" s="17" t="n">
        <f aca="false">AG626+AI626+AJ626+AK626</f>
        <v>75616.232</v>
      </c>
      <c r="AM626" s="20" t="n">
        <f aca="false">IF(L626&gt;0,AL626/L626,0)</f>
        <v>0.0909415140676527</v>
      </c>
      <c r="AN626" s="16" t="n">
        <f aca="false">L626*INDEX(Parametros!$G$2:$G$9,MATCH($E626,Parametros!$A$2:$A$9,0))</f>
        <v>590352.22</v>
      </c>
      <c r="AO626" s="17" t="n">
        <f aca="false">AN626-AC626-AL626</f>
        <v>157862.748</v>
      </c>
      <c r="AP626" s="15" t="n">
        <f aca="false">IF(AN626&gt;0,AO626/AN626,0)</f>
        <v>0.267404343800045</v>
      </c>
      <c r="AQ626" s="16" t="n">
        <f aca="false">INDEX(Parametros!$I$2:$I$9,MATCH($E626,Parametros!$A$2:$A$9,0))</f>
        <v>29300000</v>
      </c>
      <c r="AR626" s="19" t="n">
        <f aca="false">IF(AQ626&gt;0,AO626/AQ626,0)</f>
        <v>0.00538780709897611</v>
      </c>
    </row>
    <row r="627" customFormat="false" ht="15" hidden="false" customHeight="false" outlineLevel="0" collapsed="false">
      <c r="A627" s="5" t="s">
        <v>762</v>
      </c>
      <c r="B627" s="9" t="n">
        <v>46097</v>
      </c>
      <c r="C627" s="2" t="str">
        <f aca="false">TEXT(B627,"yyyy")</f>
        <v>2026</v>
      </c>
      <c r="D627" s="2" t="n">
        <f aca="false">WEEKNUM(B627,2)</f>
        <v>12</v>
      </c>
      <c r="E627" s="5" t="s">
        <v>132</v>
      </c>
      <c r="F627" s="6" t="str">
        <f aca="false">INDEX(Parametros!$B$2:$B$9,MATCH($E627,Parametros!$A$2:$A$9,0))</f>
        <v>Mayonesa frasco</v>
      </c>
      <c r="G627" s="10" t="n">
        <v>116</v>
      </c>
      <c r="H627" s="10" t="n">
        <v>10</v>
      </c>
      <c r="I627" s="11" t="n">
        <f aca="false">SUMIFS(Eventos_Paro!$J$2:$J$2186,Eventos_Paro!$D$2:$D$2186,$E627,Eventos_Paro!$B$2:$B$2186,$B627)</f>
        <v>0.166666666666667</v>
      </c>
      <c r="J627" s="12" t="n">
        <f aca="false">G627-H627-I627</f>
        <v>105.833333333333</v>
      </c>
      <c r="K627" s="13" t="n">
        <v>542002</v>
      </c>
      <c r="L627" s="13" t="n">
        <v>580756</v>
      </c>
      <c r="M627" s="13" t="n">
        <v>19138</v>
      </c>
      <c r="N627" s="14" t="n">
        <f aca="false">L627+M627</f>
        <v>599894</v>
      </c>
      <c r="O627" s="11" t="n">
        <f aca="false">INDEX(Parametros!$D$2:$D$9,MATCH($E627,Parametros!$A$2:$A$9,0))</f>
        <v>6500</v>
      </c>
      <c r="P627" s="15" t="n">
        <f aca="false">IF((G627-H627)&gt;0,J627/(G627-H627),0)</f>
        <v>0.998427672955975</v>
      </c>
      <c r="Q627" s="15" t="n">
        <f aca="false">IF(J627*O627&gt;0,N627/(O627*J627),0)</f>
        <v>0.872044579043004</v>
      </c>
      <c r="R627" s="15" t="n">
        <f aca="false">IF(N627&gt;0,L627/N627,0)</f>
        <v>0.968097697259849</v>
      </c>
      <c r="S627" s="15" t="n">
        <f aca="false">P627*Q627*R627</f>
        <v>0.842896952104499</v>
      </c>
      <c r="T627" s="15" t="n">
        <f aca="false">IF(K627&gt;0,L627/K627,0)</f>
        <v>1.07150158117498</v>
      </c>
      <c r="U627" s="10" t="n">
        <v>1824.2</v>
      </c>
      <c r="V627" s="5" t="n">
        <v>14</v>
      </c>
      <c r="W627" s="10" t="n">
        <v>200.2</v>
      </c>
      <c r="X627" s="15" t="n">
        <f aca="false">IF(U627&gt;0,W627/U627,0)</f>
        <v>0.109746738296239</v>
      </c>
      <c r="Y627" s="12" t="n">
        <f aca="false">IF(U627&gt;0,L627/U627,0)</f>
        <v>318.362021708146</v>
      </c>
      <c r="Z627" s="16" t="n">
        <f aca="false">L627*INDEX(Parametros!$E$2:$E$9,MATCH($E627,Parametros!$A$2:$A$9,0))</f>
        <v>354261.16</v>
      </c>
      <c r="AA627" s="16" t="n">
        <f aca="false">Z627*INDEX(Parametros!$F$2:$F$9,MATCH($E627,Parametros!$A$2:$A$9,0))</f>
        <v>8856.529</v>
      </c>
      <c r="AB627" s="17" t="n">
        <f aca="false">Z627+AA627</f>
        <v>363117.689</v>
      </c>
      <c r="AC627" s="18" t="n">
        <v>363894.77</v>
      </c>
      <c r="AD627" s="17" t="n">
        <f aca="false">AC627-AB627</f>
        <v>777.081000000064</v>
      </c>
      <c r="AE627" s="17" t="n">
        <f aca="false">AA627+AD627</f>
        <v>9633.61000000006</v>
      </c>
      <c r="AF627" s="19" t="n">
        <f aca="false">IF(Z627&gt;0,AE627/Z627,0)</f>
        <v>0.0271935258158136</v>
      </c>
      <c r="AG627" s="16" t="n">
        <f aca="false">(U627-W627)*INDEX(Parametros!$H$2:$H$9,MATCH($E627,Parametros!$A$2:$A$9,0))+W627*INDEX(Parametros!$H$2:$H$9,MATCH($E627,Parametros!$A$2:$A$9,0))*Parametros!$N$3</f>
        <v>60615.45</v>
      </c>
      <c r="AH627" s="13" t="n">
        <v>30924</v>
      </c>
      <c r="AI627" s="16" t="n">
        <f aca="false">AH627*Parametros!$N$2</f>
        <v>2845.008</v>
      </c>
      <c r="AJ627" s="18" t="n">
        <v>14869</v>
      </c>
      <c r="AK627" s="18" t="n">
        <v>158</v>
      </c>
      <c r="AL627" s="17" t="n">
        <f aca="false">AG627+AI627+AJ627+AK627</f>
        <v>78487.458</v>
      </c>
      <c r="AM627" s="20" t="n">
        <f aca="false">IF(L627&gt;0,AL627/L627,0)</f>
        <v>0.135147046263835</v>
      </c>
      <c r="AN627" s="16" t="n">
        <f aca="false">L627*INDEX(Parametros!$G$2:$G$9,MATCH($E627,Parametros!$A$2:$A$9,0))</f>
        <v>557525.76</v>
      </c>
      <c r="AO627" s="17" t="n">
        <f aca="false">AN627-AC627-AL627</f>
        <v>115143.532</v>
      </c>
      <c r="AP627" s="15" t="n">
        <f aca="false">IF(AN627&gt;0,AO627/AN627,0)</f>
        <v>0.20652594061304</v>
      </c>
      <c r="AQ627" s="16" t="n">
        <f aca="false">INDEX(Parametros!$I$2:$I$9,MATCH($E627,Parametros!$A$2:$A$9,0))</f>
        <v>29700000</v>
      </c>
      <c r="AR627" s="19" t="n">
        <f aca="false">IF(AQ627&gt;0,AO627/AQ627,0)</f>
        <v>0.0038768865993266</v>
      </c>
    </row>
    <row r="628" customFormat="false" ht="15" hidden="false" customHeight="false" outlineLevel="0" collapsed="false">
      <c r="A628" s="5" t="s">
        <v>763</v>
      </c>
      <c r="B628" s="9" t="n">
        <v>46097</v>
      </c>
      <c r="C628" s="2" t="str">
        <f aca="false">TEXT(B628,"yyyy")</f>
        <v>2026</v>
      </c>
      <c r="D628" s="2" t="n">
        <f aca="false">WEEKNUM(B628,2)</f>
        <v>12</v>
      </c>
      <c r="E628" s="5" t="s">
        <v>134</v>
      </c>
      <c r="F628" s="6" t="str">
        <f aca="false">INDEX(Parametros!$B$2:$B$9,MATCH($E628,Parametros!$A$2:$A$9,0))</f>
        <v>Aderezos vertibles</v>
      </c>
      <c r="G628" s="10" t="n">
        <v>130.7</v>
      </c>
      <c r="H628" s="10" t="n">
        <v>10.4</v>
      </c>
      <c r="I628" s="11" t="n">
        <f aca="false">SUMIFS(Eventos_Paro!$J$2:$J$2186,Eventos_Paro!$D$2:$D$2186,$E628,Eventos_Paro!$B$2:$B$2186,$B628)</f>
        <v>3.11666666666667</v>
      </c>
      <c r="J628" s="12" t="n">
        <f aca="false">G628-H628-I628</f>
        <v>117.183333333333</v>
      </c>
      <c r="K628" s="13" t="n">
        <v>492097</v>
      </c>
      <c r="L628" s="13" t="n">
        <v>516212</v>
      </c>
      <c r="M628" s="13" t="n">
        <v>17754</v>
      </c>
      <c r="N628" s="14" t="n">
        <f aca="false">L628+M628</f>
        <v>533966</v>
      </c>
      <c r="O628" s="11" t="n">
        <f aca="false">INDEX(Parametros!$D$2:$D$9,MATCH($E628,Parametros!$A$2:$A$9,0))</f>
        <v>5200</v>
      </c>
      <c r="P628" s="15" t="n">
        <f aca="false">IF((G628-H628)&gt;0,J628/(G628-H628),0)</f>
        <v>0.974092546411749</v>
      </c>
      <c r="Q628" s="15" t="n">
        <f aca="false">IF(J628*O628&gt;0,N628/(O628*J628),0)</f>
        <v>0.876283054166712</v>
      </c>
      <c r="R628" s="15" t="n">
        <f aca="false">IF(N628&gt;0,L628/N628,0)</f>
        <v>0.966750691991625</v>
      </c>
      <c r="S628" s="15" t="n">
        <f aca="false">P628*Q628*R628</f>
        <v>0.82519982096042</v>
      </c>
      <c r="T628" s="15" t="n">
        <f aca="false">IF(K628&gt;0,L628/K628,0)</f>
        <v>1.04900456617293</v>
      </c>
      <c r="U628" s="10" t="n">
        <v>1636.4</v>
      </c>
      <c r="V628" s="5" t="n">
        <v>12</v>
      </c>
      <c r="W628" s="10" t="n">
        <v>68</v>
      </c>
      <c r="X628" s="15" t="n">
        <f aca="false">IF(U628&gt;0,W628/U628,0)</f>
        <v>0.0415546321192862</v>
      </c>
      <c r="Y628" s="12" t="n">
        <f aca="false">IF(U628&gt;0,L628/U628,0)</f>
        <v>315.45587875825</v>
      </c>
      <c r="Z628" s="16" t="n">
        <f aca="false">L628*INDEX(Parametros!$E$2:$E$9,MATCH($E628,Parametros!$A$2:$A$9,0))</f>
        <v>283916.6</v>
      </c>
      <c r="AA628" s="16" t="n">
        <f aca="false">Z628*INDEX(Parametros!$F$2:$F$9,MATCH($E628,Parametros!$A$2:$A$9,0))</f>
        <v>8517.498</v>
      </c>
      <c r="AB628" s="17" t="n">
        <f aca="false">Z628+AA628</f>
        <v>292434.098</v>
      </c>
      <c r="AC628" s="18" t="n">
        <v>290301.23</v>
      </c>
      <c r="AD628" s="17" t="n">
        <f aca="false">AC628-AB628</f>
        <v>-2132.86800000008</v>
      </c>
      <c r="AE628" s="17" t="n">
        <f aca="false">AA628+AD628</f>
        <v>6384.62999999993</v>
      </c>
      <c r="AF628" s="19" t="n">
        <f aca="false">IF(Z628&gt;0,AE628/Z628,0)</f>
        <v>0.0224876953302481</v>
      </c>
      <c r="AG628" s="16" t="n">
        <f aca="false">(U628-W628)*INDEX(Parametros!$H$2:$H$9,MATCH($E628,Parametros!$A$2:$A$9,0))+W628*INDEX(Parametros!$H$2:$H$9,MATCH($E628,Parametros!$A$2:$A$9,0))*Parametros!$N$3</f>
        <v>52617.6</v>
      </c>
      <c r="AH628" s="13" t="n">
        <v>26187</v>
      </c>
      <c r="AI628" s="16" t="n">
        <f aca="false">AH628*Parametros!$N$2</f>
        <v>2409.204</v>
      </c>
      <c r="AJ628" s="18" t="n">
        <v>10758</v>
      </c>
      <c r="AK628" s="18" t="n">
        <v>3761</v>
      </c>
      <c r="AL628" s="17" t="n">
        <f aca="false">AG628+AI628+AJ628+AK628</f>
        <v>69545.804</v>
      </c>
      <c r="AM628" s="20" t="n">
        <f aca="false">IF(L628&gt;0,AL628/L628,0)</f>
        <v>0.13472333847334</v>
      </c>
      <c r="AN628" s="16" t="n">
        <f aca="false">L628*INDEX(Parametros!$G$2:$G$9,MATCH($E628,Parametros!$A$2:$A$9,0))</f>
        <v>526536.24</v>
      </c>
      <c r="AO628" s="17" t="n">
        <f aca="false">AN628-AC628-AL628</f>
        <v>166689.206</v>
      </c>
      <c r="AP628" s="15" t="n">
        <f aca="false">IF(AN628&gt;0,AO628/AN628,0)</f>
        <v>0.31657689126963</v>
      </c>
      <c r="AQ628" s="16" t="n">
        <f aca="false">INDEX(Parametros!$I$2:$I$9,MATCH($E628,Parametros!$A$2:$A$9,0))</f>
        <v>19300000</v>
      </c>
      <c r="AR628" s="19" t="n">
        <f aca="false">IF(AQ628&gt;0,AO628/AQ628,0)</f>
        <v>0.00863674642487047</v>
      </c>
    </row>
    <row r="629" customFormat="false" ht="15" hidden="false" customHeight="false" outlineLevel="0" collapsed="false">
      <c r="A629" s="5" t="s">
        <v>764</v>
      </c>
      <c r="B629" s="9" t="n">
        <v>46097</v>
      </c>
      <c r="C629" s="2" t="str">
        <f aca="false">TEXT(B629,"yyyy")</f>
        <v>2026</v>
      </c>
      <c r="D629" s="2" t="n">
        <f aca="false">WEEKNUM(B629,2)</f>
        <v>12</v>
      </c>
      <c r="E629" s="5" t="s">
        <v>136</v>
      </c>
      <c r="F629" s="6" t="str">
        <f aca="false">INDEX(Parametros!$B$2:$B$9,MATCH($E629,Parametros!$A$2:$A$9,0))</f>
        <v>Salsa BBQ</v>
      </c>
      <c r="G629" s="10" t="n">
        <v>95.8</v>
      </c>
      <c r="H629" s="10" t="n">
        <v>11.8</v>
      </c>
      <c r="I629" s="11" t="n">
        <f aca="false">SUMIFS(Eventos_Paro!$J$2:$J$2186,Eventos_Paro!$D$2:$D$2186,$E629,Eventos_Paro!$B$2:$B$2186,$B629)</f>
        <v>0</v>
      </c>
      <c r="J629" s="12" t="n">
        <f aca="false">G629-H629-I629</f>
        <v>84</v>
      </c>
      <c r="K629" s="13" t="n">
        <v>298337</v>
      </c>
      <c r="L629" s="13" t="n">
        <v>335556</v>
      </c>
      <c r="M629" s="13" t="n">
        <v>13086</v>
      </c>
      <c r="N629" s="14" t="n">
        <f aca="false">L629+M629</f>
        <v>348642</v>
      </c>
      <c r="O629" s="11" t="n">
        <f aca="false">INDEX(Parametros!$D$2:$D$9,MATCH($E629,Parametros!$A$2:$A$9,0))</f>
        <v>4800</v>
      </c>
      <c r="P629" s="15" t="n">
        <f aca="false">IF((G629-H629)&gt;0,J629/(G629-H629),0)</f>
        <v>1</v>
      </c>
      <c r="Q629" s="15" t="n">
        <f aca="false">IF(J629*O629&gt;0,N629/(O629*J629),0)</f>
        <v>0.8646875</v>
      </c>
      <c r="R629" s="15" t="n">
        <f aca="false">IF(N629&gt;0,L629/N629,0)</f>
        <v>0.962465795859363</v>
      </c>
      <c r="S629" s="15" t="n">
        <f aca="false">P629*Q629*R629</f>
        <v>0.832232142857143</v>
      </c>
      <c r="T629" s="15" t="n">
        <f aca="false">IF(K629&gt;0,L629/K629,0)</f>
        <v>1.12475489128067</v>
      </c>
      <c r="U629" s="10" t="n">
        <v>988.7</v>
      </c>
      <c r="V629" s="5" t="n">
        <v>10</v>
      </c>
      <c r="W629" s="10" t="n">
        <v>30.7</v>
      </c>
      <c r="X629" s="15" t="n">
        <f aca="false">IF(U629&gt;0,W629/U629,0)</f>
        <v>0.0310508748862142</v>
      </c>
      <c r="Y629" s="12" t="n">
        <f aca="false">IF(U629&gt;0,L629/U629,0)</f>
        <v>339.391119652068</v>
      </c>
      <c r="Z629" s="16" t="n">
        <f aca="false">L629*INDEX(Parametros!$E$2:$E$9,MATCH($E629,Parametros!$A$2:$A$9,0))</f>
        <v>194622.48</v>
      </c>
      <c r="AA629" s="16" t="n">
        <f aca="false">Z629*INDEX(Parametros!$F$2:$F$9,MATCH($E629,Parametros!$A$2:$A$9,0))</f>
        <v>5449.42944</v>
      </c>
      <c r="AB629" s="17" t="n">
        <f aca="false">Z629+AA629</f>
        <v>200071.90944</v>
      </c>
      <c r="AC629" s="18" t="n">
        <v>195274.42</v>
      </c>
      <c r="AD629" s="17" t="n">
        <f aca="false">AC629-AB629</f>
        <v>-4797.48943999998</v>
      </c>
      <c r="AE629" s="17" t="n">
        <f aca="false">AA629+AD629</f>
        <v>651.940000000024</v>
      </c>
      <c r="AF629" s="19" t="n">
        <f aca="false">IF(Z629&gt;0,AE629/Z629,0)</f>
        <v>0.0033497672005825</v>
      </c>
      <c r="AG629" s="16" t="n">
        <f aca="false">(U629-W629)*INDEX(Parametros!$H$2:$H$9,MATCH($E629,Parametros!$A$2:$A$9,0))+W629*INDEX(Parametros!$H$2:$H$9,MATCH($E629,Parametros!$A$2:$A$9,0))*Parametros!$N$3</f>
        <v>31627.575</v>
      </c>
      <c r="AH629" s="13" t="n">
        <v>17917</v>
      </c>
      <c r="AI629" s="16" t="n">
        <f aca="false">AH629*Parametros!$N$2</f>
        <v>1648.364</v>
      </c>
      <c r="AJ629" s="18" t="n">
        <v>8592</v>
      </c>
      <c r="AK629" s="18" t="n">
        <v>0</v>
      </c>
      <c r="AL629" s="17" t="n">
        <f aca="false">AG629+AI629+AJ629+AK629</f>
        <v>41867.939</v>
      </c>
      <c r="AM629" s="20" t="n">
        <f aca="false">IF(L629&gt;0,AL629/L629,0)</f>
        <v>0.124771838381671</v>
      </c>
      <c r="AN629" s="16" t="n">
        <f aca="false">L629*INDEX(Parametros!$G$2:$G$9,MATCH($E629,Parametros!$A$2:$A$9,0))</f>
        <v>328844.88</v>
      </c>
      <c r="AO629" s="17" t="n">
        <f aca="false">AN629-AC629-AL629</f>
        <v>91702.521</v>
      </c>
      <c r="AP629" s="15" t="n">
        <f aca="false">IF(AN629&gt;0,AO629/AN629,0)</f>
        <v>0.278862547593869</v>
      </c>
      <c r="AQ629" s="16" t="n">
        <f aca="false">INDEX(Parametros!$I$2:$I$9,MATCH($E629,Parametros!$A$2:$A$9,0))</f>
        <v>17000000</v>
      </c>
      <c r="AR629" s="19" t="n">
        <f aca="false">IF(AQ629&gt;0,AO629/AQ629,0)</f>
        <v>0.00539426594117647</v>
      </c>
    </row>
    <row r="630" customFormat="false" ht="15" hidden="false" customHeight="false" outlineLevel="0" collapsed="false">
      <c r="A630" s="5" t="s">
        <v>765</v>
      </c>
      <c r="B630" s="9" t="n">
        <v>46097</v>
      </c>
      <c r="C630" s="2" t="str">
        <f aca="false">TEXT(B630,"yyyy")</f>
        <v>2026</v>
      </c>
      <c r="D630" s="2" t="n">
        <f aca="false">WEEKNUM(B630,2)</f>
        <v>12</v>
      </c>
      <c r="E630" s="5" t="s">
        <v>138</v>
      </c>
      <c r="F630" s="6" t="str">
        <f aca="false">INDEX(Parametros!$B$2:$B$9,MATCH($E630,Parametros!$A$2:$A$9,0))</f>
        <v>Queso crema</v>
      </c>
      <c r="G630" s="10" t="n">
        <v>121.3</v>
      </c>
      <c r="H630" s="10" t="n">
        <v>13</v>
      </c>
      <c r="I630" s="11" t="n">
        <f aca="false">SUMIFS(Eventos_Paro!$J$2:$J$2186,Eventos_Paro!$D$2:$D$2186,$E630,Eventos_Paro!$B$2:$B$2186,$B630)</f>
        <v>10.9</v>
      </c>
      <c r="J630" s="12" t="n">
        <f aca="false">G630-H630-I630</f>
        <v>97.4</v>
      </c>
      <c r="K630" s="13" t="n">
        <v>323738</v>
      </c>
      <c r="L630" s="13" t="n">
        <v>288021</v>
      </c>
      <c r="M630" s="13" t="n">
        <v>11531</v>
      </c>
      <c r="N630" s="14" t="n">
        <f aca="false">L630+M630</f>
        <v>299552</v>
      </c>
      <c r="O630" s="11" t="n">
        <f aca="false">INDEX(Parametros!$D$2:$D$9,MATCH($E630,Parametros!$A$2:$A$9,0))</f>
        <v>3800</v>
      </c>
      <c r="P630" s="15" t="n">
        <f aca="false">IF((G630-H630)&gt;0,J630/(G630-H630),0)</f>
        <v>0.899353647276085</v>
      </c>
      <c r="Q630" s="15" t="n">
        <f aca="false">IF(J630*O630&gt;0,N630/(O630*J630),0)</f>
        <v>0.809337512158219</v>
      </c>
      <c r="R630" s="15" t="n">
        <f aca="false">IF(N630&gt;0,L630/N630,0)</f>
        <v>0.96150584873411</v>
      </c>
      <c r="S630" s="15" t="n">
        <f aca="false">P630*Q630*R630</f>
        <v>0.699861495844875</v>
      </c>
      <c r="T630" s="15" t="n">
        <f aca="false">IF(K630&gt;0,L630/K630,0)</f>
        <v>0.889673130741526</v>
      </c>
      <c r="U630" s="10" t="n">
        <v>1885.9</v>
      </c>
      <c r="V630" s="5" t="n">
        <v>15</v>
      </c>
      <c r="W630" s="10" t="n">
        <v>66.4</v>
      </c>
      <c r="X630" s="15" t="n">
        <f aca="false">IF(U630&gt;0,W630/U630,0)</f>
        <v>0.0352086536931969</v>
      </c>
      <c r="Y630" s="12" t="n">
        <f aca="false">IF(U630&gt;0,L630/U630,0)</f>
        <v>152.723368153136</v>
      </c>
      <c r="Z630" s="16" t="n">
        <f aca="false">L630*INDEX(Parametros!$E$2:$E$9,MATCH($E630,Parametros!$A$2:$A$9,0))</f>
        <v>322583.52</v>
      </c>
      <c r="AA630" s="16" t="n">
        <f aca="false">Z630*INDEX(Parametros!$F$2:$F$9,MATCH($E630,Parametros!$A$2:$A$9,0))</f>
        <v>11290.4232</v>
      </c>
      <c r="AB630" s="17" t="n">
        <f aca="false">Z630+AA630</f>
        <v>333873.9432</v>
      </c>
      <c r="AC630" s="18" t="n">
        <v>318974.47</v>
      </c>
      <c r="AD630" s="17" t="n">
        <f aca="false">AC630-AB630</f>
        <v>-14899.4732000001</v>
      </c>
      <c r="AE630" s="17" t="n">
        <f aca="false">AA630+AD630</f>
        <v>-3609.05000000006</v>
      </c>
      <c r="AF630" s="19" t="n">
        <f aca="false">IF(Z630&gt;0,AE630/Z630,0)</f>
        <v>-0.0111879552929426</v>
      </c>
      <c r="AG630" s="16" t="n">
        <f aca="false">(U630-W630)*INDEX(Parametros!$H$2:$H$9,MATCH($E630,Parametros!$A$2:$A$9,0))+W630*INDEX(Parametros!$H$2:$H$9,MATCH($E630,Parametros!$A$2:$A$9,0))*Parametros!$N$3</f>
        <v>63330.3</v>
      </c>
      <c r="AH630" s="13" t="n">
        <v>15588</v>
      </c>
      <c r="AI630" s="16" t="n">
        <f aca="false">AH630*Parametros!$N$2</f>
        <v>1434.096</v>
      </c>
      <c r="AJ630" s="18" t="n">
        <v>15498</v>
      </c>
      <c r="AK630" s="18" t="n">
        <v>9387</v>
      </c>
      <c r="AL630" s="17" t="n">
        <f aca="false">AG630+AI630+AJ630+AK630</f>
        <v>89649.396</v>
      </c>
      <c r="AM630" s="20" t="n">
        <f aca="false">IF(L630&gt;0,AL630/L630,0)</f>
        <v>0.311259928963513</v>
      </c>
      <c r="AN630" s="16" t="n">
        <f aca="false">L630*INDEX(Parametros!$G$2:$G$9,MATCH($E630,Parametros!$A$2:$A$9,0))</f>
        <v>515557.59</v>
      </c>
      <c r="AO630" s="17" t="n">
        <f aca="false">AN630-AC630-AL630</f>
        <v>106933.724</v>
      </c>
      <c r="AP630" s="15" t="n">
        <f aca="false">IF(AN630&gt;0,AO630/AN630,0)</f>
        <v>0.207413732382448</v>
      </c>
      <c r="AQ630" s="16" t="n">
        <f aca="false">INDEX(Parametros!$I$2:$I$9,MATCH($E630,Parametros!$A$2:$A$9,0))</f>
        <v>33200000</v>
      </c>
      <c r="AR630" s="19" t="n">
        <f aca="false">IF(AQ630&gt;0,AO630/AQ630,0)</f>
        <v>0.00322089530120482</v>
      </c>
    </row>
    <row r="631" customFormat="false" ht="15" hidden="false" customHeight="false" outlineLevel="0" collapsed="false">
      <c r="A631" s="5" t="s">
        <v>766</v>
      </c>
      <c r="B631" s="9" t="n">
        <v>46097</v>
      </c>
      <c r="C631" s="2" t="str">
        <f aca="false">TEXT(B631,"yyyy")</f>
        <v>2026</v>
      </c>
      <c r="D631" s="2" t="n">
        <f aca="false">WEEKNUM(B631,2)</f>
        <v>12</v>
      </c>
      <c r="E631" s="5" t="s">
        <v>140</v>
      </c>
      <c r="F631" s="6" t="str">
        <f aca="false">INDEX(Parametros!$B$2:$B$9,MATCH($E631,Parametros!$A$2:$A$9,0))</f>
        <v>Crema de cacahuate</v>
      </c>
      <c r="G631" s="10" t="n">
        <v>113</v>
      </c>
      <c r="H631" s="10" t="n">
        <v>12.2</v>
      </c>
      <c r="I631" s="11" t="n">
        <f aca="false">SUMIFS(Eventos_Paro!$J$2:$J$2186,Eventos_Paro!$D$2:$D$2186,$E631,Eventos_Paro!$B$2:$B$2186,$B631)</f>
        <v>1.08333333333333</v>
      </c>
      <c r="J631" s="12" t="n">
        <f aca="false">G631-H631-I631</f>
        <v>99.7166666666667</v>
      </c>
      <c r="K631" s="13" t="n">
        <v>333036</v>
      </c>
      <c r="L631" s="13" t="n">
        <v>334853</v>
      </c>
      <c r="M631" s="13" t="n">
        <v>9706</v>
      </c>
      <c r="N631" s="14" t="n">
        <f aca="false">L631+M631</f>
        <v>344559</v>
      </c>
      <c r="O631" s="11" t="n">
        <f aca="false">INDEX(Parametros!$D$2:$D$9,MATCH($E631,Parametros!$A$2:$A$9,0))</f>
        <v>4200</v>
      </c>
      <c r="P631" s="15" t="n">
        <f aca="false">IF((G631-H631)&gt;0,J631/(G631-H631),0)</f>
        <v>0.989252645502646</v>
      </c>
      <c r="Q631" s="15" t="n">
        <f aca="false">IF(J631*O631&gt;0,N631/(O631*J631),0)</f>
        <v>0.822709581910652</v>
      </c>
      <c r="R631" s="15" t="n">
        <f aca="false">IF(N631&gt;0,L631/N631,0)</f>
        <v>0.971830658900217</v>
      </c>
      <c r="S631" s="15" t="n">
        <f aca="false">P631*Q631*R631</f>
        <v>0.790941515495087</v>
      </c>
      <c r="T631" s="15" t="n">
        <f aca="false">IF(K631&gt;0,L631/K631,0)</f>
        <v>1.00545586663304</v>
      </c>
      <c r="U631" s="10" t="n">
        <v>1664.8</v>
      </c>
      <c r="V631" s="5" t="n">
        <v>14</v>
      </c>
      <c r="W631" s="10" t="n">
        <v>82.8</v>
      </c>
      <c r="X631" s="15" t="n">
        <f aca="false">IF(U631&gt;0,W631/U631,0)</f>
        <v>0.0497357039884671</v>
      </c>
      <c r="Y631" s="12" t="n">
        <f aca="false">IF(U631&gt;0,L631/U631,0)</f>
        <v>201.137073522345</v>
      </c>
      <c r="Z631" s="16" t="n">
        <f aca="false">L631*INDEX(Parametros!$E$2:$E$9,MATCH($E631,Parametros!$A$2:$A$9,0))</f>
        <v>324807.41</v>
      </c>
      <c r="AA631" s="16" t="n">
        <f aca="false">Z631*INDEX(Parametros!$F$2:$F$9,MATCH($E631,Parametros!$A$2:$A$9,0))</f>
        <v>7145.76302</v>
      </c>
      <c r="AB631" s="17" t="n">
        <f aca="false">Z631+AA631</f>
        <v>331953.17302</v>
      </c>
      <c r="AC631" s="18" t="n">
        <v>331835.01</v>
      </c>
      <c r="AD631" s="17" t="n">
        <f aca="false">AC631-AB631</f>
        <v>-118.163019999978</v>
      </c>
      <c r="AE631" s="17" t="n">
        <f aca="false">AA631+AD631</f>
        <v>7027.60000000002</v>
      </c>
      <c r="AF631" s="19" t="n">
        <f aca="false">IF(Z631&gt;0,AE631/Z631,0)</f>
        <v>0.0216362058981352</v>
      </c>
      <c r="AG631" s="16" t="n">
        <f aca="false">(U631-W631)*INDEX(Parametros!$H$2:$H$9,MATCH($E631,Parametros!$A$2:$A$9,0))+W631*INDEX(Parametros!$H$2:$H$9,MATCH($E631,Parametros!$A$2:$A$9,0))*Parametros!$N$3</f>
        <v>53745.3</v>
      </c>
      <c r="AH631" s="13" t="n">
        <v>18417</v>
      </c>
      <c r="AI631" s="16" t="n">
        <f aca="false">AH631*Parametros!$N$2</f>
        <v>1694.364</v>
      </c>
      <c r="AJ631" s="18" t="n">
        <v>11814</v>
      </c>
      <c r="AK631" s="18" t="n">
        <v>980</v>
      </c>
      <c r="AL631" s="17" t="n">
        <f aca="false">AG631+AI631+AJ631+AK631</f>
        <v>68233.664</v>
      </c>
      <c r="AM631" s="20" t="n">
        <f aca="false">IF(L631&gt;0,AL631/L631,0)</f>
        <v>0.20377199547264</v>
      </c>
      <c r="AN631" s="16" t="n">
        <f aca="false">L631*INDEX(Parametros!$G$2:$G$9,MATCH($E631,Parametros!$A$2:$A$9,0))</f>
        <v>542461.86</v>
      </c>
      <c r="AO631" s="17" t="n">
        <f aca="false">AN631-AC631-AL631</f>
        <v>142393.186</v>
      </c>
      <c r="AP631" s="15" t="n">
        <f aca="false">IF(AN631&gt;0,AO631/AN631,0)</f>
        <v>0.262494373337141</v>
      </c>
      <c r="AQ631" s="16" t="n">
        <f aca="false">INDEX(Parametros!$I$2:$I$9,MATCH($E631,Parametros!$A$2:$A$9,0))</f>
        <v>28000000</v>
      </c>
      <c r="AR631" s="19" t="n">
        <f aca="false">IF(AQ631&gt;0,AO631/AQ631,0)</f>
        <v>0.00508547092857143</v>
      </c>
    </row>
    <row r="632" customFormat="false" ht="15" hidden="false" customHeight="false" outlineLevel="0" collapsed="false">
      <c r="A632" s="5" t="s">
        <v>767</v>
      </c>
      <c r="B632" s="9" t="n">
        <v>46097</v>
      </c>
      <c r="C632" s="2" t="str">
        <f aca="false">TEXT(B632,"yyyy")</f>
        <v>2026</v>
      </c>
      <c r="D632" s="2" t="n">
        <f aca="false">WEEKNUM(B632,2)</f>
        <v>12</v>
      </c>
      <c r="E632" s="5" t="s">
        <v>142</v>
      </c>
      <c r="F632" s="6" t="str">
        <f aca="false">INDEX(Parametros!$B$2:$B$9,MATCH($E632,Parametros!$A$2:$A$9,0))</f>
        <v>Porciones single serve</v>
      </c>
      <c r="G632" s="10" t="n">
        <v>116.3</v>
      </c>
      <c r="H632" s="10" t="n">
        <v>9.7</v>
      </c>
      <c r="I632" s="11" t="n">
        <f aca="false">SUMIFS(Eventos_Paro!$J$2:$J$2186,Eventos_Paro!$D$2:$D$2186,$E632,Eventos_Paro!$B$2:$B$2186,$B632)</f>
        <v>2.48333333333333</v>
      </c>
      <c r="J632" s="12" t="n">
        <f aca="false">G632-H632-I632</f>
        <v>104.116666666667</v>
      </c>
      <c r="K632" s="13" t="n">
        <v>218028</v>
      </c>
      <c r="L632" s="13" t="n">
        <v>209488</v>
      </c>
      <c r="M632" s="13" t="n">
        <v>11728</v>
      </c>
      <c r="N632" s="14" t="n">
        <f aca="false">L632+M632</f>
        <v>221216</v>
      </c>
      <c r="O632" s="11" t="n">
        <f aca="false">INDEX(Parametros!$D$2:$D$9,MATCH($E632,Parametros!$A$2:$A$9,0))</f>
        <v>2600</v>
      </c>
      <c r="P632" s="15" t="n">
        <f aca="false">IF((G632-H632)&gt;0,J632/(G632-H632),0)</f>
        <v>0.976704190118824</v>
      </c>
      <c r="Q632" s="15" t="n">
        <f aca="false">IF(J632*O632&gt;0,N632/(O632*J632),0)</f>
        <v>0.817189789560528</v>
      </c>
      <c r="R632" s="15" t="n">
        <f aca="false">IF(N632&gt;0,L632/N632,0)</f>
        <v>0.946983943295241</v>
      </c>
      <c r="S632" s="15" t="n">
        <f aca="false">P632*Q632*R632</f>
        <v>0.755837783229903</v>
      </c>
      <c r="T632" s="15" t="n">
        <f aca="false">IF(K632&gt;0,L632/K632,0)</f>
        <v>0.960830718990221</v>
      </c>
      <c r="U632" s="10" t="n">
        <v>2040.7</v>
      </c>
      <c r="V632" s="5" t="n">
        <v>17</v>
      </c>
      <c r="W632" s="10" t="n">
        <v>63.6</v>
      </c>
      <c r="X632" s="15" t="n">
        <f aca="false">IF(U632&gt;0,W632/U632,0)</f>
        <v>0.0311657764492576</v>
      </c>
      <c r="Y632" s="12" t="n">
        <f aca="false">IF(U632&gt;0,L632/U632,0)</f>
        <v>102.654971333366</v>
      </c>
      <c r="Z632" s="16" t="n">
        <f aca="false">L632*INDEX(Parametros!$E$2:$E$9,MATCH($E632,Parametros!$A$2:$A$9,0))</f>
        <v>155021.12</v>
      </c>
      <c r="AA632" s="16" t="n">
        <f aca="false">Z632*INDEX(Parametros!$F$2:$F$9,MATCH($E632,Parametros!$A$2:$A$9,0))</f>
        <v>6975.9504</v>
      </c>
      <c r="AB632" s="17" t="n">
        <f aca="false">Z632+AA632</f>
        <v>161997.0704</v>
      </c>
      <c r="AC632" s="18" t="n">
        <v>160176</v>
      </c>
      <c r="AD632" s="17" t="n">
        <f aca="false">AC632-AB632</f>
        <v>-1821.0704</v>
      </c>
      <c r="AE632" s="17" t="n">
        <f aca="false">AA632+AD632</f>
        <v>5154.88</v>
      </c>
      <c r="AF632" s="19" t="n">
        <f aca="false">IF(Z632&gt;0,AE632/Z632,0)</f>
        <v>0.0332527593659496</v>
      </c>
      <c r="AG632" s="16" t="n">
        <f aca="false">(U632-W632)*INDEX(Parametros!$H$2:$H$9,MATCH($E632,Parametros!$A$2:$A$9,0))+W632*INDEX(Parametros!$H$2:$H$9,MATCH($E632,Parametros!$A$2:$A$9,0))*Parametros!$N$3</f>
        <v>62175</v>
      </c>
      <c r="AH632" s="13" t="n">
        <v>11288</v>
      </c>
      <c r="AI632" s="16" t="n">
        <f aca="false">AH632*Parametros!$N$2</f>
        <v>1038.496</v>
      </c>
      <c r="AJ632" s="18" t="n">
        <v>13550</v>
      </c>
      <c r="AK632" s="18" t="n">
        <v>2268</v>
      </c>
      <c r="AL632" s="17" t="n">
        <f aca="false">AG632+AI632+AJ632+AK632</f>
        <v>79031.496</v>
      </c>
      <c r="AM632" s="20" t="n">
        <f aca="false">IF(L632&gt;0,AL632/L632,0)</f>
        <v>0.37726025357061</v>
      </c>
      <c r="AN632" s="16" t="n">
        <f aca="false">L632*INDEX(Parametros!$G$2:$G$9,MATCH($E632,Parametros!$A$2:$A$9,0))</f>
        <v>360319.36</v>
      </c>
      <c r="AO632" s="17" t="n">
        <f aca="false">AN632-AC632-AL632</f>
        <v>121111.864</v>
      </c>
      <c r="AP632" s="15" t="n">
        <f aca="false">IF(AN632&gt;0,AO632/AN632,0)</f>
        <v>0.336123665406155</v>
      </c>
      <c r="AQ632" s="16" t="n">
        <f aca="false">INDEX(Parametros!$I$2:$I$9,MATCH($E632,Parametros!$A$2:$A$9,0))</f>
        <v>15900000</v>
      </c>
      <c r="AR632" s="19" t="n">
        <f aca="false">IF(AQ632&gt;0,AO632/AQ632,0)</f>
        <v>0.00761709836477987</v>
      </c>
    </row>
    <row r="633" customFormat="false" ht="15" hidden="false" customHeight="false" outlineLevel="0" collapsed="false">
      <c r="A633" s="5" t="s">
        <v>768</v>
      </c>
      <c r="B633" s="9" t="n">
        <v>46097</v>
      </c>
      <c r="C633" s="2" t="str">
        <f aca="false">TEXT(B633,"yyyy")</f>
        <v>2026</v>
      </c>
      <c r="D633" s="2" t="n">
        <f aca="false">WEEKNUM(B633,2)</f>
        <v>12</v>
      </c>
      <c r="E633" s="5" t="s">
        <v>144</v>
      </c>
      <c r="F633" s="6" t="str">
        <f aca="false">INDEX(Parametros!$B$2:$B$9,MATCH($E633,Parametros!$A$2:$A$9,0))</f>
        <v>Salsas picantes</v>
      </c>
      <c r="G633" s="10" t="n">
        <v>95.3</v>
      </c>
      <c r="H633" s="10" t="n">
        <v>12</v>
      </c>
      <c r="I633" s="11" t="n">
        <f aca="false">SUMIFS(Eventos_Paro!$J$2:$J$2186,Eventos_Paro!$D$2:$D$2186,$E633,Eventos_Paro!$B$2:$B$2186,$B633)</f>
        <v>0.95</v>
      </c>
      <c r="J633" s="12" t="n">
        <f aca="false">G633-H633-I633</f>
        <v>82.35</v>
      </c>
      <c r="K633" s="13" t="n">
        <v>211266</v>
      </c>
      <c r="L633" s="13" t="n">
        <v>212150</v>
      </c>
      <c r="M633" s="13" t="n">
        <v>6047</v>
      </c>
      <c r="N633" s="14" t="n">
        <f aca="false">L633+M633</f>
        <v>218197</v>
      </c>
      <c r="O633" s="11" t="n">
        <f aca="false">INDEX(Parametros!$D$2:$D$9,MATCH($E633,Parametros!$A$2:$A$9,0))</f>
        <v>3100</v>
      </c>
      <c r="P633" s="15" t="n">
        <f aca="false">IF((G633-H633)&gt;0,J633/(G633-H633),0)</f>
        <v>0.98859543817527</v>
      </c>
      <c r="Q633" s="15" t="n">
        <f aca="false">IF(J633*O633&gt;0,N633/(O633*J633),0)</f>
        <v>0.854719235364397</v>
      </c>
      <c r="R633" s="15" t="n">
        <f aca="false">IF(N633&gt;0,L633/N633,0)</f>
        <v>0.972286511730225</v>
      </c>
      <c r="S633" s="15" t="n">
        <f aca="false">P633*Q633*R633</f>
        <v>0.821554428222902</v>
      </c>
      <c r="T633" s="15" t="n">
        <f aca="false">IF(K633&gt;0,L633/K633,0)</f>
        <v>1.00418429846734</v>
      </c>
      <c r="U633" s="10" t="n">
        <v>787.6</v>
      </c>
      <c r="V633" s="5" t="n">
        <v>8</v>
      </c>
      <c r="W633" s="10" t="n">
        <v>25.2</v>
      </c>
      <c r="X633" s="15" t="n">
        <f aca="false">IF(U633&gt;0,W633/U633,0)</f>
        <v>0.03199593702387</v>
      </c>
      <c r="Y633" s="12" t="n">
        <f aca="false">IF(U633&gt;0,L633/U633,0)</f>
        <v>269.362620619604</v>
      </c>
      <c r="Z633" s="16" t="n">
        <f aca="false">L633*INDEX(Parametros!$E$2:$E$9,MATCH($E633,Parametros!$A$2:$A$9,0))</f>
        <v>140019</v>
      </c>
      <c r="AA633" s="16" t="n">
        <f aca="false">Z633*INDEX(Parametros!$F$2:$F$9,MATCH($E633,Parametros!$A$2:$A$9,0))</f>
        <v>3640.494</v>
      </c>
      <c r="AB633" s="17" t="n">
        <f aca="false">Z633+AA633</f>
        <v>143659.494</v>
      </c>
      <c r="AC633" s="18" t="n">
        <v>146153.14</v>
      </c>
      <c r="AD633" s="17" t="n">
        <f aca="false">AC633-AB633</f>
        <v>2493.64600000001</v>
      </c>
      <c r="AE633" s="17" t="n">
        <f aca="false">AA633+AD633</f>
        <v>6134.14000000001</v>
      </c>
      <c r="AF633" s="19" t="n">
        <f aca="false">IF(Z633&gt;0,AE633/Z633,0)</f>
        <v>0.0438093401609782</v>
      </c>
      <c r="AG633" s="16" t="n">
        <f aca="false">(U633-W633)*INDEX(Parametros!$H$2:$H$9,MATCH($E633,Parametros!$A$2:$A$9,0))+W633*INDEX(Parametros!$H$2:$H$9,MATCH($E633,Parametros!$A$2:$A$9,0))*Parametros!$N$3</f>
        <v>25206.3</v>
      </c>
      <c r="AH633" s="13" t="n">
        <v>10907</v>
      </c>
      <c r="AI633" s="16" t="n">
        <f aca="false">AH633*Parametros!$N$2</f>
        <v>1003.444</v>
      </c>
      <c r="AJ633" s="18" t="n">
        <v>6937</v>
      </c>
      <c r="AK633" s="18" t="n">
        <v>838</v>
      </c>
      <c r="AL633" s="17" t="n">
        <f aca="false">AG633+AI633+AJ633+AK633</f>
        <v>33984.744</v>
      </c>
      <c r="AM633" s="20" t="n">
        <f aca="false">IF(L633&gt;0,AL633/L633,0)</f>
        <v>0.160192052792835</v>
      </c>
      <c r="AN633" s="16" t="n">
        <f aca="false">L633*INDEX(Parametros!$G$2:$G$9,MATCH($E633,Parametros!$A$2:$A$9,0))</f>
        <v>265187.5</v>
      </c>
      <c r="AO633" s="17" t="n">
        <f aca="false">AN633-AC633-AL633</f>
        <v>85049.616</v>
      </c>
      <c r="AP633" s="15" t="n">
        <f aca="false">IF(AN633&gt;0,AO633/AN633,0)</f>
        <v>0.320715026160735</v>
      </c>
      <c r="AQ633" s="16" t="n">
        <f aca="false">INDEX(Parametros!$I$2:$I$9,MATCH($E633,Parametros!$A$2:$A$9,0))</f>
        <v>13300000</v>
      </c>
      <c r="AR633" s="19" t="n">
        <f aca="false">IF(AQ633&gt;0,AO633/AQ633,0)</f>
        <v>0.00639470796992481</v>
      </c>
    </row>
    <row r="634" customFormat="false" ht="15" hidden="false" customHeight="false" outlineLevel="0" collapsed="false">
      <c r="A634" s="5" t="s">
        <v>769</v>
      </c>
      <c r="B634" s="9" t="n">
        <v>46104</v>
      </c>
      <c r="C634" s="2" t="str">
        <f aca="false">TEXT(B634,"yyyy")</f>
        <v>2026</v>
      </c>
      <c r="D634" s="2" t="n">
        <f aca="false">WEEKNUM(B634,2)</f>
        <v>13</v>
      </c>
      <c r="E634" s="5" t="s">
        <v>130</v>
      </c>
      <c r="F634" s="6" t="str">
        <f aca="false">INDEX(Parametros!$B$2:$B$9,MATCH($E634,Parametros!$A$2:$A$9,0))</f>
        <v>Ketchup botella</v>
      </c>
      <c r="G634" s="10" t="n">
        <v>117.9</v>
      </c>
      <c r="H634" s="10" t="n">
        <v>8.9</v>
      </c>
      <c r="I634" s="11" t="n">
        <f aca="false">SUMIFS(Eventos_Paro!$J$2:$J$2186,Eventos_Paro!$D$2:$D$2186,$E634,Eventos_Paro!$B$2:$B$2186,$B634)</f>
        <v>1.25</v>
      </c>
      <c r="J634" s="12" t="n">
        <f aca="false">G634-H634-I634</f>
        <v>107.75</v>
      </c>
      <c r="K634" s="13" t="n">
        <v>775228</v>
      </c>
      <c r="L634" s="13" t="n">
        <v>843825</v>
      </c>
      <c r="M634" s="13" t="n">
        <v>20678</v>
      </c>
      <c r="N634" s="14" t="n">
        <f aca="false">L634+M634</f>
        <v>864503</v>
      </c>
      <c r="O634" s="11" t="n">
        <f aca="false">INDEX(Parametros!$D$2:$D$9,MATCH($E634,Parametros!$A$2:$A$9,0))</f>
        <v>9000</v>
      </c>
      <c r="P634" s="15" t="n">
        <f aca="false">IF((G634-H634)&gt;0,J634/(G634-H634),0)</f>
        <v>0.988532110091743</v>
      </c>
      <c r="Q634" s="15" t="n">
        <f aca="false">IF(J634*O634&gt;0,N634/(O634*J634),0)</f>
        <v>0.891469966486208</v>
      </c>
      <c r="R634" s="15" t="n">
        <f aca="false">IF(N634&gt;0,L634/N634,0)</f>
        <v>0.976081054663778</v>
      </c>
      <c r="S634" s="15" t="n">
        <f aca="false">P634*Q634*R634</f>
        <v>0.860168195718654</v>
      </c>
      <c r="T634" s="15" t="n">
        <f aca="false">IF(K634&gt;0,L634/K634,0)</f>
        <v>1.08848622598771</v>
      </c>
      <c r="U634" s="10" t="n">
        <v>1433.4</v>
      </c>
      <c r="V634" s="5" t="n">
        <v>12</v>
      </c>
      <c r="W634" s="10" t="n">
        <v>18.6</v>
      </c>
      <c r="X634" s="15" t="n">
        <f aca="false">IF(U634&gt;0,W634/U634,0)</f>
        <v>0.0129761406446212</v>
      </c>
      <c r="Y634" s="12" t="n">
        <f aca="false">IF(U634&gt;0,L634/U634,0)</f>
        <v>588.687735454165</v>
      </c>
      <c r="Z634" s="16" t="n">
        <f aca="false">L634*INDEX(Parametros!$E$2:$E$9,MATCH($E634,Parametros!$A$2:$A$9,0))</f>
        <v>354406.5</v>
      </c>
      <c r="AA634" s="16" t="n">
        <f aca="false">Z634*INDEX(Parametros!$F$2:$F$9,MATCH($E634,Parametros!$A$2:$A$9,0))</f>
        <v>7088.13</v>
      </c>
      <c r="AB634" s="17" t="n">
        <f aca="false">Z634+AA634</f>
        <v>361494.63</v>
      </c>
      <c r="AC634" s="18" t="n">
        <v>365017.04</v>
      </c>
      <c r="AD634" s="17" t="n">
        <f aca="false">AC634-AB634</f>
        <v>3522.40999999997</v>
      </c>
      <c r="AE634" s="17" t="n">
        <f aca="false">AA634+AD634</f>
        <v>10610.54</v>
      </c>
      <c r="AF634" s="19" t="n">
        <f aca="false">IF(Z634&gt;0,AE634/Z634,0)</f>
        <v>0.0299388978475281</v>
      </c>
      <c r="AG634" s="16" t="n">
        <f aca="false">(U634-W634)*INDEX(Parametros!$H$2:$H$9,MATCH($E634,Parametros!$A$2:$A$9,0))+W634*INDEX(Parametros!$H$2:$H$9,MATCH($E634,Parametros!$A$2:$A$9,0))*Parametros!$N$3</f>
        <v>45445.05</v>
      </c>
      <c r="AH634" s="13" t="n">
        <v>43692</v>
      </c>
      <c r="AI634" s="16" t="n">
        <f aca="false">AH634*Parametros!$N$2</f>
        <v>4019.664</v>
      </c>
      <c r="AJ634" s="18" t="n">
        <v>16461</v>
      </c>
      <c r="AK634" s="18" t="n">
        <v>1219</v>
      </c>
      <c r="AL634" s="17" t="n">
        <f aca="false">AG634+AI634+AJ634+AK634</f>
        <v>67144.714</v>
      </c>
      <c r="AM634" s="20" t="n">
        <f aca="false">IF(L634&gt;0,AL634/L634,0)</f>
        <v>0.079571847243208</v>
      </c>
      <c r="AN634" s="16" t="n">
        <f aca="false">L634*INDEX(Parametros!$G$2:$G$9,MATCH($E634,Parametros!$A$2:$A$9,0))</f>
        <v>599115.75</v>
      </c>
      <c r="AO634" s="17" t="n">
        <f aca="false">AN634-AC634-AL634</f>
        <v>166953.996</v>
      </c>
      <c r="AP634" s="15" t="n">
        <f aca="false">IF(AN634&gt;0,AO634/AN634,0)</f>
        <v>0.278667346001169</v>
      </c>
      <c r="AQ634" s="16" t="n">
        <f aca="false">INDEX(Parametros!$I$2:$I$9,MATCH($E634,Parametros!$A$2:$A$9,0))</f>
        <v>29300000</v>
      </c>
      <c r="AR634" s="19" t="n">
        <f aca="false">IF(AQ634&gt;0,AO634/AQ634,0)</f>
        <v>0.00569808860068259</v>
      </c>
    </row>
    <row r="635" customFormat="false" ht="15" hidden="false" customHeight="false" outlineLevel="0" collapsed="false">
      <c r="A635" s="5" t="s">
        <v>770</v>
      </c>
      <c r="B635" s="9" t="n">
        <v>46104</v>
      </c>
      <c r="C635" s="2" t="str">
        <f aca="false">TEXT(B635,"yyyy")</f>
        <v>2026</v>
      </c>
      <c r="D635" s="2" t="n">
        <f aca="false">WEEKNUM(B635,2)</f>
        <v>13</v>
      </c>
      <c r="E635" s="5" t="s">
        <v>132</v>
      </c>
      <c r="F635" s="6" t="str">
        <f aca="false">INDEX(Parametros!$B$2:$B$9,MATCH($E635,Parametros!$A$2:$A$9,0))</f>
        <v>Mayonesa frasco</v>
      </c>
      <c r="G635" s="10" t="n">
        <v>123</v>
      </c>
      <c r="H635" s="10" t="n">
        <v>6.7</v>
      </c>
      <c r="I635" s="11" t="n">
        <f aca="false">SUMIFS(Eventos_Paro!$J$2:$J$2186,Eventos_Paro!$D$2:$D$2186,$E635,Eventos_Paro!$B$2:$B$2186,$B635)</f>
        <v>2.81666666666667</v>
      </c>
      <c r="J635" s="12" t="n">
        <f aca="false">G635-H635-I635</f>
        <v>113.483333333333</v>
      </c>
      <c r="K635" s="13" t="n">
        <v>597384</v>
      </c>
      <c r="L635" s="13" t="n">
        <v>630529</v>
      </c>
      <c r="M635" s="13" t="n">
        <v>19622</v>
      </c>
      <c r="N635" s="14" t="n">
        <f aca="false">L635+M635</f>
        <v>650151</v>
      </c>
      <c r="O635" s="11" t="n">
        <f aca="false">INDEX(Parametros!$D$2:$D$9,MATCH($E635,Parametros!$A$2:$A$9,0))</f>
        <v>6500</v>
      </c>
      <c r="P635" s="15" t="n">
        <f aca="false">IF((G635-H635)&gt;0,J635/(G635-H635),0)</f>
        <v>0.975781026081972</v>
      </c>
      <c r="Q635" s="15" t="n">
        <f aca="false">IF(J635*O635&gt;0,N635/(O635*J635),0)</f>
        <v>0.881391371149045</v>
      </c>
      <c r="R635" s="15" t="n">
        <f aca="false">IF(N635&gt;0,L635/N635,0)</f>
        <v>0.969819318896687</v>
      </c>
      <c r="S635" s="15" t="n">
        <f aca="false">P635*Q635*R635</f>
        <v>0.834088233348767</v>
      </c>
      <c r="T635" s="15" t="n">
        <f aca="false">IF(K635&gt;0,L635/K635,0)</f>
        <v>1.0554835750539</v>
      </c>
      <c r="U635" s="10" t="n">
        <v>1694.5</v>
      </c>
      <c r="V635" s="5" t="n">
        <v>13</v>
      </c>
      <c r="W635" s="10" t="n">
        <v>95.5</v>
      </c>
      <c r="X635" s="15" t="n">
        <f aca="false">IF(U635&gt;0,W635/U635,0)</f>
        <v>0.0563588079079374</v>
      </c>
      <c r="Y635" s="12" t="n">
        <f aca="false">IF(U635&gt;0,L635/U635,0)</f>
        <v>372.103275302449</v>
      </c>
      <c r="Z635" s="16" t="n">
        <f aca="false">L635*INDEX(Parametros!$E$2:$E$9,MATCH($E635,Parametros!$A$2:$A$9,0))</f>
        <v>384622.69</v>
      </c>
      <c r="AA635" s="16" t="n">
        <f aca="false">Z635*INDEX(Parametros!$F$2:$F$9,MATCH($E635,Parametros!$A$2:$A$9,0))</f>
        <v>9615.56725</v>
      </c>
      <c r="AB635" s="17" t="n">
        <f aca="false">Z635+AA635</f>
        <v>394238.25725</v>
      </c>
      <c r="AC635" s="18" t="n">
        <v>394001.13</v>
      </c>
      <c r="AD635" s="17" t="n">
        <f aca="false">AC635-AB635</f>
        <v>-237.12725000002</v>
      </c>
      <c r="AE635" s="17" t="n">
        <f aca="false">AA635+AD635</f>
        <v>9378.43999999998</v>
      </c>
      <c r="AF635" s="19" t="n">
        <f aca="false">IF(Z635&gt;0,AE635/Z635,0)</f>
        <v>0.0243834808601645</v>
      </c>
      <c r="AG635" s="16" t="n">
        <f aca="false">(U635-W635)*INDEX(Parametros!$H$2:$H$9,MATCH($E635,Parametros!$A$2:$A$9,0))+W635*INDEX(Parametros!$H$2:$H$9,MATCH($E635,Parametros!$A$2:$A$9,0))*Parametros!$N$3</f>
        <v>54880.875</v>
      </c>
      <c r="AH635" s="13" t="n">
        <v>32687</v>
      </c>
      <c r="AI635" s="16" t="n">
        <f aca="false">AH635*Parametros!$N$2</f>
        <v>3007.204</v>
      </c>
      <c r="AJ635" s="18" t="n">
        <v>14977</v>
      </c>
      <c r="AK635" s="18" t="n">
        <v>3015</v>
      </c>
      <c r="AL635" s="17" t="n">
        <f aca="false">AG635+AI635+AJ635+AK635</f>
        <v>75880.079</v>
      </c>
      <c r="AM635" s="20" t="n">
        <f aca="false">IF(L635&gt;0,AL635/L635,0)</f>
        <v>0.120343519489191</v>
      </c>
      <c r="AN635" s="16" t="n">
        <f aca="false">L635*INDEX(Parametros!$G$2:$G$9,MATCH($E635,Parametros!$A$2:$A$9,0))</f>
        <v>605307.84</v>
      </c>
      <c r="AO635" s="17" t="n">
        <f aca="false">AN635-AC635-AL635</f>
        <v>135426.631</v>
      </c>
      <c r="AP635" s="15" t="n">
        <f aca="false">IF(AN635&gt;0,AO635/AN635,0)</f>
        <v>0.223731830402197</v>
      </c>
      <c r="AQ635" s="16" t="n">
        <f aca="false">INDEX(Parametros!$I$2:$I$9,MATCH($E635,Parametros!$A$2:$A$9,0))</f>
        <v>29700000</v>
      </c>
      <c r="AR635" s="19" t="n">
        <f aca="false">IF(AQ635&gt;0,AO635/AQ635,0)</f>
        <v>0.00455981922558922</v>
      </c>
    </row>
    <row r="636" customFormat="false" ht="15" hidden="false" customHeight="false" outlineLevel="0" collapsed="false">
      <c r="A636" s="5" t="s">
        <v>771</v>
      </c>
      <c r="B636" s="9" t="n">
        <v>46104</v>
      </c>
      <c r="C636" s="2" t="str">
        <f aca="false">TEXT(B636,"yyyy")</f>
        <v>2026</v>
      </c>
      <c r="D636" s="2" t="n">
        <f aca="false">WEEKNUM(B636,2)</f>
        <v>13</v>
      </c>
      <c r="E636" s="5" t="s">
        <v>134</v>
      </c>
      <c r="F636" s="6" t="str">
        <f aca="false">INDEX(Parametros!$B$2:$B$9,MATCH($E636,Parametros!$A$2:$A$9,0))</f>
        <v>Aderezos vertibles</v>
      </c>
      <c r="G636" s="10" t="n">
        <v>106.1</v>
      </c>
      <c r="H636" s="10" t="n">
        <v>7.1</v>
      </c>
      <c r="I636" s="11" t="n">
        <f aca="false">SUMIFS(Eventos_Paro!$J$2:$J$2186,Eventos_Paro!$D$2:$D$2186,$E636,Eventos_Paro!$B$2:$B$2186,$B636)</f>
        <v>4.4</v>
      </c>
      <c r="J636" s="12" t="n">
        <f aca="false">G636-H636-I636</f>
        <v>94.6</v>
      </c>
      <c r="K636" s="13" t="n">
        <v>406817</v>
      </c>
      <c r="L636" s="13" t="n">
        <v>365368</v>
      </c>
      <c r="M636" s="13" t="n">
        <v>15702</v>
      </c>
      <c r="N636" s="14" t="n">
        <f aca="false">L636+M636</f>
        <v>381070</v>
      </c>
      <c r="O636" s="11" t="n">
        <f aca="false">INDEX(Parametros!$D$2:$D$9,MATCH($E636,Parametros!$A$2:$A$9,0))</f>
        <v>5200</v>
      </c>
      <c r="P636" s="15" t="n">
        <f aca="false">IF((G636-H636)&gt;0,J636/(G636-H636),0)</f>
        <v>0.955555555555556</v>
      </c>
      <c r="Q636" s="15" t="n">
        <f aca="false">IF(J636*O636&gt;0,N636/(O636*J636),0)</f>
        <v>0.77465848105383</v>
      </c>
      <c r="R636" s="15" t="n">
        <f aca="false">IF(N636&gt;0,L636/N636,0)</f>
        <v>0.958794972052379</v>
      </c>
      <c r="S636" s="15" t="n">
        <f aca="false">P636*Q636*R636</f>
        <v>0.70972804972805</v>
      </c>
      <c r="T636" s="15" t="n">
        <f aca="false">IF(K636&gt;0,L636/K636,0)</f>
        <v>0.89811389396215</v>
      </c>
      <c r="U636" s="10" t="n">
        <v>1355</v>
      </c>
      <c r="V636" s="5" t="n">
        <v>12</v>
      </c>
      <c r="W636" s="10" t="n">
        <v>81.8</v>
      </c>
      <c r="X636" s="15" t="n">
        <f aca="false">IF(U636&gt;0,W636/U636,0)</f>
        <v>0.0603690036900369</v>
      </c>
      <c r="Y636" s="12" t="n">
        <f aca="false">IF(U636&gt;0,L636/U636,0)</f>
        <v>269.644280442804</v>
      </c>
      <c r="Z636" s="16" t="n">
        <f aca="false">L636*INDEX(Parametros!$E$2:$E$9,MATCH($E636,Parametros!$A$2:$A$9,0))</f>
        <v>200952.4</v>
      </c>
      <c r="AA636" s="16" t="n">
        <f aca="false">Z636*INDEX(Parametros!$F$2:$F$9,MATCH($E636,Parametros!$A$2:$A$9,0))</f>
        <v>6028.572</v>
      </c>
      <c r="AB636" s="17" t="n">
        <f aca="false">Z636+AA636</f>
        <v>206980.972</v>
      </c>
      <c r="AC636" s="18" t="n">
        <v>210324.27</v>
      </c>
      <c r="AD636" s="17" t="n">
        <f aca="false">AC636-AB636</f>
        <v>3343.29799999998</v>
      </c>
      <c r="AE636" s="17" t="n">
        <f aca="false">AA636+AD636</f>
        <v>9371.86999999998</v>
      </c>
      <c r="AF636" s="19" t="n">
        <f aca="false">IF(Z636&gt;0,AE636/Z636,0)</f>
        <v>0.0466372633519181</v>
      </c>
      <c r="AG636" s="16" t="n">
        <f aca="false">(U636-W636)*INDEX(Parametros!$H$2:$H$9,MATCH($E636,Parametros!$A$2:$A$9,0))+W636*INDEX(Parametros!$H$2:$H$9,MATCH($E636,Parametros!$A$2:$A$9,0))*Parametros!$N$3</f>
        <v>43970.85</v>
      </c>
      <c r="AH636" s="13" t="n">
        <v>20571</v>
      </c>
      <c r="AI636" s="16" t="n">
        <f aca="false">AH636*Parametros!$N$2</f>
        <v>1892.532</v>
      </c>
      <c r="AJ636" s="18" t="n">
        <v>10516</v>
      </c>
      <c r="AK636" s="18" t="n">
        <v>4453</v>
      </c>
      <c r="AL636" s="17" t="n">
        <f aca="false">AG636+AI636+AJ636+AK636</f>
        <v>60832.382</v>
      </c>
      <c r="AM636" s="20" t="n">
        <f aca="false">IF(L636&gt;0,AL636/L636,0)</f>
        <v>0.166496195616474</v>
      </c>
      <c r="AN636" s="16" t="n">
        <f aca="false">L636*INDEX(Parametros!$G$2:$G$9,MATCH($E636,Parametros!$A$2:$A$9,0))</f>
        <v>372675.36</v>
      </c>
      <c r="AO636" s="17" t="n">
        <f aca="false">AN636-AC636-AL636</f>
        <v>101518.708</v>
      </c>
      <c r="AP636" s="15" t="n">
        <f aca="false">IF(AN636&gt;0,AO636/AN636,0)</f>
        <v>0.272405205431344</v>
      </c>
      <c r="AQ636" s="16" t="n">
        <f aca="false">INDEX(Parametros!$I$2:$I$9,MATCH($E636,Parametros!$A$2:$A$9,0))</f>
        <v>19300000</v>
      </c>
      <c r="AR636" s="19" t="n">
        <f aca="false">IF(AQ636&gt;0,AO636/AQ636,0)</f>
        <v>0.00526003668393782</v>
      </c>
    </row>
    <row r="637" customFormat="false" ht="15" hidden="false" customHeight="false" outlineLevel="0" collapsed="false">
      <c r="A637" s="5" t="s">
        <v>772</v>
      </c>
      <c r="B637" s="9" t="n">
        <v>46104</v>
      </c>
      <c r="C637" s="2" t="str">
        <f aca="false">TEXT(B637,"yyyy")</f>
        <v>2026</v>
      </c>
      <c r="D637" s="2" t="n">
        <f aca="false">WEEKNUM(B637,2)</f>
        <v>13</v>
      </c>
      <c r="E637" s="5" t="s">
        <v>136</v>
      </c>
      <c r="F637" s="6" t="str">
        <f aca="false">INDEX(Parametros!$B$2:$B$9,MATCH($E637,Parametros!$A$2:$A$9,0))</f>
        <v>Salsa BBQ</v>
      </c>
      <c r="G637" s="10" t="n">
        <v>90.5</v>
      </c>
      <c r="H637" s="10" t="n">
        <v>5.4</v>
      </c>
      <c r="I637" s="11" t="n">
        <f aca="false">SUMIFS(Eventos_Paro!$J$2:$J$2186,Eventos_Paro!$D$2:$D$2186,$E637,Eventos_Paro!$B$2:$B$2186,$B637)</f>
        <v>4.01666666666667</v>
      </c>
      <c r="J637" s="12" t="n">
        <f aca="false">G637-H637-I637</f>
        <v>81.0833333333333</v>
      </c>
      <c r="K637" s="13" t="n">
        <v>308848</v>
      </c>
      <c r="L637" s="13" t="n">
        <v>313715</v>
      </c>
      <c r="M637" s="13" t="n">
        <v>7764</v>
      </c>
      <c r="N637" s="14" t="n">
        <f aca="false">L637+M637</f>
        <v>321479</v>
      </c>
      <c r="O637" s="11" t="n">
        <f aca="false">INDEX(Parametros!$D$2:$D$9,MATCH($E637,Parametros!$A$2:$A$9,0))</f>
        <v>4800</v>
      </c>
      <c r="P637" s="15" t="n">
        <f aca="false">IF((G637-H637)&gt;0,J637/(G637-H637),0)</f>
        <v>0.95280062671367</v>
      </c>
      <c r="Q637" s="15" t="n">
        <f aca="false">IF(J637*O637&gt;0,N637/(O637*J637),0)</f>
        <v>0.825999486125385</v>
      </c>
      <c r="R637" s="15" t="n">
        <f aca="false">IF(N637&gt;0,L637/N637,0)</f>
        <v>0.975849122337696</v>
      </c>
      <c r="S637" s="15" t="n">
        <f aca="false">P637*Q637*R637</f>
        <v>0.768005777516647</v>
      </c>
      <c r="T637" s="15" t="n">
        <f aca="false">IF(K637&gt;0,L637/K637,0)</f>
        <v>1.01575856084546</v>
      </c>
      <c r="U637" s="10" t="n">
        <v>990.2</v>
      </c>
      <c r="V637" s="5" t="n">
        <v>10</v>
      </c>
      <c r="W637" s="10" t="n">
        <v>85.2</v>
      </c>
      <c r="X637" s="15" t="n">
        <f aca="false">IF(U637&gt;0,W637/U637,0)</f>
        <v>0.0860432235911937</v>
      </c>
      <c r="Y637" s="12" t="n">
        <f aca="false">IF(U637&gt;0,L637/U637,0)</f>
        <v>316.819834376894</v>
      </c>
      <c r="Z637" s="16" t="n">
        <f aca="false">L637*INDEX(Parametros!$E$2:$E$9,MATCH($E637,Parametros!$A$2:$A$9,0))</f>
        <v>181954.7</v>
      </c>
      <c r="AA637" s="16" t="n">
        <f aca="false">Z637*INDEX(Parametros!$F$2:$F$9,MATCH($E637,Parametros!$A$2:$A$9,0))</f>
        <v>5094.7316</v>
      </c>
      <c r="AB637" s="17" t="n">
        <f aca="false">Z637+AA637</f>
        <v>187049.4316</v>
      </c>
      <c r="AC637" s="18" t="n">
        <v>184498.7</v>
      </c>
      <c r="AD637" s="17" t="n">
        <f aca="false">AC637-AB637</f>
        <v>-2550.73159999997</v>
      </c>
      <c r="AE637" s="17" t="n">
        <f aca="false">AA637+AD637</f>
        <v>2544.00000000003</v>
      </c>
      <c r="AF637" s="19" t="n">
        <f aca="false">IF(Z637&gt;0,AE637/Z637,0)</f>
        <v>0.0139815019892316</v>
      </c>
      <c r="AG637" s="16" t="n">
        <f aca="false">(U637-W637)*INDEX(Parametros!$H$2:$H$9,MATCH($E637,Parametros!$A$2:$A$9,0))+W637*INDEX(Parametros!$H$2:$H$9,MATCH($E637,Parametros!$A$2:$A$9,0))*Parametros!$N$3</f>
        <v>32533.2</v>
      </c>
      <c r="AH637" s="13" t="n">
        <v>17215</v>
      </c>
      <c r="AI637" s="16" t="n">
        <f aca="false">AH637*Parametros!$N$2</f>
        <v>1583.78</v>
      </c>
      <c r="AJ637" s="18" t="n">
        <v>7265</v>
      </c>
      <c r="AK637" s="18" t="n">
        <v>3274</v>
      </c>
      <c r="AL637" s="17" t="n">
        <f aca="false">AG637+AI637+AJ637+AK637</f>
        <v>44655.98</v>
      </c>
      <c r="AM637" s="20" t="n">
        <f aca="false">IF(L637&gt;0,AL637/L637,0)</f>
        <v>0.142345695934208</v>
      </c>
      <c r="AN637" s="16" t="n">
        <f aca="false">L637*INDEX(Parametros!$G$2:$G$9,MATCH($E637,Parametros!$A$2:$A$9,0))</f>
        <v>307440.7</v>
      </c>
      <c r="AO637" s="17" t="n">
        <f aca="false">AN637-AC637-AL637</f>
        <v>78286.02</v>
      </c>
      <c r="AP637" s="15" t="n">
        <f aca="false">IF(AN637&gt;0,AO637/AN637,0)</f>
        <v>0.254637788685753</v>
      </c>
      <c r="AQ637" s="16" t="n">
        <f aca="false">INDEX(Parametros!$I$2:$I$9,MATCH($E637,Parametros!$A$2:$A$9,0))</f>
        <v>17000000</v>
      </c>
      <c r="AR637" s="19" t="n">
        <f aca="false">IF(AQ637&gt;0,AO637/AQ637,0)</f>
        <v>0.00460506</v>
      </c>
    </row>
    <row r="638" customFormat="false" ht="15" hidden="false" customHeight="false" outlineLevel="0" collapsed="false">
      <c r="A638" s="5" t="s">
        <v>773</v>
      </c>
      <c r="B638" s="9" t="n">
        <v>46104</v>
      </c>
      <c r="C638" s="2" t="str">
        <f aca="false">TEXT(B638,"yyyy")</f>
        <v>2026</v>
      </c>
      <c r="D638" s="2" t="n">
        <f aca="false">WEEKNUM(B638,2)</f>
        <v>13</v>
      </c>
      <c r="E638" s="5" t="s">
        <v>138</v>
      </c>
      <c r="F638" s="6" t="str">
        <f aca="false">INDEX(Parametros!$B$2:$B$9,MATCH($E638,Parametros!$A$2:$A$9,0))</f>
        <v>Queso crema</v>
      </c>
      <c r="G638" s="10" t="n">
        <v>109</v>
      </c>
      <c r="H638" s="10" t="n">
        <v>6.6</v>
      </c>
      <c r="I638" s="11" t="n">
        <f aca="false">SUMIFS(Eventos_Paro!$J$2:$J$2186,Eventos_Paro!$D$2:$D$2186,$E638,Eventos_Paro!$B$2:$B$2186,$B638)</f>
        <v>1.23333333333333</v>
      </c>
      <c r="J638" s="12" t="n">
        <f aca="false">G638-H638-I638</f>
        <v>101.166666666667</v>
      </c>
      <c r="K638" s="13" t="n">
        <v>307499</v>
      </c>
      <c r="L638" s="13" t="n">
        <v>284471</v>
      </c>
      <c r="M638" s="13" t="n">
        <v>11741</v>
      </c>
      <c r="N638" s="14" t="n">
        <f aca="false">L638+M638</f>
        <v>296212</v>
      </c>
      <c r="O638" s="11" t="n">
        <f aca="false">INDEX(Parametros!$D$2:$D$9,MATCH($E638,Parametros!$A$2:$A$9,0))</f>
        <v>3800</v>
      </c>
      <c r="P638" s="15" t="n">
        <f aca="false">IF((G638-H638)&gt;0,J638/(G638-H638),0)</f>
        <v>0.987955729166667</v>
      </c>
      <c r="Q638" s="15" t="n">
        <f aca="false">IF(J638*O638&gt;0,N638/(O638*J638),0)</f>
        <v>0.770515910864476</v>
      </c>
      <c r="R638" s="15" t="n">
        <f aca="false">IF(N638&gt;0,L638/N638,0)</f>
        <v>0.960362848230322</v>
      </c>
      <c r="S638" s="15" t="n">
        <f aca="false">P638*Q638*R638</f>
        <v>0.731062397203947</v>
      </c>
      <c r="T638" s="15" t="n">
        <f aca="false">IF(K638&gt;0,L638/K638,0)</f>
        <v>0.925111951583582</v>
      </c>
      <c r="U638" s="10" t="n">
        <v>1686</v>
      </c>
      <c r="V638" s="5" t="n">
        <v>14</v>
      </c>
      <c r="W638" s="10" t="n">
        <v>160</v>
      </c>
      <c r="X638" s="15" t="n">
        <f aca="false">IF(U638&gt;0,W638/U638,0)</f>
        <v>0.0948991696322657</v>
      </c>
      <c r="Y638" s="12" t="n">
        <f aca="false">IF(U638&gt;0,L638/U638,0)</f>
        <v>168.725385527877</v>
      </c>
      <c r="Z638" s="16" t="n">
        <f aca="false">L638*INDEX(Parametros!$E$2:$E$9,MATCH($E638,Parametros!$A$2:$A$9,0))</f>
        <v>318607.52</v>
      </c>
      <c r="AA638" s="16" t="n">
        <f aca="false">Z638*INDEX(Parametros!$F$2:$F$9,MATCH($E638,Parametros!$A$2:$A$9,0))</f>
        <v>11151.2632</v>
      </c>
      <c r="AB638" s="17" t="n">
        <f aca="false">Z638+AA638</f>
        <v>329758.7832</v>
      </c>
      <c r="AC638" s="18" t="n">
        <v>335161.28</v>
      </c>
      <c r="AD638" s="17" t="n">
        <f aca="false">AC638-AB638</f>
        <v>5402.49680000002</v>
      </c>
      <c r="AE638" s="17" t="n">
        <f aca="false">AA638+AD638</f>
        <v>16553.76</v>
      </c>
      <c r="AF638" s="19" t="n">
        <f aca="false">IF(Z638&gt;0,AE638/Z638,0)</f>
        <v>0.0519565890974577</v>
      </c>
      <c r="AG638" s="16" t="n">
        <f aca="false">(U638-W638)*INDEX(Parametros!$H$2:$H$9,MATCH($E638,Parametros!$A$2:$A$9,0))+W638*INDEX(Parametros!$H$2:$H$9,MATCH($E638,Parametros!$A$2:$A$9,0))*Parametros!$N$3</f>
        <v>58278</v>
      </c>
      <c r="AH638" s="13" t="n">
        <v>15500</v>
      </c>
      <c r="AI638" s="16" t="n">
        <f aca="false">AH638*Parametros!$N$2</f>
        <v>1426</v>
      </c>
      <c r="AJ638" s="18" t="n">
        <v>19689</v>
      </c>
      <c r="AK638" s="18" t="n">
        <v>1219</v>
      </c>
      <c r="AL638" s="17" t="n">
        <f aca="false">AG638+AI638+AJ638+AK638</f>
        <v>80612</v>
      </c>
      <c r="AM638" s="20" t="n">
        <f aca="false">IF(L638&gt;0,AL638/L638,0)</f>
        <v>0.283375106777141</v>
      </c>
      <c r="AN638" s="16" t="n">
        <f aca="false">L638*INDEX(Parametros!$G$2:$G$9,MATCH($E638,Parametros!$A$2:$A$9,0))</f>
        <v>509203.09</v>
      </c>
      <c r="AO638" s="17" t="n">
        <f aca="false">AN638-AC638-AL638</f>
        <v>93429.81</v>
      </c>
      <c r="AP638" s="15" t="n">
        <f aca="false">IF(AN638&gt;0,AO638/AN638,0)</f>
        <v>0.183482409739501</v>
      </c>
      <c r="AQ638" s="16" t="n">
        <f aca="false">INDEX(Parametros!$I$2:$I$9,MATCH($E638,Parametros!$A$2:$A$9,0))</f>
        <v>33200000</v>
      </c>
      <c r="AR638" s="19" t="n">
        <f aca="false">IF(AQ638&gt;0,AO638/AQ638,0)</f>
        <v>0.00281415090361446</v>
      </c>
    </row>
    <row r="639" customFormat="false" ht="15" hidden="false" customHeight="false" outlineLevel="0" collapsed="false">
      <c r="A639" s="5" t="s">
        <v>774</v>
      </c>
      <c r="B639" s="9" t="n">
        <v>46104</v>
      </c>
      <c r="C639" s="2" t="str">
        <f aca="false">TEXT(B639,"yyyy")</f>
        <v>2026</v>
      </c>
      <c r="D639" s="2" t="n">
        <f aca="false">WEEKNUM(B639,2)</f>
        <v>13</v>
      </c>
      <c r="E639" s="5" t="s">
        <v>140</v>
      </c>
      <c r="F639" s="6" t="str">
        <f aca="false">INDEX(Parametros!$B$2:$B$9,MATCH($E639,Parametros!$A$2:$A$9,0))</f>
        <v>Crema de cacahuate</v>
      </c>
      <c r="G639" s="10" t="n">
        <v>100.2</v>
      </c>
      <c r="H639" s="10" t="n">
        <v>6.3</v>
      </c>
      <c r="I639" s="11" t="n">
        <f aca="false">SUMIFS(Eventos_Paro!$J$2:$J$2186,Eventos_Paro!$D$2:$D$2186,$E639,Eventos_Paro!$B$2:$B$2186,$B639)</f>
        <v>4.31666666666667</v>
      </c>
      <c r="J639" s="12" t="n">
        <f aca="false">G639-H639-I639</f>
        <v>89.5833333333333</v>
      </c>
      <c r="K639" s="13" t="n">
        <v>311656</v>
      </c>
      <c r="L639" s="13" t="n">
        <v>308032</v>
      </c>
      <c r="M639" s="13" t="n">
        <v>10459</v>
      </c>
      <c r="N639" s="14" t="n">
        <f aca="false">L639+M639</f>
        <v>318491</v>
      </c>
      <c r="O639" s="11" t="n">
        <f aca="false">INDEX(Parametros!$D$2:$D$9,MATCH($E639,Parametros!$A$2:$A$9,0))</f>
        <v>4200</v>
      </c>
      <c r="P639" s="15" t="n">
        <f aca="false">IF((G639-H639)&gt;0,J639/(G639-H639),0)</f>
        <v>0.954029108981186</v>
      </c>
      <c r="Q639" s="15" t="n">
        <f aca="false">IF(J639*O639&gt;0,N639/(O639*J639),0)</f>
        <v>0.846487707641196</v>
      </c>
      <c r="R639" s="15" t="n">
        <f aca="false">IF(N639&gt;0,L639/N639,0)</f>
        <v>0.967160767494215</v>
      </c>
      <c r="S639" s="15" t="n">
        <f aca="false">P639*Q639*R639</f>
        <v>0.781053805973934</v>
      </c>
      <c r="T639" s="15" t="n">
        <f aca="false">IF(K639&gt;0,L639/K639,0)</f>
        <v>0.988371794542701</v>
      </c>
      <c r="U639" s="10" t="n">
        <v>1260.5</v>
      </c>
      <c r="V639" s="5" t="n">
        <v>12</v>
      </c>
      <c r="W639" s="10" t="n">
        <v>58.1</v>
      </c>
      <c r="X639" s="15" t="n">
        <f aca="false">IF(U639&gt;0,W639/U639,0)</f>
        <v>0.046092820309401</v>
      </c>
      <c r="Y639" s="12" t="n">
        <f aca="false">IF(U639&gt;0,L639/U639,0)</f>
        <v>244.37286790956</v>
      </c>
      <c r="Z639" s="16" t="n">
        <f aca="false">L639*INDEX(Parametros!$E$2:$E$9,MATCH($E639,Parametros!$A$2:$A$9,0))</f>
        <v>298791.04</v>
      </c>
      <c r="AA639" s="16" t="n">
        <f aca="false">Z639*INDEX(Parametros!$F$2:$F$9,MATCH($E639,Parametros!$A$2:$A$9,0))</f>
        <v>6573.40288</v>
      </c>
      <c r="AB639" s="17" t="n">
        <f aca="false">Z639+AA639</f>
        <v>305364.44288</v>
      </c>
      <c r="AC639" s="18" t="n">
        <v>306069.78</v>
      </c>
      <c r="AD639" s="17" t="n">
        <f aca="false">AC639-AB639</f>
        <v>705.33712000004</v>
      </c>
      <c r="AE639" s="17" t="n">
        <f aca="false">AA639+AD639</f>
        <v>7278.74000000004</v>
      </c>
      <c r="AF639" s="19" t="n">
        <f aca="false">IF(Z639&gt;0,AE639/Z639,0)</f>
        <v>0.0243606367848247</v>
      </c>
      <c r="AG639" s="16" t="n">
        <f aca="false">(U639-W639)*INDEX(Parametros!$H$2:$H$9,MATCH($E639,Parametros!$A$2:$A$9,0))+W639*INDEX(Parametros!$H$2:$H$9,MATCH($E639,Parametros!$A$2:$A$9,0))*Parametros!$N$3</f>
        <v>40620.825</v>
      </c>
      <c r="AH639" s="13" t="n">
        <v>16242</v>
      </c>
      <c r="AI639" s="16" t="n">
        <f aca="false">AH639*Parametros!$N$2</f>
        <v>1494.264</v>
      </c>
      <c r="AJ639" s="18" t="n">
        <v>13084</v>
      </c>
      <c r="AK639" s="18" t="n">
        <v>2044</v>
      </c>
      <c r="AL639" s="17" t="n">
        <f aca="false">AG639+AI639+AJ639+AK639</f>
        <v>57243.089</v>
      </c>
      <c r="AM639" s="20" t="n">
        <f aca="false">IF(L639&gt;0,AL639/L639,0)</f>
        <v>0.18583487754519</v>
      </c>
      <c r="AN639" s="16" t="n">
        <f aca="false">L639*INDEX(Parametros!$G$2:$G$9,MATCH($E639,Parametros!$A$2:$A$9,0))</f>
        <v>499011.84</v>
      </c>
      <c r="AO639" s="17" t="n">
        <f aca="false">AN639-AC639-AL639</f>
        <v>135698.971</v>
      </c>
      <c r="AP639" s="15" t="n">
        <f aca="false">IF(AN639&gt;0,AO639/AN639,0)</f>
        <v>0.271935373316994</v>
      </c>
      <c r="AQ639" s="16" t="n">
        <f aca="false">INDEX(Parametros!$I$2:$I$9,MATCH($E639,Parametros!$A$2:$A$9,0))</f>
        <v>28000000</v>
      </c>
      <c r="AR639" s="19" t="n">
        <f aca="false">IF(AQ639&gt;0,AO639/AQ639,0)</f>
        <v>0.00484639182142857</v>
      </c>
    </row>
    <row r="640" customFormat="false" ht="15" hidden="false" customHeight="false" outlineLevel="0" collapsed="false">
      <c r="A640" s="5" t="s">
        <v>775</v>
      </c>
      <c r="B640" s="9" t="n">
        <v>46104</v>
      </c>
      <c r="C640" s="2" t="str">
        <f aca="false">TEXT(B640,"yyyy")</f>
        <v>2026</v>
      </c>
      <c r="D640" s="2" t="n">
        <f aca="false">WEEKNUM(B640,2)</f>
        <v>13</v>
      </c>
      <c r="E640" s="5" t="s">
        <v>142</v>
      </c>
      <c r="F640" s="6" t="str">
        <f aca="false">INDEX(Parametros!$B$2:$B$9,MATCH($E640,Parametros!$A$2:$A$9,0))</f>
        <v>Porciones single serve</v>
      </c>
      <c r="G640" s="10" t="n">
        <v>86</v>
      </c>
      <c r="H640" s="10" t="n">
        <v>8.7</v>
      </c>
      <c r="I640" s="11" t="n">
        <f aca="false">SUMIFS(Eventos_Paro!$J$2:$J$2186,Eventos_Paro!$D$2:$D$2186,$E640,Eventos_Paro!$B$2:$B$2186,$B640)</f>
        <v>3.35</v>
      </c>
      <c r="J640" s="12" t="n">
        <f aca="false">G640-H640-I640</f>
        <v>73.95</v>
      </c>
      <c r="K640" s="13" t="n">
        <v>158823</v>
      </c>
      <c r="L640" s="13" t="n">
        <v>137620</v>
      </c>
      <c r="M640" s="13" t="n">
        <v>6192</v>
      </c>
      <c r="N640" s="14" t="n">
        <f aca="false">L640+M640</f>
        <v>143812</v>
      </c>
      <c r="O640" s="11" t="n">
        <f aca="false">INDEX(Parametros!$D$2:$D$9,MATCH($E640,Parametros!$A$2:$A$9,0))</f>
        <v>2600</v>
      </c>
      <c r="P640" s="15" t="n">
        <f aca="false">IF((G640-H640)&gt;0,J640/(G640-H640),0)</f>
        <v>0.956662354463131</v>
      </c>
      <c r="Q640" s="15" t="n">
        <f aca="false">IF(J640*O640&gt;0,N640/(O640*J640),0)</f>
        <v>0.747969001924377</v>
      </c>
      <c r="R640" s="15" t="n">
        <f aca="false">IF(N640&gt;0,L640/N640,0)</f>
        <v>0.95694378772286</v>
      </c>
      <c r="S640" s="15" t="n">
        <f aca="false">P640*Q640*R640</f>
        <v>0.684744750721465</v>
      </c>
      <c r="T640" s="15" t="n">
        <f aca="false">IF(K640&gt;0,L640/K640,0)</f>
        <v>0.866499184626912</v>
      </c>
      <c r="U640" s="10" t="n">
        <v>1407.9</v>
      </c>
      <c r="V640" s="5" t="n">
        <v>16</v>
      </c>
      <c r="W640" s="10" t="n">
        <v>31.9</v>
      </c>
      <c r="X640" s="15" t="n">
        <f aca="false">IF(U640&gt;0,W640/U640,0)</f>
        <v>0.0226578592229562</v>
      </c>
      <c r="Y640" s="12" t="n">
        <f aca="false">IF(U640&gt;0,L640/U640,0)</f>
        <v>97.7484196320761</v>
      </c>
      <c r="Z640" s="16" t="n">
        <f aca="false">L640*INDEX(Parametros!$E$2:$E$9,MATCH($E640,Parametros!$A$2:$A$9,0))</f>
        <v>101838.8</v>
      </c>
      <c r="AA640" s="16" t="n">
        <f aca="false">Z640*INDEX(Parametros!$F$2:$F$9,MATCH($E640,Parametros!$A$2:$A$9,0))</f>
        <v>4582.746</v>
      </c>
      <c r="AB640" s="17" t="n">
        <f aca="false">Z640+AA640</f>
        <v>106421.546</v>
      </c>
      <c r="AC640" s="18" t="n">
        <v>107178.22</v>
      </c>
      <c r="AD640" s="17" t="n">
        <f aca="false">AC640-AB640</f>
        <v>756.673999999999</v>
      </c>
      <c r="AE640" s="17" t="n">
        <f aca="false">AA640+AD640</f>
        <v>5339.42</v>
      </c>
      <c r="AF640" s="19" t="n">
        <f aca="false">IF(Z640&gt;0,AE640/Z640,0)</f>
        <v>0.0524301150445606</v>
      </c>
      <c r="AG640" s="16" t="n">
        <f aca="false">(U640-W640)*INDEX(Parametros!$H$2:$H$9,MATCH($E640,Parametros!$A$2:$A$9,0))+W640*INDEX(Parametros!$H$2:$H$9,MATCH($E640,Parametros!$A$2:$A$9,0))*Parametros!$N$3</f>
        <v>42715.5</v>
      </c>
      <c r="AH640" s="13" t="n">
        <v>7478</v>
      </c>
      <c r="AI640" s="16" t="n">
        <f aca="false">AH640*Parametros!$N$2</f>
        <v>687.976</v>
      </c>
      <c r="AJ640" s="18" t="n">
        <v>11205</v>
      </c>
      <c r="AK640" s="18" t="n">
        <v>3269</v>
      </c>
      <c r="AL640" s="17" t="n">
        <f aca="false">AG640+AI640+AJ640+AK640</f>
        <v>57877.476</v>
      </c>
      <c r="AM640" s="20" t="n">
        <f aca="false">IF(L640&gt;0,AL640/L640,0)</f>
        <v>0.420560063944194</v>
      </c>
      <c r="AN640" s="16" t="n">
        <f aca="false">L640*INDEX(Parametros!$G$2:$G$9,MATCH($E640,Parametros!$A$2:$A$9,0))</f>
        <v>236706.4</v>
      </c>
      <c r="AO640" s="17" t="n">
        <f aca="false">AN640-AC640-AL640</f>
        <v>71650.704</v>
      </c>
      <c r="AP640" s="15" t="n">
        <f aca="false">IF(AN640&gt;0,AO640/AN640,0)</f>
        <v>0.30269863425746</v>
      </c>
      <c r="AQ640" s="16" t="n">
        <f aca="false">INDEX(Parametros!$I$2:$I$9,MATCH($E640,Parametros!$A$2:$A$9,0))</f>
        <v>15900000</v>
      </c>
      <c r="AR640" s="19" t="n">
        <f aca="false">IF(AQ640&gt;0,AO640/AQ640,0)</f>
        <v>0.00450633358490566</v>
      </c>
    </row>
    <row r="641" customFormat="false" ht="15" hidden="false" customHeight="false" outlineLevel="0" collapsed="false">
      <c r="A641" s="5" t="s">
        <v>776</v>
      </c>
      <c r="B641" s="9" t="n">
        <v>46104</v>
      </c>
      <c r="C641" s="2" t="str">
        <f aca="false">TEXT(B641,"yyyy")</f>
        <v>2026</v>
      </c>
      <c r="D641" s="2" t="n">
        <f aca="false">WEEKNUM(B641,2)</f>
        <v>13</v>
      </c>
      <c r="E641" s="5" t="s">
        <v>144</v>
      </c>
      <c r="F641" s="6" t="str">
        <f aca="false">INDEX(Parametros!$B$2:$B$9,MATCH($E641,Parametros!$A$2:$A$9,0))</f>
        <v>Salsas picantes</v>
      </c>
      <c r="G641" s="10" t="n">
        <v>77.3</v>
      </c>
      <c r="H641" s="10" t="n">
        <v>8.3</v>
      </c>
      <c r="I641" s="11" t="n">
        <f aca="false">SUMIFS(Eventos_Paro!$J$2:$J$2186,Eventos_Paro!$D$2:$D$2186,$E641,Eventos_Paro!$B$2:$B$2186,$B641)</f>
        <v>4.45</v>
      </c>
      <c r="J641" s="12" t="n">
        <f aca="false">G641-H641-I641</f>
        <v>64.55</v>
      </c>
      <c r="K641" s="13" t="n">
        <v>173827</v>
      </c>
      <c r="L641" s="13" t="n">
        <v>162060</v>
      </c>
      <c r="M641" s="13" t="n">
        <v>3834</v>
      </c>
      <c r="N641" s="14" t="n">
        <f aca="false">L641+M641</f>
        <v>165894</v>
      </c>
      <c r="O641" s="11" t="n">
        <f aca="false">INDEX(Parametros!$D$2:$D$9,MATCH($E641,Parametros!$A$2:$A$9,0))</f>
        <v>3100</v>
      </c>
      <c r="P641" s="15" t="n">
        <f aca="false">IF((G641-H641)&gt;0,J641/(G641-H641),0)</f>
        <v>0.935507246376812</v>
      </c>
      <c r="Q641" s="15" t="n">
        <f aca="false">IF(J641*O641&gt;0,N641/(O641*J641),0)</f>
        <v>0.829034756752705</v>
      </c>
      <c r="R641" s="15" t="n">
        <f aca="false">IF(N641&gt;0,L641/N641,0)</f>
        <v>0.976888856739846</v>
      </c>
      <c r="S641" s="15" t="n">
        <f aca="false">P641*Q641*R641</f>
        <v>0.757643758765779</v>
      </c>
      <c r="T641" s="15" t="n">
        <f aca="false">IF(K641&gt;0,L641/K641,0)</f>
        <v>0.932306258521404</v>
      </c>
      <c r="U641" s="10" t="n">
        <v>850.5</v>
      </c>
      <c r="V641" s="5" t="n">
        <v>10</v>
      </c>
      <c r="W641" s="10" t="n">
        <v>77.5</v>
      </c>
      <c r="X641" s="15" t="n">
        <f aca="false">IF(U641&gt;0,W641/U641,0)</f>
        <v>0.0911228689006467</v>
      </c>
      <c r="Y641" s="12" t="n">
        <f aca="false">IF(U641&gt;0,L641/U641,0)</f>
        <v>190.546737213404</v>
      </c>
      <c r="Z641" s="16" t="n">
        <f aca="false">L641*INDEX(Parametros!$E$2:$E$9,MATCH($E641,Parametros!$A$2:$A$9,0))</f>
        <v>106959.6</v>
      </c>
      <c r="AA641" s="16" t="n">
        <f aca="false">Z641*INDEX(Parametros!$F$2:$F$9,MATCH($E641,Parametros!$A$2:$A$9,0))</f>
        <v>2780.9496</v>
      </c>
      <c r="AB641" s="17" t="n">
        <f aca="false">Z641+AA641</f>
        <v>109740.5496</v>
      </c>
      <c r="AC641" s="18" t="n">
        <v>109456.12</v>
      </c>
      <c r="AD641" s="17" t="n">
        <f aca="false">AC641-AB641</f>
        <v>-284.429600000003</v>
      </c>
      <c r="AE641" s="17" t="n">
        <f aca="false">AA641+AD641</f>
        <v>2496.52</v>
      </c>
      <c r="AF641" s="19" t="n">
        <f aca="false">IF(Z641&gt;0,AE641/Z641,0)</f>
        <v>0.0233407753955699</v>
      </c>
      <c r="AG641" s="16" t="n">
        <f aca="false">(U641-W641)*INDEX(Parametros!$H$2:$H$9,MATCH($E641,Parametros!$A$2:$A$9,0))+W641*INDEX(Parametros!$H$2:$H$9,MATCH($E641,Parametros!$A$2:$A$9,0))*Parametros!$N$3</f>
        <v>28011.375</v>
      </c>
      <c r="AH641" s="13" t="n">
        <v>8550</v>
      </c>
      <c r="AI641" s="16" t="n">
        <f aca="false">AH641*Parametros!$N$2</f>
        <v>786.6</v>
      </c>
      <c r="AJ641" s="18" t="n">
        <v>6401</v>
      </c>
      <c r="AK641" s="18" t="n">
        <v>3640</v>
      </c>
      <c r="AL641" s="17" t="n">
        <f aca="false">AG641+AI641+AJ641+AK641</f>
        <v>38838.975</v>
      </c>
      <c r="AM641" s="20" t="n">
        <f aca="false">IF(L641&gt;0,AL641/L641,0)</f>
        <v>0.239657997038134</v>
      </c>
      <c r="AN641" s="16" t="n">
        <f aca="false">L641*INDEX(Parametros!$G$2:$G$9,MATCH($E641,Parametros!$A$2:$A$9,0))</f>
        <v>202575</v>
      </c>
      <c r="AO641" s="17" t="n">
        <f aca="false">AN641-AC641-AL641</f>
        <v>54279.905</v>
      </c>
      <c r="AP641" s="15" t="n">
        <f aca="false">IF(AN641&gt;0,AO641/AN641,0)</f>
        <v>0.267949672960632</v>
      </c>
      <c r="AQ641" s="16" t="n">
        <f aca="false">INDEX(Parametros!$I$2:$I$9,MATCH($E641,Parametros!$A$2:$A$9,0))</f>
        <v>13300000</v>
      </c>
      <c r="AR641" s="19" t="n">
        <f aca="false">IF(AQ641&gt;0,AO641/AQ641,0)</f>
        <v>0.00408119586466166</v>
      </c>
    </row>
    <row r="642" customFormat="false" ht="15" hidden="false" customHeight="false" outlineLevel="0" collapsed="false">
      <c r="A642" s="5" t="s">
        <v>777</v>
      </c>
      <c r="B642" s="9" t="n">
        <v>46111</v>
      </c>
      <c r="C642" s="2" t="str">
        <f aca="false">TEXT(B642,"yyyy")</f>
        <v>2026</v>
      </c>
      <c r="D642" s="2" t="n">
        <f aca="false">WEEKNUM(B642,2)</f>
        <v>14</v>
      </c>
      <c r="E642" s="5" t="s">
        <v>130</v>
      </c>
      <c r="F642" s="6" t="str">
        <f aca="false">INDEX(Parametros!$B$2:$B$9,MATCH($E642,Parametros!$A$2:$A$9,0))</f>
        <v>Ketchup botella</v>
      </c>
      <c r="G642" s="10" t="n">
        <v>124.1</v>
      </c>
      <c r="H642" s="10" t="n">
        <v>5.8</v>
      </c>
      <c r="I642" s="11" t="n">
        <f aca="false">SUMIFS(Eventos_Paro!$J$2:$J$2186,Eventos_Paro!$D$2:$D$2186,$E642,Eventos_Paro!$B$2:$B$2186,$B642)</f>
        <v>1.2</v>
      </c>
      <c r="J642" s="12" t="n">
        <f aca="false">G642-H642-I642</f>
        <v>117.1</v>
      </c>
      <c r="K642" s="13" t="n">
        <v>845347</v>
      </c>
      <c r="L642" s="13" t="n">
        <v>862801</v>
      </c>
      <c r="M642" s="13" t="n">
        <v>16034</v>
      </c>
      <c r="N642" s="14" t="n">
        <f aca="false">L642+M642</f>
        <v>878835</v>
      </c>
      <c r="O642" s="11" t="n">
        <f aca="false">INDEX(Parametros!$D$2:$D$9,MATCH($E642,Parametros!$A$2:$A$9,0))</f>
        <v>9000</v>
      </c>
      <c r="P642" s="15" t="n">
        <f aca="false">IF((G642-H642)&gt;0,J642/(G642-H642),0)</f>
        <v>0.989856297548605</v>
      </c>
      <c r="Q642" s="15" t="n">
        <f aca="false">IF(J642*O642&gt;0,N642/(O642*J642),0)</f>
        <v>0.833888414460575</v>
      </c>
      <c r="R642" s="15" t="n">
        <f aca="false">IF(N642&gt;0,L642/N642,0)</f>
        <v>0.981755392081563</v>
      </c>
      <c r="S642" s="15" t="n">
        <f aca="false">P642*Q642*R642</f>
        <v>0.810370057293134</v>
      </c>
      <c r="T642" s="15" t="n">
        <f aca="false">IF(K642&gt;0,L642/K642,0)</f>
        <v>1.02064714253437</v>
      </c>
      <c r="U642" s="10" t="n">
        <v>1750</v>
      </c>
      <c r="V642" s="5" t="n">
        <v>13</v>
      </c>
      <c r="W642" s="10" t="n">
        <v>136.7</v>
      </c>
      <c r="X642" s="15" t="n">
        <f aca="false">IF(U642&gt;0,W642/U642,0)</f>
        <v>0.0781142857142857</v>
      </c>
      <c r="Y642" s="12" t="n">
        <f aca="false">IF(U642&gt;0,L642/U642,0)</f>
        <v>493.029142857143</v>
      </c>
      <c r="Z642" s="16" t="n">
        <f aca="false">L642*INDEX(Parametros!$E$2:$E$9,MATCH($E642,Parametros!$A$2:$A$9,0))</f>
        <v>362376.42</v>
      </c>
      <c r="AA642" s="16" t="n">
        <f aca="false">Z642*INDEX(Parametros!$F$2:$F$9,MATCH($E642,Parametros!$A$2:$A$9,0))</f>
        <v>7247.5284</v>
      </c>
      <c r="AB642" s="17" t="n">
        <f aca="false">Z642+AA642</f>
        <v>369623.9484</v>
      </c>
      <c r="AC642" s="18" t="n">
        <v>373989.01</v>
      </c>
      <c r="AD642" s="17" t="n">
        <f aca="false">AC642-AB642</f>
        <v>4365.06160000002</v>
      </c>
      <c r="AE642" s="17" t="n">
        <f aca="false">AA642+AD642</f>
        <v>11612.59</v>
      </c>
      <c r="AF642" s="19" t="n">
        <f aca="false">IF(Z642&gt;0,AE642/Z642,0)</f>
        <v>0.032045655730028</v>
      </c>
      <c r="AG642" s="16" t="n">
        <f aca="false">(U642-W642)*INDEX(Parametros!$H$2:$H$9,MATCH($E642,Parametros!$A$2:$A$9,0))+W642*INDEX(Parametros!$H$2:$H$9,MATCH($E642,Parametros!$A$2:$A$9,0))*Parametros!$N$3</f>
        <v>57278.025</v>
      </c>
      <c r="AH642" s="13" t="n">
        <v>44752</v>
      </c>
      <c r="AI642" s="16" t="n">
        <f aca="false">AH642*Parametros!$N$2</f>
        <v>4117.184</v>
      </c>
      <c r="AJ642" s="18" t="n">
        <v>15882</v>
      </c>
      <c r="AK642" s="18" t="n">
        <v>1148</v>
      </c>
      <c r="AL642" s="17" t="n">
        <f aca="false">AG642+AI642+AJ642+AK642</f>
        <v>78425.209</v>
      </c>
      <c r="AM642" s="20" t="n">
        <f aca="false">IF(L642&gt;0,AL642/L642,0)</f>
        <v>0.0908960571441155</v>
      </c>
      <c r="AN642" s="16" t="n">
        <f aca="false">L642*INDEX(Parametros!$G$2:$G$9,MATCH($E642,Parametros!$A$2:$A$9,0))</f>
        <v>612588.71</v>
      </c>
      <c r="AO642" s="17" t="n">
        <f aca="false">AN642-AC642-AL642</f>
        <v>160174.491</v>
      </c>
      <c r="AP642" s="15" t="n">
        <f aca="false">IF(AN642&gt;0,AO642/AN642,0)</f>
        <v>0.26147150344968</v>
      </c>
      <c r="AQ642" s="16" t="n">
        <f aca="false">INDEX(Parametros!$I$2:$I$9,MATCH($E642,Parametros!$A$2:$A$9,0))</f>
        <v>29300000</v>
      </c>
      <c r="AR642" s="19" t="n">
        <f aca="false">IF(AQ642&gt;0,AO642/AQ642,0)</f>
        <v>0.0054667061774744</v>
      </c>
    </row>
    <row r="643" customFormat="false" ht="15" hidden="false" customHeight="false" outlineLevel="0" collapsed="false">
      <c r="A643" s="5" t="s">
        <v>778</v>
      </c>
      <c r="B643" s="9" t="n">
        <v>46111</v>
      </c>
      <c r="C643" s="2" t="str">
        <f aca="false">TEXT(B643,"yyyy")</f>
        <v>2026</v>
      </c>
      <c r="D643" s="2" t="n">
        <f aca="false">WEEKNUM(B643,2)</f>
        <v>14</v>
      </c>
      <c r="E643" s="5" t="s">
        <v>132</v>
      </c>
      <c r="F643" s="6" t="str">
        <f aca="false">INDEX(Parametros!$B$2:$B$9,MATCH($E643,Parametros!$A$2:$A$9,0))</f>
        <v>Mayonesa frasco</v>
      </c>
      <c r="G643" s="10" t="n">
        <v>128.3</v>
      </c>
      <c r="H643" s="10" t="n">
        <v>8.9</v>
      </c>
      <c r="I643" s="11" t="n">
        <f aca="false">SUMIFS(Eventos_Paro!$J$2:$J$2186,Eventos_Paro!$D$2:$D$2186,$E643,Eventos_Paro!$B$2:$B$2186,$B643)</f>
        <v>5.11666666666667</v>
      </c>
      <c r="J643" s="12" t="n">
        <f aca="false">G643-H643-I643</f>
        <v>114.283333333333</v>
      </c>
      <c r="K643" s="13" t="n">
        <v>616205</v>
      </c>
      <c r="L643" s="13" t="n">
        <v>618444</v>
      </c>
      <c r="M643" s="13" t="n">
        <v>13765</v>
      </c>
      <c r="N643" s="14" t="n">
        <f aca="false">L643+M643</f>
        <v>632209</v>
      </c>
      <c r="O643" s="11" t="n">
        <f aca="false">INDEX(Parametros!$D$2:$D$9,MATCH($E643,Parametros!$A$2:$A$9,0))</f>
        <v>6500</v>
      </c>
      <c r="P643" s="15" t="n">
        <f aca="false">IF((G643-H643)&gt;0,J643/(G643-H643),0)</f>
        <v>0.9571468453378</v>
      </c>
      <c r="Q643" s="15" t="n">
        <f aca="false">IF(J643*O643&gt;0,N643/(O643*J643),0)</f>
        <v>0.851068307512817</v>
      </c>
      <c r="R643" s="15" t="n">
        <f aca="false">IF(N643&gt;0,L643/N643,0)</f>
        <v>0.978227136912002</v>
      </c>
      <c r="S643" s="15" t="n">
        <f aca="false">P643*Q643*R643</f>
        <v>0.796861229223038</v>
      </c>
      <c r="T643" s="15" t="n">
        <f aca="false">IF(K643&gt;0,L643/K643,0)</f>
        <v>1.00363353104892</v>
      </c>
      <c r="U643" s="10" t="n">
        <v>2003.9</v>
      </c>
      <c r="V643" s="5" t="n">
        <v>14</v>
      </c>
      <c r="W643" s="10" t="n">
        <v>207.7</v>
      </c>
      <c r="X643" s="15" t="n">
        <f aca="false">IF(U643&gt;0,W643/U643,0)</f>
        <v>0.103647886621089</v>
      </c>
      <c r="Y643" s="12" t="n">
        <f aca="false">IF(U643&gt;0,L643/U643,0)</f>
        <v>308.620190628275</v>
      </c>
      <c r="Z643" s="16" t="n">
        <f aca="false">L643*INDEX(Parametros!$E$2:$E$9,MATCH($E643,Parametros!$A$2:$A$9,0))</f>
        <v>377250.84</v>
      </c>
      <c r="AA643" s="16" t="n">
        <f aca="false">Z643*INDEX(Parametros!$F$2:$F$9,MATCH($E643,Parametros!$A$2:$A$9,0))</f>
        <v>9431.271</v>
      </c>
      <c r="AB643" s="17" t="n">
        <f aca="false">Z643+AA643</f>
        <v>386682.111</v>
      </c>
      <c r="AC643" s="18" t="n">
        <v>381610.91</v>
      </c>
      <c r="AD643" s="17" t="n">
        <f aca="false">AC643-AB643</f>
        <v>-5071.201</v>
      </c>
      <c r="AE643" s="17" t="n">
        <f aca="false">AA643+AD643</f>
        <v>4360.07</v>
      </c>
      <c r="AF643" s="19" t="n">
        <f aca="false">IF(Z643&gt;0,AE643/Z643,0)</f>
        <v>0.0115574825492768</v>
      </c>
      <c r="AG643" s="16" t="n">
        <f aca="false">(U643-W643)*INDEX(Parametros!$H$2:$H$9,MATCH($E643,Parametros!$A$2:$A$9,0))+W643*INDEX(Parametros!$H$2:$H$9,MATCH($E643,Parametros!$A$2:$A$9,0))*Parametros!$N$3</f>
        <v>66394.125</v>
      </c>
      <c r="AH643" s="13" t="n">
        <v>31035</v>
      </c>
      <c r="AI643" s="16" t="n">
        <f aca="false">AH643*Parametros!$N$2</f>
        <v>2855.22</v>
      </c>
      <c r="AJ643" s="18" t="n">
        <v>13143</v>
      </c>
      <c r="AK643" s="18" t="n">
        <v>4589</v>
      </c>
      <c r="AL643" s="17" t="n">
        <f aca="false">AG643+AI643+AJ643+AK643</f>
        <v>86981.345</v>
      </c>
      <c r="AM643" s="20" t="n">
        <f aca="false">IF(L643&gt;0,AL643/L643,0)</f>
        <v>0.140645466687364</v>
      </c>
      <c r="AN643" s="16" t="n">
        <f aca="false">L643*INDEX(Parametros!$G$2:$G$9,MATCH($E643,Parametros!$A$2:$A$9,0))</f>
        <v>593706.24</v>
      </c>
      <c r="AO643" s="17" t="n">
        <f aca="false">AN643-AC643-AL643</f>
        <v>125113.985</v>
      </c>
      <c r="AP643" s="15" t="n">
        <f aca="false">IF(AN643&gt;0,AO643/AN643,0)</f>
        <v>0.21073382183081</v>
      </c>
      <c r="AQ643" s="16" t="n">
        <f aca="false">INDEX(Parametros!$I$2:$I$9,MATCH($E643,Parametros!$A$2:$A$9,0))</f>
        <v>29700000</v>
      </c>
      <c r="AR643" s="19" t="n">
        <f aca="false">IF(AQ643&gt;0,AO643/AQ643,0)</f>
        <v>0.00421259208754209</v>
      </c>
    </row>
    <row r="644" customFormat="false" ht="15" hidden="false" customHeight="false" outlineLevel="0" collapsed="false">
      <c r="A644" s="5" t="s">
        <v>779</v>
      </c>
      <c r="B644" s="9" t="n">
        <v>46111</v>
      </c>
      <c r="C644" s="2" t="str">
        <f aca="false">TEXT(B644,"yyyy")</f>
        <v>2026</v>
      </c>
      <c r="D644" s="2" t="n">
        <f aca="false">WEEKNUM(B644,2)</f>
        <v>14</v>
      </c>
      <c r="E644" s="5" t="s">
        <v>134</v>
      </c>
      <c r="F644" s="6" t="str">
        <f aca="false">INDEX(Parametros!$B$2:$B$9,MATCH($E644,Parametros!$A$2:$A$9,0))</f>
        <v>Aderezos vertibles</v>
      </c>
      <c r="G644" s="10" t="n">
        <v>121.2</v>
      </c>
      <c r="H644" s="10" t="n">
        <v>5.8</v>
      </c>
      <c r="I644" s="11" t="n">
        <f aca="false">SUMIFS(Eventos_Paro!$J$2:$J$2186,Eventos_Paro!$D$2:$D$2186,$E644,Eventos_Paro!$B$2:$B$2186,$B644)</f>
        <v>1.18333333333333</v>
      </c>
      <c r="J644" s="12" t="n">
        <f aca="false">G644-H644-I644</f>
        <v>114.216666666667</v>
      </c>
      <c r="K644" s="13" t="n">
        <v>476450</v>
      </c>
      <c r="L644" s="13" t="n">
        <v>478526</v>
      </c>
      <c r="M644" s="13" t="n">
        <v>14539</v>
      </c>
      <c r="N644" s="14" t="n">
        <f aca="false">L644+M644</f>
        <v>493065</v>
      </c>
      <c r="O644" s="11" t="n">
        <f aca="false">INDEX(Parametros!$D$2:$D$9,MATCH($E644,Parametros!$A$2:$A$9,0))</f>
        <v>5200</v>
      </c>
      <c r="P644" s="15" t="n">
        <f aca="false">IF((G644-H644)&gt;0,J644/(G644-H644),0)</f>
        <v>0.989745811669555</v>
      </c>
      <c r="Q644" s="15" t="n">
        <f aca="false">IF(J644*O644&gt;0,N644/(O644*J644),0)</f>
        <v>0.830178248717575</v>
      </c>
      <c r="R644" s="15" t="n">
        <f aca="false">IF(N644&gt;0,L644/N644,0)</f>
        <v>0.970513015525336</v>
      </c>
      <c r="S644" s="15" t="n">
        <f aca="false">P644*Q644*R644</f>
        <v>0.79743700839888</v>
      </c>
      <c r="T644" s="15" t="n">
        <f aca="false">IF(K644&gt;0,L644/K644,0)</f>
        <v>1.0043572253122</v>
      </c>
      <c r="U644" s="10" t="n">
        <v>1593.9</v>
      </c>
      <c r="V644" s="5" t="n">
        <v>12</v>
      </c>
      <c r="W644" s="10" t="n">
        <v>139.5</v>
      </c>
      <c r="X644" s="15" t="n">
        <f aca="false">IF(U644&gt;0,W644/U644,0)</f>
        <v>0.0875211744776962</v>
      </c>
      <c r="Y644" s="12" t="n">
        <f aca="false">IF(U644&gt;0,L644/U644,0)</f>
        <v>300.223351527699</v>
      </c>
      <c r="Z644" s="16" t="n">
        <f aca="false">L644*INDEX(Parametros!$E$2:$E$9,MATCH($E644,Parametros!$A$2:$A$9,0))</f>
        <v>263189.3</v>
      </c>
      <c r="AA644" s="16" t="n">
        <f aca="false">Z644*INDEX(Parametros!$F$2:$F$9,MATCH($E644,Parametros!$A$2:$A$9,0))</f>
        <v>7895.679</v>
      </c>
      <c r="AB644" s="17" t="n">
        <f aca="false">Z644+AA644</f>
        <v>271084.979</v>
      </c>
      <c r="AC644" s="18" t="n">
        <v>270045.99</v>
      </c>
      <c r="AD644" s="17" t="n">
        <f aca="false">AC644-AB644</f>
        <v>-1038.98900000006</v>
      </c>
      <c r="AE644" s="17" t="n">
        <f aca="false">AA644+AD644</f>
        <v>6856.68999999994</v>
      </c>
      <c r="AF644" s="19" t="n">
        <f aca="false">IF(Z644&gt;0,AE644/Z644,0)</f>
        <v>0.0260523129169763</v>
      </c>
      <c r="AG644" s="16" t="n">
        <f aca="false">(U644-W644)*INDEX(Parametros!$H$2:$H$9,MATCH($E644,Parametros!$A$2:$A$9,0))+W644*INDEX(Parametros!$H$2:$H$9,MATCH($E644,Parametros!$A$2:$A$9,0))*Parametros!$N$3</f>
        <v>52404.975</v>
      </c>
      <c r="AH644" s="13" t="n">
        <v>23496</v>
      </c>
      <c r="AI644" s="16" t="n">
        <f aca="false">AH644*Parametros!$N$2</f>
        <v>2161.632</v>
      </c>
      <c r="AJ644" s="18" t="n">
        <v>10817</v>
      </c>
      <c r="AK644" s="18" t="n">
        <v>810</v>
      </c>
      <c r="AL644" s="17" t="n">
        <f aca="false">AG644+AI644+AJ644+AK644</f>
        <v>66193.607</v>
      </c>
      <c r="AM644" s="20" t="n">
        <f aca="false">IF(L644&gt;0,AL644/L644,0)</f>
        <v>0.1383281305509</v>
      </c>
      <c r="AN644" s="16" t="n">
        <f aca="false">L644*INDEX(Parametros!$G$2:$G$9,MATCH($E644,Parametros!$A$2:$A$9,0))</f>
        <v>488096.52</v>
      </c>
      <c r="AO644" s="17" t="n">
        <f aca="false">AN644-AC644-AL644</f>
        <v>151856.923</v>
      </c>
      <c r="AP644" s="15" t="n">
        <f aca="false">IF(AN644&gt;0,AO644/AN644,0)</f>
        <v>0.311120683671336</v>
      </c>
      <c r="AQ644" s="16" t="n">
        <f aca="false">INDEX(Parametros!$I$2:$I$9,MATCH($E644,Parametros!$A$2:$A$9,0))</f>
        <v>19300000</v>
      </c>
      <c r="AR644" s="19" t="n">
        <f aca="false">IF(AQ644&gt;0,AO644/AQ644,0)</f>
        <v>0.00786823435233161</v>
      </c>
    </row>
    <row r="645" customFormat="false" ht="15" hidden="false" customHeight="false" outlineLevel="0" collapsed="false">
      <c r="A645" s="5" t="s">
        <v>780</v>
      </c>
      <c r="B645" s="9" t="n">
        <v>46111</v>
      </c>
      <c r="C645" s="2" t="str">
        <f aca="false">TEXT(B645,"yyyy")</f>
        <v>2026</v>
      </c>
      <c r="D645" s="2" t="n">
        <f aca="false">WEEKNUM(B645,2)</f>
        <v>14</v>
      </c>
      <c r="E645" s="5" t="s">
        <v>136</v>
      </c>
      <c r="F645" s="6" t="str">
        <f aca="false">INDEX(Parametros!$B$2:$B$9,MATCH($E645,Parametros!$A$2:$A$9,0))</f>
        <v>Salsa BBQ</v>
      </c>
      <c r="G645" s="10" t="n">
        <v>123.7</v>
      </c>
      <c r="H645" s="10" t="n">
        <v>6.7</v>
      </c>
      <c r="I645" s="11" t="n">
        <f aca="false">SUMIFS(Eventos_Paro!$J$2:$J$2186,Eventos_Paro!$D$2:$D$2186,$E645,Eventos_Paro!$B$2:$B$2186,$B645)</f>
        <v>1.48333333333333</v>
      </c>
      <c r="J645" s="12" t="n">
        <f aca="false">G645-H645-I645</f>
        <v>115.516666666667</v>
      </c>
      <c r="K645" s="13" t="n">
        <v>434058</v>
      </c>
      <c r="L645" s="13" t="n">
        <v>432082</v>
      </c>
      <c r="M645" s="13" t="n">
        <v>15058</v>
      </c>
      <c r="N645" s="14" t="n">
        <f aca="false">L645+M645</f>
        <v>447140</v>
      </c>
      <c r="O645" s="11" t="n">
        <f aca="false">INDEX(Parametros!$D$2:$D$9,MATCH($E645,Parametros!$A$2:$A$9,0))</f>
        <v>4800</v>
      </c>
      <c r="P645" s="15" t="n">
        <f aca="false">IF((G645-H645)&gt;0,J645/(G645-H645),0)</f>
        <v>0.987321937321937</v>
      </c>
      <c r="Q645" s="15" t="n">
        <f aca="false">IF(J645*O645&gt;0,N645/(O645*J645),0)</f>
        <v>0.806413215986149</v>
      </c>
      <c r="R645" s="15" t="n">
        <f aca="false">IF(N645&gt;0,L645/N645,0)</f>
        <v>0.966323746477613</v>
      </c>
      <c r="S645" s="15" t="n">
        <f aca="false">P645*Q645*R645</f>
        <v>0.769376780626781</v>
      </c>
      <c r="T645" s="15" t="n">
        <f aca="false">IF(K645&gt;0,L645/K645,0)</f>
        <v>0.995447612991812</v>
      </c>
      <c r="U645" s="10" t="n">
        <v>1544.1</v>
      </c>
      <c r="V645" s="5" t="n">
        <v>11</v>
      </c>
      <c r="W645" s="10" t="n">
        <v>183.4</v>
      </c>
      <c r="X645" s="15" t="n">
        <f aca="false">IF(U645&gt;0,W645/U645,0)</f>
        <v>0.118774690758371</v>
      </c>
      <c r="Y645" s="12" t="n">
        <f aca="false">IF(U645&gt;0,L645/U645,0)</f>
        <v>279.827731364549</v>
      </c>
      <c r="Z645" s="16" t="n">
        <f aca="false">L645*INDEX(Parametros!$E$2:$E$9,MATCH($E645,Parametros!$A$2:$A$9,0))</f>
        <v>250607.56</v>
      </c>
      <c r="AA645" s="16" t="n">
        <f aca="false">Z645*INDEX(Parametros!$F$2:$F$9,MATCH($E645,Parametros!$A$2:$A$9,0))</f>
        <v>7017.01168</v>
      </c>
      <c r="AB645" s="17" t="n">
        <f aca="false">Z645+AA645</f>
        <v>257624.57168</v>
      </c>
      <c r="AC645" s="18" t="n">
        <v>258867.86</v>
      </c>
      <c r="AD645" s="17" t="n">
        <f aca="false">AC645-AB645</f>
        <v>1243.28832000002</v>
      </c>
      <c r="AE645" s="17" t="n">
        <f aca="false">AA645+AD645</f>
        <v>8260.30000000002</v>
      </c>
      <c r="AF645" s="19" t="n">
        <f aca="false">IF(Z645&gt;0,AE645/Z645,0)</f>
        <v>0.0329610966245393</v>
      </c>
      <c r="AG645" s="16" t="n">
        <f aca="false">(U645-W645)*INDEX(Parametros!$H$2:$H$9,MATCH($E645,Parametros!$A$2:$A$9,0))+W645*INDEX(Parametros!$H$2:$H$9,MATCH($E645,Parametros!$A$2:$A$9,0))*Parametros!$N$3</f>
        <v>51527.7</v>
      </c>
      <c r="AH645" s="13" t="n">
        <v>23422</v>
      </c>
      <c r="AI645" s="16" t="n">
        <f aca="false">AH645*Parametros!$N$2</f>
        <v>2154.824</v>
      </c>
      <c r="AJ645" s="18" t="n">
        <v>7390</v>
      </c>
      <c r="AK645" s="18" t="n">
        <v>1658</v>
      </c>
      <c r="AL645" s="17" t="n">
        <f aca="false">AG645+AI645+AJ645+AK645</f>
        <v>62730.524</v>
      </c>
      <c r="AM645" s="20" t="n">
        <f aca="false">IF(L645&gt;0,AL645/L645,0)</f>
        <v>0.145181988604015</v>
      </c>
      <c r="AN645" s="16" t="n">
        <f aca="false">L645*INDEX(Parametros!$G$2:$G$9,MATCH($E645,Parametros!$A$2:$A$9,0))</f>
        <v>423440.36</v>
      </c>
      <c r="AO645" s="17" t="n">
        <f aca="false">AN645-AC645-AL645</f>
        <v>101841.976</v>
      </c>
      <c r="AP645" s="15" t="n">
        <f aca="false">IF(AN645&gt;0,AO645/AN645,0)</f>
        <v>0.240510791177298</v>
      </c>
      <c r="AQ645" s="16" t="n">
        <f aca="false">INDEX(Parametros!$I$2:$I$9,MATCH($E645,Parametros!$A$2:$A$9,0))</f>
        <v>17000000</v>
      </c>
      <c r="AR645" s="19" t="n">
        <f aca="false">IF(AQ645&gt;0,AO645/AQ645,0)</f>
        <v>0.00599070447058824</v>
      </c>
    </row>
    <row r="646" customFormat="false" ht="15" hidden="false" customHeight="false" outlineLevel="0" collapsed="false">
      <c r="A646" s="5" t="s">
        <v>781</v>
      </c>
      <c r="B646" s="9" t="n">
        <v>46111</v>
      </c>
      <c r="C646" s="2" t="str">
        <f aca="false">TEXT(B646,"yyyy")</f>
        <v>2026</v>
      </c>
      <c r="D646" s="2" t="n">
        <f aca="false">WEEKNUM(B646,2)</f>
        <v>14</v>
      </c>
      <c r="E646" s="5" t="s">
        <v>138</v>
      </c>
      <c r="F646" s="6" t="str">
        <f aca="false">INDEX(Parametros!$B$2:$B$9,MATCH($E646,Parametros!$A$2:$A$9,0))</f>
        <v>Queso crema</v>
      </c>
      <c r="G646" s="10" t="n">
        <v>132.3</v>
      </c>
      <c r="H646" s="10" t="n">
        <v>7</v>
      </c>
      <c r="I646" s="11" t="n">
        <f aca="false">SUMIFS(Eventos_Paro!$J$2:$J$2186,Eventos_Paro!$D$2:$D$2186,$E646,Eventos_Paro!$B$2:$B$2186,$B646)</f>
        <v>5.46666666666667</v>
      </c>
      <c r="J646" s="12" t="n">
        <f aca="false">G646-H646-I646</f>
        <v>119.833333333333</v>
      </c>
      <c r="K646" s="13" t="n">
        <v>378044</v>
      </c>
      <c r="L646" s="13" t="n">
        <v>358990</v>
      </c>
      <c r="M646" s="13" t="n">
        <v>17732</v>
      </c>
      <c r="N646" s="14" t="n">
        <f aca="false">L646+M646</f>
        <v>376722</v>
      </c>
      <c r="O646" s="11" t="n">
        <f aca="false">INDEX(Parametros!$D$2:$D$9,MATCH($E646,Parametros!$A$2:$A$9,0))</f>
        <v>3800</v>
      </c>
      <c r="P646" s="15" t="n">
        <f aca="false">IF((G646-H646)&gt;0,J646/(G646-H646),0)</f>
        <v>0.956371375365789</v>
      </c>
      <c r="Q646" s="15" t="n">
        <f aca="false">IF(J646*O646&gt;0,N646/(O646*J646),0)</f>
        <v>0.827293755947588</v>
      </c>
      <c r="R646" s="15" t="n">
        <f aca="false">IF(N646&gt;0,L646/N646,0)</f>
        <v>0.952930808394519</v>
      </c>
      <c r="S646" s="15" t="n">
        <f aca="false">P646*Q646*R646</f>
        <v>0.753958919645483</v>
      </c>
      <c r="T646" s="15" t="n">
        <f aca="false">IF(K646&gt;0,L646/K646,0)</f>
        <v>0.949598459438584</v>
      </c>
      <c r="U646" s="10" t="n">
        <v>2319.5</v>
      </c>
      <c r="V646" s="5" t="n">
        <v>16</v>
      </c>
      <c r="W646" s="10" t="n">
        <v>202.7</v>
      </c>
      <c r="X646" s="15" t="n">
        <f aca="false">IF(U646&gt;0,W646/U646,0)</f>
        <v>0.087389523604225</v>
      </c>
      <c r="Y646" s="12" t="n">
        <f aca="false">IF(U646&gt;0,L646/U646,0)</f>
        <v>154.770424660487</v>
      </c>
      <c r="Z646" s="16" t="n">
        <f aca="false">L646*INDEX(Parametros!$E$2:$E$9,MATCH($E646,Parametros!$A$2:$A$9,0))</f>
        <v>402068.8</v>
      </c>
      <c r="AA646" s="16" t="n">
        <f aca="false">Z646*INDEX(Parametros!$F$2:$F$9,MATCH($E646,Parametros!$A$2:$A$9,0))</f>
        <v>14072.408</v>
      </c>
      <c r="AB646" s="17" t="n">
        <f aca="false">Z646+AA646</f>
        <v>416141.208</v>
      </c>
      <c r="AC646" s="18" t="n">
        <v>415924.83</v>
      </c>
      <c r="AD646" s="17" t="n">
        <f aca="false">AC646-AB646</f>
        <v>-216.378000000026</v>
      </c>
      <c r="AE646" s="17" t="n">
        <f aca="false">AA646+AD646</f>
        <v>13856.03</v>
      </c>
      <c r="AF646" s="19" t="n">
        <f aca="false">IF(Z646&gt;0,AE646/Z646,0)</f>
        <v>0.0344618383719403</v>
      </c>
      <c r="AG646" s="16" t="n">
        <f aca="false">(U646-W646)*INDEX(Parametros!$H$2:$H$9,MATCH($E646,Parametros!$A$2:$A$9,0))+W646*INDEX(Parametros!$H$2:$H$9,MATCH($E646,Parametros!$A$2:$A$9,0))*Parametros!$N$3</f>
        <v>79888.05</v>
      </c>
      <c r="AH646" s="13" t="n">
        <v>19228</v>
      </c>
      <c r="AI646" s="16" t="n">
        <f aca="false">AH646*Parametros!$N$2</f>
        <v>1768.976</v>
      </c>
      <c r="AJ646" s="18" t="n">
        <v>19182</v>
      </c>
      <c r="AK646" s="18" t="n">
        <v>3617</v>
      </c>
      <c r="AL646" s="17" t="n">
        <f aca="false">AG646+AI646+AJ646+AK646</f>
        <v>104456.026</v>
      </c>
      <c r="AM646" s="20" t="n">
        <f aca="false">IF(L646&gt;0,AL646/L646,0)</f>
        <v>0.290971965792919</v>
      </c>
      <c r="AN646" s="16" t="n">
        <f aca="false">L646*INDEX(Parametros!$G$2:$G$9,MATCH($E646,Parametros!$A$2:$A$9,0))</f>
        <v>642592.1</v>
      </c>
      <c r="AO646" s="17" t="n">
        <f aca="false">AN646-AC646-AL646</f>
        <v>122211.244</v>
      </c>
      <c r="AP646" s="15" t="n">
        <f aca="false">IF(AN646&gt;0,AO646/AN646,0)</f>
        <v>0.190184790631569</v>
      </c>
      <c r="AQ646" s="16" t="n">
        <f aca="false">INDEX(Parametros!$I$2:$I$9,MATCH($E646,Parametros!$A$2:$A$9,0))</f>
        <v>33200000</v>
      </c>
      <c r="AR646" s="19" t="n">
        <f aca="false">IF(AQ646&gt;0,AO646/AQ646,0)</f>
        <v>0.00368106156626506</v>
      </c>
    </row>
    <row r="647" customFormat="false" ht="15" hidden="false" customHeight="false" outlineLevel="0" collapsed="false">
      <c r="A647" s="5" t="s">
        <v>782</v>
      </c>
      <c r="B647" s="9" t="n">
        <v>46111</v>
      </c>
      <c r="C647" s="2" t="str">
        <f aca="false">TEXT(B647,"yyyy")</f>
        <v>2026</v>
      </c>
      <c r="D647" s="2" t="n">
        <f aca="false">WEEKNUM(B647,2)</f>
        <v>14</v>
      </c>
      <c r="E647" s="5" t="s">
        <v>140</v>
      </c>
      <c r="F647" s="6" t="str">
        <f aca="false">INDEX(Parametros!$B$2:$B$9,MATCH($E647,Parametros!$A$2:$A$9,0))</f>
        <v>Crema de cacahuate</v>
      </c>
      <c r="G647" s="10" t="n">
        <v>111.6</v>
      </c>
      <c r="H647" s="10" t="n">
        <v>7.3</v>
      </c>
      <c r="I647" s="11" t="n">
        <f aca="false">SUMIFS(Eventos_Paro!$J$2:$J$2186,Eventos_Paro!$D$2:$D$2186,$E647,Eventos_Paro!$B$2:$B$2186,$B647)</f>
        <v>0.45</v>
      </c>
      <c r="J647" s="12" t="n">
        <f aca="false">G647-H647-I647</f>
        <v>103.85</v>
      </c>
      <c r="K647" s="13" t="n">
        <v>347809</v>
      </c>
      <c r="L647" s="13" t="n">
        <v>378096</v>
      </c>
      <c r="M647" s="13" t="n">
        <v>12773</v>
      </c>
      <c r="N647" s="14" t="n">
        <f aca="false">L647+M647</f>
        <v>390869</v>
      </c>
      <c r="O647" s="11" t="n">
        <f aca="false">INDEX(Parametros!$D$2:$D$9,MATCH($E647,Parametros!$A$2:$A$9,0))</f>
        <v>4200</v>
      </c>
      <c r="P647" s="15" t="n">
        <f aca="false">IF((G647-H647)&gt;0,J647/(G647-H647),0)</f>
        <v>0.99568552253116</v>
      </c>
      <c r="Q647" s="15" t="n">
        <f aca="false">IF(J647*O647&gt;0,N647/(O647*J647),0)</f>
        <v>0.896139120067863</v>
      </c>
      <c r="R647" s="15" t="n">
        <f aca="false">IF(N647&gt;0,L647/N647,0)</f>
        <v>0.967321532278078</v>
      </c>
      <c r="S647" s="15" t="n">
        <f aca="false">P647*Q647*R647</f>
        <v>0.863114641829886</v>
      </c>
      <c r="T647" s="15" t="n">
        <f aca="false">IF(K647&gt;0,L647/K647,0)</f>
        <v>1.08707940277566</v>
      </c>
      <c r="U647" s="10" t="n">
        <v>1447.6</v>
      </c>
      <c r="V647" s="5" t="n">
        <v>12</v>
      </c>
      <c r="W647" s="10" t="n">
        <v>108.4</v>
      </c>
      <c r="X647" s="15" t="n">
        <f aca="false">IF(U647&gt;0,W647/U647,0)</f>
        <v>0.0748825642442664</v>
      </c>
      <c r="Y647" s="12" t="n">
        <f aca="false">IF(U647&gt;0,L647/U647,0)</f>
        <v>261.188173528599</v>
      </c>
      <c r="Z647" s="16" t="n">
        <f aca="false">L647*INDEX(Parametros!$E$2:$E$9,MATCH($E647,Parametros!$A$2:$A$9,0))</f>
        <v>366753.12</v>
      </c>
      <c r="AA647" s="16" t="n">
        <f aca="false">Z647*INDEX(Parametros!$F$2:$F$9,MATCH($E647,Parametros!$A$2:$A$9,0))</f>
        <v>8068.56864</v>
      </c>
      <c r="AB647" s="17" t="n">
        <f aca="false">Z647+AA647</f>
        <v>374821.68864</v>
      </c>
      <c r="AC647" s="18" t="n">
        <v>377574.41</v>
      </c>
      <c r="AD647" s="17" t="n">
        <f aca="false">AC647-AB647</f>
        <v>2752.72135999997</v>
      </c>
      <c r="AE647" s="17" t="n">
        <f aca="false">AA647+AD647</f>
        <v>10821.29</v>
      </c>
      <c r="AF647" s="19" t="n">
        <f aca="false">IF(Z647&gt;0,AE647/Z647,0)</f>
        <v>0.0295056521945879</v>
      </c>
      <c r="AG647" s="16" t="n">
        <f aca="false">(U647-W647)*INDEX(Parametros!$H$2:$H$9,MATCH($E647,Parametros!$A$2:$A$9,0))+W647*INDEX(Parametros!$H$2:$H$9,MATCH($E647,Parametros!$A$2:$A$9,0))*Parametros!$N$3</f>
        <v>47306.7</v>
      </c>
      <c r="AH647" s="13" t="n">
        <v>17821</v>
      </c>
      <c r="AI647" s="16" t="n">
        <f aca="false">AH647*Parametros!$N$2</f>
        <v>1639.532</v>
      </c>
      <c r="AJ647" s="18" t="n">
        <v>11258</v>
      </c>
      <c r="AK647" s="18" t="n">
        <v>384</v>
      </c>
      <c r="AL647" s="17" t="n">
        <f aca="false">AG647+AI647+AJ647+AK647</f>
        <v>60588.232</v>
      </c>
      <c r="AM647" s="20" t="n">
        <f aca="false">IF(L647&gt;0,AL647/L647,0)</f>
        <v>0.160245630739283</v>
      </c>
      <c r="AN647" s="16" t="n">
        <f aca="false">L647*INDEX(Parametros!$G$2:$G$9,MATCH($E647,Parametros!$A$2:$A$9,0))</f>
        <v>612515.52</v>
      </c>
      <c r="AO647" s="17" t="n">
        <f aca="false">AN647-AC647-AL647</f>
        <v>174352.878</v>
      </c>
      <c r="AP647" s="15" t="n">
        <f aca="false">IF(AN647&gt;0,AO647/AN647,0)</f>
        <v>0.284650547303683</v>
      </c>
      <c r="AQ647" s="16" t="n">
        <f aca="false">INDEX(Parametros!$I$2:$I$9,MATCH($E647,Parametros!$A$2:$A$9,0))</f>
        <v>28000000</v>
      </c>
      <c r="AR647" s="19" t="n">
        <f aca="false">IF(AQ647&gt;0,AO647/AQ647,0)</f>
        <v>0.0062268885</v>
      </c>
    </row>
    <row r="648" customFormat="false" ht="15" hidden="false" customHeight="false" outlineLevel="0" collapsed="false">
      <c r="A648" s="5" t="s">
        <v>783</v>
      </c>
      <c r="B648" s="9" t="n">
        <v>46111</v>
      </c>
      <c r="C648" s="2" t="str">
        <f aca="false">TEXT(B648,"yyyy")</f>
        <v>2026</v>
      </c>
      <c r="D648" s="2" t="n">
        <f aca="false">WEEKNUM(B648,2)</f>
        <v>14</v>
      </c>
      <c r="E648" s="5" t="s">
        <v>142</v>
      </c>
      <c r="F648" s="6" t="str">
        <f aca="false">INDEX(Parametros!$B$2:$B$9,MATCH($E648,Parametros!$A$2:$A$9,0))</f>
        <v>Porciones single serve</v>
      </c>
      <c r="G648" s="10" t="n">
        <v>115.5</v>
      </c>
      <c r="H648" s="10" t="n">
        <v>6.6</v>
      </c>
      <c r="I648" s="11" t="n">
        <f aca="false">SUMIFS(Eventos_Paro!$J$2:$J$2186,Eventos_Paro!$D$2:$D$2186,$E648,Eventos_Paro!$B$2:$B$2186,$B648)</f>
        <v>6.01666666666667</v>
      </c>
      <c r="J648" s="12" t="n">
        <f aca="false">G648-H648-I648</f>
        <v>102.883333333333</v>
      </c>
      <c r="K648" s="13" t="n">
        <v>224807</v>
      </c>
      <c r="L648" s="13" t="n">
        <v>190110</v>
      </c>
      <c r="M648" s="13" t="n">
        <v>10140</v>
      </c>
      <c r="N648" s="14" t="n">
        <f aca="false">L648+M648</f>
        <v>200250</v>
      </c>
      <c r="O648" s="11" t="n">
        <f aca="false">INDEX(Parametros!$D$2:$D$9,MATCH($E648,Parametros!$A$2:$A$9,0))</f>
        <v>2600</v>
      </c>
      <c r="P648" s="15" t="n">
        <f aca="false">IF((G648-H648)&gt;0,J648/(G648-H648),0)</f>
        <v>0.944750535659627</v>
      </c>
      <c r="Q648" s="15" t="n">
        <f aca="false">IF(J648*O648&gt;0,N648/(O648*J648),0)</f>
        <v>0.748607459282982</v>
      </c>
      <c r="R648" s="15" t="n">
        <f aca="false">IF(N648&gt;0,L648/N648,0)</f>
        <v>0.94936329588015</v>
      </c>
      <c r="S648" s="15" t="n">
        <f aca="false">P648*Q648*R648</f>
        <v>0.671434625980081</v>
      </c>
      <c r="T648" s="15" t="n">
        <f aca="false">IF(K648&gt;0,L648/K648,0)</f>
        <v>0.845658720591441</v>
      </c>
      <c r="U648" s="10" t="n">
        <v>1878.7</v>
      </c>
      <c r="V648" s="5" t="n">
        <v>15</v>
      </c>
      <c r="W648" s="10" t="n">
        <v>146.2</v>
      </c>
      <c r="X648" s="15" t="n">
        <f aca="false">IF(U648&gt;0,W648/U648,0)</f>
        <v>0.0778197689891947</v>
      </c>
      <c r="Y648" s="12" t="n">
        <f aca="false">IF(U648&gt;0,L648/U648,0)</f>
        <v>101.192313834034</v>
      </c>
      <c r="Z648" s="16" t="n">
        <f aca="false">L648*INDEX(Parametros!$E$2:$E$9,MATCH($E648,Parametros!$A$2:$A$9,0))</f>
        <v>140681.4</v>
      </c>
      <c r="AA648" s="16" t="n">
        <f aca="false">Z648*INDEX(Parametros!$F$2:$F$9,MATCH($E648,Parametros!$A$2:$A$9,0))</f>
        <v>6330.663</v>
      </c>
      <c r="AB648" s="17" t="n">
        <f aca="false">Z648+AA648</f>
        <v>147012.063</v>
      </c>
      <c r="AC648" s="18" t="n">
        <v>145782.35</v>
      </c>
      <c r="AD648" s="17" t="n">
        <f aca="false">AC648-AB648</f>
        <v>-1229.71299999999</v>
      </c>
      <c r="AE648" s="17" t="n">
        <f aca="false">AA648+AD648</f>
        <v>5100.95000000001</v>
      </c>
      <c r="AF648" s="19" t="n">
        <f aca="false">IF(Z648&gt;0,AE648/Z648,0)</f>
        <v>0.036258879994086</v>
      </c>
      <c r="AG648" s="16" t="n">
        <f aca="false">(U648-W648)*INDEX(Parametros!$H$2:$H$9,MATCH($E648,Parametros!$A$2:$A$9,0))+W648*INDEX(Parametros!$H$2:$H$9,MATCH($E648,Parametros!$A$2:$A$9,0))*Parametros!$N$3</f>
        <v>58554</v>
      </c>
      <c r="AH648" s="13" t="n">
        <v>10406</v>
      </c>
      <c r="AI648" s="16" t="n">
        <f aca="false">AH648*Parametros!$N$2</f>
        <v>957.352</v>
      </c>
      <c r="AJ648" s="18" t="n">
        <v>11459</v>
      </c>
      <c r="AK648" s="18" t="n">
        <v>8859</v>
      </c>
      <c r="AL648" s="17" t="n">
        <f aca="false">AG648+AI648+AJ648+AK648</f>
        <v>79829.352</v>
      </c>
      <c r="AM648" s="20" t="n">
        <f aca="false">IF(L648&gt;0,AL648/L648,0)</f>
        <v>0.419911377623481</v>
      </c>
      <c r="AN648" s="16" t="n">
        <f aca="false">L648*INDEX(Parametros!$G$2:$G$9,MATCH($E648,Parametros!$A$2:$A$9,0))</f>
        <v>326989.2</v>
      </c>
      <c r="AO648" s="17" t="n">
        <f aca="false">AN648-AC648-AL648</f>
        <v>101377.498</v>
      </c>
      <c r="AP648" s="15" t="n">
        <f aca="false">IF(AN648&gt;0,AO648/AN648,0)</f>
        <v>0.310033169291218</v>
      </c>
      <c r="AQ648" s="16" t="n">
        <f aca="false">INDEX(Parametros!$I$2:$I$9,MATCH($E648,Parametros!$A$2:$A$9,0))</f>
        <v>15900000</v>
      </c>
      <c r="AR648" s="19" t="n">
        <f aca="false">IF(AQ648&gt;0,AO648/AQ648,0)</f>
        <v>0.00637594327044025</v>
      </c>
    </row>
    <row r="649" customFormat="false" ht="15" hidden="false" customHeight="false" outlineLevel="0" collapsed="false">
      <c r="A649" s="5" t="s">
        <v>784</v>
      </c>
      <c r="B649" s="9" t="n">
        <v>46111</v>
      </c>
      <c r="C649" s="2" t="str">
        <f aca="false">TEXT(B649,"yyyy")</f>
        <v>2026</v>
      </c>
      <c r="D649" s="2" t="n">
        <f aca="false">WEEKNUM(B649,2)</f>
        <v>14</v>
      </c>
      <c r="E649" s="5" t="s">
        <v>144</v>
      </c>
      <c r="F649" s="6" t="str">
        <f aca="false">INDEX(Parametros!$B$2:$B$9,MATCH($E649,Parametros!$A$2:$A$9,0))</f>
        <v>Salsas picantes</v>
      </c>
      <c r="G649" s="10" t="n">
        <v>106.7</v>
      </c>
      <c r="H649" s="10" t="n">
        <v>5.8</v>
      </c>
      <c r="I649" s="11" t="n">
        <f aca="false">SUMIFS(Eventos_Paro!$J$2:$J$2186,Eventos_Paro!$D$2:$D$2186,$E649,Eventos_Paro!$B$2:$B$2186,$B649)</f>
        <v>0</v>
      </c>
      <c r="J649" s="12" t="n">
        <f aca="false">G649-H649-I649</f>
        <v>100.9</v>
      </c>
      <c r="K649" s="13" t="n">
        <v>252421</v>
      </c>
      <c r="L649" s="13" t="n">
        <v>248026</v>
      </c>
      <c r="M649" s="13" t="n">
        <v>8166</v>
      </c>
      <c r="N649" s="14" t="n">
        <f aca="false">L649+M649</f>
        <v>256192</v>
      </c>
      <c r="O649" s="11" t="n">
        <f aca="false">INDEX(Parametros!$D$2:$D$9,MATCH($E649,Parametros!$A$2:$A$9,0))</f>
        <v>3100</v>
      </c>
      <c r="P649" s="15" t="n">
        <f aca="false">IF((G649-H649)&gt;0,J649/(G649-H649),0)</f>
        <v>1</v>
      </c>
      <c r="Q649" s="15" t="n">
        <f aca="false">IF(J649*O649&gt;0,N649/(O649*J649),0)</f>
        <v>0.819054317593273</v>
      </c>
      <c r="R649" s="15" t="n">
        <f aca="false">IF(N649&gt;0,L649/N649,0)</f>
        <v>0.968125468398701</v>
      </c>
      <c r="S649" s="15" t="n">
        <f aca="false">P649*Q649*R649</f>
        <v>0.792947344863966</v>
      </c>
      <c r="T649" s="15" t="n">
        <f aca="false">IF(K649&gt;0,L649/K649,0)</f>
        <v>0.98258861188253</v>
      </c>
      <c r="U649" s="10" t="n">
        <v>996</v>
      </c>
      <c r="V649" s="5" t="n">
        <v>9</v>
      </c>
      <c r="W649" s="10" t="n">
        <v>35.7</v>
      </c>
      <c r="X649" s="15" t="n">
        <f aca="false">IF(U649&gt;0,W649/U649,0)</f>
        <v>0.0358433734939759</v>
      </c>
      <c r="Y649" s="12" t="n">
        <f aca="false">IF(U649&gt;0,L649/U649,0)</f>
        <v>249.022088353414</v>
      </c>
      <c r="Z649" s="16" t="n">
        <f aca="false">L649*INDEX(Parametros!$E$2:$E$9,MATCH($E649,Parametros!$A$2:$A$9,0))</f>
        <v>163697.16</v>
      </c>
      <c r="AA649" s="16" t="n">
        <f aca="false">Z649*INDEX(Parametros!$F$2:$F$9,MATCH($E649,Parametros!$A$2:$A$9,0))</f>
        <v>4256.12616</v>
      </c>
      <c r="AB649" s="17" t="n">
        <f aca="false">Z649+AA649</f>
        <v>167953.28616</v>
      </c>
      <c r="AC649" s="18" t="n">
        <v>169203.38</v>
      </c>
      <c r="AD649" s="17" t="n">
        <f aca="false">AC649-AB649</f>
        <v>1250.09383999999</v>
      </c>
      <c r="AE649" s="17" t="n">
        <f aca="false">AA649+AD649</f>
        <v>5506.21999999999</v>
      </c>
      <c r="AF649" s="19" t="n">
        <f aca="false">IF(Z649&gt;0,AE649/Z649,0)</f>
        <v>0.0336366250947786</v>
      </c>
      <c r="AG649" s="16" t="n">
        <f aca="false">(U649-W649)*INDEX(Parametros!$H$2:$H$9,MATCH($E649,Parametros!$A$2:$A$9,0))+W649*INDEX(Parametros!$H$2:$H$9,MATCH($E649,Parametros!$A$2:$A$9,0))*Parametros!$N$3</f>
        <v>31936.275</v>
      </c>
      <c r="AH649" s="13" t="n">
        <v>12021</v>
      </c>
      <c r="AI649" s="16" t="n">
        <f aca="false">AH649*Parametros!$N$2</f>
        <v>1105.932</v>
      </c>
      <c r="AJ649" s="18" t="n">
        <v>7190</v>
      </c>
      <c r="AK649" s="18" t="n">
        <v>0</v>
      </c>
      <c r="AL649" s="17" t="n">
        <f aca="false">AG649+AI649+AJ649+AK649</f>
        <v>40232.207</v>
      </c>
      <c r="AM649" s="20" t="n">
        <f aca="false">IF(L649&gt;0,AL649/L649,0)</f>
        <v>0.162209635280172</v>
      </c>
      <c r="AN649" s="16" t="n">
        <f aca="false">L649*INDEX(Parametros!$G$2:$G$9,MATCH($E649,Parametros!$A$2:$A$9,0))</f>
        <v>310032.5</v>
      </c>
      <c r="AO649" s="17" t="n">
        <f aca="false">AN649-AC649-AL649</f>
        <v>100596.913</v>
      </c>
      <c r="AP649" s="15" t="n">
        <f aca="false">IF(AN649&gt;0,AO649/AN649,0)</f>
        <v>0.324472153725819</v>
      </c>
      <c r="AQ649" s="16" t="n">
        <f aca="false">INDEX(Parametros!$I$2:$I$9,MATCH($E649,Parametros!$A$2:$A$9,0))</f>
        <v>13300000</v>
      </c>
      <c r="AR649" s="19" t="n">
        <f aca="false">IF(AQ649&gt;0,AO649/AQ649,0)</f>
        <v>0.00756367766917293</v>
      </c>
    </row>
    <row r="650" customFormat="false" ht="15" hidden="false" customHeight="false" outlineLevel="0" collapsed="false">
      <c r="A650" s="5" t="s">
        <v>785</v>
      </c>
      <c r="B650" s="9" t="n">
        <v>46118</v>
      </c>
      <c r="C650" s="2" t="str">
        <f aca="false">TEXT(B650,"yyyy")</f>
        <v>2026</v>
      </c>
      <c r="D650" s="2" t="n">
        <f aca="false">WEEKNUM(B650,2)</f>
        <v>15</v>
      </c>
      <c r="E650" s="5" t="s">
        <v>130</v>
      </c>
      <c r="F650" s="6" t="str">
        <f aca="false">INDEX(Parametros!$B$2:$B$9,MATCH($E650,Parametros!$A$2:$A$9,0))</f>
        <v>Ketchup botella</v>
      </c>
      <c r="G650" s="10" t="n">
        <v>130</v>
      </c>
      <c r="H650" s="10" t="n">
        <v>8.5</v>
      </c>
      <c r="I650" s="11" t="n">
        <f aca="false">SUMIFS(Eventos_Paro!$J$2:$J$2186,Eventos_Paro!$D$2:$D$2186,$E650,Eventos_Paro!$B$2:$B$2186,$B650)</f>
        <v>1.98333333333333</v>
      </c>
      <c r="J650" s="12" t="n">
        <f aca="false">G650-H650-I650</f>
        <v>119.516666666667</v>
      </c>
      <c r="K650" s="13" t="n">
        <v>872392</v>
      </c>
      <c r="L650" s="13" t="n">
        <v>902195</v>
      </c>
      <c r="M650" s="13" t="n">
        <v>14593</v>
      </c>
      <c r="N650" s="14" t="n">
        <f aca="false">L650+M650</f>
        <v>916788</v>
      </c>
      <c r="O650" s="11" t="n">
        <f aca="false">INDEX(Parametros!$D$2:$D$9,MATCH($E650,Parametros!$A$2:$A$9,0))</f>
        <v>9000</v>
      </c>
      <c r="P650" s="15" t="n">
        <f aca="false">IF((G650-H650)&gt;0,J650/(G650-H650),0)</f>
        <v>0.983676268861454</v>
      </c>
      <c r="Q650" s="15" t="n">
        <f aca="false">IF(J650*O650&gt;0,N650/(O650*J650),0)</f>
        <v>0.852310695858318</v>
      </c>
      <c r="R650" s="15" t="n">
        <f aca="false">IF(N650&gt;0,L650/N650,0)</f>
        <v>0.984082470538445</v>
      </c>
      <c r="S650" s="15" t="n">
        <f aca="false">P650*Q650*R650</f>
        <v>0.825052583447645</v>
      </c>
      <c r="T650" s="15" t="n">
        <f aca="false">IF(K650&gt;0,L650/K650,0)</f>
        <v>1.0341623948867</v>
      </c>
      <c r="U650" s="10" t="n">
        <v>1878.2</v>
      </c>
      <c r="V650" s="5" t="n">
        <v>13</v>
      </c>
      <c r="W650" s="10" t="n">
        <v>188.2</v>
      </c>
      <c r="X650" s="15" t="n">
        <f aca="false">IF(U650&gt;0,W650/U650,0)</f>
        <v>0.100202321371526</v>
      </c>
      <c r="Y650" s="12" t="n">
        <f aca="false">IF(U650&gt;0,L650/U650,0)</f>
        <v>480.350867852199</v>
      </c>
      <c r="Z650" s="16" t="n">
        <f aca="false">L650*INDEX(Parametros!$E$2:$E$9,MATCH($E650,Parametros!$A$2:$A$9,0))</f>
        <v>378921.9</v>
      </c>
      <c r="AA650" s="16" t="n">
        <f aca="false">Z650*INDEX(Parametros!$F$2:$F$9,MATCH($E650,Parametros!$A$2:$A$9,0))</f>
        <v>7578.438</v>
      </c>
      <c r="AB650" s="17" t="n">
        <f aca="false">Z650+AA650</f>
        <v>386500.338</v>
      </c>
      <c r="AC650" s="18" t="n">
        <v>388657.59</v>
      </c>
      <c r="AD650" s="17" t="n">
        <f aca="false">AC650-AB650</f>
        <v>2157.25200000004</v>
      </c>
      <c r="AE650" s="17" t="n">
        <f aca="false">AA650+AD650</f>
        <v>9735.69000000004</v>
      </c>
      <c r="AF650" s="19" t="n">
        <f aca="false">IF(Z650&gt;0,AE650/Z650,0)</f>
        <v>0.0256931309591766</v>
      </c>
      <c r="AG650" s="16" t="n">
        <f aca="false">(U650-W650)*INDEX(Parametros!$H$2:$H$9,MATCH($E650,Parametros!$A$2:$A$9,0))+W650*INDEX(Parametros!$H$2:$H$9,MATCH($E650,Parametros!$A$2:$A$9,0))*Parametros!$N$3</f>
        <v>62127.45</v>
      </c>
      <c r="AH650" s="13" t="n">
        <v>44775</v>
      </c>
      <c r="AI650" s="16" t="n">
        <f aca="false">AH650*Parametros!$N$2</f>
        <v>4119.3</v>
      </c>
      <c r="AJ650" s="18" t="n">
        <v>16098</v>
      </c>
      <c r="AK650" s="18" t="n">
        <v>1812</v>
      </c>
      <c r="AL650" s="17" t="n">
        <f aca="false">AG650+AI650+AJ650+AK650</f>
        <v>84156.75</v>
      </c>
      <c r="AM650" s="20" t="n">
        <f aca="false">IF(L650&gt;0,AL650/L650,0)</f>
        <v>0.0932800004433631</v>
      </c>
      <c r="AN650" s="16" t="n">
        <f aca="false">L650*INDEX(Parametros!$G$2:$G$9,MATCH($E650,Parametros!$A$2:$A$9,0))</f>
        <v>640558.45</v>
      </c>
      <c r="AO650" s="17" t="n">
        <f aca="false">AN650-AC650-AL650</f>
        <v>167744.11</v>
      </c>
      <c r="AP650" s="15" t="n">
        <f aca="false">IF(AN650&gt;0,AO650/AN650,0)</f>
        <v>0.261871668385609</v>
      </c>
      <c r="AQ650" s="16" t="n">
        <f aca="false">INDEX(Parametros!$I$2:$I$9,MATCH($E650,Parametros!$A$2:$A$9,0))</f>
        <v>29300000</v>
      </c>
      <c r="AR650" s="19" t="n">
        <f aca="false">IF(AQ650&gt;0,AO650/AQ650,0)</f>
        <v>0.00572505494880546</v>
      </c>
    </row>
    <row r="651" customFormat="false" ht="15" hidden="false" customHeight="false" outlineLevel="0" collapsed="false">
      <c r="A651" s="5" t="s">
        <v>786</v>
      </c>
      <c r="B651" s="9" t="n">
        <v>46118</v>
      </c>
      <c r="C651" s="2" t="str">
        <f aca="false">TEXT(B651,"yyyy")</f>
        <v>2026</v>
      </c>
      <c r="D651" s="2" t="n">
        <f aca="false">WEEKNUM(B651,2)</f>
        <v>15</v>
      </c>
      <c r="E651" s="5" t="s">
        <v>132</v>
      </c>
      <c r="F651" s="6" t="str">
        <f aca="false">INDEX(Parametros!$B$2:$B$9,MATCH($E651,Parametros!$A$2:$A$9,0))</f>
        <v>Mayonesa frasco</v>
      </c>
      <c r="G651" s="10" t="n">
        <v>111.5</v>
      </c>
      <c r="H651" s="10" t="n">
        <v>7.7</v>
      </c>
      <c r="I651" s="11" t="n">
        <f aca="false">SUMIFS(Eventos_Paro!$J$2:$J$2186,Eventos_Paro!$D$2:$D$2186,$E651,Eventos_Paro!$B$2:$B$2186,$B651)</f>
        <v>4.91666666666667</v>
      </c>
      <c r="J651" s="12" t="n">
        <f aca="false">G651-H651-I651</f>
        <v>98.8833333333333</v>
      </c>
      <c r="K651" s="13" t="n">
        <v>538275</v>
      </c>
      <c r="L651" s="13" t="n">
        <v>533596</v>
      </c>
      <c r="M651" s="13" t="n">
        <v>17111</v>
      </c>
      <c r="N651" s="14" t="n">
        <f aca="false">L651+M651</f>
        <v>550707</v>
      </c>
      <c r="O651" s="11" t="n">
        <f aca="false">INDEX(Parametros!$D$2:$D$9,MATCH($E651,Parametros!$A$2:$A$9,0))</f>
        <v>6500</v>
      </c>
      <c r="P651" s="15" t="n">
        <f aca="false">IF((G651-H651)&gt;0,J651/(G651-H651),0)</f>
        <v>0.952633269107258</v>
      </c>
      <c r="Q651" s="15" t="n">
        <f aca="false">IF(J651*O651&gt;0,N651/(O651*J651),0)</f>
        <v>0.856809241660076</v>
      </c>
      <c r="R651" s="15" t="n">
        <f aca="false">IF(N651&gt;0,L651/N651,0)</f>
        <v>0.968929031227132</v>
      </c>
      <c r="S651" s="15" t="n">
        <f aca="false">P651*Q651*R651</f>
        <v>0.790864087742701</v>
      </c>
      <c r="T651" s="15" t="n">
        <f aca="false">IF(K651&gt;0,L651/K651,0)</f>
        <v>0.991307417212392</v>
      </c>
      <c r="U651" s="10" t="n">
        <v>1513.9</v>
      </c>
      <c r="V651" s="5" t="n">
        <v>13</v>
      </c>
      <c r="W651" s="10" t="n">
        <v>64.4</v>
      </c>
      <c r="X651" s="15" t="n">
        <f aca="false">IF(U651&gt;0,W651/U651,0)</f>
        <v>0.0425391373274325</v>
      </c>
      <c r="Y651" s="12" t="n">
        <f aca="false">IF(U651&gt;0,L651/U651,0)</f>
        <v>352.464495673426</v>
      </c>
      <c r="Z651" s="16" t="n">
        <f aca="false">L651*INDEX(Parametros!$E$2:$E$9,MATCH($E651,Parametros!$A$2:$A$9,0))</f>
        <v>325493.56</v>
      </c>
      <c r="AA651" s="16" t="n">
        <f aca="false">Z651*INDEX(Parametros!$F$2:$F$9,MATCH($E651,Parametros!$A$2:$A$9,0))</f>
        <v>8137.339</v>
      </c>
      <c r="AB651" s="17" t="n">
        <f aca="false">Z651+AA651</f>
        <v>333630.899</v>
      </c>
      <c r="AC651" s="18" t="n">
        <v>326478.95</v>
      </c>
      <c r="AD651" s="17" t="n">
        <f aca="false">AC651-AB651</f>
        <v>-7151.94899999996</v>
      </c>
      <c r="AE651" s="17" t="n">
        <f aca="false">AA651+AD651</f>
        <v>985.390000000036</v>
      </c>
      <c r="AF651" s="19" t="n">
        <f aca="false">IF(Z651&gt;0,AE651/Z651,0)</f>
        <v>0.0030273717243439</v>
      </c>
      <c r="AG651" s="16" t="n">
        <f aca="false">(U651-W651)*INDEX(Parametros!$H$2:$H$9,MATCH($E651,Parametros!$A$2:$A$9,0))+W651*INDEX(Parametros!$H$2:$H$9,MATCH($E651,Parametros!$A$2:$A$9,0))*Parametros!$N$3</f>
        <v>48702.15</v>
      </c>
      <c r="AH651" s="13" t="n">
        <v>26923</v>
      </c>
      <c r="AI651" s="16" t="n">
        <f aca="false">AH651*Parametros!$N$2</f>
        <v>2476.916</v>
      </c>
      <c r="AJ651" s="18" t="n">
        <v>15564</v>
      </c>
      <c r="AK651" s="18" t="n">
        <v>4135</v>
      </c>
      <c r="AL651" s="17" t="n">
        <f aca="false">AG651+AI651+AJ651+AK651</f>
        <v>70878.066</v>
      </c>
      <c r="AM651" s="20" t="n">
        <f aca="false">IF(L651&gt;0,AL651/L651,0)</f>
        <v>0.132830954504906</v>
      </c>
      <c r="AN651" s="16" t="n">
        <f aca="false">L651*INDEX(Parametros!$G$2:$G$9,MATCH($E651,Parametros!$A$2:$A$9,0))</f>
        <v>512252.16</v>
      </c>
      <c r="AO651" s="17" t="n">
        <f aca="false">AN651-AC651-AL651</f>
        <v>114895.144</v>
      </c>
      <c r="AP651" s="15" t="n">
        <f aca="false">IF(AN651&gt;0,AO651/AN651,0)</f>
        <v>0.224294113274212</v>
      </c>
      <c r="AQ651" s="16" t="n">
        <f aca="false">INDEX(Parametros!$I$2:$I$9,MATCH($E651,Parametros!$A$2:$A$9,0))</f>
        <v>29700000</v>
      </c>
      <c r="AR651" s="19" t="n">
        <f aca="false">IF(AQ651&gt;0,AO651/AQ651,0)</f>
        <v>0.00386852336700337</v>
      </c>
    </row>
    <row r="652" customFormat="false" ht="15" hidden="false" customHeight="false" outlineLevel="0" collapsed="false">
      <c r="A652" s="5" t="s">
        <v>787</v>
      </c>
      <c r="B652" s="9" t="n">
        <v>46118</v>
      </c>
      <c r="C652" s="2" t="str">
        <f aca="false">TEXT(B652,"yyyy")</f>
        <v>2026</v>
      </c>
      <c r="D652" s="2" t="n">
        <f aca="false">WEEKNUM(B652,2)</f>
        <v>15</v>
      </c>
      <c r="E652" s="5" t="s">
        <v>134</v>
      </c>
      <c r="F652" s="6" t="str">
        <f aca="false">INDEX(Parametros!$B$2:$B$9,MATCH($E652,Parametros!$A$2:$A$9,0))</f>
        <v>Aderezos vertibles</v>
      </c>
      <c r="G652" s="10" t="n">
        <v>126.4</v>
      </c>
      <c r="H652" s="10" t="n">
        <v>8.2</v>
      </c>
      <c r="I652" s="11" t="n">
        <f aca="false">SUMIFS(Eventos_Paro!$J$2:$J$2186,Eventos_Paro!$D$2:$D$2186,$E652,Eventos_Paro!$B$2:$B$2186,$B652)</f>
        <v>2.6</v>
      </c>
      <c r="J652" s="12" t="n">
        <f aca="false">G652-H652-I652</f>
        <v>115.6</v>
      </c>
      <c r="K652" s="13" t="n">
        <v>490359</v>
      </c>
      <c r="L652" s="13" t="n">
        <v>526037</v>
      </c>
      <c r="M652" s="13" t="n">
        <v>19185</v>
      </c>
      <c r="N652" s="14" t="n">
        <f aca="false">L652+M652</f>
        <v>545222</v>
      </c>
      <c r="O652" s="11" t="n">
        <f aca="false">INDEX(Parametros!$D$2:$D$9,MATCH($E652,Parametros!$A$2:$A$9,0))</f>
        <v>5200</v>
      </c>
      <c r="P652" s="15" t="n">
        <f aca="false">IF((G652-H652)&gt;0,J652/(G652-H652),0)</f>
        <v>0.978003384094755</v>
      </c>
      <c r="Q652" s="15" t="n">
        <f aca="false">IF(J652*O652&gt;0,N652/(O652*J652),0)</f>
        <v>0.907010247537929</v>
      </c>
      <c r="R652" s="15" t="n">
        <f aca="false">IF(N652&gt;0,L652/N652,0)</f>
        <v>0.964812498395149</v>
      </c>
      <c r="S652" s="15" t="n">
        <f aca="false">P652*Q652*R652</f>
        <v>0.855845698294937</v>
      </c>
      <c r="T652" s="15" t="n">
        <f aca="false">IF(K652&gt;0,L652/K652,0)</f>
        <v>1.07275893783942</v>
      </c>
      <c r="U652" s="10" t="n">
        <v>1874.5</v>
      </c>
      <c r="V652" s="5" t="n">
        <v>13</v>
      </c>
      <c r="W652" s="10" t="n">
        <v>231.3</v>
      </c>
      <c r="X652" s="15" t="n">
        <f aca="false">IF(U652&gt;0,W652/U652,0)</f>
        <v>0.123392904774607</v>
      </c>
      <c r="Y652" s="12" t="n">
        <f aca="false">IF(U652&gt;0,L652/U652,0)</f>
        <v>280.62790077354</v>
      </c>
      <c r="Z652" s="16" t="n">
        <f aca="false">L652*INDEX(Parametros!$E$2:$E$9,MATCH($E652,Parametros!$A$2:$A$9,0))</f>
        <v>289320.35</v>
      </c>
      <c r="AA652" s="16" t="n">
        <f aca="false">Z652*INDEX(Parametros!$F$2:$F$9,MATCH($E652,Parametros!$A$2:$A$9,0))</f>
        <v>8679.6105</v>
      </c>
      <c r="AB652" s="17" t="n">
        <f aca="false">Z652+AA652</f>
        <v>297999.9605</v>
      </c>
      <c r="AC652" s="18" t="n">
        <v>300025.97</v>
      </c>
      <c r="AD652" s="17" t="n">
        <f aca="false">AC652-AB652</f>
        <v>2026.00949999993</v>
      </c>
      <c r="AE652" s="17" t="n">
        <f aca="false">AA652+AD652</f>
        <v>10705.6199999999</v>
      </c>
      <c r="AF652" s="19" t="n">
        <f aca="false">IF(Z652&gt;0,AE652/Z652,0)</f>
        <v>0.0370026512134384</v>
      </c>
      <c r="AG652" s="16" t="n">
        <f aca="false">(U652-W652)*INDEX(Parametros!$H$2:$H$9,MATCH($E652,Parametros!$A$2:$A$9,0))+W652*INDEX(Parametros!$H$2:$H$9,MATCH($E652,Parametros!$A$2:$A$9,0))*Parametros!$N$3</f>
        <v>62689.725</v>
      </c>
      <c r="AH652" s="13" t="n">
        <v>28073</v>
      </c>
      <c r="AI652" s="16" t="n">
        <f aca="false">AH652*Parametros!$N$2</f>
        <v>2582.716</v>
      </c>
      <c r="AJ652" s="18" t="n">
        <v>10447</v>
      </c>
      <c r="AK652" s="18" t="n">
        <v>2711</v>
      </c>
      <c r="AL652" s="17" t="n">
        <f aca="false">AG652+AI652+AJ652+AK652</f>
        <v>78430.441</v>
      </c>
      <c r="AM652" s="20" t="n">
        <f aca="false">IF(L652&gt;0,AL652/L652,0)</f>
        <v>0.149096814482631</v>
      </c>
      <c r="AN652" s="16" t="n">
        <f aca="false">L652*INDEX(Parametros!$G$2:$G$9,MATCH($E652,Parametros!$A$2:$A$9,0))</f>
        <v>536557.74</v>
      </c>
      <c r="AO652" s="17" t="n">
        <f aca="false">AN652-AC652-AL652</f>
        <v>158101.329</v>
      </c>
      <c r="AP652" s="15" t="n">
        <f aca="false">IF(AN652&gt;0,AO652/AN652,0)</f>
        <v>0.294658556225468</v>
      </c>
      <c r="AQ652" s="16" t="n">
        <f aca="false">INDEX(Parametros!$I$2:$I$9,MATCH($E652,Parametros!$A$2:$A$9,0))</f>
        <v>19300000</v>
      </c>
      <c r="AR652" s="19" t="n">
        <f aca="false">IF(AQ652&gt;0,AO652/AQ652,0)</f>
        <v>0.00819177870466321</v>
      </c>
    </row>
    <row r="653" customFormat="false" ht="15" hidden="false" customHeight="false" outlineLevel="0" collapsed="false">
      <c r="A653" s="5" t="s">
        <v>788</v>
      </c>
      <c r="B653" s="9" t="n">
        <v>46118</v>
      </c>
      <c r="C653" s="2" t="str">
        <f aca="false">TEXT(B653,"yyyy")</f>
        <v>2026</v>
      </c>
      <c r="D653" s="2" t="n">
        <f aca="false">WEEKNUM(B653,2)</f>
        <v>15</v>
      </c>
      <c r="E653" s="5" t="s">
        <v>136</v>
      </c>
      <c r="F653" s="6" t="str">
        <f aca="false">INDEX(Parametros!$B$2:$B$9,MATCH($E653,Parametros!$A$2:$A$9,0))</f>
        <v>Salsa BBQ</v>
      </c>
      <c r="G653" s="10" t="n">
        <v>114</v>
      </c>
      <c r="H653" s="10" t="n">
        <v>7.5</v>
      </c>
      <c r="I653" s="11" t="n">
        <f aca="false">SUMIFS(Eventos_Paro!$J$2:$J$2186,Eventos_Paro!$D$2:$D$2186,$E653,Eventos_Paro!$B$2:$B$2186,$B653)</f>
        <v>3.23333333333333</v>
      </c>
      <c r="J653" s="12" t="n">
        <f aca="false">G653-H653-I653</f>
        <v>103.266666666667</v>
      </c>
      <c r="K653" s="13" t="n">
        <v>403895</v>
      </c>
      <c r="L653" s="13" t="n">
        <v>408843</v>
      </c>
      <c r="M653" s="13" t="n">
        <v>13035</v>
      </c>
      <c r="N653" s="14" t="n">
        <f aca="false">L653+M653</f>
        <v>421878</v>
      </c>
      <c r="O653" s="11" t="n">
        <f aca="false">INDEX(Parametros!$D$2:$D$9,MATCH($E653,Parametros!$A$2:$A$9,0))</f>
        <v>4800</v>
      </c>
      <c r="P653" s="15" t="n">
        <f aca="false">IF((G653-H653)&gt;0,J653/(G653-H653),0)</f>
        <v>0.969640062597809</v>
      </c>
      <c r="Q653" s="15" t="n">
        <f aca="false">IF(J653*O653&gt;0,N653/(O653*J653),0)</f>
        <v>0.851109586830213</v>
      </c>
      <c r="R653" s="15" t="n">
        <f aca="false">IF(N653&gt;0,L653/N653,0)</f>
        <v>0.969102441938191</v>
      </c>
      <c r="S653" s="15" t="n">
        <f aca="false">P653*Q653*R653</f>
        <v>0.799771126760564</v>
      </c>
      <c r="T653" s="15" t="n">
        <f aca="false">IF(K653&gt;0,L653/K653,0)</f>
        <v>1.0122507087238</v>
      </c>
      <c r="U653" s="10" t="n">
        <v>1479.2</v>
      </c>
      <c r="V653" s="5" t="n">
        <v>12</v>
      </c>
      <c r="W653" s="10" t="n">
        <v>111.2</v>
      </c>
      <c r="X653" s="15" t="n">
        <f aca="false">IF(U653&gt;0,W653/U653,0)</f>
        <v>0.0751757706868578</v>
      </c>
      <c r="Y653" s="12" t="n">
        <f aca="false">IF(U653&gt;0,L653/U653,0)</f>
        <v>276.394672796106</v>
      </c>
      <c r="Z653" s="16" t="n">
        <f aca="false">L653*INDEX(Parametros!$E$2:$E$9,MATCH($E653,Parametros!$A$2:$A$9,0))</f>
        <v>237128.94</v>
      </c>
      <c r="AA653" s="16" t="n">
        <f aca="false">Z653*INDEX(Parametros!$F$2:$F$9,MATCH($E653,Parametros!$A$2:$A$9,0))</f>
        <v>6639.61032</v>
      </c>
      <c r="AB653" s="17" t="n">
        <f aca="false">Z653+AA653</f>
        <v>243768.55032</v>
      </c>
      <c r="AC653" s="18" t="n">
        <v>245666.98</v>
      </c>
      <c r="AD653" s="17" t="n">
        <f aca="false">AC653-AB653</f>
        <v>1898.42968000003</v>
      </c>
      <c r="AE653" s="17" t="n">
        <f aca="false">AA653+AD653</f>
        <v>8538.04000000003</v>
      </c>
      <c r="AF653" s="19" t="n">
        <f aca="false">IF(Z653&gt;0,AE653/Z653,0)</f>
        <v>0.0360058962014507</v>
      </c>
      <c r="AG653" s="16" t="n">
        <f aca="false">(U653-W653)*INDEX(Parametros!$H$2:$H$9,MATCH($E653,Parametros!$A$2:$A$9,0))+W653*INDEX(Parametros!$H$2:$H$9,MATCH($E653,Parametros!$A$2:$A$9,0))*Parametros!$N$3</f>
        <v>48346.2</v>
      </c>
      <c r="AH653" s="13" t="n">
        <v>20955</v>
      </c>
      <c r="AI653" s="16" t="n">
        <f aca="false">AH653*Parametros!$N$2</f>
        <v>1927.86</v>
      </c>
      <c r="AJ653" s="18" t="n">
        <v>10231</v>
      </c>
      <c r="AK653" s="18" t="n">
        <v>3235</v>
      </c>
      <c r="AL653" s="17" t="n">
        <f aca="false">AG653+AI653+AJ653+AK653</f>
        <v>63740.06</v>
      </c>
      <c r="AM653" s="20" t="n">
        <f aca="false">IF(L653&gt;0,AL653/L653,0)</f>
        <v>0.155903513084485</v>
      </c>
      <c r="AN653" s="16" t="n">
        <f aca="false">L653*INDEX(Parametros!$G$2:$G$9,MATCH($E653,Parametros!$A$2:$A$9,0))</f>
        <v>400666.14</v>
      </c>
      <c r="AO653" s="17" t="n">
        <f aca="false">AN653-AC653-AL653</f>
        <v>91259.1</v>
      </c>
      <c r="AP653" s="15" t="n">
        <f aca="false">IF(AN653&gt;0,AO653/AN653,0)</f>
        <v>0.227768435835382</v>
      </c>
      <c r="AQ653" s="16" t="n">
        <f aca="false">INDEX(Parametros!$I$2:$I$9,MATCH($E653,Parametros!$A$2:$A$9,0))</f>
        <v>17000000</v>
      </c>
      <c r="AR653" s="19" t="n">
        <f aca="false">IF(AQ653&gt;0,AO653/AQ653,0)</f>
        <v>0.00536818235294118</v>
      </c>
    </row>
    <row r="654" customFormat="false" ht="15" hidden="false" customHeight="false" outlineLevel="0" collapsed="false">
      <c r="A654" s="5" t="s">
        <v>789</v>
      </c>
      <c r="B654" s="9" t="n">
        <v>46118</v>
      </c>
      <c r="C654" s="2" t="str">
        <f aca="false">TEXT(B654,"yyyy")</f>
        <v>2026</v>
      </c>
      <c r="D654" s="2" t="n">
        <f aca="false">WEEKNUM(B654,2)</f>
        <v>15</v>
      </c>
      <c r="E654" s="5" t="s">
        <v>138</v>
      </c>
      <c r="F654" s="6" t="str">
        <f aca="false">INDEX(Parametros!$B$2:$B$9,MATCH($E654,Parametros!$A$2:$A$9,0))</f>
        <v>Queso crema</v>
      </c>
      <c r="G654" s="10" t="n">
        <v>108</v>
      </c>
      <c r="H654" s="10" t="n">
        <v>6</v>
      </c>
      <c r="I654" s="11" t="n">
        <f aca="false">SUMIFS(Eventos_Paro!$J$2:$J$2186,Eventos_Paro!$D$2:$D$2186,$E654,Eventos_Paro!$B$2:$B$2186,$B654)</f>
        <v>2.73333333333333</v>
      </c>
      <c r="J654" s="12" t="n">
        <f aca="false">G654-H654-I654</f>
        <v>99.2666666666667</v>
      </c>
      <c r="K654" s="13" t="n">
        <v>309227</v>
      </c>
      <c r="L654" s="13" t="n">
        <v>275421</v>
      </c>
      <c r="M654" s="13" t="n">
        <v>12844</v>
      </c>
      <c r="N654" s="14" t="n">
        <f aca="false">L654+M654</f>
        <v>288265</v>
      </c>
      <c r="O654" s="11" t="n">
        <f aca="false">INDEX(Parametros!$D$2:$D$9,MATCH($E654,Parametros!$A$2:$A$9,0))</f>
        <v>3800</v>
      </c>
      <c r="P654" s="15" t="n">
        <f aca="false">IF((G654-H654)&gt;0,J654/(G654-H654),0)</f>
        <v>0.973202614379085</v>
      </c>
      <c r="Q654" s="15" t="n">
        <f aca="false">IF(J654*O654&gt;0,N654/(O654*J654),0)</f>
        <v>0.764196210809091</v>
      </c>
      <c r="R654" s="15" t="n">
        <f aca="false">IF(N654&gt;0,L654/N654,0)</f>
        <v>0.955443775692505</v>
      </c>
      <c r="S654" s="15" t="n">
        <f aca="false">P654*Q654*R654</f>
        <v>0.710580495356037</v>
      </c>
      <c r="T654" s="15" t="n">
        <f aca="false">IF(K654&gt;0,L654/K654,0)</f>
        <v>0.890675781868983</v>
      </c>
      <c r="U654" s="10" t="n">
        <v>1655.2</v>
      </c>
      <c r="V654" s="5" t="n">
        <v>15</v>
      </c>
      <c r="W654" s="10" t="n">
        <v>35.2</v>
      </c>
      <c r="X654" s="15" t="n">
        <f aca="false">IF(U654&gt;0,W654/U654,0)</f>
        <v>0.0212663122281295</v>
      </c>
      <c r="Y654" s="12" t="n">
        <f aca="false">IF(U654&gt;0,L654/U654,0)</f>
        <v>166.397414209763</v>
      </c>
      <c r="Z654" s="16" t="n">
        <f aca="false">L654*INDEX(Parametros!$E$2:$E$9,MATCH($E654,Parametros!$A$2:$A$9,0))</f>
        <v>308471.52</v>
      </c>
      <c r="AA654" s="16" t="n">
        <f aca="false">Z654*INDEX(Parametros!$F$2:$F$9,MATCH($E654,Parametros!$A$2:$A$9,0))</f>
        <v>10796.5032</v>
      </c>
      <c r="AB654" s="17" t="n">
        <f aca="false">Z654+AA654</f>
        <v>319268.0232</v>
      </c>
      <c r="AC654" s="18" t="n">
        <v>313217.65</v>
      </c>
      <c r="AD654" s="17" t="n">
        <f aca="false">AC654-AB654</f>
        <v>-6050.37319999997</v>
      </c>
      <c r="AE654" s="17" t="n">
        <f aca="false">AA654+AD654</f>
        <v>4746.13000000003</v>
      </c>
      <c r="AF654" s="19" t="n">
        <f aca="false">IF(Z654&gt;0,AE654/Z654,0)</f>
        <v>0.0153859584832986</v>
      </c>
      <c r="AG654" s="16" t="n">
        <f aca="false">(U654-W654)*INDEX(Parametros!$H$2:$H$9,MATCH($E654,Parametros!$A$2:$A$9,0))+W654*INDEX(Parametros!$H$2:$H$9,MATCH($E654,Parametros!$A$2:$A$9,0))*Parametros!$N$3</f>
        <v>55202.4</v>
      </c>
      <c r="AH654" s="13" t="n">
        <v>15289</v>
      </c>
      <c r="AI654" s="16" t="n">
        <f aca="false">AH654*Parametros!$N$2</f>
        <v>1406.588</v>
      </c>
      <c r="AJ654" s="18" t="n">
        <v>19464</v>
      </c>
      <c r="AK654" s="18" t="n">
        <v>2368</v>
      </c>
      <c r="AL654" s="17" t="n">
        <f aca="false">AG654+AI654+AJ654+AK654</f>
        <v>78440.988</v>
      </c>
      <c r="AM654" s="20" t="n">
        <f aca="false">IF(L654&gt;0,AL654/L654,0)</f>
        <v>0.284803947411417</v>
      </c>
      <c r="AN654" s="16" t="n">
        <f aca="false">L654*INDEX(Parametros!$G$2:$G$9,MATCH($E654,Parametros!$A$2:$A$9,0))</f>
        <v>493003.59</v>
      </c>
      <c r="AO654" s="17" t="n">
        <f aca="false">AN654-AC654-AL654</f>
        <v>101344.952</v>
      </c>
      <c r="AP654" s="15" t="n">
        <f aca="false">IF(AN654&gt;0,AO654/AN654,0)</f>
        <v>0.205566357032005</v>
      </c>
      <c r="AQ654" s="16" t="n">
        <f aca="false">INDEX(Parametros!$I$2:$I$9,MATCH($E654,Parametros!$A$2:$A$9,0))</f>
        <v>33200000</v>
      </c>
      <c r="AR654" s="19" t="n">
        <f aca="false">IF(AQ654&gt;0,AO654/AQ654,0)</f>
        <v>0.00305255879518072</v>
      </c>
    </row>
    <row r="655" customFormat="false" ht="15" hidden="false" customHeight="false" outlineLevel="0" collapsed="false">
      <c r="A655" s="5" t="s">
        <v>790</v>
      </c>
      <c r="B655" s="9" t="n">
        <v>46118</v>
      </c>
      <c r="C655" s="2" t="str">
        <f aca="false">TEXT(B655,"yyyy")</f>
        <v>2026</v>
      </c>
      <c r="D655" s="2" t="n">
        <f aca="false">WEEKNUM(B655,2)</f>
        <v>15</v>
      </c>
      <c r="E655" s="5" t="s">
        <v>140</v>
      </c>
      <c r="F655" s="6" t="str">
        <f aca="false">INDEX(Parametros!$B$2:$B$9,MATCH($E655,Parametros!$A$2:$A$9,0))</f>
        <v>Crema de cacahuate</v>
      </c>
      <c r="G655" s="10" t="n">
        <v>111.9</v>
      </c>
      <c r="H655" s="10" t="n">
        <v>5.7</v>
      </c>
      <c r="I655" s="11" t="n">
        <f aca="false">SUMIFS(Eventos_Paro!$J$2:$J$2186,Eventos_Paro!$D$2:$D$2186,$E655,Eventos_Paro!$B$2:$B$2186,$B655)</f>
        <v>1.41666666666667</v>
      </c>
      <c r="J655" s="12" t="n">
        <f aca="false">G655-H655-I655</f>
        <v>104.783333333333</v>
      </c>
      <c r="K655" s="13" t="n">
        <v>355850</v>
      </c>
      <c r="L655" s="13" t="n">
        <v>387008</v>
      </c>
      <c r="M655" s="13" t="n">
        <v>10942</v>
      </c>
      <c r="N655" s="14" t="n">
        <f aca="false">L655+M655</f>
        <v>397950</v>
      </c>
      <c r="O655" s="11" t="n">
        <f aca="false">INDEX(Parametros!$D$2:$D$9,MATCH($E655,Parametros!$A$2:$A$9,0))</f>
        <v>4200</v>
      </c>
      <c r="P655" s="15" t="n">
        <f aca="false">IF((G655-H655)&gt;0,J655/(G655-H655),0)</f>
        <v>0.986660389202762</v>
      </c>
      <c r="Q655" s="15" t="n">
        <f aca="false">IF(J655*O655&gt;0,N655/(O655*J655),0)</f>
        <v>0.904246858597105</v>
      </c>
      <c r="R655" s="15" t="n">
        <f aca="false">IF(N655&gt;0,L655/N655,0)</f>
        <v>0.972504083427566</v>
      </c>
      <c r="S655" s="15" t="n">
        <f aca="false">P655*Q655*R655</f>
        <v>0.867653125280244</v>
      </c>
      <c r="T655" s="15" t="n">
        <f aca="false">IF(K655&gt;0,L655/K655,0)</f>
        <v>1.08755936490094</v>
      </c>
      <c r="U655" s="10" t="n">
        <v>1465.2</v>
      </c>
      <c r="V655" s="5" t="n">
        <v>12</v>
      </c>
      <c r="W655" s="10" t="n">
        <v>122.4</v>
      </c>
      <c r="X655" s="15" t="n">
        <f aca="false">IF(U655&gt;0,W655/U655,0)</f>
        <v>0.0835380835380835</v>
      </c>
      <c r="Y655" s="12" t="n">
        <f aca="false">IF(U655&gt;0,L655/U655,0)</f>
        <v>264.133224133224</v>
      </c>
      <c r="Z655" s="16" t="n">
        <f aca="false">L655*INDEX(Parametros!$E$2:$E$9,MATCH($E655,Parametros!$A$2:$A$9,0))</f>
        <v>375397.76</v>
      </c>
      <c r="AA655" s="16" t="n">
        <f aca="false">Z655*INDEX(Parametros!$F$2:$F$9,MATCH($E655,Parametros!$A$2:$A$9,0))</f>
        <v>8258.75072</v>
      </c>
      <c r="AB655" s="17" t="n">
        <f aca="false">Z655+AA655</f>
        <v>383656.51072</v>
      </c>
      <c r="AC655" s="18" t="n">
        <v>390878.09</v>
      </c>
      <c r="AD655" s="17" t="n">
        <f aca="false">AC655-AB655</f>
        <v>7221.57928000001</v>
      </c>
      <c r="AE655" s="17" t="n">
        <f aca="false">AA655+AD655</f>
        <v>15480.33</v>
      </c>
      <c r="AF655" s="19" t="n">
        <f aca="false">IF(Z655&gt;0,AE655/Z655,0)</f>
        <v>0.0412371400404734</v>
      </c>
      <c r="AG655" s="16" t="n">
        <f aca="false">(U655-W655)*INDEX(Parametros!$H$2:$H$9,MATCH($E655,Parametros!$A$2:$A$9,0))+W655*INDEX(Parametros!$H$2:$H$9,MATCH($E655,Parametros!$A$2:$A$9,0))*Parametros!$N$3</f>
        <v>48081.6</v>
      </c>
      <c r="AH655" s="13" t="n">
        <v>19627</v>
      </c>
      <c r="AI655" s="16" t="n">
        <f aca="false">AH655*Parametros!$N$2</f>
        <v>1805.684</v>
      </c>
      <c r="AJ655" s="18" t="n">
        <v>12830</v>
      </c>
      <c r="AK655" s="18" t="n">
        <v>1331</v>
      </c>
      <c r="AL655" s="17" t="n">
        <f aca="false">AG655+AI655+AJ655+AK655</f>
        <v>64048.284</v>
      </c>
      <c r="AM655" s="20" t="n">
        <f aca="false">IF(L655&gt;0,AL655/L655,0)</f>
        <v>0.165496020754093</v>
      </c>
      <c r="AN655" s="16" t="n">
        <f aca="false">L655*INDEX(Parametros!$G$2:$G$9,MATCH($E655,Parametros!$A$2:$A$9,0))</f>
        <v>626952.96</v>
      </c>
      <c r="AO655" s="17" t="n">
        <f aca="false">AN655-AC655-AL655</f>
        <v>172026.586</v>
      </c>
      <c r="AP655" s="15" t="n">
        <f aca="false">IF(AN655&gt;0,AO655/AN655,0)</f>
        <v>0.274385156423857</v>
      </c>
      <c r="AQ655" s="16" t="n">
        <f aca="false">INDEX(Parametros!$I$2:$I$9,MATCH($E655,Parametros!$A$2:$A$9,0))</f>
        <v>28000000</v>
      </c>
      <c r="AR655" s="19" t="n">
        <f aca="false">IF(AQ655&gt;0,AO655/AQ655,0)</f>
        <v>0.00614380664285715</v>
      </c>
    </row>
    <row r="656" customFormat="false" ht="15" hidden="false" customHeight="false" outlineLevel="0" collapsed="false">
      <c r="A656" s="5" t="s">
        <v>791</v>
      </c>
      <c r="B656" s="9" t="n">
        <v>46118</v>
      </c>
      <c r="C656" s="2" t="str">
        <f aca="false">TEXT(B656,"yyyy")</f>
        <v>2026</v>
      </c>
      <c r="D656" s="2" t="n">
        <f aca="false">WEEKNUM(B656,2)</f>
        <v>15</v>
      </c>
      <c r="E656" s="5" t="s">
        <v>142</v>
      </c>
      <c r="F656" s="6" t="str">
        <f aca="false">INDEX(Parametros!$B$2:$B$9,MATCH($E656,Parametros!$A$2:$A$9,0))</f>
        <v>Porciones single serve</v>
      </c>
      <c r="G656" s="10" t="n">
        <v>128.1</v>
      </c>
      <c r="H656" s="10" t="n">
        <v>7.7</v>
      </c>
      <c r="I656" s="11" t="n">
        <f aca="false">SUMIFS(Eventos_Paro!$J$2:$J$2186,Eventos_Paro!$D$2:$D$2186,$E656,Eventos_Paro!$B$2:$B$2186,$B656)</f>
        <v>4.98333333333333</v>
      </c>
      <c r="J656" s="12" t="n">
        <f aca="false">G656-H656-I656</f>
        <v>115.416666666667</v>
      </c>
      <c r="K656" s="13" t="n">
        <v>249743</v>
      </c>
      <c r="L656" s="13" t="n">
        <v>204737</v>
      </c>
      <c r="M656" s="13" t="n">
        <v>11941</v>
      </c>
      <c r="N656" s="14" t="n">
        <f aca="false">L656+M656</f>
        <v>216678</v>
      </c>
      <c r="O656" s="11" t="n">
        <f aca="false">INDEX(Parametros!$D$2:$D$9,MATCH($E656,Parametros!$A$2:$A$9,0))</f>
        <v>2600</v>
      </c>
      <c r="P656" s="15" t="n">
        <f aca="false">IF((G656-H656)&gt;0,J656/(G656-H656),0)</f>
        <v>0.958610188261351</v>
      </c>
      <c r="Q656" s="15" t="n">
        <f aca="false">IF(J656*O656&gt;0,N656/(O656*J656),0)</f>
        <v>0.722059427936684</v>
      </c>
      <c r="R656" s="15" t="n">
        <f aca="false">IF(N656&gt;0,L656/N656,0)</f>
        <v>0.944890574954541</v>
      </c>
      <c r="S656" s="15" t="n">
        <f aca="false">P656*Q656*R656</f>
        <v>0.654028239202658</v>
      </c>
      <c r="T656" s="15" t="n">
        <f aca="false">IF(K656&gt;0,L656/K656,0)</f>
        <v>0.819790744885743</v>
      </c>
      <c r="U656" s="10" t="n">
        <v>2227.7</v>
      </c>
      <c r="V656" s="5" t="n">
        <v>17</v>
      </c>
      <c r="W656" s="10" t="n">
        <v>50</v>
      </c>
      <c r="X656" s="15" t="n">
        <f aca="false">IF(U656&gt;0,W656/U656,0)</f>
        <v>0.0224446738788885</v>
      </c>
      <c r="Y656" s="12" t="n">
        <f aca="false">IF(U656&gt;0,L656/U656,0)</f>
        <v>91.9051039188401</v>
      </c>
      <c r="Z656" s="16" t="n">
        <f aca="false">L656*INDEX(Parametros!$E$2:$E$9,MATCH($E656,Parametros!$A$2:$A$9,0))</f>
        <v>151505.38</v>
      </c>
      <c r="AA656" s="16" t="n">
        <f aca="false">Z656*INDEX(Parametros!$F$2:$F$9,MATCH($E656,Parametros!$A$2:$A$9,0))</f>
        <v>6817.7421</v>
      </c>
      <c r="AB656" s="17" t="n">
        <f aca="false">Z656+AA656</f>
        <v>158323.1221</v>
      </c>
      <c r="AC656" s="18" t="n">
        <v>161574.94</v>
      </c>
      <c r="AD656" s="17" t="n">
        <f aca="false">AC656-AB656</f>
        <v>3251.81789999999</v>
      </c>
      <c r="AE656" s="17" t="n">
        <f aca="false">AA656+AD656</f>
        <v>10069.56</v>
      </c>
      <c r="AF656" s="19" t="n">
        <f aca="false">IF(Z656&gt;0,AE656/Z656,0)</f>
        <v>0.0664633823564549</v>
      </c>
      <c r="AG656" s="16" t="n">
        <f aca="false">(U656-W656)*INDEX(Parametros!$H$2:$H$9,MATCH($E656,Parametros!$A$2:$A$9,0))+W656*INDEX(Parametros!$H$2:$H$9,MATCH($E656,Parametros!$A$2:$A$9,0))*Parametros!$N$3</f>
        <v>67581</v>
      </c>
      <c r="AH656" s="13" t="n">
        <v>11389</v>
      </c>
      <c r="AI656" s="16" t="n">
        <f aca="false">AH656*Parametros!$N$2</f>
        <v>1047.788</v>
      </c>
      <c r="AJ656" s="18" t="n">
        <v>9667</v>
      </c>
      <c r="AK656" s="18" t="n">
        <v>5159</v>
      </c>
      <c r="AL656" s="17" t="n">
        <f aca="false">AG656+AI656+AJ656+AK656</f>
        <v>83454.788</v>
      </c>
      <c r="AM656" s="20" t="n">
        <f aca="false">IF(L656&gt;0,AL656/L656,0)</f>
        <v>0.407619472787039</v>
      </c>
      <c r="AN656" s="16" t="n">
        <f aca="false">L656*INDEX(Parametros!$G$2:$G$9,MATCH($E656,Parametros!$A$2:$A$9,0))</f>
        <v>352147.64</v>
      </c>
      <c r="AO656" s="17" t="n">
        <f aca="false">AN656-AC656-AL656</f>
        <v>107117.912</v>
      </c>
      <c r="AP656" s="15" t="n">
        <f aca="false">IF(AN656&gt;0,AO656/AN656,0)</f>
        <v>0.304184665272782</v>
      </c>
      <c r="AQ656" s="16" t="n">
        <f aca="false">INDEX(Parametros!$I$2:$I$9,MATCH($E656,Parametros!$A$2:$A$9,0))</f>
        <v>15900000</v>
      </c>
      <c r="AR656" s="19" t="n">
        <f aca="false">IF(AQ656&gt;0,AO656/AQ656,0)</f>
        <v>0.00673697559748428</v>
      </c>
    </row>
    <row r="657" customFormat="false" ht="15" hidden="false" customHeight="false" outlineLevel="0" collapsed="false">
      <c r="A657" s="5" t="s">
        <v>792</v>
      </c>
      <c r="B657" s="9" t="n">
        <v>46118</v>
      </c>
      <c r="C657" s="2" t="str">
        <f aca="false">TEXT(B657,"yyyy")</f>
        <v>2026</v>
      </c>
      <c r="D657" s="2" t="n">
        <f aca="false">WEEKNUM(B657,2)</f>
        <v>15</v>
      </c>
      <c r="E657" s="5" t="s">
        <v>144</v>
      </c>
      <c r="F657" s="6" t="str">
        <f aca="false">INDEX(Parametros!$B$2:$B$9,MATCH($E657,Parametros!$A$2:$A$9,0))</f>
        <v>Salsas picantes</v>
      </c>
      <c r="G657" s="10" t="n">
        <v>86.4</v>
      </c>
      <c r="H657" s="10" t="n">
        <v>7.2</v>
      </c>
      <c r="I657" s="11" t="n">
        <f aca="false">SUMIFS(Eventos_Paro!$J$2:$J$2186,Eventos_Paro!$D$2:$D$2186,$E657,Eventos_Paro!$B$2:$B$2186,$B657)</f>
        <v>5.91666666666667</v>
      </c>
      <c r="J657" s="12" t="n">
        <f aca="false">G657-H657-I657</f>
        <v>73.2833333333333</v>
      </c>
      <c r="K657" s="13" t="n">
        <v>196720</v>
      </c>
      <c r="L657" s="13" t="n">
        <v>196065</v>
      </c>
      <c r="M657" s="13" t="n">
        <v>3551</v>
      </c>
      <c r="N657" s="14" t="n">
        <f aca="false">L657+M657</f>
        <v>199616</v>
      </c>
      <c r="O657" s="11" t="n">
        <f aca="false">INDEX(Parametros!$D$2:$D$9,MATCH($E657,Parametros!$A$2:$A$9,0))</f>
        <v>3100</v>
      </c>
      <c r="P657" s="15" t="n">
        <f aca="false">IF((G657-H657)&gt;0,J657/(G657-H657),0)</f>
        <v>0.925294612794613</v>
      </c>
      <c r="Q657" s="15" t="n">
        <f aca="false">IF(J657*O657&gt;0,N657/(O657*J657),0)</f>
        <v>0.878675343159192</v>
      </c>
      <c r="R657" s="15" t="n">
        <f aca="false">IF(N657&gt;0,L657/N657,0)</f>
        <v>0.982210844822058</v>
      </c>
      <c r="S657" s="15" t="n">
        <f aca="false">P657*Q657*R657</f>
        <v>0.798570381231672</v>
      </c>
      <c r="T657" s="15" t="n">
        <f aca="false">IF(K657&gt;0,L657/K657,0)</f>
        <v>0.996670394469297</v>
      </c>
      <c r="U657" s="10" t="n">
        <v>847.6</v>
      </c>
      <c r="V657" s="5" t="n">
        <v>9</v>
      </c>
      <c r="W657" s="10" t="n">
        <v>70</v>
      </c>
      <c r="X657" s="15" t="n">
        <f aca="false">IF(U657&gt;0,W657/U657,0)</f>
        <v>0.0825861255309108</v>
      </c>
      <c r="Y657" s="12" t="n">
        <f aca="false">IF(U657&gt;0,L657/U657,0)</f>
        <v>231.317838603115</v>
      </c>
      <c r="Z657" s="16" t="n">
        <f aca="false">L657*INDEX(Parametros!$E$2:$E$9,MATCH($E657,Parametros!$A$2:$A$9,0))</f>
        <v>129402.9</v>
      </c>
      <c r="AA657" s="16" t="n">
        <f aca="false">Z657*INDEX(Parametros!$F$2:$F$9,MATCH($E657,Parametros!$A$2:$A$9,0))</f>
        <v>3364.4754</v>
      </c>
      <c r="AB657" s="17" t="n">
        <f aca="false">Z657+AA657</f>
        <v>132767.3754</v>
      </c>
      <c r="AC657" s="18" t="n">
        <v>133782.57</v>
      </c>
      <c r="AD657" s="17" t="n">
        <f aca="false">AC657-AB657</f>
        <v>1015.19459999999</v>
      </c>
      <c r="AE657" s="17" t="n">
        <f aca="false">AA657+AD657</f>
        <v>4379.66999999999</v>
      </c>
      <c r="AF657" s="19" t="n">
        <f aca="false">IF(Z657&gt;0,AE657/Z657,0)</f>
        <v>0.0338452229432261</v>
      </c>
      <c r="AG657" s="16" t="n">
        <f aca="false">(U657-W657)*INDEX(Parametros!$H$2:$H$9,MATCH($E657,Parametros!$A$2:$A$9,0))+W657*INDEX(Parametros!$H$2:$H$9,MATCH($E657,Parametros!$A$2:$A$9,0))*Parametros!$N$3</f>
        <v>27801.9</v>
      </c>
      <c r="AH657" s="13" t="n">
        <v>10095</v>
      </c>
      <c r="AI657" s="16" t="n">
        <f aca="false">AH657*Parametros!$N$2</f>
        <v>928.74</v>
      </c>
      <c r="AJ657" s="18" t="n">
        <v>7337</v>
      </c>
      <c r="AK657" s="18" t="n">
        <v>5023</v>
      </c>
      <c r="AL657" s="17" t="n">
        <f aca="false">AG657+AI657+AJ657+AK657</f>
        <v>41090.64</v>
      </c>
      <c r="AM657" s="20" t="n">
        <f aca="false">IF(L657&gt;0,AL657/L657,0)</f>
        <v>0.20957661999847</v>
      </c>
      <c r="AN657" s="16" t="n">
        <f aca="false">L657*INDEX(Parametros!$G$2:$G$9,MATCH($E657,Parametros!$A$2:$A$9,0))</f>
        <v>245081.25</v>
      </c>
      <c r="AO657" s="17" t="n">
        <f aca="false">AN657-AC657-AL657</f>
        <v>70208.04</v>
      </c>
      <c r="AP657" s="15" t="n">
        <f aca="false">IF(AN657&gt;0,AO657/AN657,0)</f>
        <v>0.286468426287201</v>
      </c>
      <c r="AQ657" s="16" t="n">
        <f aca="false">INDEX(Parametros!$I$2:$I$9,MATCH($E657,Parametros!$A$2:$A$9,0))</f>
        <v>13300000</v>
      </c>
      <c r="AR657" s="19" t="n">
        <f aca="false">IF(AQ657&gt;0,AO657/AQ657,0)</f>
        <v>0.0052788</v>
      </c>
    </row>
    <row r="658" customFormat="false" ht="15" hidden="false" customHeight="false" outlineLevel="0" collapsed="false">
      <c r="A658" s="5" t="s">
        <v>793</v>
      </c>
      <c r="B658" s="9" t="n">
        <v>46125</v>
      </c>
      <c r="C658" s="2" t="str">
        <f aca="false">TEXT(B658,"yyyy")</f>
        <v>2026</v>
      </c>
      <c r="D658" s="2" t="n">
        <f aca="false">WEEKNUM(B658,2)</f>
        <v>16</v>
      </c>
      <c r="E658" s="5" t="s">
        <v>130</v>
      </c>
      <c r="F658" s="6" t="str">
        <f aca="false">INDEX(Parametros!$B$2:$B$9,MATCH($E658,Parametros!$A$2:$A$9,0))</f>
        <v>Ketchup botella</v>
      </c>
      <c r="G658" s="10" t="n">
        <v>112.7</v>
      </c>
      <c r="H658" s="10" t="n">
        <v>5.4</v>
      </c>
      <c r="I658" s="11" t="n">
        <f aca="false">SUMIFS(Eventos_Paro!$J$2:$J$2186,Eventos_Paro!$D$2:$D$2186,$E658,Eventos_Paro!$B$2:$B$2186,$B658)</f>
        <v>1.05</v>
      </c>
      <c r="J658" s="12" t="n">
        <f aca="false">G658-H658-I658</f>
        <v>106.25</v>
      </c>
      <c r="K658" s="13" t="n">
        <v>774155</v>
      </c>
      <c r="L658" s="13" t="n">
        <v>841922</v>
      </c>
      <c r="M658" s="13" t="n">
        <v>17307</v>
      </c>
      <c r="N658" s="14" t="n">
        <f aca="false">L658+M658</f>
        <v>859229</v>
      </c>
      <c r="O658" s="11" t="n">
        <f aca="false">INDEX(Parametros!$D$2:$D$9,MATCH($E658,Parametros!$A$2:$A$9,0))</f>
        <v>9000</v>
      </c>
      <c r="P658" s="15" t="n">
        <f aca="false">IF((G658-H658)&gt;0,J658/(G658-H658),0)</f>
        <v>0.990214352283318</v>
      </c>
      <c r="Q658" s="15" t="n">
        <f aca="false">IF(J658*O658&gt;0,N658/(O658*J658),0)</f>
        <v>0.898540130718954</v>
      </c>
      <c r="R658" s="15" t="n">
        <f aca="false">IF(N658&gt;0,L658/N658,0)</f>
        <v>0.97985752343089</v>
      </c>
      <c r="S658" s="15" t="n">
        <f aca="false">P658*Q658*R658</f>
        <v>0.87182561872217</v>
      </c>
      <c r="T658" s="15" t="n">
        <f aca="false">IF(K658&gt;0,L658/K658,0)</f>
        <v>1.08753673359986</v>
      </c>
      <c r="U658" s="10" t="n">
        <v>1581.8</v>
      </c>
      <c r="V658" s="5" t="n">
        <v>13</v>
      </c>
      <c r="W658" s="10" t="n">
        <v>116.7</v>
      </c>
      <c r="X658" s="15" t="n">
        <f aca="false">IF(U658&gt;0,W658/U658,0)</f>
        <v>0.0737767100771273</v>
      </c>
      <c r="Y658" s="12" t="n">
        <f aca="false">IF(U658&gt;0,L658/U658,0)</f>
        <v>532.255658111013</v>
      </c>
      <c r="Z658" s="16" t="n">
        <f aca="false">L658*INDEX(Parametros!$E$2:$E$9,MATCH($E658,Parametros!$A$2:$A$9,0))</f>
        <v>353607.24</v>
      </c>
      <c r="AA658" s="16" t="n">
        <f aca="false">Z658*INDEX(Parametros!$F$2:$F$9,MATCH($E658,Parametros!$A$2:$A$9,0))</f>
        <v>7072.1448</v>
      </c>
      <c r="AB658" s="17" t="n">
        <f aca="false">Z658+AA658</f>
        <v>360679.3848</v>
      </c>
      <c r="AC658" s="18" t="n">
        <v>359179.26</v>
      </c>
      <c r="AD658" s="17" t="n">
        <f aca="false">AC658-AB658</f>
        <v>-1500.12479999999</v>
      </c>
      <c r="AE658" s="17" t="n">
        <f aca="false">AA658+AD658</f>
        <v>5572.02000000001</v>
      </c>
      <c r="AF658" s="19" t="n">
        <f aca="false">IF(Z658&gt;0,AE658/Z658,0)</f>
        <v>0.0157576524734053</v>
      </c>
      <c r="AG658" s="16" t="n">
        <f aca="false">(U658-W658)*INDEX(Parametros!$H$2:$H$9,MATCH($E658,Parametros!$A$2:$A$9,0))+W658*INDEX(Parametros!$H$2:$H$9,MATCH($E658,Parametros!$A$2:$A$9,0))*Parametros!$N$3</f>
        <v>51664.725</v>
      </c>
      <c r="AH658" s="13" t="n">
        <v>42679</v>
      </c>
      <c r="AI658" s="16" t="n">
        <f aca="false">AH658*Parametros!$N$2</f>
        <v>3926.468</v>
      </c>
      <c r="AJ658" s="18" t="n">
        <v>17804</v>
      </c>
      <c r="AK658" s="18" t="n">
        <v>501</v>
      </c>
      <c r="AL658" s="17" t="n">
        <f aca="false">AG658+AI658+AJ658+AK658</f>
        <v>73896.193</v>
      </c>
      <c r="AM658" s="20" t="n">
        <f aca="false">IF(L658&gt;0,AL658/L658,0)</f>
        <v>0.0877708303144472</v>
      </c>
      <c r="AN658" s="16" t="n">
        <f aca="false">L658*INDEX(Parametros!$G$2:$G$9,MATCH($E658,Parametros!$A$2:$A$9,0))</f>
        <v>597764.62</v>
      </c>
      <c r="AO658" s="17" t="n">
        <f aca="false">AN658-AC658-AL658</f>
        <v>164689.167</v>
      </c>
      <c r="AP658" s="15" t="n">
        <f aca="false">IF(AN658&gt;0,AO658/AN658,0)</f>
        <v>0.275508388234821</v>
      </c>
      <c r="AQ658" s="16" t="n">
        <f aca="false">INDEX(Parametros!$I$2:$I$9,MATCH($E658,Parametros!$A$2:$A$9,0))</f>
        <v>29300000</v>
      </c>
      <c r="AR658" s="19" t="n">
        <f aca="false">IF(AQ658&gt;0,AO658/AQ658,0)</f>
        <v>0.00562079068259386</v>
      </c>
    </row>
    <row r="659" customFormat="false" ht="15" hidden="false" customHeight="false" outlineLevel="0" collapsed="false">
      <c r="A659" s="5" t="s">
        <v>794</v>
      </c>
      <c r="B659" s="9" t="n">
        <v>46125</v>
      </c>
      <c r="C659" s="2" t="str">
        <f aca="false">TEXT(B659,"yyyy")</f>
        <v>2026</v>
      </c>
      <c r="D659" s="2" t="n">
        <f aca="false">WEEKNUM(B659,2)</f>
        <v>16</v>
      </c>
      <c r="E659" s="5" t="s">
        <v>132</v>
      </c>
      <c r="F659" s="6" t="str">
        <f aca="false">INDEX(Parametros!$B$2:$B$9,MATCH($E659,Parametros!$A$2:$A$9,0))</f>
        <v>Mayonesa frasco</v>
      </c>
      <c r="G659" s="10" t="n">
        <v>110.2</v>
      </c>
      <c r="H659" s="10" t="n">
        <v>7.1</v>
      </c>
      <c r="I659" s="11" t="n">
        <f aca="false">SUMIFS(Eventos_Paro!$J$2:$J$2186,Eventos_Paro!$D$2:$D$2186,$E659,Eventos_Paro!$B$2:$B$2186,$B659)</f>
        <v>4.78333333333333</v>
      </c>
      <c r="J659" s="12" t="n">
        <f aca="false">G659-H659-I659</f>
        <v>98.3166666666667</v>
      </c>
      <c r="K659" s="13" t="n">
        <v>537227</v>
      </c>
      <c r="L659" s="13" t="n">
        <v>539243</v>
      </c>
      <c r="M659" s="13" t="n">
        <v>21906</v>
      </c>
      <c r="N659" s="14" t="n">
        <f aca="false">L659+M659</f>
        <v>561149</v>
      </c>
      <c r="O659" s="11" t="n">
        <f aca="false">INDEX(Parametros!$D$2:$D$9,MATCH($E659,Parametros!$A$2:$A$9,0))</f>
        <v>6500</v>
      </c>
      <c r="P659" s="15" t="n">
        <f aca="false">IF((G659-H659)&gt;0,J659/(G659-H659),0)</f>
        <v>0.953604914322664</v>
      </c>
      <c r="Q659" s="15" t="n">
        <f aca="false">IF(J659*O659&gt;0,N659/(O659*J659),0)</f>
        <v>0.878087289892681</v>
      </c>
      <c r="R659" s="15" t="n">
        <f aca="false">IF(N659&gt;0,L659/N659,0)</f>
        <v>0.960962239975479</v>
      </c>
      <c r="S659" s="15" t="n">
        <f aca="false">P659*Q659*R659</f>
        <v>0.804660150712527</v>
      </c>
      <c r="T659" s="15" t="n">
        <f aca="false">IF(K659&gt;0,L659/K659,0)</f>
        <v>1.00375260364799</v>
      </c>
      <c r="U659" s="10" t="n">
        <v>1546.3</v>
      </c>
      <c r="V659" s="5" t="n">
        <v>13</v>
      </c>
      <c r="W659" s="10" t="n">
        <v>113.7</v>
      </c>
      <c r="X659" s="15" t="n">
        <f aca="false">IF(U659&gt;0,W659/U659,0)</f>
        <v>0.0735303628015262</v>
      </c>
      <c r="Y659" s="12" t="n">
        <f aca="false">IF(U659&gt;0,L659/U659,0)</f>
        <v>348.731164715773</v>
      </c>
      <c r="Z659" s="16" t="n">
        <f aca="false">L659*INDEX(Parametros!$E$2:$E$9,MATCH($E659,Parametros!$A$2:$A$9,0))</f>
        <v>328938.23</v>
      </c>
      <c r="AA659" s="16" t="n">
        <f aca="false">Z659*INDEX(Parametros!$F$2:$F$9,MATCH($E659,Parametros!$A$2:$A$9,0))</f>
        <v>8223.45575</v>
      </c>
      <c r="AB659" s="17" t="n">
        <f aca="false">Z659+AA659</f>
        <v>337161.68575</v>
      </c>
      <c r="AC659" s="18" t="n">
        <v>336414.8</v>
      </c>
      <c r="AD659" s="17" t="n">
        <f aca="false">AC659-AB659</f>
        <v>-746.885750000016</v>
      </c>
      <c r="AE659" s="17" t="n">
        <f aca="false">AA659+AD659</f>
        <v>7476.56999999998</v>
      </c>
      <c r="AF659" s="19" t="n">
        <f aca="false">IF(Z659&gt;0,AE659/Z659,0)</f>
        <v>0.0227294042410333</v>
      </c>
      <c r="AG659" s="16" t="n">
        <f aca="false">(U659-W659)*INDEX(Parametros!$H$2:$H$9,MATCH($E659,Parametros!$A$2:$A$9,0))+W659*INDEX(Parametros!$H$2:$H$9,MATCH($E659,Parametros!$A$2:$A$9,0))*Parametros!$N$3</f>
        <v>50499.225</v>
      </c>
      <c r="AH659" s="13" t="n">
        <v>27190</v>
      </c>
      <c r="AI659" s="16" t="n">
        <f aca="false">AH659*Parametros!$N$2</f>
        <v>2501.48</v>
      </c>
      <c r="AJ659" s="18" t="n">
        <v>12263</v>
      </c>
      <c r="AK659" s="18" t="n">
        <v>5296</v>
      </c>
      <c r="AL659" s="17" t="n">
        <f aca="false">AG659+AI659+AJ659+AK659</f>
        <v>70559.705</v>
      </c>
      <c r="AM659" s="20" t="n">
        <f aca="false">IF(L659&gt;0,AL659/L659,0)</f>
        <v>0.130849552057236</v>
      </c>
      <c r="AN659" s="16" t="n">
        <f aca="false">L659*INDEX(Parametros!$G$2:$G$9,MATCH($E659,Parametros!$A$2:$A$9,0))</f>
        <v>517673.28</v>
      </c>
      <c r="AO659" s="17" t="n">
        <f aca="false">AN659-AC659-AL659</f>
        <v>110698.775</v>
      </c>
      <c r="AP659" s="15" t="n">
        <f aca="false">IF(AN659&gt;0,AO659/AN659,0)</f>
        <v>0.213839074328889</v>
      </c>
      <c r="AQ659" s="16" t="n">
        <f aca="false">INDEX(Parametros!$I$2:$I$9,MATCH($E659,Parametros!$A$2:$A$9,0))</f>
        <v>29700000</v>
      </c>
      <c r="AR659" s="19" t="n">
        <f aca="false">IF(AQ659&gt;0,AO659/AQ659,0)</f>
        <v>0.00372723148148148</v>
      </c>
    </row>
    <row r="660" customFormat="false" ht="15" hidden="false" customHeight="false" outlineLevel="0" collapsed="false">
      <c r="A660" s="5" t="s">
        <v>795</v>
      </c>
      <c r="B660" s="9" t="n">
        <v>46125</v>
      </c>
      <c r="C660" s="2" t="str">
        <f aca="false">TEXT(B660,"yyyy")</f>
        <v>2026</v>
      </c>
      <c r="D660" s="2" t="n">
        <f aca="false">WEEKNUM(B660,2)</f>
        <v>16</v>
      </c>
      <c r="E660" s="5" t="s">
        <v>134</v>
      </c>
      <c r="F660" s="6" t="str">
        <f aca="false">INDEX(Parametros!$B$2:$B$9,MATCH($E660,Parametros!$A$2:$A$9,0))</f>
        <v>Aderezos vertibles</v>
      </c>
      <c r="G660" s="10" t="n">
        <v>97.8</v>
      </c>
      <c r="H660" s="10" t="n">
        <v>8.7</v>
      </c>
      <c r="I660" s="11" t="n">
        <f aca="false">SUMIFS(Eventos_Paro!$J$2:$J$2186,Eventos_Paro!$D$2:$D$2186,$E660,Eventos_Paro!$B$2:$B$2186,$B660)</f>
        <v>4.36666666666667</v>
      </c>
      <c r="J660" s="12" t="n">
        <f aca="false">G660-H660-I660</f>
        <v>84.7333333333333</v>
      </c>
      <c r="K660" s="13" t="n">
        <v>371421</v>
      </c>
      <c r="L660" s="13" t="n">
        <v>362248</v>
      </c>
      <c r="M660" s="13" t="n">
        <v>12178</v>
      </c>
      <c r="N660" s="14" t="n">
        <f aca="false">L660+M660</f>
        <v>374426</v>
      </c>
      <c r="O660" s="11" t="n">
        <f aca="false">INDEX(Parametros!$D$2:$D$9,MATCH($E660,Parametros!$A$2:$A$9,0))</f>
        <v>5200</v>
      </c>
      <c r="P660" s="15" t="n">
        <f aca="false">IF((G660-H660)&gt;0,J660/(G660-H660),0)</f>
        <v>0.95099139543584</v>
      </c>
      <c r="Q660" s="15" t="n">
        <f aca="false">IF(J660*O660&gt;0,N660/(O660*J660),0)</f>
        <v>0.849783634933124</v>
      </c>
      <c r="R660" s="15" t="n">
        <f aca="false">IF(N660&gt;0,L660/N660,0)</f>
        <v>0.967475549240704</v>
      </c>
      <c r="S660" s="15" t="n">
        <f aca="false">P660*Q660*R660</f>
        <v>0.781852715186049</v>
      </c>
      <c r="T660" s="15" t="n">
        <f aca="false">IF(K660&gt;0,L660/K660,0)</f>
        <v>0.975302958098761</v>
      </c>
      <c r="U660" s="10" t="n">
        <v>1129.9</v>
      </c>
      <c r="V660" s="5" t="n">
        <v>11</v>
      </c>
      <c r="W660" s="10" t="n">
        <v>54.1</v>
      </c>
      <c r="X660" s="15" t="n">
        <f aca="false">IF(U660&gt;0,W660/U660,0)</f>
        <v>0.0478803433932206</v>
      </c>
      <c r="Y660" s="12" t="n">
        <f aca="false">IF(U660&gt;0,L660/U660,0)</f>
        <v>320.601823170192</v>
      </c>
      <c r="Z660" s="16" t="n">
        <f aca="false">L660*INDEX(Parametros!$E$2:$E$9,MATCH($E660,Parametros!$A$2:$A$9,0))</f>
        <v>199236.4</v>
      </c>
      <c r="AA660" s="16" t="n">
        <f aca="false">Z660*INDEX(Parametros!$F$2:$F$9,MATCH($E660,Parametros!$A$2:$A$9,0))</f>
        <v>5977.092</v>
      </c>
      <c r="AB660" s="17" t="n">
        <f aca="false">Z660+AA660</f>
        <v>205213.492</v>
      </c>
      <c r="AC660" s="18" t="n">
        <v>201279.07</v>
      </c>
      <c r="AD660" s="17" t="n">
        <f aca="false">AC660-AB660</f>
        <v>-3934.42200000002</v>
      </c>
      <c r="AE660" s="17" t="n">
        <f aca="false">AA660+AD660</f>
        <v>2042.66999999998</v>
      </c>
      <c r="AF660" s="19" t="n">
        <f aca="false">IF(Z660&gt;0,AE660/Z660,0)</f>
        <v>0.0102524940221766</v>
      </c>
      <c r="AG660" s="16" t="n">
        <f aca="false">(U660-W660)*INDEX(Parametros!$H$2:$H$9,MATCH($E660,Parametros!$A$2:$A$9,0))+W660*INDEX(Parametros!$H$2:$H$9,MATCH($E660,Parametros!$A$2:$A$9,0))*Parametros!$N$3</f>
        <v>36443.925</v>
      </c>
      <c r="AH660" s="13" t="n">
        <v>19184</v>
      </c>
      <c r="AI660" s="16" t="n">
        <f aca="false">AH660*Parametros!$N$2</f>
        <v>1764.928</v>
      </c>
      <c r="AJ660" s="18" t="n">
        <v>9222</v>
      </c>
      <c r="AK660" s="18" t="n">
        <v>3177</v>
      </c>
      <c r="AL660" s="17" t="n">
        <f aca="false">AG660+AI660+AJ660+AK660</f>
        <v>50607.853</v>
      </c>
      <c r="AM660" s="20" t="n">
        <f aca="false">IF(L660&gt;0,AL660/L660,0)</f>
        <v>0.139704989399527</v>
      </c>
      <c r="AN660" s="16" t="n">
        <f aca="false">L660*INDEX(Parametros!$G$2:$G$9,MATCH($E660,Parametros!$A$2:$A$9,0))</f>
        <v>369492.96</v>
      </c>
      <c r="AO660" s="17" t="n">
        <f aca="false">AN660-AC660-AL660</f>
        <v>117606.037</v>
      </c>
      <c r="AP660" s="15" t="n">
        <f aca="false">IF(AN660&gt;0,AO660/AN660,0)</f>
        <v>0.318290332243407</v>
      </c>
      <c r="AQ660" s="16" t="n">
        <f aca="false">INDEX(Parametros!$I$2:$I$9,MATCH($E660,Parametros!$A$2:$A$9,0))</f>
        <v>19300000</v>
      </c>
      <c r="AR660" s="19" t="n">
        <f aca="false">IF(AQ660&gt;0,AO660/AQ660,0)</f>
        <v>0.00609357704663213</v>
      </c>
    </row>
    <row r="661" customFormat="false" ht="15" hidden="false" customHeight="false" outlineLevel="0" collapsed="false">
      <c r="A661" s="5" t="s">
        <v>796</v>
      </c>
      <c r="B661" s="9" t="n">
        <v>46125</v>
      </c>
      <c r="C661" s="2" t="str">
        <f aca="false">TEXT(B661,"yyyy")</f>
        <v>2026</v>
      </c>
      <c r="D661" s="2" t="n">
        <f aca="false">WEEKNUM(B661,2)</f>
        <v>16</v>
      </c>
      <c r="E661" s="5" t="s">
        <v>136</v>
      </c>
      <c r="F661" s="6" t="str">
        <f aca="false">INDEX(Parametros!$B$2:$B$9,MATCH($E661,Parametros!$A$2:$A$9,0))</f>
        <v>Salsa BBQ</v>
      </c>
      <c r="G661" s="10" t="n">
        <v>81.3</v>
      </c>
      <c r="H661" s="10" t="n">
        <v>7.8</v>
      </c>
      <c r="I661" s="11" t="n">
        <f aca="false">SUMIFS(Eventos_Paro!$J$2:$J$2186,Eventos_Paro!$D$2:$D$2186,$E661,Eventos_Paro!$B$2:$B$2186,$B661)</f>
        <v>3.45</v>
      </c>
      <c r="J661" s="12" t="n">
        <f aca="false">G661-H661-I661</f>
        <v>70.05</v>
      </c>
      <c r="K661" s="13" t="n">
        <v>284862</v>
      </c>
      <c r="L661" s="13" t="n">
        <v>264629</v>
      </c>
      <c r="M661" s="13" t="n">
        <v>8489</v>
      </c>
      <c r="N661" s="14" t="n">
        <f aca="false">L661+M661</f>
        <v>273118</v>
      </c>
      <c r="O661" s="11" t="n">
        <f aca="false">INDEX(Parametros!$D$2:$D$9,MATCH($E661,Parametros!$A$2:$A$9,0))</f>
        <v>4800</v>
      </c>
      <c r="P661" s="15" t="n">
        <f aca="false">IF((G661-H661)&gt;0,J661/(G661-H661),0)</f>
        <v>0.953061224489796</v>
      </c>
      <c r="Q661" s="15" t="n">
        <f aca="false">IF(J661*O661&gt;0,N661/(O661*J661),0)</f>
        <v>0.812270996906971</v>
      </c>
      <c r="R661" s="15" t="n">
        <f aca="false">IF(N661&gt;0,L661/N661,0)</f>
        <v>0.968918196530437</v>
      </c>
      <c r="S661" s="15" t="n">
        <f aca="false">P661*Q661*R661</f>
        <v>0.750082199546485</v>
      </c>
      <c r="T661" s="15" t="n">
        <f aca="false">IF(K661&gt;0,L661/K661,0)</f>
        <v>0.928972625341393</v>
      </c>
      <c r="U661" s="10" t="n">
        <v>957.6</v>
      </c>
      <c r="V661" s="5" t="n">
        <v>11</v>
      </c>
      <c r="W661" s="10" t="n">
        <v>63.3</v>
      </c>
      <c r="X661" s="15" t="n">
        <f aca="false">IF(U661&gt;0,W661/U661,0)</f>
        <v>0.0661027568922306</v>
      </c>
      <c r="Y661" s="12" t="n">
        <f aca="false">IF(U661&gt;0,L661/U661,0)</f>
        <v>276.346073517126</v>
      </c>
      <c r="Z661" s="16" t="n">
        <f aca="false">L661*INDEX(Parametros!$E$2:$E$9,MATCH($E661,Parametros!$A$2:$A$9,0))</f>
        <v>153484.82</v>
      </c>
      <c r="AA661" s="16" t="n">
        <f aca="false">Z661*INDEX(Parametros!$F$2:$F$9,MATCH($E661,Parametros!$A$2:$A$9,0))</f>
        <v>4297.57496</v>
      </c>
      <c r="AB661" s="17" t="n">
        <f aca="false">Z661+AA661</f>
        <v>157782.39496</v>
      </c>
      <c r="AC661" s="18" t="n">
        <v>153317.68</v>
      </c>
      <c r="AD661" s="17" t="n">
        <f aca="false">AC661-AB661</f>
        <v>-4464.71495999998</v>
      </c>
      <c r="AE661" s="17" t="n">
        <f aca="false">AA661+AD661</f>
        <v>-167.139999999983</v>
      </c>
      <c r="AF661" s="19" t="n">
        <f aca="false">IF(Z661&gt;0,AE661/Z661,0)</f>
        <v>-0.00108896762559309</v>
      </c>
      <c r="AG661" s="16" t="n">
        <f aca="false">(U661-W661)*INDEX(Parametros!$H$2:$H$9,MATCH($E661,Parametros!$A$2:$A$9,0))+W661*INDEX(Parametros!$H$2:$H$9,MATCH($E661,Parametros!$A$2:$A$9,0))*Parametros!$N$3</f>
        <v>31161.375</v>
      </c>
      <c r="AH661" s="13" t="n">
        <v>14929</v>
      </c>
      <c r="AI661" s="16" t="n">
        <f aca="false">AH661*Parametros!$N$2</f>
        <v>1373.468</v>
      </c>
      <c r="AJ661" s="18" t="n">
        <v>7805</v>
      </c>
      <c r="AK661" s="18" t="n">
        <v>2474</v>
      </c>
      <c r="AL661" s="17" t="n">
        <f aca="false">AG661+AI661+AJ661+AK661</f>
        <v>42813.843</v>
      </c>
      <c r="AM661" s="20" t="n">
        <f aca="false">IF(L661&gt;0,AL661/L661,0)</f>
        <v>0.161788175143314</v>
      </c>
      <c r="AN661" s="16" t="n">
        <f aca="false">L661*INDEX(Parametros!$G$2:$G$9,MATCH($E661,Parametros!$A$2:$A$9,0))</f>
        <v>259336.42</v>
      </c>
      <c r="AO661" s="17" t="n">
        <f aca="false">AN661-AC661-AL661</f>
        <v>63204.897</v>
      </c>
      <c r="AP661" s="15" t="n">
        <f aca="false">IF(AN661&gt;0,AO661/AN661,0)</f>
        <v>0.243717781713806</v>
      </c>
      <c r="AQ661" s="16" t="n">
        <f aca="false">INDEX(Parametros!$I$2:$I$9,MATCH($E661,Parametros!$A$2:$A$9,0))</f>
        <v>17000000</v>
      </c>
      <c r="AR661" s="19" t="n">
        <f aca="false">IF(AQ661&gt;0,AO661/AQ661,0)</f>
        <v>0.00371793511764706</v>
      </c>
    </row>
    <row r="662" customFormat="false" ht="15" hidden="false" customHeight="false" outlineLevel="0" collapsed="false">
      <c r="A662" s="5" t="s">
        <v>797</v>
      </c>
      <c r="B662" s="9" t="n">
        <v>46125</v>
      </c>
      <c r="C662" s="2" t="str">
        <f aca="false">TEXT(B662,"yyyy")</f>
        <v>2026</v>
      </c>
      <c r="D662" s="2" t="n">
        <f aca="false">WEEKNUM(B662,2)</f>
        <v>16</v>
      </c>
      <c r="E662" s="5" t="s">
        <v>138</v>
      </c>
      <c r="F662" s="6" t="str">
        <f aca="false">INDEX(Parametros!$B$2:$B$9,MATCH($E662,Parametros!$A$2:$A$9,0))</f>
        <v>Queso crema</v>
      </c>
      <c r="G662" s="10" t="n">
        <v>124.4</v>
      </c>
      <c r="H662" s="10" t="n">
        <v>7.7</v>
      </c>
      <c r="I662" s="11" t="n">
        <f aca="false">SUMIFS(Eventos_Paro!$J$2:$J$2186,Eventos_Paro!$D$2:$D$2186,$E662,Eventos_Paro!$B$2:$B$2186,$B662)</f>
        <v>0.816666666666667</v>
      </c>
      <c r="J662" s="12" t="n">
        <f aca="false">G662-H662-I662</f>
        <v>115.883333333333</v>
      </c>
      <c r="K662" s="13" t="n">
        <v>355501</v>
      </c>
      <c r="L662" s="13" t="n">
        <v>398943</v>
      </c>
      <c r="M662" s="13" t="n">
        <v>16112</v>
      </c>
      <c r="N662" s="14" t="n">
        <f aca="false">L662+M662</f>
        <v>415055</v>
      </c>
      <c r="O662" s="11" t="n">
        <f aca="false">INDEX(Parametros!$D$2:$D$9,MATCH($E662,Parametros!$A$2:$A$9,0))</f>
        <v>3800</v>
      </c>
      <c r="P662" s="15" t="n">
        <f aca="false">IF((G662-H662)&gt;0,J662/(G662-H662),0)</f>
        <v>0.993001999428735</v>
      </c>
      <c r="Q662" s="15" t="n">
        <f aca="false">IF(J662*O662&gt;0,N662/(O662*J662),0)</f>
        <v>0.942542787286064</v>
      </c>
      <c r="R662" s="15" t="n">
        <f aca="false">IF(N662&gt;0,L662/N662,0)</f>
        <v>0.961181048294804</v>
      </c>
      <c r="S662" s="15" t="n">
        <f aca="false">P662*Q662*R662</f>
        <v>0.89961439588689</v>
      </c>
      <c r="T662" s="15" t="n">
        <f aca="false">IF(K662&gt;0,L662/K662,0)</f>
        <v>1.1221993749666</v>
      </c>
      <c r="U662" s="10" t="n">
        <v>1866</v>
      </c>
      <c r="V662" s="5" t="n">
        <v>15</v>
      </c>
      <c r="W662" s="10" t="n">
        <v>0</v>
      </c>
      <c r="X662" s="15" t="n">
        <f aca="false">IF(U662&gt;0,W662/U662,0)</f>
        <v>0</v>
      </c>
      <c r="Y662" s="12" t="n">
        <f aca="false">IF(U662&gt;0,L662/U662,0)</f>
        <v>213.795819935691</v>
      </c>
      <c r="Z662" s="16" t="n">
        <f aca="false">L662*INDEX(Parametros!$E$2:$E$9,MATCH($E662,Parametros!$A$2:$A$9,0))</f>
        <v>446816.16</v>
      </c>
      <c r="AA662" s="16" t="n">
        <f aca="false">Z662*INDEX(Parametros!$F$2:$F$9,MATCH($E662,Parametros!$A$2:$A$9,0))</f>
        <v>15638.5656</v>
      </c>
      <c r="AB662" s="17" t="n">
        <f aca="false">Z662+AA662</f>
        <v>462454.7256</v>
      </c>
      <c r="AC662" s="18" t="n">
        <v>465802.9</v>
      </c>
      <c r="AD662" s="17" t="n">
        <f aca="false">AC662-AB662</f>
        <v>3348.17440000002</v>
      </c>
      <c r="AE662" s="17" t="n">
        <f aca="false">AA662+AD662</f>
        <v>18986.74</v>
      </c>
      <c r="AF662" s="19" t="n">
        <f aca="false">IF(Z662&gt;0,AE662/Z662,0)</f>
        <v>0.0424934048938606</v>
      </c>
      <c r="AG662" s="16" t="n">
        <f aca="false">(U662-W662)*INDEX(Parametros!$H$2:$H$9,MATCH($E662,Parametros!$A$2:$A$9,0))+W662*INDEX(Parametros!$H$2:$H$9,MATCH($E662,Parametros!$A$2:$A$9,0))*Parametros!$N$3</f>
        <v>61578</v>
      </c>
      <c r="AH662" s="13" t="n">
        <v>18912</v>
      </c>
      <c r="AI662" s="16" t="n">
        <f aca="false">AH662*Parametros!$N$2</f>
        <v>1739.904</v>
      </c>
      <c r="AJ662" s="18" t="n">
        <v>17572</v>
      </c>
      <c r="AK662" s="18" t="n">
        <v>733</v>
      </c>
      <c r="AL662" s="17" t="n">
        <f aca="false">AG662+AI662+AJ662+AK662</f>
        <v>81622.904</v>
      </c>
      <c r="AM662" s="20" t="n">
        <f aca="false">IF(L662&gt;0,AL662/L662,0)</f>
        <v>0.204597909977115</v>
      </c>
      <c r="AN662" s="16" t="n">
        <f aca="false">L662*INDEX(Parametros!$G$2:$G$9,MATCH($E662,Parametros!$A$2:$A$9,0))</f>
        <v>714107.97</v>
      </c>
      <c r="AO662" s="17" t="n">
        <f aca="false">AN662-AC662-AL662</f>
        <v>166682.166</v>
      </c>
      <c r="AP662" s="15" t="n">
        <f aca="false">IF(AN662&gt;0,AO662/AN662,0)</f>
        <v>0.233413115386459</v>
      </c>
      <c r="AQ662" s="16" t="n">
        <f aca="false">INDEX(Parametros!$I$2:$I$9,MATCH($E662,Parametros!$A$2:$A$9,0))</f>
        <v>33200000</v>
      </c>
      <c r="AR662" s="19" t="n">
        <f aca="false">IF(AQ662&gt;0,AO662/AQ662,0)</f>
        <v>0.0050205471686747</v>
      </c>
    </row>
    <row r="663" customFormat="false" ht="15" hidden="false" customHeight="false" outlineLevel="0" collapsed="false">
      <c r="A663" s="5" t="s">
        <v>798</v>
      </c>
      <c r="B663" s="9" t="n">
        <v>46125</v>
      </c>
      <c r="C663" s="2" t="str">
        <f aca="false">TEXT(B663,"yyyy")</f>
        <v>2026</v>
      </c>
      <c r="D663" s="2" t="n">
        <f aca="false">WEEKNUM(B663,2)</f>
        <v>16</v>
      </c>
      <c r="E663" s="5" t="s">
        <v>140</v>
      </c>
      <c r="F663" s="6" t="str">
        <f aca="false">INDEX(Parametros!$B$2:$B$9,MATCH($E663,Parametros!$A$2:$A$9,0))</f>
        <v>Crema de cacahuate</v>
      </c>
      <c r="G663" s="10" t="n">
        <v>110.3</v>
      </c>
      <c r="H663" s="10" t="n">
        <v>7.9</v>
      </c>
      <c r="I663" s="11" t="n">
        <f aca="false">SUMIFS(Eventos_Paro!$J$2:$J$2186,Eventos_Paro!$D$2:$D$2186,$E663,Eventos_Paro!$B$2:$B$2186,$B663)</f>
        <v>4.46666666666667</v>
      </c>
      <c r="J663" s="12" t="n">
        <f aca="false">G663-H663-I663</f>
        <v>97.9333333333333</v>
      </c>
      <c r="K663" s="13" t="n">
        <v>344774</v>
      </c>
      <c r="L663" s="13" t="n">
        <v>349958</v>
      </c>
      <c r="M663" s="13" t="n">
        <v>11197</v>
      </c>
      <c r="N663" s="14" t="n">
        <f aca="false">L663+M663</f>
        <v>361155</v>
      </c>
      <c r="O663" s="11" t="n">
        <f aca="false">INDEX(Parametros!$D$2:$D$9,MATCH($E663,Parametros!$A$2:$A$9,0))</f>
        <v>4200</v>
      </c>
      <c r="P663" s="15" t="n">
        <f aca="false">IF((G663-H663)&gt;0,J663/(G663-H663),0)</f>
        <v>0.956380208333333</v>
      </c>
      <c r="Q663" s="15" t="n">
        <f aca="false">IF(J663*O663&gt;0,N663/(O663*J663),0)</f>
        <v>0.878038996401828</v>
      </c>
      <c r="R663" s="15" t="n">
        <f aca="false">IF(N663&gt;0,L663/N663,0)</f>
        <v>0.968996691171381</v>
      </c>
      <c r="S663" s="15" t="n">
        <f aca="false">P663*Q663*R663</f>
        <v>0.813704427083334</v>
      </c>
      <c r="T663" s="15" t="n">
        <f aca="false">IF(K663&gt;0,L663/K663,0)</f>
        <v>1.01503593658455</v>
      </c>
      <c r="U663" s="10" t="n">
        <v>1445.6</v>
      </c>
      <c r="V663" s="5" t="n">
        <v>12</v>
      </c>
      <c r="W663" s="10" t="n">
        <v>122</v>
      </c>
      <c r="X663" s="15" t="n">
        <f aca="false">IF(U663&gt;0,W663/U663,0)</f>
        <v>0.0843940232429441</v>
      </c>
      <c r="Y663" s="12" t="n">
        <f aca="false">IF(U663&gt;0,L663/U663,0)</f>
        <v>242.084947426674</v>
      </c>
      <c r="Z663" s="16" t="n">
        <f aca="false">L663*INDEX(Parametros!$E$2:$E$9,MATCH($E663,Parametros!$A$2:$A$9,0))</f>
        <v>339459.26</v>
      </c>
      <c r="AA663" s="16" t="n">
        <f aca="false">Z663*INDEX(Parametros!$F$2:$F$9,MATCH($E663,Parametros!$A$2:$A$9,0))</f>
        <v>7468.10372</v>
      </c>
      <c r="AB663" s="17" t="n">
        <f aca="false">Z663+AA663</f>
        <v>346927.36372</v>
      </c>
      <c r="AC663" s="18" t="n">
        <v>349442.8</v>
      </c>
      <c r="AD663" s="17" t="n">
        <f aca="false">AC663-AB663</f>
        <v>2515.43627999997</v>
      </c>
      <c r="AE663" s="17" t="n">
        <f aca="false">AA663+AD663</f>
        <v>9983.53999999996</v>
      </c>
      <c r="AF663" s="19" t="n">
        <f aca="false">IF(Z663&gt;0,AE663/Z663,0)</f>
        <v>0.0294101271534026</v>
      </c>
      <c r="AG663" s="16" t="n">
        <f aca="false">(U663-W663)*INDEX(Parametros!$H$2:$H$9,MATCH($E663,Parametros!$A$2:$A$9,0))+W663*INDEX(Parametros!$H$2:$H$9,MATCH($E663,Parametros!$A$2:$A$9,0))*Parametros!$N$3</f>
        <v>47457.9</v>
      </c>
      <c r="AH663" s="13" t="n">
        <v>18142</v>
      </c>
      <c r="AI663" s="16" t="n">
        <f aca="false">AH663*Parametros!$N$2</f>
        <v>1669.064</v>
      </c>
      <c r="AJ663" s="18" t="n">
        <v>13773</v>
      </c>
      <c r="AK663" s="18" t="n">
        <v>5891</v>
      </c>
      <c r="AL663" s="17" t="n">
        <f aca="false">AG663+AI663+AJ663+AK663</f>
        <v>68790.964</v>
      </c>
      <c r="AM663" s="20" t="n">
        <f aca="false">IF(L663&gt;0,AL663/L663,0)</f>
        <v>0.196569199732539</v>
      </c>
      <c r="AN663" s="16" t="n">
        <f aca="false">L663*INDEX(Parametros!$G$2:$G$9,MATCH($E663,Parametros!$A$2:$A$9,0))</f>
        <v>566931.96</v>
      </c>
      <c r="AO663" s="17" t="n">
        <f aca="false">AN663-AC663-AL663</f>
        <v>148698.196</v>
      </c>
      <c r="AP663" s="15" t="n">
        <f aca="false">IF(AN663&gt;0,AO663/AN663,0)</f>
        <v>0.262285788227568</v>
      </c>
      <c r="AQ663" s="16" t="n">
        <f aca="false">INDEX(Parametros!$I$2:$I$9,MATCH($E663,Parametros!$A$2:$A$9,0))</f>
        <v>28000000</v>
      </c>
      <c r="AR663" s="19" t="n">
        <f aca="false">IF(AQ663&gt;0,AO663/AQ663,0)</f>
        <v>0.00531064985714286</v>
      </c>
    </row>
    <row r="664" customFormat="false" ht="15" hidden="false" customHeight="false" outlineLevel="0" collapsed="false">
      <c r="A664" s="5" t="s">
        <v>799</v>
      </c>
      <c r="B664" s="9" t="n">
        <v>46125</v>
      </c>
      <c r="C664" s="2" t="str">
        <f aca="false">TEXT(B664,"yyyy")</f>
        <v>2026</v>
      </c>
      <c r="D664" s="2" t="n">
        <f aca="false">WEEKNUM(B664,2)</f>
        <v>16</v>
      </c>
      <c r="E664" s="5" t="s">
        <v>142</v>
      </c>
      <c r="F664" s="6" t="str">
        <f aca="false">INDEX(Parametros!$B$2:$B$9,MATCH($E664,Parametros!$A$2:$A$9,0))</f>
        <v>Porciones single serve</v>
      </c>
      <c r="G664" s="10" t="n">
        <v>107.8</v>
      </c>
      <c r="H664" s="10" t="n">
        <v>7.9</v>
      </c>
      <c r="I664" s="11" t="n">
        <f aca="false">SUMIFS(Eventos_Paro!$J$2:$J$2186,Eventos_Paro!$D$2:$D$2186,$E664,Eventos_Paro!$B$2:$B$2186,$B664)</f>
        <v>5.08333333333333</v>
      </c>
      <c r="J664" s="12" t="n">
        <f aca="false">G664-H664-I664</f>
        <v>94.8166666666667</v>
      </c>
      <c r="K664" s="13" t="n">
        <v>208221</v>
      </c>
      <c r="L664" s="13" t="n">
        <v>180493</v>
      </c>
      <c r="M664" s="13" t="n">
        <v>10335</v>
      </c>
      <c r="N664" s="14" t="n">
        <f aca="false">L664+M664</f>
        <v>190828</v>
      </c>
      <c r="O664" s="11" t="n">
        <f aca="false">INDEX(Parametros!$D$2:$D$9,MATCH($E664,Parametros!$A$2:$A$9,0))</f>
        <v>2600</v>
      </c>
      <c r="P664" s="15" t="n">
        <f aca="false">IF((G664-H664)&gt;0,J664/(G664-H664),0)</f>
        <v>0.949115782449116</v>
      </c>
      <c r="Q664" s="15" t="n">
        <f aca="false">IF(J664*O664&gt;0,N664/(O664*J664),0)</f>
        <v>0.77407682842733</v>
      </c>
      <c r="R664" s="15" t="n">
        <f aca="false">IF(N664&gt;0,L664/N664,0)</f>
        <v>0.945841281153709</v>
      </c>
      <c r="S664" s="15" t="n">
        <f aca="false">P664*Q664*R664</f>
        <v>0.694898744898745</v>
      </c>
      <c r="T664" s="15" t="n">
        <f aca="false">IF(K664&gt;0,L664/K664,0)</f>
        <v>0.866833796783226</v>
      </c>
      <c r="U664" s="10" t="n">
        <v>1876.4</v>
      </c>
      <c r="V664" s="5" t="n">
        <v>17</v>
      </c>
      <c r="W664" s="10" t="n">
        <v>43.8</v>
      </c>
      <c r="X664" s="15" t="n">
        <f aca="false">IF(U664&gt;0,W664/U664,0)</f>
        <v>0.0233425708804093</v>
      </c>
      <c r="Y664" s="12" t="n">
        <f aca="false">IF(U664&gt;0,L664/U664,0)</f>
        <v>96.1911106373908</v>
      </c>
      <c r="Z664" s="16" t="n">
        <f aca="false">L664*INDEX(Parametros!$E$2:$E$9,MATCH($E664,Parametros!$A$2:$A$9,0))</f>
        <v>133564.82</v>
      </c>
      <c r="AA664" s="16" t="n">
        <f aca="false">Z664*INDEX(Parametros!$F$2:$F$9,MATCH($E664,Parametros!$A$2:$A$9,0))</f>
        <v>6010.4169</v>
      </c>
      <c r="AB664" s="17" t="n">
        <f aca="false">Z664+AA664</f>
        <v>139575.2369</v>
      </c>
      <c r="AC664" s="18" t="n">
        <v>137900.17</v>
      </c>
      <c r="AD664" s="17" t="n">
        <f aca="false">AC664-AB664</f>
        <v>-1675.06690000001</v>
      </c>
      <c r="AE664" s="17" t="n">
        <f aca="false">AA664+AD664</f>
        <v>4335.35</v>
      </c>
      <c r="AF664" s="19" t="n">
        <f aca="false">IF(Z664&gt;0,AE664/Z664,0)</f>
        <v>0.0324587717035069</v>
      </c>
      <c r="AG664" s="16" t="n">
        <f aca="false">(U664-W664)*INDEX(Parametros!$H$2:$H$9,MATCH($E664,Parametros!$A$2:$A$9,0))+W664*INDEX(Parametros!$H$2:$H$9,MATCH($E664,Parametros!$A$2:$A$9,0))*Parametros!$N$3</f>
        <v>56949</v>
      </c>
      <c r="AH664" s="13" t="n">
        <v>10122</v>
      </c>
      <c r="AI664" s="16" t="n">
        <f aca="false">AH664*Parametros!$N$2</f>
        <v>931.224</v>
      </c>
      <c r="AJ664" s="18" t="n">
        <v>12827</v>
      </c>
      <c r="AK664" s="18" t="n">
        <v>4198</v>
      </c>
      <c r="AL664" s="17" t="n">
        <f aca="false">AG664+AI664+AJ664+AK664</f>
        <v>74905.224</v>
      </c>
      <c r="AM664" s="20" t="n">
        <f aca="false">IF(L664&gt;0,AL664/L664,0)</f>
        <v>0.415003484899691</v>
      </c>
      <c r="AN664" s="16" t="n">
        <f aca="false">L664*INDEX(Parametros!$G$2:$G$9,MATCH($E664,Parametros!$A$2:$A$9,0))</f>
        <v>310447.96</v>
      </c>
      <c r="AO664" s="17" t="n">
        <f aca="false">AN664-AC664-AL664</f>
        <v>97642.566</v>
      </c>
      <c r="AP664" s="15" t="n">
        <f aca="false">IF(AN664&gt;0,AO664/AN664,0)</f>
        <v>0.314521525604485</v>
      </c>
      <c r="AQ664" s="16" t="n">
        <f aca="false">INDEX(Parametros!$I$2:$I$9,MATCH($E664,Parametros!$A$2:$A$9,0))</f>
        <v>15900000</v>
      </c>
      <c r="AR664" s="19" t="n">
        <f aca="false">IF(AQ664&gt;0,AO664/AQ664,0)</f>
        <v>0.00614104188679245</v>
      </c>
    </row>
    <row r="665" customFormat="false" ht="15" hidden="false" customHeight="false" outlineLevel="0" collapsed="false">
      <c r="A665" s="5" t="s">
        <v>800</v>
      </c>
      <c r="B665" s="9" t="n">
        <v>46125</v>
      </c>
      <c r="C665" s="2" t="str">
        <f aca="false">TEXT(B665,"yyyy")</f>
        <v>2026</v>
      </c>
      <c r="D665" s="2" t="n">
        <f aca="false">WEEKNUM(B665,2)</f>
        <v>16</v>
      </c>
      <c r="E665" s="5" t="s">
        <v>144</v>
      </c>
      <c r="F665" s="6" t="str">
        <f aca="false">INDEX(Parametros!$B$2:$B$9,MATCH($E665,Parametros!$A$2:$A$9,0))</f>
        <v>Salsas picantes</v>
      </c>
      <c r="G665" s="10" t="n">
        <v>85.2</v>
      </c>
      <c r="H665" s="10" t="n">
        <v>7.2</v>
      </c>
      <c r="I665" s="11" t="n">
        <f aca="false">SUMIFS(Eventos_Paro!$J$2:$J$2186,Eventos_Paro!$D$2:$D$2186,$E665,Eventos_Paro!$B$2:$B$2186,$B665)</f>
        <v>2.25</v>
      </c>
      <c r="J665" s="12" t="n">
        <f aca="false">G665-H665-I665</f>
        <v>75.75</v>
      </c>
      <c r="K665" s="13" t="n">
        <v>192343</v>
      </c>
      <c r="L665" s="13" t="n">
        <v>198340</v>
      </c>
      <c r="M665" s="13" t="n">
        <v>5850</v>
      </c>
      <c r="N665" s="14" t="n">
        <f aca="false">L665+M665</f>
        <v>204190</v>
      </c>
      <c r="O665" s="11" t="n">
        <f aca="false">INDEX(Parametros!$D$2:$D$9,MATCH($E665,Parametros!$A$2:$A$9,0))</f>
        <v>3100</v>
      </c>
      <c r="P665" s="15" t="n">
        <f aca="false">IF((G665-H665)&gt;0,J665/(G665-H665),0)</f>
        <v>0.971153846153846</v>
      </c>
      <c r="Q665" s="15" t="n">
        <f aca="false">IF(J665*O665&gt;0,N665/(O665*J665),0)</f>
        <v>0.869541147663153</v>
      </c>
      <c r="R665" s="15" t="n">
        <f aca="false">IF(N665&gt;0,L665/N665,0)</f>
        <v>0.971350213036877</v>
      </c>
      <c r="S665" s="15" t="n">
        <f aca="false">P665*Q665*R665</f>
        <v>0.820264681555004</v>
      </c>
      <c r="T665" s="15" t="n">
        <f aca="false">IF(K665&gt;0,L665/K665,0)</f>
        <v>1.03117867559516</v>
      </c>
      <c r="U665" s="10" t="n">
        <v>838.7</v>
      </c>
      <c r="V665" s="5" t="n">
        <v>9</v>
      </c>
      <c r="W665" s="10" t="n">
        <v>71.9</v>
      </c>
      <c r="X665" s="15" t="n">
        <f aca="false">IF(U665&gt;0,W665/U665,0)</f>
        <v>0.0857279122451413</v>
      </c>
      <c r="Y665" s="12" t="n">
        <f aca="false">IF(U665&gt;0,L665/U665,0)</f>
        <v>236.485036365804</v>
      </c>
      <c r="Z665" s="16" t="n">
        <f aca="false">L665*INDEX(Parametros!$E$2:$E$9,MATCH($E665,Parametros!$A$2:$A$9,0))</f>
        <v>130904.4</v>
      </c>
      <c r="AA665" s="16" t="n">
        <f aca="false">Z665*INDEX(Parametros!$F$2:$F$9,MATCH($E665,Parametros!$A$2:$A$9,0))</f>
        <v>3403.5144</v>
      </c>
      <c r="AB665" s="17" t="n">
        <f aca="false">Z665+AA665</f>
        <v>134307.9144</v>
      </c>
      <c r="AC665" s="18" t="n">
        <v>136994.62</v>
      </c>
      <c r="AD665" s="17" t="n">
        <f aca="false">AC665-AB665</f>
        <v>2686.70559999999</v>
      </c>
      <c r="AE665" s="17" t="n">
        <f aca="false">AA665+AD665</f>
        <v>6090.21999999999</v>
      </c>
      <c r="AF665" s="19" t="n">
        <f aca="false">IF(Z665&gt;0,AE665/Z665,0)</f>
        <v>0.0465241810053748</v>
      </c>
      <c r="AG665" s="16" t="n">
        <f aca="false">(U665-W665)*INDEX(Parametros!$H$2:$H$9,MATCH($E665,Parametros!$A$2:$A$9,0))+W665*INDEX(Parametros!$H$2:$H$9,MATCH($E665,Parametros!$A$2:$A$9,0))*Parametros!$N$3</f>
        <v>27551.475</v>
      </c>
      <c r="AH665" s="13" t="n">
        <v>10750</v>
      </c>
      <c r="AI665" s="16" t="n">
        <f aca="false">AH665*Parametros!$N$2</f>
        <v>989</v>
      </c>
      <c r="AJ665" s="18" t="n">
        <v>7077</v>
      </c>
      <c r="AK665" s="18" t="n">
        <v>2007</v>
      </c>
      <c r="AL665" s="17" t="n">
        <f aca="false">AG665+AI665+AJ665+AK665</f>
        <v>37624.475</v>
      </c>
      <c r="AM665" s="20" t="n">
        <f aca="false">IF(L665&gt;0,AL665/L665,0)</f>
        <v>0.189696858929112</v>
      </c>
      <c r="AN665" s="16" t="n">
        <f aca="false">L665*INDEX(Parametros!$G$2:$G$9,MATCH($E665,Parametros!$A$2:$A$9,0))</f>
        <v>247925</v>
      </c>
      <c r="AO665" s="17" t="n">
        <f aca="false">AN665-AC665-AL665</f>
        <v>73305.905</v>
      </c>
      <c r="AP665" s="15" t="n">
        <f aca="false">IF(AN665&gt;0,AO665/AN665,0)</f>
        <v>0.295677745285873</v>
      </c>
      <c r="AQ665" s="16" t="n">
        <f aca="false">INDEX(Parametros!$I$2:$I$9,MATCH($E665,Parametros!$A$2:$A$9,0))</f>
        <v>13300000</v>
      </c>
      <c r="AR665" s="19" t="n">
        <f aca="false">IF(AQ665&gt;0,AO665/AQ665,0)</f>
        <v>0.00551172218045113</v>
      </c>
    </row>
    <row r="666" customFormat="false" ht="15" hidden="false" customHeight="false" outlineLevel="0" collapsed="false">
      <c r="A666" s="5" t="s">
        <v>801</v>
      </c>
      <c r="B666" s="9" t="n">
        <v>46132</v>
      </c>
      <c r="C666" s="2" t="str">
        <f aca="false">TEXT(B666,"yyyy")</f>
        <v>2026</v>
      </c>
      <c r="D666" s="2" t="n">
        <f aca="false">WEEKNUM(B666,2)</f>
        <v>17</v>
      </c>
      <c r="E666" s="5" t="s">
        <v>130</v>
      </c>
      <c r="F666" s="6" t="str">
        <f aca="false">INDEX(Parametros!$B$2:$B$9,MATCH($E666,Parametros!$A$2:$A$9,0))</f>
        <v>Ketchup botella</v>
      </c>
      <c r="G666" s="10" t="n">
        <v>115.7</v>
      </c>
      <c r="H666" s="10" t="n">
        <v>6.1</v>
      </c>
      <c r="I666" s="11" t="n">
        <f aca="false">SUMIFS(Eventos_Paro!$J$2:$J$2186,Eventos_Paro!$D$2:$D$2186,$E666,Eventos_Paro!$B$2:$B$2186,$B666)</f>
        <v>2.11666666666667</v>
      </c>
      <c r="J666" s="12" t="n">
        <f aca="false">G666-H666-I666</f>
        <v>107.483333333333</v>
      </c>
      <c r="K666" s="13" t="n">
        <v>794527</v>
      </c>
      <c r="L666" s="13" t="n">
        <v>863876</v>
      </c>
      <c r="M666" s="13" t="n">
        <v>22529</v>
      </c>
      <c r="N666" s="14" t="n">
        <f aca="false">L666+M666</f>
        <v>886405</v>
      </c>
      <c r="O666" s="11" t="n">
        <f aca="false">INDEX(Parametros!$D$2:$D$9,MATCH($E666,Parametros!$A$2:$A$9,0))</f>
        <v>9000</v>
      </c>
      <c r="P666" s="15" t="n">
        <f aca="false">IF((G666-H666)&gt;0,J666/(G666-H666),0)</f>
        <v>0.980687347931874</v>
      </c>
      <c r="Q666" s="15" t="n">
        <f aca="false">IF(J666*O666&gt;0,N666/(O666*J666),0)</f>
        <v>0.916322944125704</v>
      </c>
      <c r="R666" s="15" t="n">
        <f aca="false">IF(N666&gt;0,L666/N666,0)</f>
        <v>0.974583852753538</v>
      </c>
      <c r="S666" s="15" t="n">
        <f aca="false">P666*Q666*R666</f>
        <v>0.875786699107867</v>
      </c>
      <c r="T666" s="15" t="n">
        <f aca="false">IF(K666&gt;0,L666/K666,0)</f>
        <v>1.08728337740568</v>
      </c>
      <c r="U666" s="10" t="n">
        <v>1789.1</v>
      </c>
      <c r="V666" s="5" t="n">
        <v>14</v>
      </c>
      <c r="W666" s="10" t="n">
        <v>169.3</v>
      </c>
      <c r="X666" s="15" t="n">
        <f aca="false">IF(U666&gt;0,W666/U666,0)</f>
        <v>0.0946285842043486</v>
      </c>
      <c r="Y666" s="12" t="n">
        <f aca="false">IF(U666&gt;0,L666/U666,0)</f>
        <v>482.85506679336</v>
      </c>
      <c r="Z666" s="16" t="n">
        <f aca="false">L666*INDEX(Parametros!$E$2:$E$9,MATCH($E666,Parametros!$A$2:$A$9,0))</f>
        <v>362827.92</v>
      </c>
      <c r="AA666" s="16" t="n">
        <f aca="false">Z666*INDEX(Parametros!$F$2:$F$9,MATCH($E666,Parametros!$A$2:$A$9,0))</f>
        <v>7256.5584</v>
      </c>
      <c r="AB666" s="17" t="n">
        <f aca="false">Z666+AA666</f>
        <v>370084.4784</v>
      </c>
      <c r="AC666" s="18" t="n">
        <v>374563.42</v>
      </c>
      <c r="AD666" s="17" t="n">
        <f aca="false">AC666-AB666</f>
        <v>4478.94160000002</v>
      </c>
      <c r="AE666" s="17" t="n">
        <f aca="false">AA666+AD666</f>
        <v>11735.5</v>
      </c>
      <c r="AF666" s="19" t="n">
        <f aca="false">IF(Z666&gt;0,AE666/Z666,0)</f>
        <v>0.0323445340149127</v>
      </c>
      <c r="AG666" s="16" t="n">
        <f aca="false">(U666-W666)*INDEX(Parametros!$H$2:$H$9,MATCH($E666,Parametros!$A$2:$A$9,0))+W666*INDEX(Parametros!$H$2:$H$9,MATCH($E666,Parametros!$A$2:$A$9,0))*Parametros!$N$3</f>
        <v>59023.125</v>
      </c>
      <c r="AH666" s="13" t="n">
        <v>45388</v>
      </c>
      <c r="AI666" s="16" t="n">
        <f aca="false">AH666*Parametros!$N$2</f>
        <v>4175.696</v>
      </c>
      <c r="AJ666" s="18" t="n">
        <v>16298</v>
      </c>
      <c r="AK666" s="18" t="n">
        <v>1593</v>
      </c>
      <c r="AL666" s="17" t="n">
        <f aca="false">AG666+AI666+AJ666+AK666</f>
        <v>81089.821</v>
      </c>
      <c r="AM666" s="20" t="n">
        <f aca="false">IF(L666&gt;0,AL666/L666,0)</f>
        <v>0.0938674312054045</v>
      </c>
      <c r="AN666" s="16" t="n">
        <f aca="false">L666*INDEX(Parametros!$G$2:$G$9,MATCH($E666,Parametros!$A$2:$A$9,0))</f>
        <v>613351.96</v>
      </c>
      <c r="AO666" s="17" t="n">
        <f aca="false">AN666-AC666-AL666</f>
        <v>157698.719</v>
      </c>
      <c r="AP666" s="15" t="n">
        <f aca="false">IF(AN666&gt;0,AO666/AN666,0)</f>
        <v>0.257109668321595</v>
      </c>
      <c r="AQ666" s="16" t="n">
        <f aca="false">INDEX(Parametros!$I$2:$I$9,MATCH($E666,Parametros!$A$2:$A$9,0))</f>
        <v>29300000</v>
      </c>
      <c r="AR666" s="19" t="n">
        <f aca="false">IF(AQ666&gt;0,AO666/AQ666,0)</f>
        <v>0.00538220883959044</v>
      </c>
    </row>
    <row r="667" customFormat="false" ht="15" hidden="false" customHeight="false" outlineLevel="0" collapsed="false">
      <c r="A667" s="5" t="s">
        <v>802</v>
      </c>
      <c r="B667" s="9" t="n">
        <v>46132</v>
      </c>
      <c r="C667" s="2" t="str">
        <f aca="false">TEXT(B667,"yyyy")</f>
        <v>2026</v>
      </c>
      <c r="D667" s="2" t="n">
        <f aca="false">WEEKNUM(B667,2)</f>
        <v>17</v>
      </c>
      <c r="E667" s="5" t="s">
        <v>132</v>
      </c>
      <c r="F667" s="6" t="str">
        <f aca="false">INDEX(Parametros!$B$2:$B$9,MATCH($E667,Parametros!$A$2:$A$9,0))</f>
        <v>Mayonesa frasco</v>
      </c>
      <c r="G667" s="10" t="n">
        <v>116.5</v>
      </c>
      <c r="H667" s="10" t="n">
        <v>6.5</v>
      </c>
      <c r="I667" s="11" t="n">
        <f aca="false">SUMIFS(Eventos_Paro!$J$2:$J$2186,Eventos_Paro!$D$2:$D$2186,$E667,Eventos_Paro!$B$2:$B$2186,$B667)</f>
        <v>5.76666666666667</v>
      </c>
      <c r="J667" s="12" t="n">
        <f aca="false">G667-H667-I667</f>
        <v>104.233333333333</v>
      </c>
      <c r="K667" s="13" t="n">
        <v>575919</v>
      </c>
      <c r="L667" s="13" t="n">
        <v>571080</v>
      </c>
      <c r="M667" s="13" t="n">
        <v>16706</v>
      </c>
      <c r="N667" s="14" t="n">
        <f aca="false">L667+M667</f>
        <v>587786</v>
      </c>
      <c r="O667" s="11" t="n">
        <f aca="false">INDEX(Parametros!$D$2:$D$9,MATCH($E667,Parametros!$A$2:$A$9,0))</f>
        <v>6500</v>
      </c>
      <c r="P667" s="15" t="n">
        <f aca="false">IF((G667-H667)&gt;0,J667/(G667-H667),0)</f>
        <v>0.947575757575758</v>
      </c>
      <c r="Q667" s="15" t="n">
        <f aca="false">IF(J667*O667&gt;0,N667/(O667*J667),0)</f>
        <v>0.867559469631744</v>
      </c>
      <c r="R667" s="15" t="n">
        <f aca="false">IF(N667&gt;0,L667/N667,0)</f>
        <v>0.97157809134617</v>
      </c>
      <c r="S667" s="15" t="n">
        <f aca="false">P667*Q667*R667</f>
        <v>0.798713286713287</v>
      </c>
      <c r="T667" s="15" t="n">
        <f aca="false">IF(K667&gt;0,L667/K667,0)</f>
        <v>0.991597776770692</v>
      </c>
      <c r="U667" s="10" t="n">
        <v>1668.8</v>
      </c>
      <c r="V667" s="5" t="n">
        <v>13</v>
      </c>
      <c r="W667" s="10" t="n">
        <v>154.3</v>
      </c>
      <c r="X667" s="15" t="n">
        <f aca="false">IF(U667&gt;0,W667/U667,0)</f>
        <v>0.0924616490891659</v>
      </c>
      <c r="Y667" s="12" t="n">
        <f aca="false">IF(U667&gt;0,L667/U667,0)</f>
        <v>342.209971236817</v>
      </c>
      <c r="Z667" s="16" t="n">
        <f aca="false">L667*INDEX(Parametros!$E$2:$E$9,MATCH($E667,Parametros!$A$2:$A$9,0))</f>
        <v>348358.8</v>
      </c>
      <c r="AA667" s="16" t="n">
        <f aca="false">Z667*INDEX(Parametros!$F$2:$F$9,MATCH($E667,Parametros!$A$2:$A$9,0))</f>
        <v>8708.97</v>
      </c>
      <c r="AB667" s="17" t="n">
        <f aca="false">Z667+AA667</f>
        <v>357067.77</v>
      </c>
      <c r="AC667" s="18" t="n">
        <v>360988.29</v>
      </c>
      <c r="AD667" s="17" t="n">
        <f aca="false">AC667-AB667</f>
        <v>3920.52000000002</v>
      </c>
      <c r="AE667" s="17" t="n">
        <f aca="false">AA667+AD667</f>
        <v>12629.49</v>
      </c>
      <c r="AF667" s="19" t="n">
        <f aca="false">IF(Z667&gt;0,AE667/Z667,0)</f>
        <v>0.0362542585403326</v>
      </c>
      <c r="AG667" s="16" t="n">
        <f aca="false">(U667-W667)*INDEX(Parametros!$H$2:$H$9,MATCH($E667,Parametros!$A$2:$A$9,0))+W667*INDEX(Parametros!$H$2:$H$9,MATCH($E667,Parametros!$A$2:$A$9,0))*Parametros!$N$3</f>
        <v>54997.425</v>
      </c>
      <c r="AH667" s="13" t="n">
        <v>29203</v>
      </c>
      <c r="AI667" s="16" t="n">
        <f aca="false">AH667*Parametros!$N$2</f>
        <v>2686.676</v>
      </c>
      <c r="AJ667" s="18" t="n">
        <v>14485</v>
      </c>
      <c r="AK667" s="18" t="n">
        <v>4574</v>
      </c>
      <c r="AL667" s="17" t="n">
        <f aca="false">AG667+AI667+AJ667+AK667</f>
        <v>76743.101</v>
      </c>
      <c r="AM667" s="20" t="n">
        <f aca="false">IF(L667&gt;0,AL667/L667,0)</f>
        <v>0.134382400014009</v>
      </c>
      <c r="AN667" s="16" t="n">
        <f aca="false">L667*INDEX(Parametros!$G$2:$G$9,MATCH($E667,Parametros!$A$2:$A$9,0))</f>
        <v>548236.8</v>
      </c>
      <c r="AO667" s="17" t="n">
        <f aca="false">AN667-AC667-AL667</f>
        <v>110505.409</v>
      </c>
      <c r="AP667" s="15" t="n">
        <f aca="false">IF(AN667&gt;0,AO667/AN667,0)</f>
        <v>0.201565106537905</v>
      </c>
      <c r="AQ667" s="16" t="n">
        <f aca="false">INDEX(Parametros!$I$2:$I$9,MATCH($E667,Parametros!$A$2:$A$9,0))</f>
        <v>29700000</v>
      </c>
      <c r="AR667" s="19" t="n">
        <f aca="false">IF(AQ667&gt;0,AO667/AQ667,0)</f>
        <v>0.00372072084175084</v>
      </c>
    </row>
    <row r="668" customFormat="false" ht="15" hidden="false" customHeight="false" outlineLevel="0" collapsed="false">
      <c r="A668" s="5" t="s">
        <v>803</v>
      </c>
      <c r="B668" s="9" t="n">
        <v>46132</v>
      </c>
      <c r="C668" s="2" t="str">
        <f aca="false">TEXT(B668,"yyyy")</f>
        <v>2026</v>
      </c>
      <c r="D668" s="2" t="n">
        <f aca="false">WEEKNUM(B668,2)</f>
        <v>17</v>
      </c>
      <c r="E668" s="5" t="s">
        <v>134</v>
      </c>
      <c r="F668" s="6" t="str">
        <f aca="false">INDEX(Parametros!$B$2:$B$9,MATCH($E668,Parametros!$A$2:$A$9,0))</f>
        <v>Aderezos vertibles</v>
      </c>
      <c r="G668" s="10" t="n">
        <v>107.8</v>
      </c>
      <c r="H668" s="10" t="n">
        <v>6.2</v>
      </c>
      <c r="I668" s="11" t="n">
        <f aca="false">SUMIFS(Eventos_Paro!$J$2:$J$2186,Eventos_Paro!$D$2:$D$2186,$E668,Eventos_Paro!$B$2:$B$2186,$B668)</f>
        <v>2.48333333333333</v>
      </c>
      <c r="J668" s="12" t="n">
        <f aca="false">G668-H668-I668</f>
        <v>99.1166666666667</v>
      </c>
      <c r="K668" s="13" t="n">
        <v>425552</v>
      </c>
      <c r="L668" s="13" t="n">
        <v>386495</v>
      </c>
      <c r="M668" s="13" t="n">
        <v>15775</v>
      </c>
      <c r="N668" s="14" t="n">
        <f aca="false">L668+M668</f>
        <v>402270</v>
      </c>
      <c r="O668" s="11" t="n">
        <f aca="false">INDEX(Parametros!$D$2:$D$9,MATCH($E668,Parametros!$A$2:$A$9,0))</f>
        <v>5200</v>
      </c>
      <c r="P668" s="15" t="n">
        <f aca="false">IF((G668-H668)&gt;0,J668/(G668-H668),0)</f>
        <v>0.975557742782152</v>
      </c>
      <c r="Q668" s="15" t="n">
        <f aca="false">IF(J668*O668&gt;0,N668/(O668*J668),0)</f>
        <v>0.780490486476698</v>
      </c>
      <c r="R668" s="15" t="n">
        <f aca="false">IF(N668&gt;0,L668/N668,0)</f>
        <v>0.960785044870361</v>
      </c>
      <c r="S668" s="15" t="n">
        <f aca="false">P668*Q668*R668</f>
        <v>0.731554739551787</v>
      </c>
      <c r="T668" s="15" t="n">
        <f aca="false">IF(K668&gt;0,L668/K668,0)</f>
        <v>0.90822038199797</v>
      </c>
      <c r="U668" s="10" t="n">
        <v>1428</v>
      </c>
      <c r="V668" s="5" t="n">
        <v>13</v>
      </c>
      <c r="W668" s="10" t="n">
        <v>26.6</v>
      </c>
      <c r="X668" s="15" t="n">
        <f aca="false">IF(U668&gt;0,W668/U668,0)</f>
        <v>0.0186274509803922</v>
      </c>
      <c r="Y668" s="12" t="n">
        <f aca="false">IF(U668&gt;0,L668/U668,0)</f>
        <v>270.654761904762</v>
      </c>
      <c r="Z668" s="16" t="n">
        <f aca="false">L668*INDEX(Parametros!$E$2:$E$9,MATCH($E668,Parametros!$A$2:$A$9,0))</f>
        <v>212572.25</v>
      </c>
      <c r="AA668" s="16" t="n">
        <f aca="false">Z668*INDEX(Parametros!$F$2:$F$9,MATCH($E668,Parametros!$A$2:$A$9,0))</f>
        <v>6377.1675</v>
      </c>
      <c r="AB668" s="17" t="n">
        <f aca="false">Z668+AA668</f>
        <v>218949.4175</v>
      </c>
      <c r="AC668" s="18" t="n">
        <v>220922.24</v>
      </c>
      <c r="AD668" s="17" t="n">
        <f aca="false">AC668-AB668</f>
        <v>1972.82249999995</v>
      </c>
      <c r="AE668" s="17" t="n">
        <f aca="false">AA668+AD668</f>
        <v>8349.98999999995</v>
      </c>
      <c r="AF668" s="19" t="n">
        <f aca="false">IF(Z668&gt;0,AE668/Z668,0)</f>
        <v>0.0392807151450857</v>
      </c>
      <c r="AG668" s="16" t="n">
        <f aca="false">(U668-W668)*INDEX(Parametros!$H$2:$H$9,MATCH($E668,Parametros!$A$2:$A$9,0))+W668*INDEX(Parametros!$H$2:$H$9,MATCH($E668,Parametros!$A$2:$A$9,0))*Parametros!$N$3</f>
        <v>45400.95</v>
      </c>
      <c r="AH668" s="13" t="n">
        <v>20218</v>
      </c>
      <c r="AI668" s="16" t="n">
        <f aca="false">AH668*Parametros!$N$2</f>
        <v>1860.056</v>
      </c>
      <c r="AJ668" s="18" t="n">
        <v>9534</v>
      </c>
      <c r="AK668" s="18" t="n">
        <v>2067</v>
      </c>
      <c r="AL668" s="17" t="n">
        <f aca="false">AG668+AI668+AJ668+AK668</f>
        <v>58862.006</v>
      </c>
      <c r="AM668" s="20" t="n">
        <f aca="false">IF(L668&gt;0,AL668/L668,0)</f>
        <v>0.152296940452011</v>
      </c>
      <c r="AN668" s="16" t="n">
        <f aca="false">L668*INDEX(Parametros!$G$2:$G$9,MATCH($E668,Parametros!$A$2:$A$9,0))</f>
        <v>394224.9</v>
      </c>
      <c r="AO668" s="17" t="n">
        <f aca="false">AN668-AC668-AL668</f>
        <v>114440.654</v>
      </c>
      <c r="AP668" s="15" t="n">
        <f aca="false">IF(AN668&gt;0,AO668/AN668,0)</f>
        <v>0.290292810017835</v>
      </c>
      <c r="AQ668" s="16" t="n">
        <f aca="false">INDEX(Parametros!$I$2:$I$9,MATCH($E668,Parametros!$A$2:$A$9,0))</f>
        <v>19300000</v>
      </c>
      <c r="AR668" s="19" t="n">
        <f aca="false">IF(AQ668&gt;0,AO668/AQ668,0)</f>
        <v>0.00592956756476684</v>
      </c>
    </row>
    <row r="669" customFormat="false" ht="15" hidden="false" customHeight="false" outlineLevel="0" collapsed="false">
      <c r="A669" s="5" t="s">
        <v>804</v>
      </c>
      <c r="B669" s="9" t="n">
        <v>46132</v>
      </c>
      <c r="C669" s="2" t="str">
        <f aca="false">TEXT(B669,"yyyy")</f>
        <v>2026</v>
      </c>
      <c r="D669" s="2" t="n">
        <f aca="false">WEEKNUM(B669,2)</f>
        <v>17</v>
      </c>
      <c r="E669" s="5" t="s">
        <v>136</v>
      </c>
      <c r="F669" s="6" t="str">
        <f aca="false">INDEX(Parametros!$B$2:$B$9,MATCH($E669,Parametros!$A$2:$A$9,0))</f>
        <v>Salsa BBQ</v>
      </c>
      <c r="G669" s="10" t="n">
        <v>110.7</v>
      </c>
      <c r="H669" s="10" t="n">
        <v>6.7</v>
      </c>
      <c r="I669" s="11" t="n">
        <f aca="false">SUMIFS(Eventos_Paro!$J$2:$J$2186,Eventos_Paro!$D$2:$D$2186,$E669,Eventos_Paro!$B$2:$B$2186,$B669)</f>
        <v>0.766666666666667</v>
      </c>
      <c r="J669" s="12" t="n">
        <f aca="false">G669-H669-I669</f>
        <v>103.233333333333</v>
      </c>
      <c r="K669" s="13" t="n">
        <v>411673</v>
      </c>
      <c r="L669" s="13" t="n">
        <v>391040</v>
      </c>
      <c r="M669" s="13" t="n">
        <v>10879</v>
      </c>
      <c r="N669" s="14" t="n">
        <f aca="false">L669+M669</f>
        <v>401919</v>
      </c>
      <c r="O669" s="11" t="n">
        <f aca="false">INDEX(Parametros!$D$2:$D$9,MATCH($E669,Parametros!$A$2:$A$9,0))</f>
        <v>4800</v>
      </c>
      <c r="P669" s="15" t="n">
        <f aca="false">IF((G669-H669)&gt;0,J669/(G669-H669),0)</f>
        <v>0.992628205128205</v>
      </c>
      <c r="Q669" s="15" t="n">
        <f aca="false">IF(J669*O669&gt;0,N669/(O669*J669),0)</f>
        <v>0.811105505327737</v>
      </c>
      <c r="R669" s="15" t="n">
        <f aca="false">IF(N669&gt;0,L669/N669,0)</f>
        <v>0.97293235701721</v>
      </c>
      <c r="S669" s="15" t="n">
        <f aca="false">P669*Q669*R669</f>
        <v>0.783333333333333</v>
      </c>
      <c r="T669" s="15" t="n">
        <f aca="false">IF(K669&gt;0,L669/K669,0)</f>
        <v>0.949880123301747</v>
      </c>
      <c r="U669" s="10" t="n">
        <v>1410.6</v>
      </c>
      <c r="V669" s="5" t="n">
        <v>12</v>
      </c>
      <c r="W669" s="10" t="n">
        <v>82.2</v>
      </c>
      <c r="X669" s="15" t="n">
        <f aca="false">IF(U669&gt;0,W669/U669,0)</f>
        <v>0.0582730752871119</v>
      </c>
      <c r="Y669" s="12" t="n">
        <f aca="false">IF(U669&gt;0,L669/U669,0)</f>
        <v>277.215369346377</v>
      </c>
      <c r="Z669" s="16" t="n">
        <f aca="false">L669*INDEX(Parametros!$E$2:$E$9,MATCH($E669,Parametros!$A$2:$A$9,0))</f>
        <v>226803.2</v>
      </c>
      <c r="AA669" s="16" t="n">
        <f aca="false">Z669*INDEX(Parametros!$F$2:$F$9,MATCH($E669,Parametros!$A$2:$A$9,0))</f>
        <v>6350.4896</v>
      </c>
      <c r="AB669" s="17" t="n">
        <f aca="false">Z669+AA669</f>
        <v>233153.6896</v>
      </c>
      <c r="AC669" s="18" t="n">
        <v>234499.12</v>
      </c>
      <c r="AD669" s="17" t="n">
        <f aca="false">AC669-AB669</f>
        <v>1345.43040000001</v>
      </c>
      <c r="AE669" s="17" t="n">
        <f aca="false">AA669+AD669</f>
        <v>7695.92000000001</v>
      </c>
      <c r="AF669" s="19" t="n">
        <f aca="false">IF(Z669&gt;0,AE669/Z669,0)</f>
        <v>0.0339321491054801</v>
      </c>
      <c r="AG669" s="16" t="n">
        <f aca="false">(U669-W669)*INDEX(Parametros!$H$2:$H$9,MATCH($E669,Parametros!$A$2:$A$9,0))+W669*INDEX(Parametros!$H$2:$H$9,MATCH($E669,Parametros!$A$2:$A$9,0))*Parametros!$N$3</f>
        <v>45728.55</v>
      </c>
      <c r="AH669" s="13" t="n">
        <v>19935</v>
      </c>
      <c r="AI669" s="16" t="n">
        <f aca="false">AH669*Parametros!$N$2</f>
        <v>1834.02</v>
      </c>
      <c r="AJ669" s="18" t="n">
        <v>9120</v>
      </c>
      <c r="AK669" s="18" t="n">
        <v>889</v>
      </c>
      <c r="AL669" s="17" t="n">
        <f aca="false">AG669+AI669+AJ669+AK669</f>
        <v>57571.57</v>
      </c>
      <c r="AM669" s="20" t="n">
        <f aca="false">IF(L669&gt;0,AL669/L669,0)</f>
        <v>0.147226805441899</v>
      </c>
      <c r="AN669" s="16" t="n">
        <f aca="false">L669*INDEX(Parametros!$G$2:$G$9,MATCH($E669,Parametros!$A$2:$A$9,0))</f>
        <v>383219.2</v>
      </c>
      <c r="AO669" s="17" t="n">
        <f aca="false">AN669-AC669-AL669</f>
        <v>91148.51</v>
      </c>
      <c r="AP669" s="15" t="n">
        <f aca="false">IF(AN669&gt;0,AO669/AN669,0)</f>
        <v>0.237849538854003</v>
      </c>
      <c r="AQ669" s="16" t="n">
        <f aca="false">INDEX(Parametros!$I$2:$I$9,MATCH($E669,Parametros!$A$2:$A$9,0))</f>
        <v>17000000</v>
      </c>
      <c r="AR669" s="19" t="n">
        <f aca="false">IF(AQ669&gt;0,AO669/AQ669,0)</f>
        <v>0.00536167705882353</v>
      </c>
    </row>
    <row r="670" customFormat="false" ht="15" hidden="false" customHeight="false" outlineLevel="0" collapsed="false">
      <c r="A670" s="5" t="s">
        <v>805</v>
      </c>
      <c r="B670" s="9" t="n">
        <v>46132</v>
      </c>
      <c r="C670" s="2" t="str">
        <f aca="false">TEXT(B670,"yyyy")</f>
        <v>2026</v>
      </c>
      <c r="D670" s="2" t="n">
        <f aca="false">WEEKNUM(B670,2)</f>
        <v>17</v>
      </c>
      <c r="E670" s="5" t="s">
        <v>138</v>
      </c>
      <c r="F670" s="6" t="str">
        <f aca="false">INDEX(Parametros!$B$2:$B$9,MATCH($E670,Parametros!$A$2:$A$9,0))</f>
        <v>Queso crema</v>
      </c>
      <c r="G670" s="10" t="n">
        <v>121.7</v>
      </c>
      <c r="H670" s="10" t="n">
        <v>5.1</v>
      </c>
      <c r="I670" s="11" t="n">
        <f aca="false">SUMIFS(Eventos_Paro!$J$2:$J$2186,Eventos_Paro!$D$2:$D$2186,$E670,Eventos_Paro!$B$2:$B$2186,$B670)</f>
        <v>0.35</v>
      </c>
      <c r="J670" s="12" t="n">
        <f aca="false">G670-H670-I670</f>
        <v>116.25</v>
      </c>
      <c r="K670" s="13" t="n">
        <v>356893</v>
      </c>
      <c r="L670" s="13" t="n">
        <v>352742</v>
      </c>
      <c r="M670" s="13" t="n">
        <v>16365</v>
      </c>
      <c r="N670" s="14" t="n">
        <f aca="false">L670+M670</f>
        <v>369107</v>
      </c>
      <c r="O670" s="11" t="n">
        <f aca="false">INDEX(Parametros!$D$2:$D$9,MATCH($E670,Parametros!$A$2:$A$9,0))</f>
        <v>3800</v>
      </c>
      <c r="P670" s="15" t="n">
        <f aca="false">IF((G670-H670)&gt;0,J670/(G670-H670),0)</f>
        <v>0.996998284734134</v>
      </c>
      <c r="Q670" s="15" t="n">
        <f aca="false">IF(J670*O670&gt;0,N670/(O670*J670),0)</f>
        <v>0.835556310130164</v>
      </c>
      <c r="R670" s="15" t="n">
        <f aca="false">IF(N670&gt;0,L670/N670,0)</f>
        <v>0.95566326295627</v>
      </c>
      <c r="S670" s="15" t="n">
        <f aca="false">P670*Q670*R670</f>
        <v>0.796113568655773</v>
      </c>
      <c r="T670" s="15" t="n">
        <f aca="false">IF(K670&gt;0,L670/K670,0)</f>
        <v>0.988369062996472</v>
      </c>
      <c r="U670" s="10" t="n">
        <v>1901.7</v>
      </c>
      <c r="V670" s="5" t="n">
        <v>14</v>
      </c>
      <c r="W670" s="10" t="n">
        <v>197.9</v>
      </c>
      <c r="X670" s="15" t="n">
        <f aca="false">IF(U670&gt;0,W670/U670,0)</f>
        <v>0.104064784140506</v>
      </c>
      <c r="Y670" s="12" t="n">
        <f aca="false">IF(U670&gt;0,L670/U670,0)</f>
        <v>185.487721512331</v>
      </c>
      <c r="Z670" s="16" t="n">
        <f aca="false">L670*INDEX(Parametros!$E$2:$E$9,MATCH($E670,Parametros!$A$2:$A$9,0))</f>
        <v>395071.04</v>
      </c>
      <c r="AA670" s="16" t="n">
        <f aca="false">Z670*INDEX(Parametros!$F$2:$F$9,MATCH($E670,Parametros!$A$2:$A$9,0))</f>
        <v>13827.4864</v>
      </c>
      <c r="AB670" s="17" t="n">
        <f aca="false">Z670+AA670</f>
        <v>408898.5264</v>
      </c>
      <c r="AC670" s="18" t="n">
        <v>414250.9</v>
      </c>
      <c r="AD670" s="17" t="n">
        <f aca="false">AC670-AB670</f>
        <v>5352.37359999999</v>
      </c>
      <c r="AE670" s="17" t="n">
        <f aca="false">AA670+AD670</f>
        <v>19179.86</v>
      </c>
      <c r="AF670" s="19" t="n">
        <f aca="false">IF(Z670&gt;0,AE670/Z670,0)</f>
        <v>0.0485478763515544</v>
      </c>
      <c r="AG670" s="16" t="n">
        <f aca="false">(U670-W670)*INDEX(Parametros!$H$2:$H$9,MATCH($E670,Parametros!$A$2:$A$9,0))+W670*INDEX(Parametros!$H$2:$H$9,MATCH($E670,Parametros!$A$2:$A$9,0))*Parametros!$N$3</f>
        <v>66021.45</v>
      </c>
      <c r="AH670" s="13" t="n">
        <v>20361</v>
      </c>
      <c r="AI670" s="16" t="n">
        <f aca="false">AH670*Parametros!$N$2</f>
        <v>1873.212</v>
      </c>
      <c r="AJ670" s="18" t="n">
        <v>21823</v>
      </c>
      <c r="AK670" s="18" t="n">
        <v>241</v>
      </c>
      <c r="AL670" s="17" t="n">
        <f aca="false">AG670+AI670+AJ670+AK670</f>
        <v>89958.662</v>
      </c>
      <c r="AM670" s="20" t="n">
        <f aca="false">IF(L670&gt;0,AL670/L670,0)</f>
        <v>0.255026795788423</v>
      </c>
      <c r="AN670" s="16" t="n">
        <f aca="false">L670*INDEX(Parametros!$G$2:$G$9,MATCH($E670,Parametros!$A$2:$A$9,0))</f>
        <v>631408.18</v>
      </c>
      <c r="AO670" s="17" t="n">
        <f aca="false">AN670-AC670-AL670</f>
        <v>127198.618</v>
      </c>
      <c r="AP670" s="15" t="n">
        <f aca="false">IF(AN670&gt;0,AO670/AN670,0)</f>
        <v>0.20145228083678</v>
      </c>
      <c r="AQ670" s="16" t="n">
        <f aca="false">INDEX(Parametros!$I$2:$I$9,MATCH($E670,Parametros!$A$2:$A$9,0))</f>
        <v>33200000</v>
      </c>
      <c r="AR670" s="19" t="n">
        <f aca="false">IF(AQ670&gt;0,AO670/AQ670,0)</f>
        <v>0.0038312836746988</v>
      </c>
    </row>
    <row r="671" customFormat="false" ht="15" hidden="false" customHeight="false" outlineLevel="0" collapsed="false">
      <c r="A671" s="5" t="s">
        <v>806</v>
      </c>
      <c r="B671" s="9" t="n">
        <v>46132</v>
      </c>
      <c r="C671" s="2" t="str">
        <f aca="false">TEXT(B671,"yyyy")</f>
        <v>2026</v>
      </c>
      <c r="D671" s="2" t="n">
        <f aca="false">WEEKNUM(B671,2)</f>
        <v>17</v>
      </c>
      <c r="E671" s="5" t="s">
        <v>140</v>
      </c>
      <c r="F671" s="6" t="str">
        <f aca="false">INDEX(Parametros!$B$2:$B$9,MATCH($E671,Parametros!$A$2:$A$9,0))</f>
        <v>Crema de cacahuate</v>
      </c>
      <c r="G671" s="10" t="n">
        <v>114.1</v>
      </c>
      <c r="H671" s="10" t="n">
        <v>6.9</v>
      </c>
      <c r="I671" s="11" t="n">
        <f aca="false">SUMIFS(Eventos_Paro!$J$2:$J$2186,Eventos_Paro!$D$2:$D$2186,$E671,Eventos_Paro!$B$2:$B$2186,$B671)</f>
        <v>0</v>
      </c>
      <c r="J671" s="12" t="n">
        <f aca="false">G671-H671-I671</f>
        <v>107.2</v>
      </c>
      <c r="K671" s="13" t="n">
        <v>362660</v>
      </c>
      <c r="L671" s="13" t="n">
        <v>393464</v>
      </c>
      <c r="M671" s="13" t="n">
        <v>12995</v>
      </c>
      <c r="N671" s="14" t="n">
        <f aca="false">L671+M671</f>
        <v>406459</v>
      </c>
      <c r="O671" s="11" t="n">
        <f aca="false">INDEX(Parametros!$D$2:$D$9,MATCH($E671,Parametros!$A$2:$A$9,0))</f>
        <v>4200</v>
      </c>
      <c r="P671" s="15" t="n">
        <f aca="false">IF((G671-H671)&gt;0,J671/(G671-H671),0)</f>
        <v>1</v>
      </c>
      <c r="Q671" s="15" t="n">
        <f aca="false">IF(J671*O671&gt;0,N671/(O671*J671),0)</f>
        <v>0.902760749822317</v>
      </c>
      <c r="R671" s="15" t="n">
        <f aca="false">IF(N671&gt;0,L671/N671,0)</f>
        <v>0.968028755667853</v>
      </c>
      <c r="S671" s="15" t="n">
        <f aca="false">P671*Q671*R671</f>
        <v>0.873898365316276</v>
      </c>
      <c r="T671" s="15" t="n">
        <f aca="false">IF(K671&gt;0,L671/K671,0)</f>
        <v>1.0849390613798</v>
      </c>
      <c r="U671" s="10" t="n">
        <v>1452.2</v>
      </c>
      <c r="V671" s="5" t="n">
        <v>12</v>
      </c>
      <c r="W671" s="10" t="n">
        <v>83</v>
      </c>
      <c r="X671" s="15" t="n">
        <f aca="false">IF(U671&gt;0,W671/U671,0)</f>
        <v>0.0571546618923013</v>
      </c>
      <c r="Y671" s="12" t="n">
        <f aca="false">IF(U671&gt;0,L671/U671,0)</f>
        <v>270.943396226415</v>
      </c>
      <c r="Z671" s="16" t="n">
        <f aca="false">L671*INDEX(Parametros!$E$2:$E$9,MATCH($E671,Parametros!$A$2:$A$9,0))</f>
        <v>381660.08</v>
      </c>
      <c r="AA671" s="16" t="n">
        <f aca="false">Z671*INDEX(Parametros!$F$2:$F$9,MATCH($E671,Parametros!$A$2:$A$9,0))</f>
        <v>8396.52176</v>
      </c>
      <c r="AB671" s="17" t="n">
        <f aca="false">Z671+AA671</f>
        <v>390056.60176</v>
      </c>
      <c r="AC671" s="18" t="n">
        <v>383294.9</v>
      </c>
      <c r="AD671" s="17" t="n">
        <f aca="false">AC671-AB671</f>
        <v>-6761.70175999997</v>
      </c>
      <c r="AE671" s="17" t="n">
        <f aca="false">AA671+AD671</f>
        <v>1634.82000000003</v>
      </c>
      <c r="AF671" s="19" t="n">
        <f aca="false">IF(Z671&gt;0,AE671/Z671,0)</f>
        <v>0.00428344510120113</v>
      </c>
      <c r="AG671" s="16" t="n">
        <f aca="false">(U671-W671)*INDEX(Parametros!$H$2:$H$9,MATCH($E671,Parametros!$A$2:$A$9,0))+W671*INDEX(Parametros!$H$2:$H$9,MATCH($E671,Parametros!$A$2:$A$9,0))*Parametros!$N$3</f>
        <v>47051.55</v>
      </c>
      <c r="AH671" s="13" t="n">
        <v>20110</v>
      </c>
      <c r="AI671" s="16" t="n">
        <f aca="false">AH671*Parametros!$N$2</f>
        <v>1850.12</v>
      </c>
      <c r="AJ671" s="18" t="n">
        <v>13929</v>
      </c>
      <c r="AK671" s="18" t="n">
        <v>0</v>
      </c>
      <c r="AL671" s="17" t="n">
        <f aca="false">AG671+AI671+AJ671+AK671</f>
        <v>62830.67</v>
      </c>
      <c r="AM671" s="20" t="n">
        <f aca="false">IF(L671&gt;0,AL671/L671,0)</f>
        <v>0.159685943313747</v>
      </c>
      <c r="AN671" s="16" t="n">
        <f aca="false">L671*INDEX(Parametros!$G$2:$G$9,MATCH($E671,Parametros!$A$2:$A$9,0))</f>
        <v>637411.68</v>
      </c>
      <c r="AO671" s="17" t="n">
        <f aca="false">AN671-AC671-AL671</f>
        <v>191286.11</v>
      </c>
      <c r="AP671" s="15" t="n">
        <f aca="false">IF(AN671&gt;0,AO671/AN671,0)</f>
        <v>0.300098219097585</v>
      </c>
      <c r="AQ671" s="16" t="n">
        <f aca="false">INDEX(Parametros!$I$2:$I$9,MATCH($E671,Parametros!$A$2:$A$9,0))</f>
        <v>28000000</v>
      </c>
      <c r="AR671" s="19" t="n">
        <f aca="false">IF(AQ671&gt;0,AO671/AQ671,0)</f>
        <v>0.00683164678571429</v>
      </c>
    </row>
    <row r="672" customFormat="false" ht="15" hidden="false" customHeight="false" outlineLevel="0" collapsed="false">
      <c r="A672" s="5" t="s">
        <v>807</v>
      </c>
      <c r="B672" s="9" t="n">
        <v>46132</v>
      </c>
      <c r="C672" s="2" t="str">
        <f aca="false">TEXT(B672,"yyyy")</f>
        <v>2026</v>
      </c>
      <c r="D672" s="2" t="n">
        <f aca="false">WEEKNUM(B672,2)</f>
        <v>17</v>
      </c>
      <c r="E672" s="5" t="s">
        <v>142</v>
      </c>
      <c r="F672" s="6" t="str">
        <f aca="false">INDEX(Parametros!$B$2:$B$9,MATCH($E672,Parametros!$A$2:$A$9,0))</f>
        <v>Porciones single serve</v>
      </c>
      <c r="G672" s="10" t="n">
        <v>122.7</v>
      </c>
      <c r="H672" s="10" t="n">
        <v>8.5</v>
      </c>
      <c r="I672" s="11" t="n">
        <f aca="false">SUMIFS(Eventos_Paro!$J$2:$J$2186,Eventos_Paro!$D$2:$D$2186,$E672,Eventos_Paro!$B$2:$B$2186,$B672)</f>
        <v>4.88333333333333</v>
      </c>
      <c r="J672" s="12" t="n">
        <f aca="false">G672-H672-I672</f>
        <v>109.316666666667</v>
      </c>
      <c r="K672" s="13" t="n">
        <v>239164</v>
      </c>
      <c r="L672" s="13" t="n">
        <v>198052</v>
      </c>
      <c r="M672" s="13" t="n">
        <v>12980</v>
      </c>
      <c r="N672" s="14" t="n">
        <f aca="false">L672+M672</f>
        <v>211032</v>
      </c>
      <c r="O672" s="11" t="n">
        <f aca="false">INDEX(Parametros!$D$2:$D$9,MATCH($E672,Parametros!$A$2:$A$9,0))</f>
        <v>2600</v>
      </c>
      <c r="P672" s="15" t="n">
        <f aca="false">IF((G672-H672)&gt;0,J672/(G672-H672),0)</f>
        <v>0.957238762405137</v>
      </c>
      <c r="Q672" s="15" t="n">
        <f aca="false">IF(J672*O672&gt;0,N672/(O672*J672),0)</f>
        <v>0.742486542273095</v>
      </c>
      <c r="R672" s="15" t="n">
        <f aca="false">IF(N672&gt;0,L672/N672,0)</f>
        <v>0.938492740437469</v>
      </c>
      <c r="S672" s="15" t="n">
        <f aca="false">P672*Q672*R672</f>
        <v>0.667021419911087</v>
      </c>
      <c r="T672" s="15" t="n">
        <f aca="false">IF(K672&gt;0,L672/K672,0)</f>
        <v>0.828101219247044</v>
      </c>
      <c r="U672" s="10" t="n">
        <v>2190.4</v>
      </c>
      <c r="V672" s="5" t="n">
        <v>17</v>
      </c>
      <c r="W672" s="10" t="n">
        <v>104.5</v>
      </c>
      <c r="X672" s="15" t="n">
        <f aca="false">IF(U672&gt;0,W672/U672,0)</f>
        <v>0.0477081811541271</v>
      </c>
      <c r="Y672" s="12" t="n">
        <f aca="false">IF(U672&gt;0,L672/U672,0)</f>
        <v>90.418188458729</v>
      </c>
      <c r="Z672" s="16" t="n">
        <f aca="false">L672*INDEX(Parametros!$E$2:$E$9,MATCH($E672,Parametros!$A$2:$A$9,0))</f>
        <v>146558.48</v>
      </c>
      <c r="AA672" s="16" t="n">
        <f aca="false">Z672*INDEX(Parametros!$F$2:$F$9,MATCH($E672,Parametros!$A$2:$A$9,0))</f>
        <v>6595.1316</v>
      </c>
      <c r="AB672" s="17" t="n">
        <f aca="false">Z672+AA672</f>
        <v>153153.6116</v>
      </c>
      <c r="AC672" s="18" t="n">
        <v>152182.16</v>
      </c>
      <c r="AD672" s="17" t="n">
        <f aca="false">AC672-AB672</f>
        <v>-971.4516</v>
      </c>
      <c r="AE672" s="17" t="n">
        <f aca="false">AA672+AD672</f>
        <v>5623.68</v>
      </c>
      <c r="AF672" s="19" t="n">
        <f aca="false">IF(Z672&gt;0,AE672/Z672,0)</f>
        <v>0.0383715769977964</v>
      </c>
      <c r="AG672" s="16" t="n">
        <f aca="false">(U672-W672)*INDEX(Parametros!$H$2:$H$9,MATCH($E672,Parametros!$A$2:$A$9,0))+W672*INDEX(Parametros!$H$2:$H$9,MATCH($E672,Parametros!$A$2:$A$9,0))*Parametros!$N$3</f>
        <v>67279.5</v>
      </c>
      <c r="AH672" s="13" t="n">
        <v>10460</v>
      </c>
      <c r="AI672" s="16" t="n">
        <f aca="false">AH672*Parametros!$N$2</f>
        <v>962.32</v>
      </c>
      <c r="AJ672" s="18" t="n">
        <v>11164</v>
      </c>
      <c r="AK672" s="18" t="n">
        <v>3903</v>
      </c>
      <c r="AL672" s="17" t="n">
        <f aca="false">AG672+AI672+AJ672+AK672</f>
        <v>83308.82</v>
      </c>
      <c r="AM672" s="20" t="n">
        <f aca="false">IF(L672&gt;0,AL672/L672,0)</f>
        <v>0.420641144749864</v>
      </c>
      <c r="AN672" s="16" t="n">
        <f aca="false">L672*INDEX(Parametros!$G$2:$G$9,MATCH($E672,Parametros!$A$2:$A$9,0))</f>
        <v>340649.44</v>
      </c>
      <c r="AO672" s="17" t="n">
        <f aca="false">AN672-AC672-AL672</f>
        <v>105158.46</v>
      </c>
      <c r="AP672" s="15" t="n">
        <f aca="false">IF(AN672&gt;0,AO672/AN672,0)</f>
        <v>0.308699935041725</v>
      </c>
      <c r="AQ672" s="16" t="n">
        <f aca="false">INDEX(Parametros!$I$2:$I$9,MATCH($E672,Parametros!$A$2:$A$9,0))</f>
        <v>15900000</v>
      </c>
      <c r="AR672" s="19" t="n">
        <f aca="false">IF(AQ672&gt;0,AO672/AQ672,0)</f>
        <v>0.00661373962264151</v>
      </c>
    </row>
    <row r="673" customFormat="false" ht="15" hidden="false" customHeight="false" outlineLevel="0" collapsed="false">
      <c r="A673" s="5" t="s">
        <v>808</v>
      </c>
      <c r="B673" s="9" t="n">
        <v>46132</v>
      </c>
      <c r="C673" s="2" t="str">
        <f aca="false">TEXT(B673,"yyyy")</f>
        <v>2026</v>
      </c>
      <c r="D673" s="2" t="n">
        <f aca="false">WEEKNUM(B673,2)</f>
        <v>17</v>
      </c>
      <c r="E673" s="5" t="s">
        <v>144</v>
      </c>
      <c r="F673" s="6" t="str">
        <f aca="false">INDEX(Parametros!$B$2:$B$9,MATCH($E673,Parametros!$A$2:$A$9,0))</f>
        <v>Salsas picantes</v>
      </c>
      <c r="G673" s="10" t="n">
        <v>108.7</v>
      </c>
      <c r="H673" s="10" t="n">
        <v>6.6</v>
      </c>
      <c r="I673" s="11" t="n">
        <f aca="false">SUMIFS(Eventos_Paro!$J$2:$J$2186,Eventos_Paro!$D$2:$D$2186,$E673,Eventos_Paro!$B$2:$B$2186,$B673)</f>
        <v>0.566666666666667</v>
      </c>
      <c r="J673" s="12" t="n">
        <f aca="false">G673-H673-I673</f>
        <v>101.533333333333</v>
      </c>
      <c r="K673" s="13" t="n">
        <v>249964</v>
      </c>
      <c r="L673" s="13" t="n">
        <v>257739</v>
      </c>
      <c r="M673" s="13" t="n">
        <v>4101</v>
      </c>
      <c r="N673" s="14" t="n">
        <f aca="false">L673+M673</f>
        <v>261840</v>
      </c>
      <c r="O673" s="11" t="n">
        <f aca="false">INDEX(Parametros!$D$2:$D$9,MATCH($E673,Parametros!$A$2:$A$9,0))</f>
        <v>3100</v>
      </c>
      <c r="P673" s="15" t="n">
        <f aca="false">IF((G673-H673)&gt;0,J673/(G673-H673),0)</f>
        <v>0.994449885732942</v>
      </c>
      <c r="Q673" s="15" t="n">
        <f aca="false">IF(J673*O673&gt;0,N673/(O673*J673),0)</f>
        <v>0.831889521953699</v>
      </c>
      <c r="R673" s="15" t="n">
        <f aca="false">IF(N673&gt;0,L673/N673,0)</f>
        <v>0.984337763519707</v>
      </c>
      <c r="S673" s="15" t="n">
        <f aca="false">P673*Q673*R673</f>
        <v>0.814315503459606</v>
      </c>
      <c r="T673" s="15" t="n">
        <f aca="false">IF(K673&gt;0,L673/K673,0)</f>
        <v>1.03110447904498</v>
      </c>
      <c r="U673" s="10" t="n">
        <v>914.5</v>
      </c>
      <c r="V673" s="5" t="n">
        <v>8</v>
      </c>
      <c r="W673" s="10" t="n">
        <v>44.9</v>
      </c>
      <c r="X673" s="15" t="n">
        <f aca="false">IF(U673&gt;0,W673/U673,0)</f>
        <v>0.0490978676872608</v>
      </c>
      <c r="Y673" s="12" t="n">
        <f aca="false">IF(U673&gt;0,L673/U673,0)</f>
        <v>281.835975943138</v>
      </c>
      <c r="Z673" s="16" t="n">
        <f aca="false">L673*INDEX(Parametros!$E$2:$E$9,MATCH($E673,Parametros!$A$2:$A$9,0))</f>
        <v>170107.74</v>
      </c>
      <c r="AA673" s="16" t="n">
        <f aca="false">Z673*INDEX(Parametros!$F$2:$F$9,MATCH($E673,Parametros!$A$2:$A$9,0))</f>
        <v>4422.80124</v>
      </c>
      <c r="AB673" s="17" t="n">
        <f aca="false">Z673+AA673</f>
        <v>174530.54124</v>
      </c>
      <c r="AC673" s="18" t="n">
        <v>177398.42</v>
      </c>
      <c r="AD673" s="17" t="n">
        <f aca="false">AC673-AB673</f>
        <v>2867.87875999999</v>
      </c>
      <c r="AE673" s="17" t="n">
        <f aca="false">AA673+AD673</f>
        <v>7290.67999999999</v>
      </c>
      <c r="AF673" s="19" t="n">
        <f aca="false">IF(Z673&gt;0,AE673/Z673,0)</f>
        <v>0.0428591902990422</v>
      </c>
      <c r="AG673" s="16" t="n">
        <f aca="false">(U673-W673)*INDEX(Parametros!$H$2:$H$9,MATCH($E673,Parametros!$A$2:$A$9,0))+W673*INDEX(Parametros!$H$2:$H$9,MATCH($E673,Parametros!$A$2:$A$9,0))*Parametros!$N$3</f>
        <v>29513.925</v>
      </c>
      <c r="AH673" s="13" t="n">
        <v>13459</v>
      </c>
      <c r="AI673" s="16" t="n">
        <f aca="false">AH673*Parametros!$N$2</f>
        <v>1238.228</v>
      </c>
      <c r="AJ673" s="18" t="n">
        <v>6278</v>
      </c>
      <c r="AK673" s="18" t="n">
        <v>508</v>
      </c>
      <c r="AL673" s="17" t="n">
        <f aca="false">AG673+AI673+AJ673+AK673</f>
        <v>37538.153</v>
      </c>
      <c r="AM673" s="20" t="n">
        <f aca="false">IF(L673&gt;0,AL673/L673,0)</f>
        <v>0.145644054644427</v>
      </c>
      <c r="AN673" s="16" t="n">
        <f aca="false">L673*INDEX(Parametros!$G$2:$G$9,MATCH($E673,Parametros!$A$2:$A$9,0))</f>
        <v>322173.75</v>
      </c>
      <c r="AO673" s="17" t="n">
        <f aca="false">AN673-AC673-AL673</f>
        <v>107237.177</v>
      </c>
      <c r="AP673" s="15" t="n">
        <f aca="false">IF(AN673&gt;0,AO673/AN673,0)</f>
        <v>0.332855103806564</v>
      </c>
      <c r="AQ673" s="16" t="n">
        <f aca="false">INDEX(Parametros!$I$2:$I$9,MATCH($E673,Parametros!$A$2:$A$9,0))</f>
        <v>13300000</v>
      </c>
      <c r="AR673" s="19" t="n">
        <f aca="false">IF(AQ673&gt;0,AO673/AQ673,0)</f>
        <v>0.00806294563909774</v>
      </c>
    </row>
    <row r="674" customFormat="false" ht="15" hidden="false" customHeight="false" outlineLevel="0" collapsed="false">
      <c r="A674" s="5" t="s">
        <v>809</v>
      </c>
      <c r="B674" s="9" t="n">
        <v>46139</v>
      </c>
      <c r="C674" s="2" t="str">
        <f aca="false">TEXT(B674,"yyyy")</f>
        <v>2026</v>
      </c>
      <c r="D674" s="2" t="n">
        <f aca="false">WEEKNUM(B674,2)</f>
        <v>18</v>
      </c>
      <c r="E674" s="5" t="s">
        <v>130</v>
      </c>
      <c r="F674" s="6" t="str">
        <f aca="false">INDEX(Parametros!$B$2:$B$9,MATCH($E674,Parametros!$A$2:$A$9,0))</f>
        <v>Ketchup botella</v>
      </c>
      <c r="G674" s="10" t="n">
        <v>114.3</v>
      </c>
      <c r="H674" s="10" t="n">
        <v>7.9</v>
      </c>
      <c r="I674" s="11" t="n">
        <f aca="false">SUMIFS(Eventos_Paro!$J$2:$J$2186,Eventos_Paro!$D$2:$D$2186,$E674,Eventos_Paro!$B$2:$B$2186,$B674)</f>
        <v>0.333333333333333</v>
      </c>
      <c r="J674" s="12" t="n">
        <f aca="false">G674-H674-I674</f>
        <v>106.066666666667</v>
      </c>
      <c r="K674" s="13" t="n">
        <v>774920</v>
      </c>
      <c r="L674" s="13" t="n">
        <v>841939</v>
      </c>
      <c r="M674" s="13" t="n">
        <v>16727</v>
      </c>
      <c r="N674" s="14" t="n">
        <f aca="false">L674+M674</f>
        <v>858666</v>
      </c>
      <c r="O674" s="11" t="n">
        <f aca="false">INDEX(Parametros!$D$2:$D$9,MATCH($E674,Parametros!$A$2:$A$9,0))</f>
        <v>9000</v>
      </c>
      <c r="P674" s="15" t="n">
        <f aca="false">IF((G674-H674)&gt;0,J674/(G674-H674),0)</f>
        <v>0.9968671679198</v>
      </c>
      <c r="Q674" s="15" t="n">
        <f aca="false">IF(J674*O674&gt;0,N674/(O674*J674),0)</f>
        <v>0.899503456945317</v>
      </c>
      <c r="R674" s="15" t="n">
        <f aca="false">IF(N674&gt;0,L674/N674,0)</f>
        <v>0.980519783012254</v>
      </c>
      <c r="S674" s="15" t="n">
        <f aca="false">P674*Q674*R674</f>
        <v>0.87921783625731</v>
      </c>
      <c r="T674" s="15" t="n">
        <f aca="false">IF(K674&gt;0,L674/K674,0)</f>
        <v>1.08648505652196</v>
      </c>
      <c r="U674" s="10" t="n">
        <v>1814.2</v>
      </c>
      <c r="V674" s="5" t="n">
        <v>15</v>
      </c>
      <c r="W674" s="10" t="n">
        <v>99.7</v>
      </c>
      <c r="X674" s="15" t="n">
        <f aca="false">IF(U674&gt;0,W674/U674,0)</f>
        <v>0.0549553522213648</v>
      </c>
      <c r="Y674" s="12" t="n">
        <f aca="false">IF(U674&gt;0,L674/U674,0)</f>
        <v>464.082791312975</v>
      </c>
      <c r="Z674" s="16" t="n">
        <f aca="false">L674*INDEX(Parametros!$E$2:$E$9,MATCH($E674,Parametros!$A$2:$A$9,0))</f>
        <v>353614.38</v>
      </c>
      <c r="AA674" s="16" t="n">
        <f aca="false">Z674*INDEX(Parametros!$F$2:$F$9,MATCH($E674,Parametros!$A$2:$A$9,0))</f>
        <v>7072.2876</v>
      </c>
      <c r="AB674" s="17" t="n">
        <f aca="false">Z674+AA674</f>
        <v>360686.6676</v>
      </c>
      <c r="AC674" s="18" t="n">
        <v>366251.01</v>
      </c>
      <c r="AD674" s="17" t="n">
        <f aca="false">AC674-AB674</f>
        <v>5564.34240000002</v>
      </c>
      <c r="AE674" s="17" t="n">
        <f aca="false">AA674+AD674</f>
        <v>12636.63</v>
      </c>
      <c r="AF674" s="19" t="n">
        <f aca="false">IF(Z674&gt;0,AE674/Z674,0)</f>
        <v>0.0357356225162563</v>
      </c>
      <c r="AG674" s="16" t="n">
        <f aca="false">(U674-W674)*INDEX(Parametros!$H$2:$H$9,MATCH($E674,Parametros!$A$2:$A$9,0))+W674*INDEX(Parametros!$H$2:$H$9,MATCH($E674,Parametros!$A$2:$A$9,0))*Parametros!$N$3</f>
        <v>58717.575</v>
      </c>
      <c r="AH674" s="13" t="n">
        <v>42407</v>
      </c>
      <c r="AI674" s="16" t="n">
        <f aca="false">AH674*Parametros!$N$2</f>
        <v>3901.444</v>
      </c>
      <c r="AJ674" s="18" t="n">
        <v>16552</v>
      </c>
      <c r="AK674" s="18" t="n">
        <v>313</v>
      </c>
      <c r="AL674" s="17" t="n">
        <f aca="false">AG674+AI674+AJ674+AK674</f>
        <v>79484.019</v>
      </c>
      <c r="AM674" s="20" t="n">
        <f aca="false">IF(L674&gt;0,AL674/L674,0)</f>
        <v>0.0944059118297169</v>
      </c>
      <c r="AN674" s="16" t="n">
        <f aca="false">L674*INDEX(Parametros!$G$2:$G$9,MATCH($E674,Parametros!$A$2:$A$9,0))</f>
        <v>597776.69</v>
      </c>
      <c r="AO674" s="17" t="n">
        <f aca="false">AN674-AC674-AL674</f>
        <v>152041.661</v>
      </c>
      <c r="AP674" s="15" t="n">
        <f aca="false">IF(AN674&gt;0,AO674/AN674,0)</f>
        <v>0.254345248892191</v>
      </c>
      <c r="AQ674" s="16" t="n">
        <f aca="false">INDEX(Parametros!$I$2:$I$9,MATCH($E674,Parametros!$A$2:$A$9,0))</f>
        <v>29300000</v>
      </c>
      <c r="AR674" s="19" t="n">
        <f aca="false">IF(AQ674&gt;0,AO674/AQ674,0)</f>
        <v>0.00518913518771331</v>
      </c>
    </row>
    <row r="675" customFormat="false" ht="15" hidden="false" customHeight="false" outlineLevel="0" collapsed="false">
      <c r="A675" s="5" t="s">
        <v>810</v>
      </c>
      <c r="B675" s="9" t="n">
        <v>46139</v>
      </c>
      <c r="C675" s="2" t="str">
        <f aca="false">TEXT(B675,"yyyy")</f>
        <v>2026</v>
      </c>
      <c r="D675" s="2" t="n">
        <f aca="false">WEEKNUM(B675,2)</f>
        <v>18</v>
      </c>
      <c r="E675" s="5" t="s">
        <v>132</v>
      </c>
      <c r="F675" s="6" t="str">
        <f aca="false">INDEX(Parametros!$B$2:$B$9,MATCH($E675,Parametros!$A$2:$A$9,0))</f>
        <v>Mayonesa frasco</v>
      </c>
      <c r="G675" s="10" t="n">
        <v>116.3</v>
      </c>
      <c r="H675" s="10" t="n">
        <v>6.5</v>
      </c>
      <c r="I675" s="11" t="n">
        <f aca="false">SUMIFS(Eventos_Paro!$J$2:$J$2186,Eventos_Paro!$D$2:$D$2186,$E675,Eventos_Paro!$B$2:$B$2186,$B675)</f>
        <v>0.483333333333333</v>
      </c>
      <c r="J675" s="12" t="n">
        <f aca="false">G675-H675-I675</f>
        <v>109.316666666667</v>
      </c>
      <c r="K675" s="13" t="n">
        <v>577548</v>
      </c>
      <c r="L675" s="13" t="n">
        <v>601158</v>
      </c>
      <c r="M675" s="13" t="n">
        <v>12233</v>
      </c>
      <c r="N675" s="14" t="n">
        <f aca="false">L675+M675</f>
        <v>613391</v>
      </c>
      <c r="O675" s="11" t="n">
        <f aca="false">INDEX(Parametros!$D$2:$D$9,MATCH($E675,Parametros!$A$2:$A$9,0))</f>
        <v>6500</v>
      </c>
      <c r="P675" s="15" t="n">
        <f aca="false">IF((G675-H675)&gt;0,J675/(G675-H675),0)</f>
        <v>0.995598057073467</v>
      </c>
      <c r="Q675" s="15" t="n">
        <f aca="false">IF(J675*O675&gt;0,N675/(O675*J675),0)</f>
        <v>0.863252137403685</v>
      </c>
      <c r="R675" s="15" t="n">
        <f aca="false">IF(N675&gt;0,L675/N675,0)</f>
        <v>0.980056766401855</v>
      </c>
      <c r="S675" s="15" t="n">
        <f aca="false">P675*Q675*R675</f>
        <v>0.842311895754519</v>
      </c>
      <c r="T675" s="15" t="n">
        <f aca="false">IF(K675&gt;0,L675/K675,0)</f>
        <v>1.04087971908828</v>
      </c>
      <c r="U675" s="10" t="n">
        <v>1524</v>
      </c>
      <c r="V675" s="5" t="n">
        <v>12</v>
      </c>
      <c r="W675" s="10" t="n">
        <v>128.4</v>
      </c>
      <c r="X675" s="15" t="n">
        <f aca="false">IF(U675&gt;0,W675/U675,0)</f>
        <v>0.084251968503937</v>
      </c>
      <c r="Y675" s="12" t="n">
        <f aca="false">IF(U675&gt;0,L675/U675,0)</f>
        <v>394.46062992126</v>
      </c>
      <c r="Z675" s="16" t="n">
        <f aca="false">L675*INDEX(Parametros!$E$2:$E$9,MATCH($E675,Parametros!$A$2:$A$9,0))</f>
        <v>366706.38</v>
      </c>
      <c r="AA675" s="16" t="n">
        <f aca="false">Z675*INDEX(Parametros!$F$2:$F$9,MATCH($E675,Parametros!$A$2:$A$9,0))</f>
        <v>9167.6595</v>
      </c>
      <c r="AB675" s="17" t="n">
        <f aca="false">Z675+AA675</f>
        <v>375874.0395</v>
      </c>
      <c r="AC675" s="18" t="n">
        <v>378700.28</v>
      </c>
      <c r="AD675" s="17" t="n">
        <f aca="false">AC675-AB675</f>
        <v>2826.24050000001</v>
      </c>
      <c r="AE675" s="17" t="n">
        <f aca="false">AA675+AD675</f>
        <v>11993.9</v>
      </c>
      <c r="AF675" s="19" t="n">
        <f aca="false">IF(Z675&gt;0,AE675/Z675,0)</f>
        <v>0.0327070938880311</v>
      </c>
      <c r="AG675" s="16" t="n">
        <f aca="false">(U675-W675)*INDEX(Parametros!$H$2:$H$9,MATCH($E675,Parametros!$A$2:$A$9,0))+W675*INDEX(Parametros!$H$2:$H$9,MATCH($E675,Parametros!$A$2:$A$9,0))*Parametros!$N$3</f>
        <v>50028.3</v>
      </c>
      <c r="AH675" s="13" t="n">
        <v>30603</v>
      </c>
      <c r="AI675" s="16" t="n">
        <f aca="false">AH675*Parametros!$N$2</f>
        <v>2815.476</v>
      </c>
      <c r="AJ675" s="18" t="n">
        <v>15726</v>
      </c>
      <c r="AK675" s="18" t="n">
        <v>484</v>
      </c>
      <c r="AL675" s="17" t="n">
        <f aca="false">AG675+AI675+AJ675+AK675</f>
        <v>69053.776</v>
      </c>
      <c r="AM675" s="20" t="n">
        <f aca="false">IF(L675&gt;0,AL675/L675,0)</f>
        <v>0.114867931558758</v>
      </c>
      <c r="AN675" s="16" t="n">
        <f aca="false">L675*INDEX(Parametros!$G$2:$G$9,MATCH($E675,Parametros!$A$2:$A$9,0))</f>
        <v>577111.68</v>
      </c>
      <c r="AO675" s="17" t="n">
        <f aca="false">AN675-AC675-AL675</f>
        <v>129357.624</v>
      </c>
      <c r="AP675" s="15" t="n">
        <f aca="false">IF(AN675&gt;0,AO675/AN675,0)</f>
        <v>0.22414660538494</v>
      </c>
      <c r="AQ675" s="16" t="n">
        <f aca="false">INDEX(Parametros!$I$2:$I$9,MATCH($E675,Parametros!$A$2:$A$9,0))</f>
        <v>29700000</v>
      </c>
      <c r="AR675" s="19" t="n">
        <f aca="false">IF(AQ675&gt;0,AO675/AQ675,0)</f>
        <v>0.00435547555555555</v>
      </c>
    </row>
    <row r="676" customFormat="false" ht="15" hidden="false" customHeight="false" outlineLevel="0" collapsed="false">
      <c r="A676" s="5" t="s">
        <v>811</v>
      </c>
      <c r="B676" s="9" t="n">
        <v>46139</v>
      </c>
      <c r="C676" s="2" t="str">
        <f aca="false">TEXT(B676,"yyyy")</f>
        <v>2026</v>
      </c>
      <c r="D676" s="2" t="n">
        <f aca="false">WEEKNUM(B676,2)</f>
        <v>18</v>
      </c>
      <c r="E676" s="5" t="s">
        <v>134</v>
      </c>
      <c r="F676" s="6" t="str">
        <f aca="false">INDEX(Parametros!$B$2:$B$9,MATCH($E676,Parametros!$A$2:$A$9,0))</f>
        <v>Aderezos vertibles</v>
      </c>
      <c r="G676" s="10" t="n">
        <v>128</v>
      </c>
      <c r="H676" s="10" t="n">
        <v>7.2</v>
      </c>
      <c r="I676" s="11" t="n">
        <f aca="false">SUMIFS(Eventos_Paro!$J$2:$J$2186,Eventos_Paro!$D$2:$D$2186,$E676,Eventos_Paro!$B$2:$B$2186,$B676)</f>
        <v>0</v>
      </c>
      <c r="J676" s="12" t="n">
        <f aca="false">G676-H676-I676</f>
        <v>120.8</v>
      </c>
      <c r="K676" s="13" t="n">
        <v>508327</v>
      </c>
      <c r="L676" s="13" t="n">
        <v>523056</v>
      </c>
      <c r="M676" s="13" t="n">
        <v>25975</v>
      </c>
      <c r="N676" s="14" t="n">
        <f aca="false">L676+M676</f>
        <v>549031</v>
      </c>
      <c r="O676" s="11" t="n">
        <f aca="false">INDEX(Parametros!$D$2:$D$9,MATCH($E676,Parametros!$A$2:$A$9,0))</f>
        <v>5200</v>
      </c>
      <c r="P676" s="15" t="n">
        <f aca="false">IF((G676-H676)&gt;0,J676/(G676-H676),0)</f>
        <v>1</v>
      </c>
      <c r="Q676" s="15" t="n">
        <f aca="false">IF(J676*O676&gt;0,N676/(O676*J676),0)</f>
        <v>0.874030501782985</v>
      </c>
      <c r="R676" s="15" t="n">
        <f aca="false">IF(N676&gt;0,L676/N676,0)</f>
        <v>0.952689374552621</v>
      </c>
      <c r="S676" s="15" t="n">
        <f aca="false">P676*Q676*R676</f>
        <v>0.832679572083546</v>
      </c>
      <c r="T676" s="15" t="n">
        <f aca="false">IF(K676&gt;0,L676/K676,0)</f>
        <v>1.02897544297273</v>
      </c>
      <c r="U676" s="10" t="n">
        <v>1650.2</v>
      </c>
      <c r="V676" s="5" t="n">
        <v>12</v>
      </c>
      <c r="W676" s="10" t="n">
        <v>114.2</v>
      </c>
      <c r="X676" s="15" t="n">
        <f aca="false">IF(U676&gt;0,W676/U676,0)</f>
        <v>0.0692037328808629</v>
      </c>
      <c r="Y676" s="12" t="n">
        <f aca="false">IF(U676&gt;0,L676/U676,0)</f>
        <v>316.965216337414</v>
      </c>
      <c r="Z676" s="16" t="n">
        <f aca="false">L676*INDEX(Parametros!$E$2:$E$9,MATCH($E676,Parametros!$A$2:$A$9,0))</f>
        <v>287680.8</v>
      </c>
      <c r="AA676" s="16" t="n">
        <f aca="false">Z676*INDEX(Parametros!$F$2:$F$9,MATCH($E676,Parametros!$A$2:$A$9,0))</f>
        <v>8630.424</v>
      </c>
      <c r="AB676" s="17" t="n">
        <f aca="false">Z676+AA676</f>
        <v>296311.224</v>
      </c>
      <c r="AC676" s="18" t="n">
        <v>301081.54</v>
      </c>
      <c r="AD676" s="17" t="n">
        <f aca="false">AC676-AB676</f>
        <v>4770.31599999993</v>
      </c>
      <c r="AE676" s="17" t="n">
        <f aca="false">AA676+AD676</f>
        <v>13400.7399999999</v>
      </c>
      <c r="AF676" s="19" t="n">
        <f aca="false">IF(Z676&gt;0,AE676/Z676,0)</f>
        <v>0.0465819755784881</v>
      </c>
      <c r="AG676" s="16" t="n">
        <f aca="false">(U676-W676)*INDEX(Parametros!$H$2:$H$9,MATCH($E676,Parametros!$A$2:$A$9,0))+W676*INDEX(Parametros!$H$2:$H$9,MATCH($E676,Parametros!$A$2:$A$9,0))*Parametros!$N$3</f>
        <v>53779.95</v>
      </c>
      <c r="AH676" s="13" t="n">
        <v>28250</v>
      </c>
      <c r="AI676" s="16" t="n">
        <f aca="false">AH676*Parametros!$N$2</f>
        <v>2599</v>
      </c>
      <c r="AJ676" s="18" t="n">
        <v>10111</v>
      </c>
      <c r="AK676" s="18" t="n">
        <v>0</v>
      </c>
      <c r="AL676" s="17" t="n">
        <f aca="false">AG676+AI676+AJ676+AK676</f>
        <v>66489.95</v>
      </c>
      <c r="AM676" s="20" t="n">
        <f aca="false">IF(L676&gt;0,AL676/L676,0)</f>
        <v>0.12711822443486</v>
      </c>
      <c r="AN676" s="16" t="n">
        <f aca="false">L676*INDEX(Parametros!$G$2:$G$9,MATCH($E676,Parametros!$A$2:$A$9,0))</f>
        <v>533517.12</v>
      </c>
      <c r="AO676" s="17" t="n">
        <f aca="false">AN676-AC676-AL676</f>
        <v>165945.63</v>
      </c>
      <c r="AP676" s="15" t="n">
        <f aca="false">IF(AN676&gt;0,AO676/AN676,0)</f>
        <v>0.311040871565658</v>
      </c>
      <c r="AQ676" s="16" t="n">
        <f aca="false">INDEX(Parametros!$I$2:$I$9,MATCH($E676,Parametros!$A$2:$A$9,0))</f>
        <v>19300000</v>
      </c>
      <c r="AR676" s="19" t="n">
        <f aca="false">IF(AQ676&gt;0,AO676/AQ676,0)</f>
        <v>0.00859821917098446</v>
      </c>
    </row>
    <row r="677" customFormat="false" ht="15" hidden="false" customHeight="false" outlineLevel="0" collapsed="false">
      <c r="A677" s="5" t="s">
        <v>812</v>
      </c>
      <c r="B677" s="9" t="n">
        <v>46139</v>
      </c>
      <c r="C677" s="2" t="str">
        <f aca="false">TEXT(B677,"yyyy")</f>
        <v>2026</v>
      </c>
      <c r="D677" s="2" t="n">
        <f aca="false">WEEKNUM(B677,2)</f>
        <v>18</v>
      </c>
      <c r="E677" s="5" t="s">
        <v>136</v>
      </c>
      <c r="F677" s="6" t="str">
        <f aca="false">INDEX(Parametros!$B$2:$B$9,MATCH($E677,Parametros!$A$2:$A$9,0))</f>
        <v>Salsa BBQ</v>
      </c>
      <c r="G677" s="10" t="n">
        <v>98.4</v>
      </c>
      <c r="H677" s="10" t="n">
        <v>6.6</v>
      </c>
      <c r="I677" s="11" t="n">
        <f aca="false">SUMIFS(Eventos_Paro!$J$2:$J$2186,Eventos_Paro!$D$2:$D$2186,$E677,Eventos_Paro!$B$2:$B$2186,$B677)</f>
        <v>7.8</v>
      </c>
      <c r="J677" s="12" t="n">
        <f aca="false">G677-H677-I677</f>
        <v>84</v>
      </c>
      <c r="K677" s="13" t="n">
        <v>370817</v>
      </c>
      <c r="L677" s="13" t="n">
        <v>332141</v>
      </c>
      <c r="M677" s="13" t="n">
        <v>7153</v>
      </c>
      <c r="N677" s="14" t="n">
        <f aca="false">L677+M677</f>
        <v>339294</v>
      </c>
      <c r="O677" s="11" t="n">
        <f aca="false">INDEX(Parametros!$D$2:$D$9,MATCH($E677,Parametros!$A$2:$A$9,0))</f>
        <v>4800</v>
      </c>
      <c r="P677" s="15" t="n">
        <f aca="false">IF((G677-H677)&gt;0,J677/(G677-H677),0)</f>
        <v>0.915032679738562</v>
      </c>
      <c r="Q677" s="15" t="n">
        <f aca="false">IF(J677*O677&gt;0,N677/(O677*J677),0)</f>
        <v>0.841502976190476</v>
      </c>
      <c r="R677" s="15" t="n">
        <f aca="false">IF(N677&gt;0,L677/N677,0)</f>
        <v>0.978917988529122</v>
      </c>
      <c r="S677" s="15" t="n">
        <f aca="false">P677*Q677*R677</f>
        <v>0.753769517066086</v>
      </c>
      <c r="T677" s="15" t="n">
        <f aca="false">IF(K677&gt;0,L677/K677,0)</f>
        <v>0.895700574676997</v>
      </c>
      <c r="U677" s="10" t="n">
        <v>1174.5</v>
      </c>
      <c r="V677" s="5" t="n">
        <v>11</v>
      </c>
      <c r="W677" s="10" t="n">
        <v>92.1</v>
      </c>
      <c r="X677" s="15" t="n">
        <f aca="false">IF(U677&gt;0,W677/U677,0)</f>
        <v>0.0784163473818646</v>
      </c>
      <c r="Y677" s="12" t="n">
        <f aca="false">IF(U677&gt;0,L677/U677,0)</f>
        <v>282.793529161345</v>
      </c>
      <c r="Z677" s="16" t="n">
        <f aca="false">L677*INDEX(Parametros!$E$2:$E$9,MATCH($E677,Parametros!$A$2:$A$9,0))</f>
        <v>192641.78</v>
      </c>
      <c r="AA677" s="16" t="n">
        <f aca="false">Z677*INDEX(Parametros!$F$2:$F$9,MATCH($E677,Parametros!$A$2:$A$9,0))</f>
        <v>5393.96984</v>
      </c>
      <c r="AB677" s="17" t="n">
        <f aca="false">Z677+AA677</f>
        <v>198035.74984</v>
      </c>
      <c r="AC677" s="18" t="n">
        <v>203838.93</v>
      </c>
      <c r="AD677" s="17" t="n">
        <f aca="false">AC677-AB677</f>
        <v>5803.18015999999</v>
      </c>
      <c r="AE677" s="17" t="n">
        <f aca="false">AA677+AD677</f>
        <v>11197.15</v>
      </c>
      <c r="AF677" s="19" t="n">
        <f aca="false">IF(Z677&gt;0,AE677/Z677,0)</f>
        <v>0.0581242033789347</v>
      </c>
      <c r="AG677" s="16" t="n">
        <f aca="false">(U677-W677)*INDEX(Parametros!$H$2:$H$9,MATCH($E677,Parametros!$A$2:$A$9,0))+W677*INDEX(Parametros!$H$2:$H$9,MATCH($E677,Parametros!$A$2:$A$9,0))*Parametros!$N$3</f>
        <v>38447.325</v>
      </c>
      <c r="AH677" s="13" t="n">
        <v>17772</v>
      </c>
      <c r="AI677" s="16" t="n">
        <f aca="false">AH677*Parametros!$N$2</f>
        <v>1635.024</v>
      </c>
      <c r="AJ677" s="18" t="n">
        <v>10554</v>
      </c>
      <c r="AK677" s="18" t="n">
        <v>6417</v>
      </c>
      <c r="AL677" s="17" t="n">
        <f aca="false">AG677+AI677+AJ677+AK677</f>
        <v>57053.349</v>
      </c>
      <c r="AM677" s="20" t="n">
        <f aca="false">IF(L677&gt;0,AL677/L677,0)</f>
        <v>0.17177448433045</v>
      </c>
      <c r="AN677" s="16" t="n">
        <f aca="false">L677*INDEX(Parametros!$G$2:$G$9,MATCH($E677,Parametros!$A$2:$A$9,0))</f>
        <v>325498.18</v>
      </c>
      <c r="AO677" s="17" t="n">
        <f aca="false">AN677-AC677-AL677</f>
        <v>64605.901</v>
      </c>
      <c r="AP677" s="15" t="n">
        <f aca="false">IF(AN677&gt;0,AO677/AN677,0)</f>
        <v>0.198483140520171</v>
      </c>
      <c r="AQ677" s="16" t="n">
        <f aca="false">INDEX(Parametros!$I$2:$I$9,MATCH($E677,Parametros!$A$2:$A$9,0))</f>
        <v>17000000</v>
      </c>
      <c r="AR677" s="19" t="n">
        <f aca="false">IF(AQ677&gt;0,AO677/AQ677,0)</f>
        <v>0.00380034711764706</v>
      </c>
    </row>
    <row r="678" customFormat="false" ht="15" hidden="false" customHeight="false" outlineLevel="0" collapsed="false">
      <c r="A678" s="5" t="s">
        <v>813</v>
      </c>
      <c r="B678" s="9" t="n">
        <v>46139</v>
      </c>
      <c r="C678" s="2" t="str">
        <f aca="false">TEXT(B678,"yyyy")</f>
        <v>2026</v>
      </c>
      <c r="D678" s="2" t="n">
        <f aca="false">WEEKNUM(B678,2)</f>
        <v>18</v>
      </c>
      <c r="E678" s="5" t="s">
        <v>138</v>
      </c>
      <c r="F678" s="6" t="str">
        <f aca="false">INDEX(Parametros!$B$2:$B$9,MATCH($E678,Parametros!$A$2:$A$9,0))</f>
        <v>Queso crema</v>
      </c>
      <c r="G678" s="10" t="n">
        <v>131.8</v>
      </c>
      <c r="H678" s="10" t="n">
        <v>5.8</v>
      </c>
      <c r="I678" s="11" t="n">
        <f aca="false">SUMIFS(Eventos_Paro!$J$2:$J$2186,Eventos_Paro!$D$2:$D$2186,$E678,Eventos_Paro!$B$2:$B$2186,$B678)</f>
        <v>4.1</v>
      </c>
      <c r="J678" s="12" t="n">
        <f aca="false">G678-H678-I678</f>
        <v>121.9</v>
      </c>
      <c r="K678" s="13" t="n">
        <v>387460</v>
      </c>
      <c r="L678" s="13" t="n">
        <v>346481</v>
      </c>
      <c r="M678" s="13" t="n">
        <v>16787</v>
      </c>
      <c r="N678" s="14" t="n">
        <f aca="false">L678+M678</f>
        <v>363268</v>
      </c>
      <c r="O678" s="11" t="n">
        <f aca="false">INDEX(Parametros!$D$2:$D$9,MATCH($E678,Parametros!$A$2:$A$9,0))</f>
        <v>3800</v>
      </c>
      <c r="P678" s="15" t="n">
        <f aca="false">IF((G678-H678)&gt;0,J678/(G678-H678),0)</f>
        <v>0.967460317460318</v>
      </c>
      <c r="Q678" s="15" t="n">
        <f aca="false">IF(J678*O678&gt;0,N678/(O678*J678),0)</f>
        <v>0.78422347912439</v>
      </c>
      <c r="R678" s="15" t="n">
        <f aca="false">IF(N678&gt;0,L678/N678,0)</f>
        <v>0.953788938194391</v>
      </c>
      <c r="S678" s="15" t="n">
        <f aca="false">P678*Q678*R678</f>
        <v>0.723644527986633</v>
      </c>
      <c r="T678" s="15" t="n">
        <f aca="false">IF(K678&gt;0,L678/K678,0)</f>
        <v>0.894236824446395</v>
      </c>
      <c r="U678" s="10" t="n">
        <v>1965.7</v>
      </c>
      <c r="V678" s="5" t="n">
        <v>14</v>
      </c>
      <c r="W678" s="10" t="n">
        <v>120.5</v>
      </c>
      <c r="X678" s="15" t="n">
        <f aca="false">IF(U678&gt;0,W678/U678,0)</f>
        <v>0.0613013175967849</v>
      </c>
      <c r="Y678" s="12" t="n">
        <f aca="false">IF(U678&gt;0,L678/U678,0)</f>
        <v>176.263417612047</v>
      </c>
      <c r="Z678" s="16" t="n">
        <f aca="false">L678*INDEX(Parametros!$E$2:$E$9,MATCH($E678,Parametros!$A$2:$A$9,0))</f>
        <v>388058.72</v>
      </c>
      <c r="AA678" s="16" t="n">
        <f aca="false">Z678*INDEX(Parametros!$F$2:$F$9,MATCH($E678,Parametros!$A$2:$A$9,0))</f>
        <v>13582.0552</v>
      </c>
      <c r="AB678" s="17" t="n">
        <f aca="false">Z678+AA678</f>
        <v>401640.7752</v>
      </c>
      <c r="AC678" s="18" t="n">
        <v>401167.3</v>
      </c>
      <c r="AD678" s="17" t="n">
        <f aca="false">AC678-AB678</f>
        <v>-473.475200000044</v>
      </c>
      <c r="AE678" s="17" t="n">
        <f aca="false">AA678+AD678</f>
        <v>13108.58</v>
      </c>
      <c r="AF678" s="19" t="n">
        <f aca="false">IF(Z678&gt;0,AE678/Z678,0)</f>
        <v>0.0337798877448237</v>
      </c>
      <c r="AG678" s="16" t="n">
        <f aca="false">(U678-W678)*INDEX(Parametros!$H$2:$H$9,MATCH($E678,Parametros!$A$2:$A$9,0))+W678*INDEX(Parametros!$H$2:$H$9,MATCH($E678,Parametros!$A$2:$A$9,0))*Parametros!$N$3</f>
        <v>66856.35</v>
      </c>
      <c r="AH678" s="13" t="n">
        <v>19298</v>
      </c>
      <c r="AI678" s="16" t="n">
        <f aca="false">AH678*Parametros!$N$2</f>
        <v>1775.416</v>
      </c>
      <c r="AJ678" s="18" t="n">
        <v>17526</v>
      </c>
      <c r="AK678" s="18" t="n">
        <v>3224</v>
      </c>
      <c r="AL678" s="17" t="n">
        <f aca="false">AG678+AI678+AJ678+AK678</f>
        <v>89381.766</v>
      </c>
      <c r="AM678" s="20" t="n">
        <f aca="false">IF(L678&gt;0,AL678/L678,0)</f>
        <v>0.25797018018304</v>
      </c>
      <c r="AN678" s="16" t="n">
        <f aca="false">L678*INDEX(Parametros!$G$2:$G$9,MATCH($E678,Parametros!$A$2:$A$9,0))</f>
        <v>620200.99</v>
      </c>
      <c r="AO678" s="17" t="n">
        <f aca="false">AN678-AC678-AL678</f>
        <v>129651.924</v>
      </c>
      <c r="AP678" s="15" t="n">
        <f aca="false">IF(AN678&gt;0,AO678/AN678,0)</f>
        <v>0.209048237733384</v>
      </c>
      <c r="AQ678" s="16" t="n">
        <f aca="false">INDEX(Parametros!$I$2:$I$9,MATCH($E678,Parametros!$A$2:$A$9,0))</f>
        <v>33200000</v>
      </c>
      <c r="AR678" s="19" t="n">
        <f aca="false">IF(AQ678&gt;0,AO678/AQ678,0)</f>
        <v>0.00390517843373494</v>
      </c>
    </row>
    <row r="679" customFormat="false" ht="15" hidden="false" customHeight="false" outlineLevel="0" collapsed="false">
      <c r="A679" s="5" t="s">
        <v>814</v>
      </c>
      <c r="B679" s="9" t="n">
        <v>46139</v>
      </c>
      <c r="C679" s="2" t="str">
        <f aca="false">TEXT(B679,"yyyy")</f>
        <v>2026</v>
      </c>
      <c r="D679" s="2" t="n">
        <f aca="false">WEEKNUM(B679,2)</f>
        <v>18</v>
      </c>
      <c r="E679" s="5" t="s">
        <v>140</v>
      </c>
      <c r="F679" s="6" t="str">
        <f aca="false">INDEX(Parametros!$B$2:$B$9,MATCH($E679,Parametros!$A$2:$A$9,0))</f>
        <v>Crema de cacahuate</v>
      </c>
      <c r="G679" s="10" t="n">
        <v>106.3</v>
      </c>
      <c r="H679" s="10" t="n">
        <v>6.1</v>
      </c>
      <c r="I679" s="11" t="n">
        <f aca="false">SUMIFS(Eventos_Paro!$J$2:$J$2186,Eventos_Paro!$D$2:$D$2186,$E679,Eventos_Paro!$B$2:$B$2186,$B679)</f>
        <v>0</v>
      </c>
      <c r="J679" s="12" t="n">
        <f aca="false">G679-H679-I679</f>
        <v>100.2</v>
      </c>
      <c r="K679" s="13" t="n">
        <v>340557</v>
      </c>
      <c r="L679" s="13" t="n">
        <v>363079</v>
      </c>
      <c r="M679" s="13" t="n">
        <v>7037</v>
      </c>
      <c r="N679" s="14" t="n">
        <f aca="false">L679+M679</f>
        <v>370116</v>
      </c>
      <c r="O679" s="11" t="n">
        <f aca="false">INDEX(Parametros!$D$2:$D$9,MATCH($E679,Parametros!$A$2:$A$9,0))</f>
        <v>4200</v>
      </c>
      <c r="P679" s="15" t="n">
        <f aca="false">IF((G679-H679)&gt;0,J679/(G679-H679),0)</f>
        <v>1</v>
      </c>
      <c r="Q679" s="15" t="n">
        <f aca="false">IF(J679*O679&gt;0,N679/(O679*J679),0)</f>
        <v>0.879469632164243</v>
      </c>
      <c r="R679" s="15" t="n">
        <f aca="false">IF(N679&gt;0,L679/N679,0)</f>
        <v>0.980987041900377</v>
      </c>
      <c r="S679" s="15" t="n">
        <f aca="false">P679*Q679*R679</f>
        <v>0.862748312898014</v>
      </c>
      <c r="T679" s="15" t="n">
        <f aca="false">IF(K679&gt;0,L679/K679,0)</f>
        <v>1.06613283532566</v>
      </c>
      <c r="U679" s="10" t="n">
        <v>1560.6</v>
      </c>
      <c r="V679" s="5" t="n">
        <v>13</v>
      </c>
      <c r="W679" s="10" t="n">
        <v>178.7</v>
      </c>
      <c r="X679" s="15" t="n">
        <f aca="false">IF(U679&gt;0,W679/U679,0)</f>
        <v>0.114507240804819</v>
      </c>
      <c r="Y679" s="12" t="n">
        <f aca="false">IF(U679&gt;0,L679/U679,0)</f>
        <v>232.653466615404</v>
      </c>
      <c r="Z679" s="16" t="n">
        <f aca="false">L679*INDEX(Parametros!$E$2:$E$9,MATCH($E679,Parametros!$A$2:$A$9,0))</f>
        <v>352186.63</v>
      </c>
      <c r="AA679" s="16" t="n">
        <f aca="false">Z679*INDEX(Parametros!$F$2:$F$9,MATCH($E679,Parametros!$A$2:$A$9,0))</f>
        <v>7748.10586</v>
      </c>
      <c r="AB679" s="17" t="n">
        <f aca="false">Z679+AA679</f>
        <v>359934.73586</v>
      </c>
      <c r="AC679" s="18" t="n">
        <v>359600.8</v>
      </c>
      <c r="AD679" s="17" t="n">
        <f aca="false">AC679-AB679</f>
        <v>-333.935860000027</v>
      </c>
      <c r="AE679" s="17" t="n">
        <f aca="false">AA679+AD679</f>
        <v>7414.16999999997</v>
      </c>
      <c r="AF679" s="19" t="n">
        <f aca="false">IF(Z679&gt;0,AE679/Z679,0)</f>
        <v>0.0210518213028132</v>
      </c>
      <c r="AG679" s="16" t="n">
        <f aca="false">(U679-W679)*INDEX(Parametros!$H$2:$H$9,MATCH($E679,Parametros!$A$2:$A$9,0))+W679*INDEX(Parametros!$H$2:$H$9,MATCH($E679,Parametros!$A$2:$A$9,0))*Parametros!$N$3</f>
        <v>51973.425</v>
      </c>
      <c r="AH679" s="13" t="n">
        <v>18772</v>
      </c>
      <c r="AI679" s="16" t="n">
        <f aca="false">AH679*Parametros!$N$2</f>
        <v>1727.024</v>
      </c>
      <c r="AJ679" s="18" t="n">
        <v>13574</v>
      </c>
      <c r="AK679" s="18" t="n">
        <v>0</v>
      </c>
      <c r="AL679" s="17" t="n">
        <f aca="false">AG679+AI679+AJ679+AK679</f>
        <v>67274.449</v>
      </c>
      <c r="AM679" s="20" t="n">
        <f aca="false">IF(L679&gt;0,AL679/L679,0)</f>
        <v>0.185288736060196</v>
      </c>
      <c r="AN679" s="16" t="n">
        <f aca="false">L679*INDEX(Parametros!$G$2:$G$9,MATCH($E679,Parametros!$A$2:$A$9,0))</f>
        <v>588187.98</v>
      </c>
      <c r="AO679" s="17" t="n">
        <f aca="false">AN679-AC679-AL679</f>
        <v>161312.731</v>
      </c>
      <c r="AP679" s="15" t="n">
        <f aca="false">IF(AN679&gt;0,AO679/AN679,0)</f>
        <v>0.274253702022268</v>
      </c>
      <c r="AQ679" s="16" t="n">
        <f aca="false">INDEX(Parametros!$I$2:$I$9,MATCH($E679,Parametros!$A$2:$A$9,0))</f>
        <v>28000000</v>
      </c>
      <c r="AR679" s="19" t="n">
        <f aca="false">IF(AQ679&gt;0,AO679/AQ679,0)</f>
        <v>0.00576116896428571</v>
      </c>
    </row>
    <row r="680" customFormat="false" ht="15" hidden="false" customHeight="false" outlineLevel="0" collapsed="false">
      <c r="A680" s="5" t="s">
        <v>815</v>
      </c>
      <c r="B680" s="9" t="n">
        <v>46139</v>
      </c>
      <c r="C680" s="2" t="str">
        <f aca="false">TEXT(B680,"yyyy")</f>
        <v>2026</v>
      </c>
      <c r="D680" s="2" t="n">
        <f aca="false">WEEKNUM(B680,2)</f>
        <v>18</v>
      </c>
      <c r="E680" s="5" t="s">
        <v>142</v>
      </c>
      <c r="F680" s="6" t="str">
        <f aca="false">INDEX(Parametros!$B$2:$B$9,MATCH($E680,Parametros!$A$2:$A$9,0))</f>
        <v>Porciones single serve</v>
      </c>
      <c r="G680" s="10" t="n">
        <v>123.6</v>
      </c>
      <c r="H680" s="10" t="n">
        <v>8.5</v>
      </c>
      <c r="I680" s="11" t="n">
        <f aca="false">SUMIFS(Eventos_Paro!$J$2:$J$2186,Eventos_Paro!$D$2:$D$2186,$E680,Eventos_Paro!$B$2:$B$2186,$B680)</f>
        <v>3.53333333333333</v>
      </c>
      <c r="J680" s="12" t="n">
        <f aca="false">G680-H680-I680</f>
        <v>111.566666666667</v>
      </c>
      <c r="K680" s="13" t="n">
        <v>242171</v>
      </c>
      <c r="L680" s="13" t="n">
        <v>210238</v>
      </c>
      <c r="M680" s="13" t="n">
        <v>10324</v>
      </c>
      <c r="N680" s="14" t="n">
        <f aca="false">L680+M680</f>
        <v>220562</v>
      </c>
      <c r="O680" s="11" t="n">
        <f aca="false">INDEX(Parametros!$D$2:$D$9,MATCH($E680,Parametros!$A$2:$A$9,0))</f>
        <v>2600</v>
      </c>
      <c r="P680" s="15" t="n">
        <f aca="false">IF((G680-H680)&gt;0,J680/(G680-H680),0)</f>
        <v>0.969302056183029</v>
      </c>
      <c r="Q680" s="15" t="n">
        <f aca="false">IF(J680*O680&gt;0,N680/(O680*J680),0)</f>
        <v>0.760366344142861</v>
      </c>
      <c r="R680" s="15" t="n">
        <f aca="false">IF(N680&gt;0,L680/N680,0)</f>
        <v>0.953192299670841</v>
      </c>
      <c r="S680" s="15" t="n">
        <f aca="false">P680*Q680*R680</f>
        <v>0.702526231370715</v>
      </c>
      <c r="T680" s="15" t="n">
        <f aca="false">IF(K680&gt;0,L680/K680,0)</f>
        <v>0.868138629315649</v>
      </c>
      <c r="U680" s="10" t="n">
        <v>2252</v>
      </c>
      <c r="V680" s="5" t="n">
        <v>17</v>
      </c>
      <c r="W680" s="10" t="n">
        <v>150.8</v>
      </c>
      <c r="X680" s="15" t="n">
        <f aca="false">IF(U680&gt;0,W680/U680,0)</f>
        <v>0.0669626998223801</v>
      </c>
      <c r="Y680" s="12" t="n">
        <f aca="false">IF(U680&gt;0,L680/U680,0)</f>
        <v>93.3561278863233</v>
      </c>
      <c r="Z680" s="16" t="n">
        <f aca="false">L680*INDEX(Parametros!$E$2:$E$9,MATCH($E680,Parametros!$A$2:$A$9,0))</f>
        <v>155576.12</v>
      </c>
      <c r="AA680" s="16" t="n">
        <f aca="false">Z680*INDEX(Parametros!$F$2:$F$9,MATCH($E680,Parametros!$A$2:$A$9,0))</f>
        <v>7000.9254</v>
      </c>
      <c r="AB680" s="17" t="n">
        <f aca="false">Z680+AA680</f>
        <v>162577.0454</v>
      </c>
      <c r="AC680" s="18" t="n">
        <v>162502.73</v>
      </c>
      <c r="AD680" s="17" t="n">
        <f aca="false">AC680-AB680</f>
        <v>-74.3153999999922</v>
      </c>
      <c r="AE680" s="17" t="n">
        <f aca="false">AA680+AD680</f>
        <v>6926.61000000001</v>
      </c>
      <c r="AF680" s="19" t="n">
        <f aca="false">IF(Z680&gt;0,AE680/Z680,0)</f>
        <v>0.0445223212919824</v>
      </c>
      <c r="AG680" s="16" t="n">
        <f aca="false">(U680-W680)*INDEX(Parametros!$H$2:$H$9,MATCH($E680,Parametros!$A$2:$A$9,0))+W680*INDEX(Parametros!$H$2:$H$9,MATCH($E680,Parametros!$A$2:$A$9,0))*Parametros!$N$3</f>
        <v>69822</v>
      </c>
      <c r="AH680" s="13" t="n">
        <v>12060</v>
      </c>
      <c r="AI680" s="16" t="n">
        <f aca="false">AH680*Parametros!$N$2</f>
        <v>1109.52</v>
      </c>
      <c r="AJ680" s="18" t="n">
        <v>11534</v>
      </c>
      <c r="AK680" s="18" t="n">
        <v>3128</v>
      </c>
      <c r="AL680" s="17" t="n">
        <f aca="false">AG680+AI680+AJ680+AK680</f>
        <v>85593.52</v>
      </c>
      <c r="AM680" s="20" t="n">
        <f aca="false">IF(L680&gt;0,AL680/L680,0)</f>
        <v>0.407126780125382</v>
      </c>
      <c r="AN680" s="16" t="n">
        <f aca="false">L680*INDEX(Parametros!$G$2:$G$9,MATCH($E680,Parametros!$A$2:$A$9,0))</f>
        <v>361609.36</v>
      </c>
      <c r="AO680" s="17" t="n">
        <f aca="false">AN680-AC680-AL680</f>
        <v>113513.11</v>
      </c>
      <c r="AP680" s="15" t="n">
        <f aca="false">IF(AN680&gt;0,AO680/AN680,0)</f>
        <v>0.313910873324739</v>
      </c>
      <c r="AQ680" s="16" t="n">
        <f aca="false">INDEX(Parametros!$I$2:$I$9,MATCH($E680,Parametros!$A$2:$A$9,0))</f>
        <v>15900000</v>
      </c>
      <c r="AR680" s="19" t="n">
        <f aca="false">IF(AQ680&gt;0,AO680/AQ680,0)</f>
        <v>0.0071391893081761</v>
      </c>
    </row>
    <row r="681" customFormat="false" ht="15" hidden="false" customHeight="false" outlineLevel="0" collapsed="false">
      <c r="A681" s="5" t="s">
        <v>816</v>
      </c>
      <c r="B681" s="9" t="n">
        <v>46139</v>
      </c>
      <c r="C681" s="2" t="str">
        <f aca="false">TEXT(B681,"yyyy")</f>
        <v>2026</v>
      </c>
      <c r="D681" s="2" t="n">
        <f aca="false">WEEKNUM(B681,2)</f>
        <v>18</v>
      </c>
      <c r="E681" s="5" t="s">
        <v>144</v>
      </c>
      <c r="F681" s="6" t="str">
        <f aca="false">INDEX(Parametros!$B$2:$B$9,MATCH($E681,Parametros!$A$2:$A$9,0))</f>
        <v>Salsas picantes</v>
      </c>
      <c r="G681" s="10" t="n">
        <v>83</v>
      </c>
      <c r="H681" s="10" t="n">
        <v>6</v>
      </c>
      <c r="I681" s="11" t="n">
        <f aca="false">SUMIFS(Eventos_Paro!$J$2:$J$2186,Eventos_Paro!$D$2:$D$2186,$E681,Eventos_Paro!$B$2:$B$2186,$B681)</f>
        <v>2.41666666666667</v>
      </c>
      <c r="J681" s="12" t="n">
        <f aca="false">G681-H681-I681</f>
        <v>74.5833333333333</v>
      </c>
      <c r="K681" s="13" t="n">
        <v>187186</v>
      </c>
      <c r="L681" s="13" t="n">
        <v>187856</v>
      </c>
      <c r="M681" s="13" t="n">
        <v>3799</v>
      </c>
      <c r="N681" s="14" t="n">
        <f aca="false">L681+M681</f>
        <v>191655</v>
      </c>
      <c r="O681" s="11" t="n">
        <f aca="false">INDEX(Parametros!$D$2:$D$9,MATCH($E681,Parametros!$A$2:$A$9,0))</f>
        <v>3100</v>
      </c>
      <c r="P681" s="15" t="n">
        <f aca="false">IF((G681-H681)&gt;0,J681/(G681-H681),0)</f>
        <v>0.968614718614719</v>
      </c>
      <c r="Q681" s="15" t="n">
        <f aca="false">IF(J681*O681&gt;0,N681/(O681*J681),0)</f>
        <v>0.828927734726978</v>
      </c>
      <c r="R681" s="15" t="n">
        <f aca="false">IF(N681&gt;0,L681/N681,0)</f>
        <v>0.980177923873627</v>
      </c>
      <c r="S681" s="15" t="n">
        <f aca="false">P681*Q681*R681</f>
        <v>0.786996229576875</v>
      </c>
      <c r="T681" s="15" t="n">
        <f aca="false">IF(K681&gt;0,L681/K681,0)</f>
        <v>1.00357932751381</v>
      </c>
      <c r="U681" s="10" t="n">
        <v>750.4</v>
      </c>
      <c r="V681" s="5" t="n">
        <v>9</v>
      </c>
      <c r="W681" s="10" t="n">
        <v>3.4</v>
      </c>
      <c r="X681" s="15" t="n">
        <f aca="false">IF(U681&gt;0,W681/U681,0)</f>
        <v>0.00453091684434968</v>
      </c>
      <c r="Y681" s="12" t="n">
        <f aca="false">IF(U681&gt;0,L681/U681,0)</f>
        <v>250.341151385928</v>
      </c>
      <c r="Z681" s="16" t="n">
        <f aca="false">L681*INDEX(Parametros!$E$2:$E$9,MATCH($E681,Parametros!$A$2:$A$9,0))</f>
        <v>123984.96</v>
      </c>
      <c r="AA681" s="16" t="n">
        <f aca="false">Z681*INDEX(Parametros!$F$2:$F$9,MATCH($E681,Parametros!$A$2:$A$9,0))</f>
        <v>3223.60896</v>
      </c>
      <c r="AB681" s="17" t="n">
        <f aca="false">Z681+AA681</f>
        <v>127208.56896</v>
      </c>
      <c r="AC681" s="18" t="n">
        <v>125728.81</v>
      </c>
      <c r="AD681" s="17" t="n">
        <f aca="false">AC681-AB681</f>
        <v>-1479.75896000001</v>
      </c>
      <c r="AE681" s="17" t="n">
        <f aca="false">AA681+AD681</f>
        <v>1743.84999999999</v>
      </c>
      <c r="AF681" s="19" t="n">
        <f aca="false">IF(Z681&gt;0,AE681/Z681,0)</f>
        <v>0.0140650124015041</v>
      </c>
      <c r="AG681" s="16" t="n">
        <f aca="false">(U681-W681)*INDEX(Parametros!$H$2:$H$9,MATCH($E681,Parametros!$A$2:$A$9,0))+W681*INDEX(Parametros!$H$2:$H$9,MATCH($E681,Parametros!$A$2:$A$9,0))*Parametros!$N$3</f>
        <v>23691.15</v>
      </c>
      <c r="AH681" s="13" t="n">
        <v>9524</v>
      </c>
      <c r="AI681" s="16" t="n">
        <f aca="false">AH681*Parametros!$N$2</f>
        <v>876.208</v>
      </c>
      <c r="AJ681" s="18" t="n">
        <v>6428</v>
      </c>
      <c r="AK681" s="18" t="n">
        <v>2367</v>
      </c>
      <c r="AL681" s="17" t="n">
        <f aca="false">AG681+AI681+AJ681+AK681</f>
        <v>33362.358</v>
      </c>
      <c r="AM681" s="20" t="n">
        <f aca="false">IF(L681&gt;0,AL681/L681,0)</f>
        <v>0.177595381568861</v>
      </c>
      <c r="AN681" s="16" t="n">
        <f aca="false">L681*INDEX(Parametros!$G$2:$G$9,MATCH($E681,Parametros!$A$2:$A$9,0))</f>
        <v>234820</v>
      </c>
      <c r="AO681" s="17" t="n">
        <f aca="false">AN681-AC681-AL681</f>
        <v>75728.832</v>
      </c>
      <c r="AP681" s="15" t="n">
        <f aca="false">IF(AN681&gt;0,AO681/AN681,0)</f>
        <v>0.322497368196917</v>
      </c>
      <c r="AQ681" s="16" t="n">
        <f aca="false">INDEX(Parametros!$I$2:$I$9,MATCH($E681,Parametros!$A$2:$A$9,0))</f>
        <v>13300000</v>
      </c>
      <c r="AR681" s="19" t="n">
        <f aca="false">IF(AQ681&gt;0,AO681/AQ681,0)</f>
        <v>0.00569389714285714</v>
      </c>
    </row>
    <row r="682" customFormat="false" ht="15" hidden="false" customHeight="false" outlineLevel="0" collapsed="false">
      <c r="A682" s="5" t="s">
        <v>817</v>
      </c>
      <c r="B682" s="9" t="n">
        <v>46146</v>
      </c>
      <c r="C682" s="2" t="str">
        <f aca="false">TEXT(B682,"yyyy")</f>
        <v>2026</v>
      </c>
      <c r="D682" s="2" t="n">
        <f aca="false">WEEKNUM(B682,2)</f>
        <v>19</v>
      </c>
      <c r="E682" s="5" t="s">
        <v>130</v>
      </c>
      <c r="F682" s="6" t="str">
        <f aca="false">INDEX(Parametros!$B$2:$B$9,MATCH($E682,Parametros!$A$2:$A$9,0))</f>
        <v>Ketchup botella</v>
      </c>
      <c r="G682" s="10" t="n">
        <v>122.5</v>
      </c>
      <c r="H682" s="10" t="n">
        <v>6.2</v>
      </c>
      <c r="I682" s="11" t="n">
        <f aca="false">SUMIFS(Eventos_Paro!$J$2:$J$2186,Eventos_Paro!$D$2:$D$2186,$E682,Eventos_Paro!$B$2:$B$2186,$B682)</f>
        <v>0.9</v>
      </c>
      <c r="J682" s="12" t="n">
        <f aca="false">G682-H682-I682</f>
        <v>115.4</v>
      </c>
      <c r="K682" s="13" t="n">
        <v>850808</v>
      </c>
      <c r="L682" s="13" t="n">
        <v>890447</v>
      </c>
      <c r="M682" s="13" t="n">
        <v>15473</v>
      </c>
      <c r="N682" s="14" t="n">
        <f aca="false">L682+M682</f>
        <v>905920</v>
      </c>
      <c r="O682" s="11" t="n">
        <f aca="false">INDEX(Parametros!$D$2:$D$9,MATCH($E682,Parametros!$A$2:$A$9,0))</f>
        <v>9000</v>
      </c>
      <c r="P682" s="15" t="n">
        <f aca="false">IF((G682-H682)&gt;0,J682/(G682-H682),0)</f>
        <v>0.992261392949269</v>
      </c>
      <c r="Q682" s="15" t="n">
        <f aca="false">IF(J682*O682&gt;0,N682/(O682*J682),0)</f>
        <v>0.872251107259773</v>
      </c>
      <c r="R682" s="15" t="n">
        <f aca="false">IF(N682&gt;0,L682/N682,0)</f>
        <v>0.982920125397386</v>
      </c>
      <c r="S682" s="15" t="n">
        <f aca="false">P682*Q682*R682</f>
        <v>0.850718448457056</v>
      </c>
      <c r="T682" s="15" t="n">
        <f aca="false">IF(K682&gt;0,L682/K682,0)</f>
        <v>1.04658982990287</v>
      </c>
      <c r="U682" s="10" t="n">
        <v>1856.7</v>
      </c>
      <c r="V682" s="5" t="n">
        <v>14</v>
      </c>
      <c r="W682" s="10" t="n">
        <v>141.7</v>
      </c>
      <c r="X682" s="15" t="n">
        <f aca="false">IF(U682&gt;0,W682/U682,0)</f>
        <v>0.0763181989551355</v>
      </c>
      <c r="Y682" s="12" t="n">
        <f aca="false">IF(U682&gt;0,L682/U682,0)</f>
        <v>479.585824311951</v>
      </c>
      <c r="Z682" s="16" t="n">
        <f aca="false">L682*INDEX(Parametros!$E$2:$E$9,MATCH($E682,Parametros!$A$2:$A$9,0))</f>
        <v>373987.74</v>
      </c>
      <c r="AA682" s="16" t="n">
        <f aca="false">Z682*INDEX(Parametros!$F$2:$F$9,MATCH($E682,Parametros!$A$2:$A$9,0))</f>
        <v>7479.7548</v>
      </c>
      <c r="AB682" s="17" t="n">
        <f aca="false">Z682+AA682</f>
        <v>381467.4948</v>
      </c>
      <c r="AC682" s="18" t="n">
        <v>377588.38</v>
      </c>
      <c r="AD682" s="17" t="n">
        <f aca="false">AC682-AB682</f>
        <v>-3879.11479999998</v>
      </c>
      <c r="AE682" s="17" t="n">
        <f aca="false">AA682+AD682</f>
        <v>3600.64000000002</v>
      </c>
      <c r="AF682" s="19" t="n">
        <f aca="false">IF(Z682&gt;0,AE682/Z682,0)</f>
        <v>0.00962769528220369</v>
      </c>
      <c r="AG682" s="16" t="n">
        <f aca="false">(U682-W682)*INDEX(Parametros!$H$2:$H$9,MATCH($E682,Parametros!$A$2:$A$9,0))+W682*INDEX(Parametros!$H$2:$H$9,MATCH($E682,Parametros!$A$2:$A$9,0))*Parametros!$N$3</f>
        <v>60717.825</v>
      </c>
      <c r="AH682" s="13" t="n">
        <v>46334</v>
      </c>
      <c r="AI682" s="16" t="n">
        <f aca="false">AH682*Parametros!$N$2</f>
        <v>4262.728</v>
      </c>
      <c r="AJ682" s="18" t="n">
        <v>17336</v>
      </c>
      <c r="AK682" s="18" t="n">
        <v>534</v>
      </c>
      <c r="AL682" s="17" t="n">
        <f aca="false">AG682+AI682+AJ682+AK682</f>
        <v>82850.553</v>
      </c>
      <c r="AM682" s="20" t="n">
        <f aca="false">IF(L682&gt;0,AL682/L682,0)</f>
        <v>0.0930437780126161</v>
      </c>
      <c r="AN682" s="16" t="n">
        <f aca="false">L682*INDEX(Parametros!$G$2:$G$9,MATCH($E682,Parametros!$A$2:$A$9,0))</f>
        <v>632217.37</v>
      </c>
      <c r="AO682" s="17" t="n">
        <f aca="false">AN682-AC682-AL682</f>
        <v>171778.437</v>
      </c>
      <c r="AP682" s="15" t="n">
        <f aca="false">IF(AN682&gt;0,AO682/AN682,0)</f>
        <v>0.271707873195575</v>
      </c>
      <c r="AQ682" s="16" t="n">
        <f aca="false">INDEX(Parametros!$I$2:$I$9,MATCH($E682,Parametros!$A$2:$A$9,0))</f>
        <v>29300000</v>
      </c>
      <c r="AR682" s="19" t="n">
        <f aca="false">IF(AQ682&gt;0,AO682/AQ682,0)</f>
        <v>0.00586274529010239</v>
      </c>
    </row>
    <row r="683" customFormat="false" ht="15" hidden="false" customHeight="false" outlineLevel="0" collapsed="false">
      <c r="A683" s="5" t="s">
        <v>818</v>
      </c>
      <c r="B683" s="9" t="n">
        <v>46146</v>
      </c>
      <c r="C683" s="2" t="str">
        <f aca="false">TEXT(B683,"yyyy")</f>
        <v>2026</v>
      </c>
      <c r="D683" s="2" t="n">
        <f aca="false">WEEKNUM(B683,2)</f>
        <v>19</v>
      </c>
      <c r="E683" s="5" t="s">
        <v>132</v>
      </c>
      <c r="F683" s="6" t="str">
        <f aca="false">INDEX(Parametros!$B$2:$B$9,MATCH($E683,Parametros!$A$2:$A$9,0))</f>
        <v>Mayonesa frasco</v>
      </c>
      <c r="G683" s="10" t="n">
        <v>109.6</v>
      </c>
      <c r="H683" s="10" t="n">
        <v>5.8</v>
      </c>
      <c r="I683" s="11" t="n">
        <f aca="false">SUMIFS(Eventos_Paro!$J$2:$J$2186,Eventos_Paro!$D$2:$D$2186,$E683,Eventos_Paro!$B$2:$B$2186,$B683)</f>
        <v>1.5</v>
      </c>
      <c r="J683" s="12" t="n">
        <f aca="false">G683-H683-I683</f>
        <v>102.3</v>
      </c>
      <c r="K683" s="13" t="n">
        <v>548428</v>
      </c>
      <c r="L683" s="13" t="n">
        <v>572536</v>
      </c>
      <c r="M683" s="13" t="n">
        <v>17867</v>
      </c>
      <c r="N683" s="14" t="n">
        <f aca="false">L683+M683</f>
        <v>590403</v>
      </c>
      <c r="O683" s="11" t="n">
        <f aca="false">INDEX(Parametros!$D$2:$D$9,MATCH($E683,Parametros!$A$2:$A$9,0))</f>
        <v>6500</v>
      </c>
      <c r="P683" s="15" t="n">
        <f aca="false">IF((G683-H683)&gt;0,J683/(G683-H683),0)</f>
        <v>0.985549132947977</v>
      </c>
      <c r="Q683" s="15" t="n">
        <f aca="false">IF(J683*O683&gt;0,N683/(O683*J683),0)</f>
        <v>0.887890818858561</v>
      </c>
      <c r="R683" s="15" t="n">
        <f aca="false">IF(N683&gt;0,L683/N683,0)</f>
        <v>0.969737619896918</v>
      </c>
      <c r="S683" s="15" t="n">
        <f aca="false">P683*Q683*R683</f>
        <v>0.848578627538165</v>
      </c>
      <c r="T683" s="15" t="n">
        <f aca="false">IF(K683&gt;0,L683/K683,0)</f>
        <v>1.04395836828171</v>
      </c>
      <c r="U683" s="10" t="n">
        <v>1526.4</v>
      </c>
      <c r="V683" s="5" t="n">
        <v>13</v>
      </c>
      <c r="W683" s="10" t="n">
        <v>101.6</v>
      </c>
      <c r="X683" s="15" t="n">
        <f aca="false">IF(U683&gt;0,W683/U683,0)</f>
        <v>0.0665618448637317</v>
      </c>
      <c r="Y683" s="12" t="n">
        <f aca="false">IF(U683&gt;0,L683/U683,0)</f>
        <v>375.089098532495</v>
      </c>
      <c r="Z683" s="16" t="n">
        <f aca="false">L683*INDEX(Parametros!$E$2:$E$9,MATCH($E683,Parametros!$A$2:$A$9,0))</f>
        <v>349246.96</v>
      </c>
      <c r="AA683" s="16" t="n">
        <f aca="false">Z683*INDEX(Parametros!$F$2:$F$9,MATCH($E683,Parametros!$A$2:$A$9,0))</f>
        <v>8731.174</v>
      </c>
      <c r="AB683" s="17" t="n">
        <f aca="false">Z683+AA683</f>
        <v>357978.134</v>
      </c>
      <c r="AC683" s="18" t="n">
        <v>353692.25</v>
      </c>
      <c r="AD683" s="17" t="n">
        <f aca="false">AC683-AB683</f>
        <v>-4285.88400000002</v>
      </c>
      <c r="AE683" s="17" t="n">
        <f aca="false">AA683+AD683</f>
        <v>4445.28999999998</v>
      </c>
      <c r="AF683" s="19" t="n">
        <f aca="false">IF(Z683&gt;0,AE683/Z683,0)</f>
        <v>0.0127282138690627</v>
      </c>
      <c r="AG683" s="16" t="n">
        <f aca="false">(U683-W683)*INDEX(Parametros!$H$2:$H$9,MATCH($E683,Parametros!$A$2:$A$9,0))+W683*INDEX(Parametros!$H$2:$H$9,MATCH($E683,Parametros!$A$2:$A$9,0))*Parametros!$N$3</f>
        <v>49681.8</v>
      </c>
      <c r="AH683" s="13" t="n">
        <v>29641</v>
      </c>
      <c r="AI683" s="16" t="n">
        <f aca="false">AH683*Parametros!$N$2</f>
        <v>2726.972</v>
      </c>
      <c r="AJ683" s="18" t="n">
        <v>15652</v>
      </c>
      <c r="AK683" s="18" t="n">
        <v>991</v>
      </c>
      <c r="AL683" s="17" t="n">
        <f aca="false">AG683+AI683+AJ683+AK683</f>
        <v>69051.772</v>
      </c>
      <c r="AM683" s="20" t="n">
        <f aca="false">IF(L683&gt;0,AL683/L683,0)</f>
        <v>0.120606864895832</v>
      </c>
      <c r="AN683" s="16" t="n">
        <f aca="false">L683*INDEX(Parametros!$G$2:$G$9,MATCH($E683,Parametros!$A$2:$A$9,0))</f>
        <v>549634.56</v>
      </c>
      <c r="AO683" s="17" t="n">
        <f aca="false">AN683-AC683-AL683</f>
        <v>126890.538</v>
      </c>
      <c r="AP683" s="15" t="n">
        <f aca="false">IF(AN683&gt;0,AO683/AN683,0)</f>
        <v>0.230863463170875</v>
      </c>
      <c r="AQ683" s="16" t="n">
        <f aca="false">INDEX(Parametros!$I$2:$I$9,MATCH($E683,Parametros!$A$2:$A$9,0))</f>
        <v>29700000</v>
      </c>
      <c r="AR683" s="19" t="n">
        <f aca="false">IF(AQ683&gt;0,AO683/AQ683,0)</f>
        <v>0.00427240868686869</v>
      </c>
    </row>
    <row r="684" customFormat="false" ht="15" hidden="false" customHeight="false" outlineLevel="0" collapsed="false">
      <c r="A684" s="5" t="s">
        <v>819</v>
      </c>
      <c r="B684" s="9" t="n">
        <v>46146</v>
      </c>
      <c r="C684" s="2" t="str">
        <f aca="false">TEXT(B684,"yyyy")</f>
        <v>2026</v>
      </c>
      <c r="D684" s="2" t="n">
        <f aca="false">WEEKNUM(B684,2)</f>
        <v>19</v>
      </c>
      <c r="E684" s="5" t="s">
        <v>134</v>
      </c>
      <c r="F684" s="6" t="str">
        <f aca="false">INDEX(Parametros!$B$2:$B$9,MATCH($E684,Parametros!$A$2:$A$9,0))</f>
        <v>Aderezos vertibles</v>
      </c>
      <c r="G684" s="10" t="n">
        <v>102</v>
      </c>
      <c r="H684" s="10" t="n">
        <v>5.9</v>
      </c>
      <c r="I684" s="11" t="n">
        <f aca="false">SUMIFS(Eventos_Paro!$J$2:$J$2186,Eventos_Paro!$D$2:$D$2186,$E684,Eventos_Paro!$B$2:$B$2186,$B684)</f>
        <v>4.03333333333333</v>
      </c>
      <c r="J684" s="12" t="n">
        <f aca="false">G684-H684-I684</f>
        <v>92.0666666666667</v>
      </c>
      <c r="K684" s="13" t="n">
        <v>406196</v>
      </c>
      <c r="L684" s="13" t="n">
        <v>345910</v>
      </c>
      <c r="M684" s="13" t="n">
        <v>13963</v>
      </c>
      <c r="N684" s="14" t="n">
        <f aca="false">L684+M684</f>
        <v>359873</v>
      </c>
      <c r="O684" s="11" t="n">
        <f aca="false">INDEX(Parametros!$D$2:$D$9,MATCH($E684,Parametros!$A$2:$A$9,0))</f>
        <v>5200</v>
      </c>
      <c r="P684" s="15" t="n">
        <f aca="false">IF((G684-H684)&gt;0,J684/(G684-H684),0)</f>
        <v>0.958029830038155</v>
      </c>
      <c r="Q684" s="15" t="n">
        <f aca="false">IF(J684*O684&gt;0,N684/(O684*J684),0)</f>
        <v>0.751698184147496</v>
      </c>
      <c r="R684" s="15" t="n">
        <f aca="false">IF(N684&gt;0,L684/N684,0)</f>
        <v>0.961200201182084</v>
      </c>
      <c r="S684" s="15" t="n">
        <f aca="false">P684*Q684*R684</f>
        <v>0.692207636276315</v>
      </c>
      <c r="T684" s="15" t="n">
        <f aca="false">IF(K684&gt;0,L684/K684,0)</f>
        <v>0.851583964391575</v>
      </c>
      <c r="U684" s="10" t="n">
        <v>1319.6</v>
      </c>
      <c r="V684" s="5" t="n">
        <v>12</v>
      </c>
      <c r="W684" s="10" t="n">
        <v>95.6</v>
      </c>
      <c r="X684" s="15" t="n">
        <f aca="false">IF(U684&gt;0,W684/U684,0)</f>
        <v>0.0724461958169142</v>
      </c>
      <c r="Y684" s="12" t="n">
        <f aca="false">IF(U684&gt;0,L684/U684,0)</f>
        <v>262.132464383146</v>
      </c>
      <c r="Z684" s="16" t="n">
        <f aca="false">L684*INDEX(Parametros!$E$2:$E$9,MATCH($E684,Parametros!$A$2:$A$9,0))</f>
        <v>190250.5</v>
      </c>
      <c r="AA684" s="16" t="n">
        <f aca="false">Z684*INDEX(Parametros!$F$2:$F$9,MATCH($E684,Parametros!$A$2:$A$9,0))</f>
        <v>5707.515</v>
      </c>
      <c r="AB684" s="17" t="n">
        <f aca="false">Z684+AA684</f>
        <v>195958.015</v>
      </c>
      <c r="AC684" s="18" t="n">
        <v>195838.32</v>
      </c>
      <c r="AD684" s="17" t="n">
        <f aca="false">AC684-AB684</f>
        <v>-119.695000000036</v>
      </c>
      <c r="AE684" s="17" t="n">
        <f aca="false">AA684+AD684</f>
        <v>5587.81999999996</v>
      </c>
      <c r="AF684" s="19" t="n">
        <f aca="false">IF(Z684&gt;0,AE684/Z684,0)</f>
        <v>0.0293708557927573</v>
      </c>
      <c r="AG684" s="16" t="n">
        <f aca="false">(U684-W684)*INDEX(Parametros!$H$2:$H$9,MATCH($E684,Parametros!$A$2:$A$9,0))+W684*INDEX(Parametros!$H$2:$H$9,MATCH($E684,Parametros!$A$2:$A$9,0))*Parametros!$N$3</f>
        <v>43073.1</v>
      </c>
      <c r="AH684" s="13" t="n">
        <v>18458</v>
      </c>
      <c r="AI684" s="16" t="n">
        <f aca="false">AH684*Parametros!$N$2</f>
        <v>1698.136</v>
      </c>
      <c r="AJ684" s="18" t="n">
        <v>9171</v>
      </c>
      <c r="AK684" s="18" t="n">
        <v>3041</v>
      </c>
      <c r="AL684" s="17" t="n">
        <f aca="false">AG684+AI684+AJ684+AK684</f>
        <v>56983.236</v>
      </c>
      <c r="AM684" s="20" t="n">
        <f aca="false">IF(L684&gt;0,AL684/L684,0)</f>
        <v>0.164734283484143</v>
      </c>
      <c r="AN684" s="16" t="n">
        <f aca="false">L684*INDEX(Parametros!$G$2:$G$9,MATCH($E684,Parametros!$A$2:$A$9,0))</f>
        <v>352828.2</v>
      </c>
      <c r="AO684" s="17" t="n">
        <f aca="false">AN684-AC684-AL684</f>
        <v>100006.644</v>
      </c>
      <c r="AP684" s="15" t="n">
        <f aca="false">IF(AN684&gt;0,AO684/AN684,0)</f>
        <v>0.283442888068471</v>
      </c>
      <c r="AQ684" s="16" t="n">
        <f aca="false">INDEX(Parametros!$I$2:$I$9,MATCH($E684,Parametros!$A$2:$A$9,0))</f>
        <v>19300000</v>
      </c>
      <c r="AR684" s="19" t="n">
        <f aca="false">IF(AQ684&gt;0,AO684/AQ684,0)</f>
        <v>0.00518169139896373</v>
      </c>
    </row>
    <row r="685" customFormat="false" ht="15" hidden="false" customHeight="false" outlineLevel="0" collapsed="false">
      <c r="A685" s="5" t="s">
        <v>820</v>
      </c>
      <c r="B685" s="9" t="n">
        <v>46146</v>
      </c>
      <c r="C685" s="2" t="str">
        <f aca="false">TEXT(B685,"yyyy")</f>
        <v>2026</v>
      </c>
      <c r="D685" s="2" t="n">
        <f aca="false">WEEKNUM(B685,2)</f>
        <v>19</v>
      </c>
      <c r="E685" s="5" t="s">
        <v>136</v>
      </c>
      <c r="F685" s="6" t="str">
        <f aca="false">INDEX(Parametros!$B$2:$B$9,MATCH($E685,Parametros!$A$2:$A$9,0))</f>
        <v>Salsa BBQ</v>
      </c>
      <c r="G685" s="10" t="n">
        <v>82.2</v>
      </c>
      <c r="H685" s="10" t="n">
        <v>6.4</v>
      </c>
      <c r="I685" s="11" t="n">
        <f aca="false">SUMIFS(Eventos_Paro!$J$2:$J$2186,Eventos_Paro!$D$2:$D$2186,$E685,Eventos_Paro!$B$2:$B$2186,$B685)</f>
        <v>0</v>
      </c>
      <c r="J685" s="12" t="n">
        <f aca="false">G685-H685-I685</f>
        <v>75.8</v>
      </c>
      <c r="K685" s="13" t="n">
        <v>312107</v>
      </c>
      <c r="L685" s="13" t="n">
        <v>290747</v>
      </c>
      <c r="M685" s="13" t="n">
        <v>10874</v>
      </c>
      <c r="N685" s="14" t="n">
        <f aca="false">L685+M685</f>
        <v>301621</v>
      </c>
      <c r="O685" s="11" t="n">
        <f aca="false">INDEX(Parametros!$D$2:$D$9,MATCH($E685,Parametros!$A$2:$A$9,0))</f>
        <v>4800</v>
      </c>
      <c r="P685" s="15" t="n">
        <f aca="false">IF((G685-H685)&gt;0,J685/(G685-H685),0)</f>
        <v>1</v>
      </c>
      <c r="Q685" s="15" t="n">
        <f aca="false">IF(J685*O685&gt;0,N685/(O685*J685),0)</f>
        <v>0.828993513632366</v>
      </c>
      <c r="R685" s="15" t="n">
        <f aca="false">IF(N685&gt;0,L685/N685,0)</f>
        <v>0.963948133584863</v>
      </c>
      <c r="S685" s="15" t="n">
        <f aca="false">P685*Q685*R685</f>
        <v>0.799106750219877</v>
      </c>
      <c r="T685" s="15" t="n">
        <f aca="false">IF(K685&gt;0,L685/K685,0)</f>
        <v>0.931561932286043</v>
      </c>
      <c r="U685" s="10" t="n">
        <v>1030.1</v>
      </c>
      <c r="V685" s="5" t="n">
        <v>11</v>
      </c>
      <c r="W685" s="10" t="n">
        <v>125.9</v>
      </c>
      <c r="X685" s="15" t="n">
        <f aca="false">IF(U685&gt;0,W685/U685,0)</f>
        <v>0.122221143578293</v>
      </c>
      <c r="Y685" s="12" t="n">
        <f aca="false">IF(U685&gt;0,L685/U685,0)</f>
        <v>282.251237743908</v>
      </c>
      <c r="Z685" s="16" t="n">
        <f aca="false">L685*INDEX(Parametros!$E$2:$E$9,MATCH($E685,Parametros!$A$2:$A$9,0))</f>
        <v>168633.26</v>
      </c>
      <c r="AA685" s="16" t="n">
        <f aca="false">Z685*INDEX(Parametros!$F$2:$F$9,MATCH($E685,Parametros!$A$2:$A$9,0))</f>
        <v>4721.73128</v>
      </c>
      <c r="AB685" s="17" t="n">
        <f aca="false">Z685+AA685</f>
        <v>173354.99128</v>
      </c>
      <c r="AC685" s="18" t="n">
        <v>172954.06</v>
      </c>
      <c r="AD685" s="17" t="n">
        <f aca="false">AC685-AB685</f>
        <v>-400.93127999999</v>
      </c>
      <c r="AE685" s="17" t="n">
        <f aca="false">AA685+AD685</f>
        <v>4320.80000000001</v>
      </c>
      <c r="AF685" s="19" t="n">
        <f aca="false">IF(Z685&gt;0,AE685/Z685,0)</f>
        <v>0.0256224661730433</v>
      </c>
      <c r="AG685" s="16" t="n">
        <f aca="false">(U685-W685)*INDEX(Parametros!$H$2:$H$9,MATCH($E685,Parametros!$A$2:$A$9,0))+W685*INDEX(Parametros!$H$2:$H$9,MATCH($E685,Parametros!$A$2:$A$9,0))*Parametros!$N$3</f>
        <v>34431.075</v>
      </c>
      <c r="AH685" s="13" t="n">
        <v>14618</v>
      </c>
      <c r="AI685" s="16" t="n">
        <f aca="false">AH685*Parametros!$N$2</f>
        <v>1344.856</v>
      </c>
      <c r="AJ685" s="18" t="n">
        <v>8724</v>
      </c>
      <c r="AK685" s="18" t="n">
        <v>0</v>
      </c>
      <c r="AL685" s="17" t="n">
        <f aca="false">AG685+AI685+AJ685+AK685</f>
        <v>44499.931</v>
      </c>
      <c r="AM685" s="20" t="n">
        <f aca="false">IF(L685&gt;0,AL685/L685,0)</f>
        <v>0.153053792472493</v>
      </c>
      <c r="AN685" s="16" t="n">
        <f aca="false">L685*INDEX(Parametros!$G$2:$G$9,MATCH($E685,Parametros!$A$2:$A$9,0))</f>
        <v>284932.06</v>
      </c>
      <c r="AO685" s="17" t="n">
        <f aca="false">AN685-AC685-AL685</f>
        <v>67478.069</v>
      </c>
      <c r="AP685" s="15" t="n">
        <f aca="false">IF(AN685&gt;0,AO685/AN685,0)</f>
        <v>0.236821609333818</v>
      </c>
      <c r="AQ685" s="16" t="n">
        <f aca="false">INDEX(Parametros!$I$2:$I$9,MATCH($E685,Parametros!$A$2:$A$9,0))</f>
        <v>17000000</v>
      </c>
      <c r="AR685" s="19" t="n">
        <f aca="false">IF(AQ685&gt;0,AO685/AQ685,0)</f>
        <v>0.00396929817647059</v>
      </c>
    </row>
    <row r="686" customFormat="false" ht="15" hidden="false" customHeight="false" outlineLevel="0" collapsed="false">
      <c r="A686" s="5" t="s">
        <v>821</v>
      </c>
      <c r="B686" s="9" t="n">
        <v>46146</v>
      </c>
      <c r="C686" s="2" t="str">
        <f aca="false">TEXT(B686,"yyyy")</f>
        <v>2026</v>
      </c>
      <c r="D686" s="2" t="n">
        <f aca="false">WEEKNUM(B686,2)</f>
        <v>19</v>
      </c>
      <c r="E686" s="5" t="s">
        <v>138</v>
      </c>
      <c r="F686" s="6" t="str">
        <f aca="false">INDEX(Parametros!$B$2:$B$9,MATCH($E686,Parametros!$A$2:$A$9,0))</f>
        <v>Queso crema</v>
      </c>
      <c r="G686" s="10" t="n">
        <v>115.5</v>
      </c>
      <c r="H686" s="10" t="n">
        <v>6.3</v>
      </c>
      <c r="I686" s="11" t="n">
        <f aca="false">SUMIFS(Eventos_Paro!$J$2:$J$2186,Eventos_Paro!$D$2:$D$2186,$E686,Eventos_Paro!$B$2:$B$2186,$B686)</f>
        <v>2.68333333333333</v>
      </c>
      <c r="J686" s="12" t="n">
        <f aca="false">G686-H686-I686</f>
        <v>106.516666666667</v>
      </c>
      <c r="K686" s="13" t="n">
        <v>337299</v>
      </c>
      <c r="L686" s="13" t="n">
        <v>296758</v>
      </c>
      <c r="M686" s="13" t="n">
        <v>12339</v>
      </c>
      <c r="N686" s="14" t="n">
        <f aca="false">L686+M686</f>
        <v>309097</v>
      </c>
      <c r="O686" s="11" t="n">
        <f aca="false">INDEX(Parametros!$D$2:$D$9,MATCH($E686,Parametros!$A$2:$A$9,0))</f>
        <v>3800</v>
      </c>
      <c r="P686" s="15" t="n">
        <f aca="false">IF((G686-H686)&gt;0,J686/(G686-H686),0)</f>
        <v>0.97542735042735</v>
      </c>
      <c r="Q686" s="15" t="n">
        <f aca="false">IF(J686*O686&gt;0,N686/(O686*J686),0)</f>
        <v>0.763648716533942</v>
      </c>
      <c r="R686" s="15" t="n">
        <f aca="false">IF(N686&gt;0,L686/N686,0)</f>
        <v>0.960080492531471</v>
      </c>
      <c r="S686" s="15" t="n">
        <f aca="false">P686*Q686*R686</f>
        <v>0.715148448043185</v>
      </c>
      <c r="T686" s="15" t="n">
        <f aca="false">IF(K686&gt;0,L686/K686,0)</f>
        <v>0.879806936872033</v>
      </c>
      <c r="U686" s="10" t="n">
        <v>1762.6</v>
      </c>
      <c r="V686" s="5" t="n">
        <v>14</v>
      </c>
      <c r="W686" s="10" t="n">
        <v>145.6</v>
      </c>
      <c r="X686" s="15" t="n">
        <f aca="false">IF(U686&gt;0,W686/U686,0)</f>
        <v>0.0826052422557585</v>
      </c>
      <c r="Y686" s="12" t="n">
        <f aca="false">IF(U686&gt;0,L686/U686,0)</f>
        <v>168.363780778396</v>
      </c>
      <c r="Z686" s="16" t="n">
        <f aca="false">L686*INDEX(Parametros!$E$2:$E$9,MATCH($E686,Parametros!$A$2:$A$9,0))</f>
        <v>332368.96</v>
      </c>
      <c r="AA686" s="16" t="n">
        <f aca="false">Z686*INDEX(Parametros!$F$2:$F$9,MATCH($E686,Parametros!$A$2:$A$9,0))</f>
        <v>11632.9136</v>
      </c>
      <c r="AB686" s="17" t="n">
        <f aca="false">Z686+AA686</f>
        <v>344001.8736</v>
      </c>
      <c r="AC686" s="18" t="n">
        <v>344001.24</v>
      </c>
      <c r="AD686" s="17" t="n">
        <f aca="false">AC686-AB686</f>
        <v>-0.633600000059232</v>
      </c>
      <c r="AE686" s="17" t="n">
        <f aca="false">AA686+AD686</f>
        <v>11632.2799999999</v>
      </c>
      <c r="AF686" s="19" t="n">
        <f aca="false">IF(Z686&gt;0,AE686/Z686,0)</f>
        <v>0.0349980936848012</v>
      </c>
      <c r="AG686" s="16" t="n">
        <f aca="false">(U686-W686)*INDEX(Parametros!$H$2:$H$9,MATCH($E686,Parametros!$A$2:$A$9,0))+W686*INDEX(Parametros!$H$2:$H$9,MATCH($E686,Parametros!$A$2:$A$9,0))*Parametros!$N$3</f>
        <v>60568.2</v>
      </c>
      <c r="AH686" s="13" t="n">
        <v>16081</v>
      </c>
      <c r="AI686" s="16" t="n">
        <f aca="false">AH686*Parametros!$N$2</f>
        <v>1479.452</v>
      </c>
      <c r="AJ686" s="18" t="n">
        <v>19329</v>
      </c>
      <c r="AK686" s="18" t="n">
        <v>2161</v>
      </c>
      <c r="AL686" s="17" t="n">
        <f aca="false">AG686+AI686+AJ686+AK686</f>
        <v>83537.652</v>
      </c>
      <c r="AM686" s="20" t="n">
        <f aca="false">IF(L686&gt;0,AL686/L686,0)</f>
        <v>0.281500926680999</v>
      </c>
      <c r="AN686" s="16" t="n">
        <f aca="false">L686*INDEX(Parametros!$G$2:$G$9,MATCH($E686,Parametros!$A$2:$A$9,0))</f>
        <v>531196.82</v>
      </c>
      <c r="AO686" s="17" t="n">
        <f aca="false">AN686-AC686-AL686</f>
        <v>103657.928</v>
      </c>
      <c r="AP686" s="15" t="n">
        <f aca="false">IF(AN686&gt;0,AO686/AN686,0)</f>
        <v>0.195140339883812</v>
      </c>
      <c r="AQ686" s="16" t="n">
        <f aca="false">INDEX(Parametros!$I$2:$I$9,MATCH($E686,Parametros!$A$2:$A$9,0))</f>
        <v>33200000</v>
      </c>
      <c r="AR686" s="19" t="n">
        <f aca="false">IF(AQ686&gt;0,AO686/AQ686,0)</f>
        <v>0.00312222674698795</v>
      </c>
    </row>
    <row r="687" customFormat="false" ht="15" hidden="false" customHeight="false" outlineLevel="0" collapsed="false">
      <c r="A687" s="5" t="s">
        <v>822</v>
      </c>
      <c r="B687" s="9" t="n">
        <v>46146</v>
      </c>
      <c r="C687" s="2" t="str">
        <f aca="false">TEXT(B687,"yyyy")</f>
        <v>2026</v>
      </c>
      <c r="D687" s="2" t="n">
        <f aca="false">WEEKNUM(B687,2)</f>
        <v>19</v>
      </c>
      <c r="E687" s="5" t="s">
        <v>140</v>
      </c>
      <c r="F687" s="6" t="str">
        <f aca="false">INDEX(Parametros!$B$2:$B$9,MATCH($E687,Parametros!$A$2:$A$9,0))</f>
        <v>Crema de cacahuate</v>
      </c>
      <c r="G687" s="10" t="n">
        <v>114.4</v>
      </c>
      <c r="H687" s="10" t="n">
        <v>8</v>
      </c>
      <c r="I687" s="11" t="n">
        <f aca="false">SUMIFS(Eventos_Paro!$J$2:$J$2186,Eventos_Paro!$D$2:$D$2186,$E687,Eventos_Paro!$B$2:$B$2186,$B687)</f>
        <v>0.65</v>
      </c>
      <c r="J687" s="12" t="n">
        <f aca="false">G687-H687-I687</f>
        <v>105.75</v>
      </c>
      <c r="K687" s="13" t="n">
        <v>363245</v>
      </c>
      <c r="L687" s="13" t="n">
        <v>378189</v>
      </c>
      <c r="M687" s="13" t="n">
        <v>9517</v>
      </c>
      <c r="N687" s="14" t="n">
        <f aca="false">L687+M687</f>
        <v>387706</v>
      </c>
      <c r="O687" s="11" t="n">
        <f aca="false">INDEX(Parametros!$D$2:$D$9,MATCH($E687,Parametros!$A$2:$A$9,0))</f>
        <v>4200</v>
      </c>
      <c r="P687" s="15" t="n">
        <f aca="false">IF((G687-H687)&gt;0,J687/(G687-H687),0)</f>
        <v>0.993890977443609</v>
      </c>
      <c r="Q687" s="15" t="n">
        <f aca="false">IF(J687*O687&gt;0,N687/(O687*J687),0)</f>
        <v>0.872916807384893</v>
      </c>
      <c r="R687" s="15" t="n">
        <f aca="false">IF(N687&gt;0,L687/N687,0)</f>
        <v>0.975453049475634</v>
      </c>
      <c r="S687" s="15" t="n">
        <f aca="false">P687*Q687*R687</f>
        <v>0.846287593984962</v>
      </c>
      <c r="T687" s="15" t="n">
        <f aca="false">IF(K687&gt;0,L687/K687,0)</f>
        <v>1.04114027722336</v>
      </c>
      <c r="U687" s="10" t="n">
        <v>1752.4</v>
      </c>
      <c r="V687" s="5" t="n">
        <v>14</v>
      </c>
      <c r="W687" s="10" t="n">
        <v>150.8</v>
      </c>
      <c r="X687" s="15" t="n">
        <f aca="false">IF(U687&gt;0,W687/U687,0)</f>
        <v>0.086053412462908</v>
      </c>
      <c r="Y687" s="12" t="n">
        <f aca="false">IF(U687&gt;0,L687/U687,0)</f>
        <v>215.812029217074</v>
      </c>
      <c r="Z687" s="16" t="n">
        <f aca="false">L687*INDEX(Parametros!$E$2:$E$9,MATCH($E687,Parametros!$A$2:$A$9,0))</f>
        <v>366843.33</v>
      </c>
      <c r="AA687" s="16" t="n">
        <f aca="false">Z687*INDEX(Parametros!$F$2:$F$9,MATCH($E687,Parametros!$A$2:$A$9,0))</f>
        <v>8070.55326</v>
      </c>
      <c r="AB687" s="17" t="n">
        <f aca="false">Z687+AA687</f>
        <v>374913.88326</v>
      </c>
      <c r="AC687" s="18" t="n">
        <v>374062.62</v>
      </c>
      <c r="AD687" s="17" t="n">
        <f aca="false">AC687-AB687</f>
        <v>-851.263260000036</v>
      </c>
      <c r="AE687" s="17" t="n">
        <f aca="false">AA687+AD687</f>
        <v>7219.28999999996</v>
      </c>
      <c r="AF687" s="19" t="n">
        <f aca="false">IF(Z687&gt;0,AE687/Z687,0)</f>
        <v>0.019679490969619</v>
      </c>
      <c r="AG687" s="16" t="n">
        <f aca="false">(U687-W687)*INDEX(Parametros!$H$2:$H$9,MATCH($E687,Parametros!$A$2:$A$9,0))+W687*INDEX(Parametros!$H$2:$H$9,MATCH($E687,Parametros!$A$2:$A$9,0))*Parametros!$N$3</f>
        <v>57575.7</v>
      </c>
      <c r="AH687" s="13" t="n">
        <v>18473</v>
      </c>
      <c r="AI687" s="16" t="n">
        <f aca="false">AH687*Parametros!$N$2</f>
        <v>1699.516</v>
      </c>
      <c r="AJ687" s="18" t="n">
        <v>10828</v>
      </c>
      <c r="AK687" s="18" t="n">
        <v>478</v>
      </c>
      <c r="AL687" s="17" t="n">
        <f aca="false">AG687+AI687+AJ687+AK687</f>
        <v>70581.216</v>
      </c>
      <c r="AM687" s="20" t="n">
        <f aca="false">IF(L687&gt;0,AL687/L687,0)</f>
        <v>0.186629478911338</v>
      </c>
      <c r="AN687" s="16" t="n">
        <f aca="false">L687*INDEX(Parametros!$G$2:$G$9,MATCH($E687,Parametros!$A$2:$A$9,0))</f>
        <v>612666.18</v>
      </c>
      <c r="AO687" s="17" t="n">
        <f aca="false">AN687-AC687-AL687</f>
        <v>168022.344</v>
      </c>
      <c r="AP687" s="15" t="n">
        <f aca="false">IF(AN687&gt;0,AO687/AN687,0)</f>
        <v>0.274247786943291</v>
      </c>
      <c r="AQ687" s="16" t="n">
        <f aca="false">INDEX(Parametros!$I$2:$I$9,MATCH($E687,Parametros!$A$2:$A$9,0))</f>
        <v>28000000</v>
      </c>
      <c r="AR687" s="19" t="n">
        <f aca="false">IF(AQ687&gt;0,AO687/AQ687,0)</f>
        <v>0.006000798</v>
      </c>
    </row>
    <row r="688" customFormat="false" ht="15" hidden="false" customHeight="false" outlineLevel="0" collapsed="false">
      <c r="A688" s="5" t="s">
        <v>823</v>
      </c>
      <c r="B688" s="9" t="n">
        <v>46146</v>
      </c>
      <c r="C688" s="2" t="str">
        <f aca="false">TEXT(B688,"yyyy")</f>
        <v>2026</v>
      </c>
      <c r="D688" s="2" t="n">
        <f aca="false">WEEKNUM(B688,2)</f>
        <v>19</v>
      </c>
      <c r="E688" s="5" t="s">
        <v>142</v>
      </c>
      <c r="F688" s="6" t="str">
        <f aca="false">INDEX(Parametros!$B$2:$B$9,MATCH($E688,Parametros!$A$2:$A$9,0))</f>
        <v>Porciones single serve</v>
      </c>
      <c r="G688" s="10" t="n">
        <v>109.6</v>
      </c>
      <c r="H688" s="10" t="n">
        <v>5.5</v>
      </c>
      <c r="I688" s="11" t="n">
        <f aca="false">SUMIFS(Eventos_Paro!$J$2:$J$2186,Eventos_Paro!$D$2:$D$2186,$E688,Eventos_Paro!$B$2:$B$2186,$B688)</f>
        <v>0.883333333333333</v>
      </c>
      <c r="J688" s="12" t="n">
        <f aca="false">G688-H688-I688</f>
        <v>103.216666666667</v>
      </c>
      <c r="K688" s="13" t="n">
        <v>220005</v>
      </c>
      <c r="L688" s="13" t="n">
        <v>201703</v>
      </c>
      <c r="M688" s="13" t="n">
        <v>11217</v>
      </c>
      <c r="N688" s="14" t="n">
        <f aca="false">L688+M688</f>
        <v>212920</v>
      </c>
      <c r="O688" s="11" t="n">
        <f aca="false">INDEX(Parametros!$D$2:$D$9,MATCH($E688,Parametros!$A$2:$A$9,0))</f>
        <v>2600</v>
      </c>
      <c r="P688" s="15" t="n">
        <f aca="false">IF((G688-H688)&gt;0,J688/(G688-H688),0)</f>
        <v>0.991514569324368</v>
      </c>
      <c r="Q688" s="15" t="n">
        <f aca="false">IF(J688*O688&gt;0,N688/(O688*J688),0)</f>
        <v>0.793401979902868</v>
      </c>
      <c r="R688" s="15" t="n">
        <f aca="false">IF(N688&gt;0,L688/N688,0)</f>
        <v>0.947318241593087</v>
      </c>
      <c r="S688" s="15" t="n">
        <f aca="false">P688*Q688*R688</f>
        <v>0.745226483410922</v>
      </c>
      <c r="T688" s="15" t="n">
        <f aca="false">IF(K688&gt;0,L688/K688,0)</f>
        <v>0.916810981568601</v>
      </c>
      <c r="U688" s="10" t="n">
        <v>1937.5</v>
      </c>
      <c r="V688" s="5" t="n">
        <v>16</v>
      </c>
      <c r="W688" s="10" t="n">
        <v>183.9</v>
      </c>
      <c r="X688" s="15" t="n">
        <f aca="false">IF(U688&gt;0,W688/U688,0)</f>
        <v>0.0949161290322581</v>
      </c>
      <c r="Y688" s="12" t="n">
        <f aca="false">IF(U688&gt;0,L688/U688,0)</f>
        <v>104.104774193548</v>
      </c>
      <c r="Z688" s="16" t="n">
        <f aca="false">L688*INDEX(Parametros!$E$2:$E$9,MATCH($E688,Parametros!$A$2:$A$9,0))</f>
        <v>149260.22</v>
      </c>
      <c r="AA688" s="16" t="n">
        <f aca="false">Z688*INDEX(Parametros!$F$2:$F$9,MATCH($E688,Parametros!$A$2:$A$9,0))</f>
        <v>6716.7099</v>
      </c>
      <c r="AB688" s="17" t="n">
        <f aca="false">Z688+AA688</f>
        <v>155976.9299</v>
      </c>
      <c r="AC688" s="18" t="n">
        <v>154558.62</v>
      </c>
      <c r="AD688" s="17" t="n">
        <f aca="false">AC688-AB688</f>
        <v>-1418.30989999999</v>
      </c>
      <c r="AE688" s="17" t="n">
        <f aca="false">AA688+AD688</f>
        <v>5298.40000000001</v>
      </c>
      <c r="AF688" s="19" t="n">
        <f aca="false">IF(Z688&gt;0,AE688/Z688,0)</f>
        <v>0.0354977367713917</v>
      </c>
      <c r="AG688" s="16" t="n">
        <f aca="false">(U688-W688)*INDEX(Parametros!$H$2:$H$9,MATCH($E688,Parametros!$A$2:$A$9,0))+W688*INDEX(Parametros!$H$2:$H$9,MATCH($E688,Parametros!$A$2:$A$9,0))*Parametros!$N$3</f>
        <v>60883.5</v>
      </c>
      <c r="AH688" s="13" t="n">
        <v>11561</v>
      </c>
      <c r="AI688" s="16" t="n">
        <f aca="false">AH688*Parametros!$N$2</f>
        <v>1063.612</v>
      </c>
      <c r="AJ688" s="18" t="n">
        <v>11949</v>
      </c>
      <c r="AK688" s="18" t="n">
        <v>806</v>
      </c>
      <c r="AL688" s="17" t="n">
        <f aca="false">AG688+AI688+AJ688+AK688</f>
        <v>74702.112</v>
      </c>
      <c r="AM688" s="20" t="n">
        <f aca="false">IF(L688&gt;0,AL688/L688,0)</f>
        <v>0.370356970397069</v>
      </c>
      <c r="AN688" s="16" t="n">
        <f aca="false">L688*INDEX(Parametros!$G$2:$G$9,MATCH($E688,Parametros!$A$2:$A$9,0))</f>
        <v>346929.16</v>
      </c>
      <c r="AO688" s="17" t="n">
        <f aca="false">AN688-AC688-AL688</f>
        <v>117668.428</v>
      </c>
      <c r="AP688" s="15" t="n">
        <f aca="false">IF(AN688&gt;0,AO688/AN688,0)</f>
        <v>0.33917133976285</v>
      </c>
      <c r="AQ688" s="16" t="n">
        <f aca="false">INDEX(Parametros!$I$2:$I$9,MATCH($E688,Parametros!$A$2:$A$9,0))</f>
        <v>15900000</v>
      </c>
      <c r="AR688" s="19" t="n">
        <f aca="false">IF(AQ688&gt;0,AO688/AQ688,0)</f>
        <v>0.00740053006289308</v>
      </c>
    </row>
    <row r="689" customFormat="false" ht="15" hidden="false" customHeight="false" outlineLevel="0" collapsed="false">
      <c r="A689" s="5" t="s">
        <v>824</v>
      </c>
      <c r="B689" s="9" t="n">
        <v>46146</v>
      </c>
      <c r="C689" s="2" t="str">
        <f aca="false">TEXT(B689,"yyyy")</f>
        <v>2026</v>
      </c>
      <c r="D689" s="2" t="n">
        <f aca="false">WEEKNUM(B689,2)</f>
        <v>19</v>
      </c>
      <c r="E689" s="5" t="s">
        <v>144</v>
      </c>
      <c r="F689" s="6" t="str">
        <f aca="false">INDEX(Parametros!$B$2:$B$9,MATCH($E689,Parametros!$A$2:$A$9,0))</f>
        <v>Salsas picantes</v>
      </c>
      <c r="G689" s="10" t="n">
        <v>94.2</v>
      </c>
      <c r="H689" s="10" t="n">
        <v>6.5</v>
      </c>
      <c r="I689" s="11" t="n">
        <f aca="false">SUMIFS(Eventos_Paro!$J$2:$J$2186,Eventos_Paro!$D$2:$D$2186,$E689,Eventos_Paro!$B$2:$B$2186,$B689)</f>
        <v>1.85</v>
      </c>
      <c r="J689" s="12" t="n">
        <f aca="false">G689-H689-I689</f>
        <v>85.85</v>
      </c>
      <c r="K689" s="13" t="n">
        <v>211747</v>
      </c>
      <c r="L689" s="13" t="n">
        <v>219388</v>
      </c>
      <c r="M689" s="13" t="n">
        <v>7516</v>
      </c>
      <c r="N689" s="14" t="n">
        <f aca="false">L689+M689</f>
        <v>226904</v>
      </c>
      <c r="O689" s="11" t="n">
        <f aca="false">INDEX(Parametros!$D$2:$D$9,MATCH($E689,Parametros!$A$2:$A$9,0))</f>
        <v>3100</v>
      </c>
      <c r="P689" s="15" t="n">
        <f aca="false">IF((G689-H689)&gt;0,J689/(G689-H689),0)</f>
        <v>0.978905359179019</v>
      </c>
      <c r="Q689" s="15" t="n">
        <f aca="false">IF(J689*O689&gt;0,N689/(O689*J689),0)</f>
        <v>0.852589851015462</v>
      </c>
      <c r="R689" s="15" t="n">
        <f aca="false">IF(N689&gt;0,L689/N689,0)</f>
        <v>0.966875859394281</v>
      </c>
      <c r="S689" s="15" t="n">
        <f aca="false">P689*Q689*R689</f>
        <v>0.806959208445213</v>
      </c>
      <c r="T689" s="15" t="n">
        <f aca="false">IF(K689&gt;0,L689/K689,0)</f>
        <v>1.03608551715018</v>
      </c>
      <c r="U689" s="10" t="n">
        <v>890.6</v>
      </c>
      <c r="V689" s="5" t="n">
        <v>9</v>
      </c>
      <c r="W689" s="10" t="n">
        <v>42.8</v>
      </c>
      <c r="X689" s="15" t="n">
        <f aca="false">IF(U689&gt;0,W689/U689,0)</f>
        <v>0.0480574893330339</v>
      </c>
      <c r="Y689" s="12" t="n">
        <f aca="false">IF(U689&gt;0,L689/U689,0)</f>
        <v>246.33730069616</v>
      </c>
      <c r="Z689" s="16" t="n">
        <f aca="false">L689*INDEX(Parametros!$E$2:$E$9,MATCH($E689,Parametros!$A$2:$A$9,0))</f>
        <v>144796.08</v>
      </c>
      <c r="AA689" s="16" t="n">
        <f aca="false">Z689*INDEX(Parametros!$F$2:$F$9,MATCH($E689,Parametros!$A$2:$A$9,0))</f>
        <v>3764.69808</v>
      </c>
      <c r="AB689" s="17" t="n">
        <f aca="false">Z689+AA689</f>
        <v>148560.77808</v>
      </c>
      <c r="AC689" s="18" t="n">
        <v>152328.17</v>
      </c>
      <c r="AD689" s="17" t="n">
        <f aca="false">AC689-AB689</f>
        <v>3767.39191999999</v>
      </c>
      <c r="AE689" s="17" t="n">
        <f aca="false">AA689+AD689</f>
        <v>7532.09</v>
      </c>
      <c r="AF689" s="19" t="n">
        <f aca="false">IF(Z689&gt;0,AE689/Z689,0)</f>
        <v>0.0520186043710575</v>
      </c>
      <c r="AG689" s="16" t="n">
        <f aca="false">(U689-W689)*INDEX(Parametros!$H$2:$H$9,MATCH($E689,Parametros!$A$2:$A$9,0))+W689*INDEX(Parametros!$H$2:$H$9,MATCH($E689,Parametros!$A$2:$A$9,0))*Parametros!$N$3</f>
        <v>28728</v>
      </c>
      <c r="AH689" s="13" t="n">
        <v>11929</v>
      </c>
      <c r="AI689" s="16" t="n">
        <f aca="false">AH689*Parametros!$N$2</f>
        <v>1097.468</v>
      </c>
      <c r="AJ689" s="18" t="n">
        <v>6739</v>
      </c>
      <c r="AK689" s="18" t="n">
        <v>1056</v>
      </c>
      <c r="AL689" s="17" t="n">
        <f aca="false">AG689+AI689+AJ689+AK689</f>
        <v>37620.468</v>
      </c>
      <c r="AM689" s="20" t="n">
        <f aca="false">IF(L689&gt;0,AL689/L689,0)</f>
        <v>0.171479151093041</v>
      </c>
      <c r="AN689" s="16" t="n">
        <f aca="false">L689*INDEX(Parametros!$G$2:$G$9,MATCH($E689,Parametros!$A$2:$A$9,0))</f>
        <v>274235</v>
      </c>
      <c r="AO689" s="17" t="n">
        <f aca="false">AN689-AC689-AL689</f>
        <v>84286.362</v>
      </c>
      <c r="AP689" s="15" t="n">
        <f aca="false">IF(AN689&gt;0,AO689/AN689,0)</f>
        <v>0.307350856017649</v>
      </c>
      <c r="AQ689" s="16" t="n">
        <f aca="false">INDEX(Parametros!$I$2:$I$9,MATCH($E689,Parametros!$A$2:$A$9,0))</f>
        <v>13300000</v>
      </c>
      <c r="AR689" s="19" t="n">
        <f aca="false">IF(AQ689&gt;0,AO689/AQ689,0)</f>
        <v>0.00633732045112782</v>
      </c>
    </row>
    <row r="690" customFormat="false" ht="15" hidden="false" customHeight="false" outlineLevel="0" collapsed="false">
      <c r="A690" s="5" t="s">
        <v>825</v>
      </c>
      <c r="B690" s="9" t="n">
        <v>46153</v>
      </c>
      <c r="C690" s="2" t="str">
        <f aca="false">TEXT(B690,"yyyy")</f>
        <v>2026</v>
      </c>
      <c r="D690" s="2" t="n">
        <f aca="false">WEEKNUM(B690,2)</f>
        <v>20</v>
      </c>
      <c r="E690" s="5" t="s">
        <v>130</v>
      </c>
      <c r="F690" s="6" t="str">
        <f aca="false">INDEX(Parametros!$B$2:$B$9,MATCH($E690,Parametros!$A$2:$A$9,0))</f>
        <v>Ketchup botella</v>
      </c>
      <c r="G690" s="10" t="n">
        <v>133.6</v>
      </c>
      <c r="H690" s="10" t="n">
        <v>7.1</v>
      </c>
      <c r="I690" s="11" t="n">
        <f aca="false">SUMIFS(Eventos_Paro!$J$2:$J$2186,Eventos_Paro!$D$2:$D$2186,$E690,Eventos_Paro!$B$2:$B$2186,$B690)</f>
        <v>12.2666666666667</v>
      </c>
      <c r="J690" s="12" t="n">
        <f aca="false">G690-H690-I690</f>
        <v>114.233333333333</v>
      </c>
      <c r="K690" s="13" t="n">
        <v>929332</v>
      </c>
      <c r="L690" s="13" t="n">
        <v>879032</v>
      </c>
      <c r="M690" s="13" t="n">
        <v>18594</v>
      </c>
      <c r="N690" s="14" t="n">
        <f aca="false">L690+M690</f>
        <v>897626</v>
      </c>
      <c r="O690" s="11" t="n">
        <f aca="false">INDEX(Parametros!$D$2:$D$9,MATCH($E690,Parametros!$A$2:$A$9,0))</f>
        <v>9000</v>
      </c>
      <c r="P690" s="15" t="n">
        <f aca="false">IF((G690-H690)&gt;0,J690/(G690-H690),0)</f>
        <v>0.903030303030303</v>
      </c>
      <c r="Q690" s="15" t="n">
        <f aca="false">IF(J690*O690&gt;0,N690/(O690*J690),0)</f>
        <v>0.87309211166229</v>
      </c>
      <c r="R690" s="15" t="n">
        <f aca="false">IF(N690&gt;0,L690/N690,0)</f>
        <v>0.979285359381301</v>
      </c>
      <c r="S690" s="15" t="n">
        <f aca="false">P690*Q690*R690</f>
        <v>0.772096618357488</v>
      </c>
      <c r="T690" s="15" t="n">
        <f aca="false">IF(K690&gt;0,L690/K690,0)</f>
        <v>0.945875101685942</v>
      </c>
      <c r="U690" s="10" t="n">
        <v>2132</v>
      </c>
      <c r="V690" s="5" t="n">
        <v>15</v>
      </c>
      <c r="W690" s="10" t="n">
        <v>128</v>
      </c>
      <c r="X690" s="15" t="n">
        <f aca="false">IF(U690&gt;0,W690/U690,0)</f>
        <v>0.0600375234521576</v>
      </c>
      <c r="Y690" s="12" t="n">
        <f aca="false">IF(U690&gt;0,L690/U690,0)</f>
        <v>412.303939962477</v>
      </c>
      <c r="Z690" s="16" t="n">
        <f aca="false">L690*INDEX(Parametros!$E$2:$E$9,MATCH($E690,Parametros!$A$2:$A$9,0))</f>
        <v>369193.44</v>
      </c>
      <c r="AA690" s="16" t="n">
        <f aca="false">Z690*INDEX(Parametros!$F$2:$F$9,MATCH($E690,Parametros!$A$2:$A$9,0))</f>
        <v>7383.8688</v>
      </c>
      <c r="AB690" s="17" t="n">
        <f aca="false">Z690+AA690</f>
        <v>376577.3088</v>
      </c>
      <c r="AC690" s="18" t="n">
        <v>368350.81</v>
      </c>
      <c r="AD690" s="17" t="n">
        <f aca="false">AC690-AB690</f>
        <v>-8226.4988</v>
      </c>
      <c r="AE690" s="17" t="n">
        <f aca="false">AA690+AD690</f>
        <v>-842.630000000001</v>
      </c>
      <c r="AF690" s="19" t="n">
        <f aca="false">IF(Z690&gt;0,AE690/Z690,0)</f>
        <v>-0.00228235366262196</v>
      </c>
      <c r="AG690" s="16" t="n">
        <f aca="false">(U690-W690)*INDEX(Parametros!$H$2:$H$9,MATCH($E690,Parametros!$A$2:$A$9,0))+W690*INDEX(Parametros!$H$2:$H$9,MATCH($E690,Parametros!$A$2:$A$9,0))*Parametros!$N$3</f>
        <v>69174</v>
      </c>
      <c r="AH690" s="13" t="n">
        <v>46540</v>
      </c>
      <c r="AI690" s="16" t="n">
        <f aca="false">AH690*Parametros!$N$2</f>
        <v>4281.68</v>
      </c>
      <c r="AJ690" s="18" t="n">
        <v>17023</v>
      </c>
      <c r="AK690" s="18" t="n">
        <v>8025</v>
      </c>
      <c r="AL690" s="17" t="n">
        <f aca="false">AG690+AI690+AJ690+AK690</f>
        <v>98503.68</v>
      </c>
      <c r="AM690" s="20" t="n">
        <f aca="false">IF(L690&gt;0,AL690/L690,0)</f>
        <v>0.112059265191711</v>
      </c>
      <c r="AN690" s="16" t="n">
        <f aca="false">L690*INDEX(Parametros!$G$2:$G$9,MATCH($E690,Parametros!$A$2:$A$9,0))</f>
        <v>624112.72</v>
      </c>
      <c r="AO690" s="17" t="n">
        <f aca="false">AN690-AC690-AL690</f>
        <v>157258.23</v>
      </c>
      <c r="AP690" s="15" t="n">
        <f aca="false">IF(AN690&gt;0,AO690/AN690,0)</f>
        <v>0.251970877952944</v>
      </c>
      <c r="AQ690" s="16" t="n">
        <f aca="false">INDEX(Parametros!$I$2:$I$9,MATCH($E690,Parametros!$A$2:$A$9,0))</f>
        <v>29300000</v>
      </c>
      <c r="AR690" s="19" t="n">
        <f aca="false">IF(AQ690&gt;0,AO690/AQ690,0)</f>
        <v>0.00536717508532423</v>
      </c>
    </row>
    <row r="691" customFormat="false" ht="15" hidden="false" customHeight="false" outlineLevel="0" collapsed="false">
      <c r="A691" s="5" t="s">
        <v>826</v>
      </c>
      <c r="B691" s="9" t="n">
        <v>46153</v>
      </c>
      <c r="C691" s="2" t="str">
        <f aca="false">TEXT(B691,"yyyy")</f>
        <v>2026</v>
      </c>
      <c r="D691" s="2" t="n">
        <f aca="false">WEEKNUM(B691,2)</f>
        <v>20</v>
      </c>
      <c r="E691" s="5" t="s">
        <v>132</v>
      </c>
      <c r="F691" s="6" t="str">
        <f aca="false">INDEX(Parametros!$B$2:$B$9,MATCH($E691,Parametros!$A$2:$A$9,0))</f>
        <v>Mayonesa frasco</v>
      </c>
      <c r="G691" s="10" t="n">
        <v>123</v>
      </c>
      <c r="H691" s="10" t="n">
        <v>5.8</v>
      </c>
      <c r="I691" s="11" t="n">
        <f aca="false">SUMIFS(Eventos_Paro!$J$2:$J$2186,Eventos_Paro!$D$2:$D$2186,$E691,Eventos_Paro!$B$2:$B$2186,$B691)</f>
        <v>1.15</v>
      </c>
      <c r="J691" s="12" t="n">
        <f aca="false">G691-H691-I691</f>
        <v>116.05</v>
      </c>
      <c r="K691" s="13" t="n">
        <v>621840</v>
      </c>
      <c r="L691" s="13" t="n">
        <v>589403</v>
      </c>
      <c r="M691" s="13" t="n">
        <v>21885</v>
      </c>
      <c r="N691" s="14" t="n">
        <f aca="false">L691+M691</f>
        <v>611288</v>
      </c>
      <c r="O691" s="11" t="n">
        <f aca="false">INDEX(Parametros!$D$2:$D$9,MATCH($E691,Parametros!$A$2:$A$9,0))</f>
        <v>6500</v>
      </c>
      <c r="P691" s="15" t="n">
        <f aca="false">IF((G691-H691)&gt;0,J691/(G691-H691),0)</f>
        <v>0.99018771331058</v>
      </c>
      <c r="Q691" s="15" t="n">
        <f aca="false">IF(J691*O691&gt;0,N691/(O691*J691),0)</f>
        <v>0.810377489808769</v>
      </c>
      <c r="R691" s="15" t="n">
        <f aca="false">IF(N691&gt;0,L691/N691,0)</f>
        <v>0.964198544712149</v>
      </c>
      <c r="S691" s="15" t="n">
        <f aca="false">P691*Q691*R691</f>
        <v>0.773697820950381</v>
      </c>
      <c r="T691" s="15" t="n">
        <f aca="false">IF(K691&gt;0,L691/K691,0)</f>
        <v>0.947837064196578</v>
      </c>
      <c r="U691" s="10" t="n">
        <v>1947.8</v>
      </c>
      <c r="V691" s="5" t="n">
        <v>14</v>
      </c>
      <c r="W691" s="10" t="n">
        <v>225.8</v>
      </c>
      <c r="X691" s="15" t="n">
        <f aca="false">IF(U691&gt;0,W691/U691,0)</f>
        <v>0.115925659718657</v>
      </c>
      <c r="Y691" s="12" t="n">
        <f aca="false">IF(U691&gt;0,L691/U691,0)</f>
        <v>302.599342848342</v>
      </c>
      <c r="Z691" s="16" t="n">
        <f aca="false">L691*INDEX(Parametros!$E$2:$E$9,MATCH($E691,Parametros!$A$2:$A$9,0))</f>
        <v>359535.83</v>
      </c>
      <c r="AA691" s="16" t="n">
        <f aca="false">Z691*INDEX(Parametros!$F$2:$F$9,MATCH($E691,Parametros!$A$2:$A$9,0))</f>
        <v>8988.39575</v>
      </c>
      <c r="AB691" s="17" t="n">
        <f aca="false">Z691+AA691</f>
        <v>368524.22575</v>
      </c>
      <c r="AC691" s="18" t="n">
        <v>374925.26</v>
      </c>
      <c r="AD691" s="17" t="n">
        <f aca="false">AC691-AB691</f>
        <v>6401.03424999997</v>
      </c>
      <c r="AE691" s="17" t="n">
        <f aca="false">AA691+AD691</f>
        <v>15389.43</v>
      </c>
      <c r="AF691" s="19" t="n">
        <f aca="false">IF(Z691&gt;0,AE691/Z691,0)</f>
        <v>0.0428036059716217</v>
      </c>
      <c r="AG691" s="16" t="n">
        <f aca="false">(U691-W691)*INDEX(Parametros!$H$2:$H$9,MATCH($E691,Parametros!$A$2:$A$9,0))+W691*INDEX(Parametros!$H$2:$H$9,MATCH($E691,Parametros!$A$2:$A$9,0))*Parametros!$N$3</f>
        <v>64912.05</v>
      </c>
      <c r="AH691" s="13" t="n">
        <v>31024</v>
      </c>
      <c r="AI691" s="16" t="n">
        <f aca="false">AH691*Parametros!$N$2</f>
        <v>2854.208</v>
      </c>
      <c r="AJ691" s="18" t="n">
        <v>12045</v>
      </c>
      <c r="AK691" s="18" t="n">
        <v>997</v>
      </c>
      <c r="AL691" s="17" t="n">
        <f aca="false">AG691+AI691+AJ691+AK691</f>
        <v>80808.258</v>
      </c>
      <c r="AM691" s="20" t="n">
        <f aca="false">IF(L691&gt;0,AL691/L691,0)</f>
        <v>0.137101877662652</v>
      </c>
      <c r="AN691" s="16" t="n">
        <f aca="false">L691*INDEX(Parametros!$G$2:$G$9,MATCH($E691,Parametros!$A$2:$A$9,0))</f>
        <v>565826.88</v>
      </c>
      <c r="AO691" s="17" t="n">
        <f aca="false">AN691-AC691-AL691</f>
        <v>110093.362</v>
      </c>
      <c r="AP691" s="15" t="n">
        <f aca="false">IF(AN691&gt;0,AO691/AN691,0)</f>
        <v>0.194570752806936</v>
      </c>
      <c r="AQ691" s="16" t="n">
        <f aca="false">INDEX(Parametros!$I$2:$I$9,MATCH($E691,Parametros!$A$2:$A$9,0))</f>
        <v>29700000</v>
      </c>
      <c r="AR691" s="19" t="n">
        <f aca="false">IF(AQ691&gt;0,AO691/AQ691,0)</f>
        <v>0.00370684720538721</v>
      </c>
    </row>
    <row r="692" customFormat="false" ht="15" hidden="false" customHeight="false" outlineLevel="0" collapsed="false">
      <c r="A692" s="5" t="s">
        <v>827</v>
      </c>
      <c r="B692" s="9" t="n">
        <v>46153</v>
      </c>
      <c r="C692" s="2" t="str">
        <f aca="false">TEXT(B692,"yyyy")</f>
        <v>2026</v>
      </c>
      <c r="D692" s="2" t="n">
        <f aca="false">WEEKNUM(B692,2)</f>
        <v>20</v>
      </c>
      <c r="E692" s="5" t="s">
        <v>134</v>
      </c>
      <c r="F692" s="6" t="str">
        <f aca="false">INDEX(Parametros!$B$2:$B$9,MATCH($E692,Parametros!$A$2:$A$9,0))</f>
        <v>Aderezos vertibles</v>
      </c>
      <c r="G692" s="10" t="n">
        <v>105</v>
      </c>
      <c r="H692" s="10" t="n">
        <v>5.5</v>
      </c>
      <c r="I692" s="11" t="n">
        <f aca="false">SUMIFS(Eventos_Paro!$J$2:$J$2186,Eventos_Paro!$D$2:$D$2186,$E692,Eventos_Paro!$B$2:$B$2186,$B692)</f>
        <v>6.93333333333333</v>
      </c>
      <c r="J692" s="12" t="n">
        <f aca="false">G692-H692-I692</f>
        <v>92.5666666666667</v>
      </c>
      <c r="K692" s="13" t="n">
        <v>422342</v>
      </c>
      <c r="L692" s="13" t="n">
        <v>383023</v>
      </c>
      <c r="M692" s="13" t="n">
        <v>18202</v>
      </c>
      <c r="N692" s="14" t="n">
        <f aca="false">L692+M692</f>
        <v>401225</v>
      </c>
      <c r="O692" s="11" t="n">
        <f aca="false">INDEX(Parametros!$D$2:$D$9,MATCH($E692,Parametros!$A$2:$A$9,0))</f>
        <v>5200</v>
      </c>
      <c r="P692" s="15" t="n">
        <f aca="false">IF((G692-H692)&gt;0,J692/(G692-H692),0)</f>
        <v>0.930318257956449</v>
      </c>
      <c r="Q692" s="15" t="n">
        <f aca="false">IF(J692*O692&gt;0,N692/(O692*J692),0)</f>
        <v>0.833546854657766</v>
      </c>
      <c r="R692" s="15" t="n">
        <f aca="false">IF(N692&gt;0,L692/N692,0)</f>
        <v>0.954633933578416</v>
      </c>
      <c r="S692" s="15" t="n">
        <f aca="false">P692*Q692*R692</f>
        <v>0.740284112872053</v>
      </c>
      <c r="T692" s="15" t="n">
        <f aca="false">IF(K692&gt;0,L692/K692,0)</f>
        <v>0.906902462932884</v>
      </c>
      <c r="U692" s="10" t="n">
        <v>1264</v>
      </c>
      <c r="V692" s="5" t="n">
        <v>11</v>
      </c>
      <c r="W692" s="10" t="n">
        <v>109</v>
      </c>
      <c r="X692" s="15" t="n">
        <f aca="false">IF(U692&gt;0,W692/U692,0)</f>
        <v>0.0862341772151899</v>
      </c>
      <c r="Y692" s="12" t="n">
        <f aca="false">IF(U692&gt;0,L692/U692,0)</f>
        <v>303.024525316456</v>
      </c>
      <c r="Z692" s="16" t="n">
        <f aca="false">L692*INDEX(Parametros!$E$2:$E$9,MATCH($E692,Parametros!$A$2:$A$9,0))</f>
        <v>210662.65</v>
      </c>
      <c r="AA692" s="16" t="n">
        <f aca="false">Z692*INDEX(Parametros!$F$2:$F$9,MATCH($E692,Parametros!$A$2:$A$9,0))</f>
        <v>6319.8795</v>
      </c>
      <c r="AB692" s="17" t="n">
        <f aca="false">Z692+AA692</f>
        <v>216982.5295</v>
      </c>
      <c r="AC692" s="18" t="n">
        <v>218379.42</v>
      </c>
      <c r="AD692" s="17" t="n">
        <f aca="false">AC692-AB692</f>
        <v>1396.89049999998</v>
      </c>
      <c r="AE692" s="17" t="n">
        <f aca="false">AA692+AD692</f>
        <v>7716.76999999998</v>
      </c>
      <c r="AF692" s="19" t="n">
        <f aca="false">IF(Z692&gt;0,AE692/Z692,0)</f>
        <v>0.0366309357638859</v>
      </c>
      <c r="AG692" s="16" t="n">
        <f aca="false">(U692-W692)*INDEX(Parametros!$H$2:$H$9,MATCH($E692,Parametros!$A$2:$A$9,0))+W692*INDEX(Parametros!$H$2:$H$9,MATCH($E692,Parametros!$A$2:$A$9,0))*Parametros!$N$3</f>
        <v>41532.75</v>
      </c>
      <c r="AH692" s="13" t="n">
        <v>20488</v>
      </c>
      <c r="AI692" s="16" t="n">
        <f aca="false">AH692*Parametros!$N$2</f>
        <v>1884.896</v>
      </c>
      <c r="AJ692" s="18" t="n">
        <v>11363</v>
      </c>
      <c r="AK692" s="18" t="n">
        <v>5149</v>
      </c>
      <c r="AL692" s="17" t="n">
        <f aca="false">AG692+AI692+AJ692+AK692</f>
        <v>59929.646</v>
      </c>
      <c r="AM692" s="20" t="n">
        <f aca="false">IF(L692&gt;0,AL692/L692,0)</f>
        <v>0.156464875477452</v>
      </c>
      <c r="AN692" s="16" t="n">
        <f aca="false">L692*INDEX(Parametros!$G$2:$G$9,MATCH($E692,Parametros!$A$2:$A$9,0))</f>
        <v>390683.46</v>
      </c>
      <c r="AO692" s="17" t="n">
        <f aca="false">AN692-AC692-AL692</f>
        <v>112374.394</v>
      </c>
      <c r="AP692" s="15" t="n">
        <f aca="false">IF(AN692&gt;0,AO692/AN692,0)</f>
        <v>0.287635401816089</v>
      </c>
      <c r="AQ692" s="16" t="n">
        <f aca="false">INDEX(Parametros!$I$2:$I$9,MATCH($E692,Parametros!$A$2:$A$9,0))</f>
        <v>19300000</v>
      </c>
      <c r="AR692" s="19" t="n">
        <f aca="false">IF(AQ692&gt;0,AO692/AQ692,0)</f>
        <v>0.0058225074611399</v>
      </c>
    </row>
    <row r="693" customFormat="false" ht="15" hidden="false" customHeight="false" outlineLevel="0" collapsed="false">
      <c r="A693" s="5" t="s">
        <v>828</v>
      </c>
      <c r="B693" s="9" t="n">
        <v>46153</v>
      </c>
      <c r="C693" s="2" t="str">
        <f aca="false">TEXT(B693,"yyyy")</f>
        <v>2026</v>
      </c>
      <c r="D693" s="2" t="n">
        <f aca="false">WEEKNUM(B693,2)</f>
        <v>20</v>
      </c>
      <c r="E693" s="5" t="s">
        <v>136</v>
      </c>
      <c r="F693" s="6" t="str">
        <f aca="false">INDEX(Parametros!$B$2:$B$9,MATCH($E693,Parametros!$A$2:$A$9,0))</f>
        <v>Salsa BBQ</v>
      </c>
      <c r="G693" s="10" t="n">
        <v>81.5</v>
      </c>
      <c r="H693" s="10" t="n">
        <v>5.2</v>
      </c>
      <c r="I693" s="11" t="n">
        <f aca="false">SUMIFS(Eventos_Paro!$J$2:$J$2186,Eventos_Paro!$D$2:$D$2186,$E693,Eventos_Paro!$B$2:$B$2186,$B693)</f>
        <v>2.38333333333333</v>
      </c>
      <c r="J693" s="12" t="n">
        <f aca="false">G693-H693-I693</f>
        <v>73.9166666666667</v>
      </c>
      <c r="K693" s="13" t="n">
        <v>319819</v>
      </c>
      <c r="L693" s="13" t="n">
        <v>280873</v>
      </c>
      <c r="M693" s="13" t="n">
        <v>8777</v>
      </c>
      <c r="N693" s="14" t="n">
        <f aca="false">L693+M693</f>
        <v>289650</v>
      </c>
      <c r="O693" s="11" t="n">
        <f aca="false">INDEX(Parametros!$D$2:$D$9,MATCH($E693,Parametros!$A$2:$A$9,0))</f>
        <v>4800</v>
      </c>
      <c r="P693" s="15" t="n">
        <f aca="false">IF((G693-H693)&gt;0,J693/(G693-H693),0)</f>
        <v>0.968763652249891</v>
      </c>
      <c r="Q693" s="15" t="n">
        <f aca="false">IF(J693*O693&gt;0,N693/(O693*J693),0)</f>
        <v>0.816375422773394</v>
      </c>
      <c r="R693" s="15" t="n">
        <f aca="false">IF(N693&gt;0,L693/N693,0)</f>
        <v>0.969697911272225</v>
      </c>
      <c r="S693" s="15" t="n">
        <f aca="false">P693*Q693*R693</f>
        <v>0.766909676714723</v>
      </c>
      <c r="T693" s="15" t="n">
        <f aca="false">IF(K693&gt;0,L693/K693,0)</f>
        <v>0.878224870942627</v>
      </c>
      <c r="U693" s="10" t="n">
        <v>932.3</v>
      </c>
      <c r="V693" s="5" t="n">
        <v>11</v>
      </c>
      <c r="W693" s="10" t="n">
        <v>35.8</v>
      </c>
      <c r="X693" s="15" t="n">
        <f aca="false">IF(U693&gt;0,W693/U693,0)</f>
        <v>0.0383996567628446</v>
      </c>
      <c r="Y693" s="12" t="n">
        <f aca="false">IF(U693&gt;0,L693/U693,0)</f>
        <v>301.268904858951</v>
      </c>
      <c r="Z693" s="16" t="n">
        <f aca="false">L693*INDEX(Parametros!$E$2:$E$9,MATCH($E693,Parametros!$A$2:$A$9,0))</f>
        <v>162906.34</v>
      </c>
      <c r="AA693" s="16" t="n">
        <f aca="false">Z693*INDEX(Parametros!$F$2:$F$9,MATCH($E693,Parametros!$A$2:$A$9,0))</f>
        <v>4561.37752</v>
      </c>
      <c r="AB693" s="17" t="n">
        <f aca="false">Z693+AA693</f>
        <v>167467.71752</v>
      </c>
      <c r="AC693" s="18" t="n">
        <v>169393</v>
      </c>
      <c r="AD693" s="17" t="n">
        <f aca="false">AC693-AB693</f>
        <v>1925.28247999999</v>
      </c>
      <c r="AE693" s="17" t="n">
        <f aca="false">AA693+AD693</f>
        <v>6486.65999999999</v>
      </c>
      <c r="AF693" s="19" t="n">
        <f aca="false">IF(Z693&gt;0,AE693/Z693,0)</f>
        <v>0.0398183397895993</v>
      </c>
      <c r="AG693" s="16" t="n">
        <f aca="false">(U693-W693)*INDEX(Parametros!$H$2:$H$9,MATCH($E693,Parametros!$A$2:$A$9,0))+W693*INDEX(Parametros!$H$2:$H$9,MATCH($E693,Parametros!$A$2:$A$9,0))*Parametros!$N$3</f>
        <v>29931.3</v>
      </c>
      <c r="AH693" s="13" t="n">
        <v>14847</v>
      </c>
      <c r="AI693" s="16" t="n">
        <f aca="false">AH693*Parametros!$N$2</f>
        <v>1365.924</v>
      </c>
      <c r="AJ693" s="18" t="n">
        <v>8383</v>
      </c>
      <c r="AK693" s="18" t="n">
        <v>2356</v>
      </c>
      <c r="AL693" s="17" t="n">
        <f aca="false">AG693+AI693+AJ693+AK693</f>
        <v>42036.224</v>
      </c>
      <c r="AM693" s="20" t="n">
        <f aca="false">IF(L693&gt;0,AL693/L693,0)</f>
        <v>0.149662744372012</v>
      </c>
      <c r="AN693" s="16" t="n">
        <f aca="false">L693*INDEX(Parametros!$G$2:$G$9,MATCH($E693,Parametros!$A$2:$A$9,0))</f>
        <v>275255.54</v>
      </c>
      <c r="AO693" s="17" t="n">
        <f aca="false">AN693-AC693-AL693</f>
        <v>63826.316</v>
      </c>
      <c r="AP693" s="15" t="n">
        <f aca="false">IF(AN693&gt;0,AO693/AN693,0)</f>
        <v>0.231880223010225</v>
      </c>
      <c r="AQ693" s="16" t="n">
        <f aca="false">INDEX(Parametros!$I$2:$I$9,MATCH($E693,Parametros!$A$2:$A$9,0))</f>
        <v>17000000</v>
      </c>
      <c r="AR693" s="19" t="n">
        <f aca="false">IF(AQ693&gt;0,AO693/AQ693,0)</f>
        <v>0.00375448917647059</v>
      </c>
    </row>
    <row r="694" customFormat="false" ht="15" hidden="false" customHeight="false" outlineLevel="0" collapsed="false">
      <c r="A694" s="5" t="s">
        <v>829</v>
      </c>
      <c r="B694" s="9" t="n">
        <v>46153</v>
      </c>
      <c r="C694" s="2" t="str">
        <f aca="false">TEXT(B694,"yyyy")</f>
        <v>2026</v>
      </c>
      <c r="D694" s="2" t="n">
        <f aca="false">WEEKNUM(B694,2)</f>
        <v>20</v>
      </c>
      <c r="E694" s="5" t="s">
        <v>138</v>
      </c>
      <c r="F694" s="6" t="str">
        <f aca="false">INDEX(Parametros!$B$2:$B$9,MATCH($E694,Parametros!$A$2:$A$9,0))</f>
        <v>Queso crema</v>
      </c>
      <c r="G694" s="10" t="n">
        <v>131.6</v>
      </c>
      <c r="H694" s="10" t="n">
        <v>5.9</v>
      </c>
      <c r="I694" s="11" t="n">
        <f aca="false">SUMIFS(Eventos_Paro!$J$2:$J$2186,Eventos_Paro!$D$2:$D$2186,$E694,Eventos_Paro!$B$2:$B$2186,$B694)</f>
        <v>6.71666666666667</v>
      </c>
      <c r="J694" s="12" t="n">
        <f aca="false">G694-H694-I694</f>
        <v>118.983333333333</v>
      </c>
      <c r="K694" s="13" t="n">
        <v>389903</v>
      </c>
      <c r="L694" s="13" t="n">
        <v>363469</v>
      </c>
      <c r="M694" s="13" t="n">
        <v>18456</v>
      </c>
      <c r="N694" s="14" t="n">
        <f aca="false">L694+M694</f>
        <v>381925</v>
      </c>
      <c r="O694" s="11" t="n">
        <f aca="false">INDEX(Parametros!$D$2:$D$9,MATCH($E694,Parametros!$A$2:$A$9,0))</f>
        <v>3800</v>
      </c>
      <c r="P694" s="15" t="n">
        <f aca="false">IF((G694-H694)&gt;0,J694/(G694-H694),0)</f>
        <v>0.946565897639883</v>
      </c>
      <c r="Q694" s="15" t="n">
        <f aca="false">IF(J694*O694&gt;0,N694/(O694*J694),0)</f>
        <v>0.844711407317846</v>
      </c>
      <c r="R694" s="15" t="n">
        <f aca="false">IF(N694&gt;0,L694/N694,0)</f>
        <v>0.951676376251882</v>
      </c>
      <c r="S694" s="15" t="n">
        <f aca="false">P694*Q694*R694</f>
        <v>0.760936649499644</v>
      </c>
      <c r="T694" s="15" t="n">
        <f aca="false">IF(K694&gt;0,L694/K694,0)</f>
        <v>0.932203650651572</v>
      </c>
      <c r="U694" s="10" t="n">
        <v>2293.6</v>
      </c>
      <c r="V694" s="5" t="n">
        <v>16</v>
      </c>
      <c r="W694" s="10" t="n">
        <v>188</v>
      </c>
      <c r="X694" s="15" t="n">
        <f aca="false">IF(U694&gt;0,W694/U694,0)</f>
        <v>0.0819672131147541</v>
      </c>
      <c r="Y694" s="12" t="n">
        <f aca="false">IF(U694&gt;0,L694/U694,0)</f>
        <v>158.470962678758</v>
      </c>
      <c r="Z694" s="16" t="n">
        <f aca="false">L694*INDEX(Parametros!$E$2:$E$9,MATCH($E694,Parametros!$A$2:$A$9,0))</f>
        <v>407085.28</v>
      </c>
      <c r="AA694" s="16" t="n">
        <f aca="false">Z694*INDEX(Parametros!$F$2:$F$9,MATCH($E694,Parametros!$A$2:$A$9,0))</f>
        <v>14247.9848</v>
      </c>
      <c r="AB694" s="17" t="n">
        <f aca="false">Z694+AA694</f>
        <v>421333.2648</v>
      </c>
      <c r="AC694" s="18" t="n">
        <v>418537.74</v>
      </c>
      <c r="AD694" s="17" t="n">
        <f aca="false">AC694-AB694</f>
        <v>-2795.52480000001</v>
      </c>
      <c r="AE694" s="17" t="n">
        <f aca="false">AA694+AD694</f>
        <v>11452.46</v>
      </c>
      <c r="AF694" s="19" t="n">
        <f aca="false">IF(Z694&gt;0,AE694/Z694,0)</f>
        <v>0.0281328275981878</v>
      </c>
      <c r="AG694" s="16" t="n">
        <f aca="false">(U694-W694)*INDEX(Parametros!$H$2:$H$9,MATCH($E694,Parametros!$A$2:$A$9,0))+W694*INDEX(Parametros!$H$2:$H$9,MATCH($E694,Parametros!$A$2:$A$9,0))*Parametros!$N$3</f>
        <v>78790.8</v>
      </c>
      <c r="AH694" s="13" t="n">
        <v>19130</v>
      </c>
      <c r="AI694" s="16" t="n">
        <f aca="false">AH694*Parametros!$N$2</f>
        <v>1759.96</v>
      </c>
      <c r="AJ694" s="18" t="n">
        <v>18560</v>
      </c>
      <c r="AK694" s="18" t="n">
        <v>7028</v>
      </c>
      <c r="AL694" s="17" t="n">
        <f aca="false">AG694+AI694+AJ694+AK694</f>
        <v>106138.76</v>
      </c>
      <c r="AM694" s="20" t="n">
        <f aca="false">IF(L694&gt;0,AL694/L694,0)</f>
        <v>0.292015990359563</v>
      </c>
      <c r="AN694" s="16" t="n">
        <f aca="false">L694*INDEX(Parametros!$G$2:$G$9,MATCH($E694,Parametros!$A$2:$A$9,0))</f>
        <v>650609.51</v>
      </c>
      <c r="AO694" s="17" t="n">
        <f aca="false">AN694-AC694-AL694</f>
        <v>125933.01</v>
      </c>
      <c r="AP694" s="15" t="n">
        <f aca="false">IF(AN694&gt;0,AO694/AN694,0)</f>
        <v>0.193561588117579</v>
      </c>
      <c r="AQ694" s="16" t="n">
        <f aca="false">INDEX(Parametros!$I$2:$I$9,MATCH($E694,Parametros!$A$2:$A$9,0))</f>
        <v>33200000</v>
      </c>
      <c r="AR694" s="19" t="n">
        <f aca="false">IF(AQ694&gt;0,AO694/AQ694,0)</f>
        <v>0.00379316295180723</v>
      </c>
    </row>
    <row r="695" customFormat="false" ht="15" hidden="false" customHeight="false" outlineLevel="0" collapsed="false">
      <c r="A695" s="5" t="s">
        <v>830</v>
      </c>
      <c r="B695" s="9" t="n">
        <v>46153</v>
      </c>
      <c r="C695" s="2" t="str">
        <f aca="false">TEXT(B695,"yyyy")</f>
        <v>2026</v>
      </c>
      <c r="D695" s="2" t="n">
        <f aca="false">WEEKNUM(B695,2)</f>
        <v>20</v>
      </c>
      <c r="E695" s="5" t="s">
        <v>140</v>
      </c>
      <c r="F695" s="6" t="str">
        <f aca="false">INDEX(Parametros!$B$2:$B$9,MATCH($E695,Parametros!$A$2:$A$9,0))</f>
        <v>Crema de cacahuate</v>
      </c>
      <c r="G695" s="10" t="n">
        <v>105.8</v>
      </c>
      <c r="H695" s="10" t="n">
        <v>8</v>
      </c>
      <c r="I695" s="11" t="n">
        <f aca="false">SUMIFS(Eventos_Paro!$J$2:$J$2186,Eventos_Paro!$D$2:$D$2186,$E695,Eventos_Paro!$B$2:$B$2186,$B695)</f>
        <v>0.55</v>
      </c>
      <c r="J695" s="12" t="n">
        <f aca="false">G695-H695-I695</f>
        <v>97.25</v>
      </c>
      <c r="K695" s="13" t="n">
        <v>335294</v>
      </c>
      <c r="L695" s="13" t="n">
        <v>349540</v>
      </c>
      <c r="M695" s="13" t="n">
        <v>4531</v>
      </c>
      <c r="N695" s="14" t="n">
        <f aca="false">L695+M695</f>
        <v>354071</v>
      </c>
      <c r="O695" s="11" t="n">
        <f aca="false">INDEX(Parametros!$D$2:$D$9,MATCH($E695,Parametros!$A$2:$A$9,0))</f>
        <v>4200</v>
      </c>
      <c r="P695" s="15" t="n">
        <f aca="false">IF((G695-H695)&gt;0,J695/(G695-H695),0)</f>
        <v>0.994376278118609</v>
      </c>
      <c r="Q695" s="15" t="n">
        <f aca="false">IF(J695*O695&gt;0,N695/(O695*J695),0)</f>
        <v>0.866864977353409</v>
      </c>
      <c r="R695" s="15" t="n">
        <f aca="false">IF(N695&gt;0,L695/N695,0)</f>
        <v>0.987203131575306</v>
      </c>
      <c r="S695" s="15" t="n">
        <f aca="false">P695*Q695*R695</f>
        <v>0.850959197584965</v>
      </c>
      <c r="T695" s="15" t="n">
        <f aca="false">IF(K695&gt;0,L695/K695,0)</f>
        <v>1.04248808508354</v>
      </c>
      <c r="U695" s="10" t="n">
        <v>1377.4</v>
      </c>
      <c r="V695" s="5" t="n">
        <v>12</v>
      </c>
      <c r="W695" s="10" t="n">
        <v>107.8</v>
      </c>
      <c r="X695" s="15" t="n">
        <f aca="false">IF(U695&gt;0,W695/U695,0)</f>
        <v>0.0782633948018005</v>
      </c>
      <c r="Y695" s="12" t="n">
        <f aca="false">IF(U695&gt;0,L695/U695,0)</f>
        <v>253.767968636562</v>
      </c>
      <c r="Z695" s="16" t="n">
        <f aca="false">L695*INDEX(Parametros!$E$2:$E$9,MATCH($E695,Parametros!$A$2:$A$9,0))</f>
        <v>339053.8</v>
      </c>
      <c r="AA695" s="16" t="n">
        <f aca="false">Z695*INDEX(Parametros!$F$2:$F$9,MATCH($E695,Parametros!$A$2:$A$9,0))</f>
        <v>7459.1836</v>
      </c>
      <c r="AB695" s="17" t="n">
        <f aca="false">Z695+AA695</f>
        <v>346512.9836</v>
      </c>
      <c r="AC695" s="18" t="n">
        <v>351200.94</v>
      </c>
      <c r="AD695" s="17" t="n">
        <f aca="false">AC695-AB695</f>
        <v>4687.95640000003</v>
      </c>
      <c r="AE695" s="17" t="n">
        <f aca="false">AA695+AD695</f>
        <v>12147.14</v>
      </c>
      <c r="AF695" s="19" t="n">
        <f aca="false">IF(Z695&gt;0,AE695/Z695,0)</f>
        <v>0.0358265856333126</v>
      </c>
      <c r="AG695" s="16" t="n">
        <f aca="false">(U695-W695)*INDEX(Parametros!$H$2:$H$9,MATCH($E695,Parametros!$A$2:$A$9,0))+W695*INDEX(Parametros!$H$2:$H$9,MATCH($E695,Parametros!$A$2:$A$9,0))*Parametros!$N$3</f>
        <v>45085.95</v>
      </c>
      <c r="AH695" s="13" t="n">
        <v>18228</v>
      </c>
      <c r="AI695" s="16" t="n">
        <f aca="false">AH695*Parametros!$N$2</f>
        <v>1676.976</v>
      </c>
      <c r="AJ695" s="18" t="n">
        <v>11082</v>
      </c>
      <c r="AK695" s="18" t="n">
        <v>513</v>
      </c>
      <c r="AL695" s="17" t="n">
        <f aca="false">AG695+AI695+AJ695+AK695</f>
        <v>58357.926</v>
      </c>
      <c r="AM695" s="20" t="n">
        <f aca="false">IF(L695&gt;0,AL695/L695,0)</f>
        <v>0.166956359787149</v>
      </c>
      <c r="AN695" s="16" t="n">
        <f aca="false">L695*INDEX(Parametros!$G$2:$G$9,MATCH($E695,Parametros!$A$2:$A$9,0))</f>
        <v>566254.8</v>
      </c>
      <c r="AO695" s="17" t="n">
        <f aca="false">AN695-AC695-AL695</f>
        <v>156695.934</v>
      </c>
      <c r="AP695" s="15" t="n">
        <f aca="false">IF(AN695&gt;0,AO695/AN695,0)</f>
        <v>0.276723365523789</v>
      </c>
      <c r="AQ695" s="16" t="n">
        <f aca="false">INDEX(Parametros!$I$2:$I$9,MATCH($E695,Parametros!$A$2:$A$9,0))</f>
        <v>28000000</v>
      </c>
      <c r="AR695" s="19" t="n">
        <f aca="false">IF(AQ695&gt;0,AO695/AQ695,0)</f>
        <v>0.00559628335714286</v>
      </c>
    </row>
    <row r="696" customFormat="false" ht="15" hidden="false" customHeight="false" outlineLevel="0" collapsed="false">
      <c r="A696" s="5" t="s">
        <v>831</v>
      </c>
      <c r="B696" s="9" t="n">
        <v>46153</v>
      </c>
      <c r="C696" s="2" t="str">
        <f aca="false">TEXT(B696,"yyyy")</f>
        <v>2026</v>
      </c>
      <c r="D696" s="2" t="n">
        <f aca="false">WEEKNUM(B696,2)</f>
        <v>20</v>
      </c>
      <c r="E696" s="5" t="s">
        <v>142</v>
      </c>
      <c r="F696" s="6" t="str">
        <f aca="false">INDEX(Parametros!$B$2:$B$9,MATCH($E696,Parametros!$A$2:$A$9,0))</f>
        <v>Porciones single serve</v>
      </c>
      <c r="G696" s="10" t="n">
        <v>124.8</v>
      </c>
      <c r="H696" s="10" t="n">
        <v>7.5</v>
      </c>
      <c r="I696" s="11" t="n">
        <f aca="false">SUMIFS(Eventos_Paro!$J$2:$J$2186,Eventos_Paro!$D$2:$D$2186,$E696,Eventos_Paro!$B$2:$B$2186,$B696)</f>
        <v>1.83333333333333</v>
      </c>
      <c r="J696" s="12" t="n">
        <f aca="false">G696-H696-I696</f>
        <v>115.466666666667</v>
      </c>
      <c r="K696" s="13" t="n">
        <v>248948</v>
      </c>
      <c r="L696" s="13" t="n">
        <v>224979</v>
      </c>
      <c r="M696" s="13" t="n">
        <v>13232</v>
      </c>
      <c r="N696" s="14" t="n">
        <f aca="false">L696+M696</f>
        <v>238211</v>
      </c>
      <c r="O696" s="11" t="n">
        <f aca="false">INDEX(Parametros!$D$2:$D$9,MATCH($E696,Parametros!$A$2:$A$9,0))</f>
        <v>2600</v>
      </c>
      <c r="P696" s="15" t="n">
        <f aca="false">IF((G696-H696)&gt;0,J696/(G696-H696),0)</f>
        <v>0.98437055981813</v>
      </c>
      <c r="Q696" s="15" t="n">
        <f aca="false">IF(J696*O696&gt;0,N696/(O696*J696),0)</f>
        <v>0.79347241961272</v>
      </c>
      <c r="R696" s="15" t="n">
        <f aca="false">IF(N696&gt;0,L696/N696,0)</f>
        <v>0.944452607142407</v>
      </c>
      <c r="S696" s="15" t="n">
        <f aca="false">P696*Q696*R696</f>
        <v>0.737684438323825</v>
      </c>
      <c r="T696" s="15" t="n">
        <f aca="false">IF(K696&gt;0,L696/K696,0)</f>
        <v>0.90371884891624</v>
      </c>
      <c r="U696" s="10" t="n">
        <v>2308.7</v>
      </c>
      <c r="V696" s="5" t="n">
        <v>17</v>
      </c>
      <c r="W696" s="10" t="n">
        <v>187.1</v>
      </c>
      <c r="X696" s="15" t="n">
        <f aca="false">IF(U696&gt;0,W696/U696,0)</f>
        <v>0.0810412786416598</v>
      </c>
      <c r="Y696" s="12" t="n">
        <f aca="false">IF(U696&gt;0,L696/U696,0)</f>
        <v>97.448347554901</v>
      </c>
      <c r="Z696" s="16" t="n">
        <f aca="false">L696*INDEX(Parametros!$E$2:$E$9,MATCH($E696,Parametros!$A$2:$A$9,0))</f>
        <v>166484.46</v>
      </c>
      <c r="AA696" s="16" t="n">
        <f aca="false">Z696*INDEX(Parametros!$F$2:$F$9,MATCH($E696,Parametros!$A$2:$A$9,0))</f>
        <v>7491.8007</v>
      </c>
      <c r="AB696" s="17" t="n">
        <f aca="false">Z696+AA696</f>
        <v>173976.2607</v>
      </c>
      <c r="AC696" s="18" t="n">
        <v>173873.32</v>
      </c>
      <c r="AD696" s="17" t="n">
        <f aca="false">AC696-AB696</f>
        <v>-102.940699999977</v>
      </c>
      <c r="AE696" s="17" t="n">
        <f aca="false">AA696+AD696</f>
        <v>7388.86000000002</v>
      </c>
      <c r="AF696" s="19" t="n">
        <f aca="false">IF(Z696&gt;0,AE696/Z696,0)</f>
        <v>0.0443816798276549</v>
      </c>
      <c r="AG696" s="16" t="n">
        <f aca="false">(U696-W696)*INDEX(Parametros!$H$2:$H$9,MATCH($E696,Parametros!$A$2:$A$9,0))+W696*INDEX(Parametros!$H$2:$H$9,MATCH($E696,Parametros!$A$2:$A$9,0))*Parametros!$N$3</f>
        <v>72067.5</v>
      </c>
      <c r="AH696" s="13" t="n">
        <v>11959</v>
      </c>
      <c r="AI696" s="16" t="n">
        <f aca="false">AH696*Parametros!$N$2</f>
        <v>1100.228</v>
      </c>
      <c r="AJ696" s="18" t="n">
        <v>14506</v>
      </c>
      <c r="AK696" s="18" t="n">
        <v>2412</v>
      </c>
      <c r="AL696" s="17" t="n">
        <f aca="false">AG696+AI696+AJ696+AK696</f>
        <v>90085.728</v>
      </c>
      <c r="AM696" s="20" t="n">
        <f aca="false">IF(L696&gt;0,AL696/L696,0)</f>
        <v>0.400418385716</v>
      </c>
      <c r="AN696" s="16" t="n">
        <f aca="false">L696*INDEX(Parametros!$G$2:$G$9,MATCH($E696,Parametros!$A$2:$A$9,0))</f>
        <v>386963.88</v>
      </c>
      <c r="AO696" s="17" t="n">
        <f aca="false">AN696-AC696-AL696</f>
        <v>123004.832</v>
      </c>
      <c r="AP696" s="15" t="n">
        <f aca="false">IF(AN696&gt;0,AO696/AN696,0)</f>
        <v>0.317871611169497</v>
      </c>
      <c r="AQ696" s="16" t="n">
        <f aca="false">INDEX(Parametros!$I$2:$I$9,MATCH($E696,Parametros!$A$2:$A$9,0))</f>
        <v>15900000</v>
      </c>
      <c r="AR696" s="19" t="n">
        <f aca="false">IF(AQ696&gt;0,AO696/AQ696,0)</f>
        <v>0.00773615295597484</v>
      </c>
    </row>
    <row r="697" customFormat="false" ht="15" hidden="false" customHeight="false" outlineLevel="0" collapsed="false">
      <c r="A697" s="5" t="s">
        <v>832</v>
      </c>
      <c r="B697" s="9" t="n">
        <v>46153</v>
      </c>
      <c r="C697" s="2" t="str">
        <f aca="false">TEXT(B697,"yyyy")</f>
        <v>2026</v>
      </c>
      <c r="D697" s="2" t="n">
        <f aca="false">WEEKNUM(B697,2)</f>
        <v>20</v>
      </c>
      <c r="E697" s="5" t="s">
        <v>144</v>
      </c>
      <c r="F697" s="6" t="str">
        <f aca="false">INDEX(Parametros!$B$2:$B$9,MATCH($E697,Parametros!$A$2:$A$9,0))</f>
        <v>Salsas picantes</v>
      </c>
      <c r="G697" s="10" t="n">
        <v>113.1</v>
      </c>
      <c r="H697" s="10" t="n">
        <v>7.5</v>
      </c>
      <c r="I697" s="11" t="n">
        <f aca="false">SUMIFS(Eventos_Paro!$J$2:$J$2186,Eventos_Paro!$D$2:$D$2186,$E697,Eventos_Paro!$B$2:$B$2186,$B697)</f>
        <v>3.35</v>
      </c>
      <c r="J697" s="12" t="n">
        <f aca="false">G697-H697-I697</f>
        <v>102.25</v>
      </c>
      <c r="K697" s="13" t="n">
        <v>253320</v>
      </c>
      <c r="L697" s="13" t="n">
        <v>269832</v>
      </c>
      <c r="M697" s="13" t="n">
        <v>6920</v>
      </c>
      <c r="N697" s="14" t="n">
        <f aca="false">L697+M697</f>
        <v>276752</v>
      </c>
      <c r="O697" s="11" t="n">
        <f aca="false">INDEX(Parametros!$D$2:$D$9,MATCH($E697,Parametros!$A$2:$A$9,0))</f>
        <v>3100</v>
      </c>
      <c r="P697" s="15" t="n">
        <f aca="false">IF((G697-H697)&gt;0,J697/(G697-H697),0)</f>
        <v>0.968276515151515</v>
      </c>
      <c r="Q697" s="15" t="n">
        <f aca="false">IF(J697*O697&gt;0,N697/(O697*J697),0)</f>
        <v>0.87310355706286</v>
      </c>
      <c r="R697" s="15" t="n">
        <f aca="false">IF(N697&gt;0,L697/N697,0)</f>
        <v>0.974995663987975</v>
      </c>
      <c r="S697" s="15" t="n">
        <f aca="false">P697*Q697*R697</f>
        <v>0.824266862170088</v>
      </c>
      <c r="T697" s="15" t="n">
        <f aca="false">IF(K697&gt;0,L697/K697,0)</f>
        <v>1.0651823780199</v>
      </c>
      <c r="U697" s="10" t="n">
        <v>965.9</v>
      </c>
      <c r="V697" s="5" t="n">
        <v>8</v>
      </c>
      <c r="W697" s="10" t="n">
        <v>61.1</v>
      </c>
      <c r="X697" s="15" t="n">
        <f aca="false">IF(U697&gt;0,W697/U697,0)</f>
        <v>0.063257065948856</v>
      </c>
      <c r="Y697" s="12" t="n">
        <f aca="false">IF(U697&gt;0,L697/U697,0)</f>
        <v>279.358111605756</v>
      </c>
      <c r="Z697" s="16" t="n">
        <f aca="false">L697*INDEX(Parametros!$E$2:$E$9,MATCH($E697,Parametros!$A$2:$A$9,0))</f>
        <v>178089.12</v>
      </c>
      <c r="AA697" s="16" t="n">
        <f aca="false">Z697*INDEX(Parametros!$F$2:$F$9,MATCH($E697,Parametros!$A$2:$A$9,0))</f>
        <v>4630.31712</v>
      </c>
      <c r="AB697" s="17" t="n">
        <f aca="false">Z697+AA697</f>
        <v>182719.43712</v>
      </c>
      <c r="AC697" s="18" t="n">
        <v>185402.14</v>
      </c>
      <c r="AD697" s="17" t="n">
        <f aca="false">AC697-AB697</f>
        <v>2682.70288000003</v>
      </c>
      <c r="AE697" s="17" t="n">
        <f aca="false">AA697+AD697</f>
        <v>7313.02000000003</v>
      </c>
      <c r="AF697" s="19" t="n">
        <f aca="false">IF(Z697&gt;0,AE697/Z697,0)</f>
        <v>0.0410638224277824</v>
      </c>
      <c r="AG697" s="16" t="n">
        <f aca="false">(U697-W697)*INDEX(Parametros!$H$2:$H$9,MATCH($E697,Parametros!$A$2:$A$9,0))+W697*INDEX(Parametros!$H$2:$H$9,MATCH($E697,Parametros!$A$2:$A$9,0))*Parametros!$N$3</f>
        <v>31388.175</v>
      </c>
      <c r="AH697" s="13" t="n">
        <v>13766</v>
      </c>
      <c r="AI697" s="16" t="n">
        <f aca="false">AH697*Parametros!$N$2</f>
        <v>1266.472</v>
      </c>
      <c r="AJ697" s="18" t="n">
        <v>6030</v>
      </c>
      <c r="AK697" s="18" t="n">
        <v>4015</v>
      </c>
      <c r="AL697" s="17" t="n">
        <f aca="false">AG697+AI697+AJ697+AK697</f>
        <v>42699.647</v>
      </c>
      <c r="AM697" s="20" t="n">
        <f aca="false">IF(L697&gt;0,AL697/L697,0)</f>
        <v>0.158245304485754</v>
      </c>
      <c r="AN697" s="16" t="n">
        <f aca="false">L697*INDEX(Parametros!$G$2:$G$9,MATCH($E697,Parametros!$A$2:$A$9,0))</f>
        <v>337290</v>
      </c>
      <c r="AO697" s="17" t="n">
        <f aca="false">AN697-AC697-AL697</f>
        <v>109188.213</v>
      </c>
      <c r="AP697" s="15" t="n">
        <f aca="false">IF(AN697&gt;0,AO697/AN697,0)</f>
        <v>0.323722058169528</v>
      </c>
      <c r="AQ697" s="16" t="n">
        <f aca="false">INDEX(Parametros!$I$2:$I$9,MATCH($E697,Parametros!$A$2:$A$9,0))</f>
        <v>13300000</v>
      </c>
      <c r="AR697" s="19" t="n">
        <f aca="false">IF(AQ697&gt;0,AO697/AQ697,0)</f>
        <v>0.00820964007518797</v>
      </c>
    </row>
    <row r="698" customFormat="false" ht="15" hidden="false" customHeight="false" outlineLevel="0" collapsed="false">
      <c r="A698" s="5" t="s">
        <v>833</v>
      </c>
      <c r="B698" s="9" t="n">
        <v>46160</v>
      </c>
      <c r="C698" s="2" t="str">
        <f aca="false">TEXT(B698,"yyyy")</f>
        <v>2026</v>
      </c>
      <c r="D698" s="2" t="n">
        <f aca="false">WEEKNUM(B698,2)</f>
        <v>21</v>
      </c>
      <c r="E698" s="5" t="s">
        <v>130</v>
      </c>
      <c r="F698" s="6" t="str">
        <f aca="false">INDEX(Parametros!$B$2:$B$9,MATCH($E698,Parametros!$A$2:$A$9,0))</f>
        <v>Ketchup botella</v>
      </c>
      <c r="G698" s="10" t="n">
        <v>117.6</v>
      </c>
      <c r="H698" s="10" t="n">
        <v>6.9</v>
      </c>
      <c r="I698" s="11" t="n">
        <f aca="false">SUMIFS(Eventos_Paro!$J$2:$J$2186,Eventos_Paro!$D$2:$D$2186,$E698,Eventos_Paro!$B$2:$B$2186,$B698)</f>
        <v>0.45</v>
      </c>
      <c r="J698" s="12" t="n">
        <f aca="false">G698-H698-I698</f>
        <v>110.25</v>
      </c>
      <c r="K698" s="13" t="n">
        <v>816439</v>
      </c>
      <c r="L698" s="13" t="n">
        <v>837108</v>
      </c>
      <c r="M698" s="13" t="n">
        <v>24932</v>
      </c>
      <c r="N698" s="14" t="n">
        <f aca="false">L698+M698</f>
        <v>862040</v>
      </c>
      <c r="O698" s="11" t="n">
        <f aca="false">INDEX(Parametros!$D$2:$D$9,MATCH($E698,Parametros!$A$2:$A$9,0))</f>
        <v>9000</v>
      </c>
      <c r="P698" s="15" t="n">
        <f aca="false">IF((G698-H698)&gt;0,J698/(G698-H698),0)</f>
        <v>0.995934959349593</v>
      </c>
      <c r="Q698" s="15" t="n">
        <f aca="false">IF(J698*O698&gt;0,N698/(O698*J698),0)</f>
        <v>0.868772990677753</v>
      </c>
      <c r="R698" s="15" t="n">
        <f aca="false">IF(N698&gt;0,L698/N698,0)</f>
        <v>0.971077908217716</v>
      </c>
      <c r="S698" s="15" t="n">
        <f aca="false">P698*Q698*R698</f>
        <v>0.840216802168022</v>
      </c>
      <c r="T698" s="15" t="n">
        <f aca="false">IF(K698&gt;0,L698/K698,0)</f>
        <v>1.02531603708299</v>
      </c>
      <c r="U698" s="10" t="n">
        <v>1705.4</v>
      </c>
      <c r="V698" s="5" t="n">
        <v>14</v>
      </c>
      <c r="W698" s="10" t="n">
        <v>59</v>
      </c>
      <c r="X698" s="15" t="n">
        <f aca="false">IF(U698&gt;0,W698/U698,0)</f>
        <v>0.0345959892107424</v>
      </c>
      <c r="Y698" s="12" t="n">
        <f aca="false">IF(U698&gt;0,L698/U698,0)</f>
        <v>490.857276885188</v>
      </c>
      <c r="Z698" s="16" t="n">
        <f aca="false">L698*INDEX(Parametros!$E$2:$E$9,MATCH($E698,Parametros!$A$2:$A$9,0))</f>
        <v>351585.36</v>
      </c>
      <c r="AA698" s="16" t="n">
        <f aca="false">Z698*INDEX(Parametros!$F$2:$F$9,MATCH($E698,Parametros!$A$2:$A$9,0))</f>
        <v>7031.7072</v>
      </c>
      <c r="AB698" s="17" t="n">
        <f aca="false">Z698+AA698</f>
        <v>358617.0672</v>
      </c>
      <c r="AC698" s="18" t="n">
        <v>362332.49</v>
      </c>
      <c r="AD698" s="17" t="n">
        <f aca="false">AC698-AB698</f>
        <v>3715.4228</v>
      </c>
      <c r="AE698" s="17" t="n">
        <f aca="false">AA698+AD698</f>
        <v>10747.13</v>
      </c>
      <c r="AF698" s="19" t="n">
        <f aca="false">IF(Z698&gt;0,AE698/Z698,0)</f>
        <v>0.0305676265928707</v>
      </c>
      <c r="AG698" s="16" t="n">
        <f aca="false">(U698-W698)*INDEX(Parametros!$H$2:$H$9,MATCH($E698,Parametros!$A$2:$A$9,0))+W698*INDEX(Parametros!$H$2:$H$9,MATCH($E698,Parametros!$A$2:$A$9,0))*Parametros!$N$3</f>
        <v>54649.35</v>
      </c>
      <c r="AH698" s="13" t="n">
        <v>41582</v>
      </c>
      <c r="AI698" s="16" t="n">
        <f aca="false">AH698*Parametros!$N$2</f>
        <v>3825.544</v>
      </c>
      <c r="AJ698" s="18" t="n">
        <v>17277</v>
      </c>
      <c r="AK698" s="18" t="n">
        <v>399</v>
      </c>
      <c r="AL698" s="17" t="n">
        <f aca="false">AG698+AI698+AJ698+AK698</f>
        <v>76150.894</v>
      </c>
      <c r="AM698" s="20" t="n">
        <f aca="false">IF(L698&gt;0,AL698/L698,0)</f>
        <v>0.0909690195291408</v>
      </c>
      <c r="AN698" s="16" t="n">
        <f aca="false">L698*INDEX(Parametros!$G$2:$G$9,MATCH($E698,Parametros!$A$2:$A$9,0))</f>
        <v>594346.68</v>
      </c>
      <c r="AO698" s="17" t="n">
        <f aca="false">AN698-AC698-AL698</f>
        <v>155863.296</v>
      </c>
      <c r="AP698" s="15" t="n">
        <f aca="false">IF(AN698&gt;0,AO698/AN698,0)</f>
        <v>0.262243066622329</v>
      </c>
      <c r="AQ698" s="16" t="n">
        <f aca="false">INDEX(Parametros!$I$2:$I$9,MATCH($E698,Parametros!$A$2:$A$9,0))</f>
        <v>29300000</v>
      </c>
      <c r="AR698" s="19" t="n">
        <f aca="false">IF(AQ698&gt;0,AO698/AQ698,0)</f>
        <v>0.00531956641638225</v>
      </c>
    </row>
    <row r="699" customFormat="false" ht="15" hidden="false" customHeight="false" outlineLevel="0" collapsed="false">
      <c r="A699" s="5" t="s">
        <v>834</v>
      </c>
      <c r="B699" s="9" t="n">
        <v>46160</v>
      </c>
      <c r="C699" s="2" t="str">
        <f aca="false">TEXT(B699,"yyyy")</f>
        <v>2026</v>
      </c>
      <c r="D699" s="2" t="n">
        <f aca="false">WEEKNUM(B699,2)</f>
        <v>21</v>
      </c>
      <c r="E699" s="5" t="s">
        <v>132</v>
      </c>
      <c r="F699" s="6" t="str">
        <f aca="false">INDEX(Parametros!$B$2:$B$9,MATCH($E699,Parametros!$A$2:$A$9,0))</f>
        <v>Mayonesa frasco</v>
      </c>
      <c r="G699" s="10" t="n">
        <v>124.2</v>
      </c>
      <c r="H699" s="10" t="n">
        <v>5.4</v>
      </c>
      <c r="I699" s="11" t="n">
        <f aca="false">SUMIFS(Eventos_Paro!$J$2:$J$2186,Eventos_Paro!$D$2:$D$2186,$E699,Eventos_Paro!$B$2:$B$2186,$B699)</f>
        <v>2.6</v>
      </c>
      <c r="J699" s="12" t="n">
        <f aca="false">G699-H699-I699</f>
        <v>116.2</v>
      </c>
      <c r="K699" s="13" t="n">
        <v>632796</v>
      </c>
      <c r="L699" s="13" t="n">
        <v>630371</v>
      </c>
      <c r="M699" s="13" t="n">
        <v>15199</v>
      </c>
      <c r="N699" s="14" t="n">
        <f aca="false">L699+M699</f>
        <v>645570</v>
      </c>
      <c r="O699" s="11" t="n">
        <f aca="false">INDEX(Parametros!$D$2:$D$9,MATCH($E699,Parametros!$A$2:$A$9,0))</f>
        <v>6500</v>
      </c>
      <c r="P699" s="15" t="n">
        <f aca="false">IF((G699-H699)&gt;0,J699/(G699-H699),0)</f>
        <v>0.978114478114478</v>
      </c>
      <c r="Q699" s="15" t="n">
        <f aca="false">IF(J699*O699&gt;0,N699/(O699*J699),0)</f>
        <v>0.854719978816364</v>
      </c>
      <c r="R699" s="15" t="n">
        <f aca="false">IF(N699&gt;0,L699/N699,0)</f>
        <v>0.976456464829531</v>
      </c>
      <c r="S699" s="15" t="n">
        <f aca="false">P699*Q699*R699</f>
        <v>0.816331261331261</v>
      </c>
      <c r="T699" s="15" t="n">
        <f aca="false">IF(K699&gt;0,L699/K699,0)</f>
        <v>0.996167801313535</v>
      </c>
      <c r="U699" s="10" t="n">
        <v>1585.5</v>
      </c>
      <c r="V699" s="5" t="n">
        <v>12</v>
      </c>
      <c r="W699" s="10" t="n">
        <v>95.1</v>
      </c>
      <c r="X699" s="15" t="n">
        <f aca="false">IF(U699&gt;0,W699/U699,0)</f>
        <v>0.0599810785241249</v>
      </c>
      <c r="Y699" s="12" t="n">
        <f aca="false">IF(U699&gt;0,L699/U699,0)</f>
        <v>397.584988962472</v>
      </c>
      <c r="Z699" s="16" t="n">
        <f aca="false">L699*INDEX(Parametros!$E$2:$E$9,MATCH($E699,Parametros!$A$2:$A$9,0))</f>
        <v>384526.31</v>
      </c>
      <c r="AA699" s="16" t="n">
        <f aca="false">Z699*INDEX(Parametros!$F$2:$F$9,MATCH($E699,Parametros!$A$2:$A$9,0))</f>
        <v>9613.15775</v>
      </c>
      <c r="AB699" s="17" t="n">
        <f aca="false">Z699+AA699</f>
        <v>394139.46775</v>
      </c>
      <c r="AC699" s="18" t="n">
        <v>391572.54</v>
      </c>
      <c r="AD699" s="17" t="n">
        <f aca="false">AC699-AB699</f>
        <v>-2566.92775000003</v>
      </c>
      <c r="AE699" s="17" t="n">
        <f aca="false">AA699+AD699</f>
        <v>7046.22999999997</v>
      </c>
      <c r="AF699" s="19" t="n">
        <f aca="false">IF(Z699&gt;0,AE699/Z699,0)</f>
        <v>0.0183244418307813</v>
      </c>
      <c r="AG699" s="16" t="n">
        <f aca="false">(U699-W699)*INDEX(Parametros!$H$2:$H$9,MATCH($E699,Parametros!$A$2:$A$9,0))+W699*INDEX(Parametros!$H$2:$H$9,MATCH($E699,Parametros!$A$2:$A$9,0))*Parametros!$N$3</f>
        <v>51441.075</v>
      </c>
      <c r="AH699" s="13" t="n">
        <v>32553</v>
      </c>
      <c r="AI699" s="16" t="n">
        <f aca="false">AH699*Parametros!$N$2</f>
        <v>2994.876</v>
      </c>
      <c r="AJ699" s="18" t="n">
        <v>13257</v>
      </c>
      <c r="AK699" s="18" t="n">
        <v>2655</v>
      </c>
      <c r="AL699" s="17" t="n">
        <f aca="false">AG699+AI699+AJ699+AK699</f>
        <v>70347.951</v>
      </c>
      <c r="AM699" s="20" t="n">
        <f aca="false">IF(L699&gt;0,AL699/L699,0)</f>
        <v>0.111597695642725</v>
      </c>
      <c r="AN699" s="16" t="n">
        <f aca="false">L699*INDEX(Parametros!$G$2:$G$9,MATCH($E699,Parametros!$A$2:$A$9,0))</f>
        <v>605156.16</v>
      </c>
      <c r="AO699" s="17" t="n">
        <f aca="false">AN699-AC699-AL699</f>
        <v>143235.669</v>
      </c>
      <c r="AP699" s="15" t="n">
        <f aca="false">IF(AN699&gt;0,AO699/AN699,0)</f>
        <v>0.236692077958853</v>
      </c>
      <c r="AQ699" s="16" t="n">
        <f aca="false">INDEX(Parametros!$I$2:$I$9,MATCH($E699,Parametros!$A$2:$A$9,0))</f>
        <v>29700000</v>
      </c>
      <c r="AR699" s="19" t="n">
        <f aca="false">IF(AQ699&gt;0,AO699/AQ699,0)</f>
        <v>0.0048227497979798</v>
      </c>
    </row>
    <row r="700" customFormat="false" ht="15" hidden="false" customHeight="false" outlineLevel="0" collapsed="false">
      <c r="A700" s="5" t="s">
        <v>835</v>
      </c>
      <c r="B700" s="9" t="n">
        <v>46160</v>
      </c>
      <c r="C700" s="2" t="str">
        <f aca="false">TEXT(B700,"yyyy")</f>
        <v>2026</v>
      </c>
      <c r="D700" s="2" t="n">
        <f aca="false">WEEKNUM(B700,2)</f>
        <v>21</v>
      </c>
      <c r="E700" s="5" t="s">
        <v>134</v>
      </c>
      <c r="F700" s="6" t="str">
        <f aca="false">INDEX(Parametros!$B$2:$B$9,MATCH($E700,Parametros!$A$2:$A$9,0))</f>
        <v>Aderezos vertibles</v>
      </c>
      <c r="G700" s="10" t="n">
        <v>115.7</v>
      </c>
      <c r="H700" s="10" t="n">
        <v>5.3</v>
      </c>
      <c r="I700" s="11" t="n">
        <f aca="false">SUMIFS(Eventos_Paro!$J$2:$J$2186,Eventos_Paro!$D$2:$D$2186,$E700,Eventos_Paro!$B$2:$B$2186,$B700)</f>
        <v>6.3</v>
      </c>
      <c r="J700" s="12" t="n">
        <f aca="false">G700-H700-I700</f>
        <v>104.1</v>
      </c>
      <c r="K700" s="13" t="n">
        <v>470442</v>
      </c>
      <c r="L700" s="13" t="n">
        <v>425855</v>
      </c>
      <c r="M700" s="13" t="n">
        <v>16215</v>
      </c>
      <c r="N700" s="14" t="n">
        <f aca="false">L700+M700</f>
        <v>442070</v>
      </c>
      <c r="O700" s="11" t="n">
        <f aca="false">INDEX(Parametros!$D$2:$D$9,MATCH($E700,Parametros!$A$2:$A$9,0))</f>
        <v>5200</v>
      </c>
      <c r="P700" s="15" t="n">
        <f aca="false">IF((G700-H700)&gt;0,J700/(G700-H700),0)</f>
        <v>0.942934782608696</v>
      </c>
      <c r="Q700" s="15" t="n">
        <f aca="false">IF(J700*O700&gt;0,N700/(O700*J700),0)</f>
        <v>0.816651887977536</v>
      </c>
      <c r="R700" s="15" t="n">
        <f aca="false">IF(N700&gt;0,L700/N700,0)</f>
        <v>0.96332028864207</v>
      </c>
      <c r="S700" s="15" t="n">
        <f aca="false">P700*Q700*R700</f>
        <v>0.741804278149387</v>
      </c>
      <c r="T700" s="15" t="n">
        <f aca="false">IF(K700&gt;0,L700/K700,0)</f>
        <v>0.905223173101041</v>
      </c>
      <c r="U700" s="10" t="n">
        <v>1391.5</v>
      </c>
      <c r="V700" s="5" t="n">
        <v>12</v>
      </c>
      <c r="W700" s="10" t="n">
        <v>3.1</v>
      </c>
      <c r="X700" s="15" t="n">
        <f aca="false">IF(U700&gt;0,W700/U700,0)</f>
        <v>0.00222781171397772</v>
      </c>
      <c r="Y700" s="12" t="n">
        <f aca="false">IF(U700&gt;0,L700/U700,0)</f>
        <v>306.04024434064</v>
      </c>
      <c r="Z700" s="16" t="n">
        <f aca="false">L700*INDEX(Parametros!$E$2:$E$9,MATCH($E700,Parametros!$A$2:$A$9,0))</f>
        <v>234220.25</v>
      </c>
      <c r="AA700" s="16" t="n">
        <f aca="false">Z700*INDEX(Parametros!$F$2:$F$9,MATCH($E700,Parametros!$A$2:$A$9,0))</f>
        <v>7026.6075</v>
      </c>
      <c r="AB700" s="17" t="n">
        <f aca="false">Z700+AA700</f>
        <v>241246.8575</v>
      </c>
      <c r="AC700" s="18" t="n">
        <v>238927.51</v>
      </c>
      <c r="AD700" s="17" t="n">
        <f aca="false">AC700-AB700</f>
        <v>-2319.34750000003</v>
      </c>
      <c r="AE700" s="17" t="n">
        <f aca="false">AA700+AD700</f>
        <v>4707.25999999997</v>
      </c>
      <c r="AF700" s="19" t="n">
        <f aca="false">IF(Z700&gt;0,AE700/Z700,0)</f>
        <v>0.0200975790948903</v>
      </c>
      <c r="AG700" s="16" t="n">
        <f aca="false">(U700-W700)*INDEX(Parametros!$H$2:$H$9,MATCH($E700,Parametros!$A$2:$A$9,0))+W700*INDEX(Parametros!$H$2:$H$9,MATCH($E700,Parametros!$A$2:$A$9,0))*Parametros!$N$3</f>
        <v>43881.075</v>
      </c>
      <c r="AH700" s="13" t="n">
        <v>22517</v>
      </c>
      <c r="AI700" s="16" t="n">
        <f aca="false">AH700*Parametros!$N$2</f>
        <v>2071.564</v>
      </c>
      <c r="AJ700" s="18" t="n">
        <v>12481</v>
      </c>
      <c r="AK700" s="18" t="n">
        <v>6519</v>
      </c>
      <c r="AL700" s="17" t="n">
        <f aca="false">AG700+AI700+AJ700+AK700</f>
        <v>64952.639</v>
      </c>
      <c r="AM700" s="20" t="n">
        <f aca="false">IF(L700&gt;0,AL700/L700,0)</f>
        <v>0.152522898639208</v>
      </c>
      <c r="AN700" s="16" t="n">
        <f aca="false">L700*INDEX(Parametros!$G$2:$G$9,MATCH($E700,Parametros!$A$2:$A$9,0))</f>
        <v>434372.1</v>
      </c>
      <c r="AO700" s="17" t="n">
        <f aca="false">AN700-AC700-AL700</f>
        <v>130491.951</v>
      </c>
      <c r="AP700" s="15" t="n">
        <f aca="false">IF(AN700&gt;0,AO700/AN700,0)</f>
        <v>0.300415130253532</v>
      </c>
      <c r="AQ700" s="16" t="n">
        <f aca="false">INDEX(Parametros!$I$2:$I$9,MATCH($E700,Parametros!$A$2:$A$9,0))</f>
        <v>19300000</v>
      </c>
      <c r="AR700" s="19" t="n">
        <f aca="false">IF(AQ700&gt;0,AO700/AQ700,0)</f>
        <v>0.00676124098445596</v>
      </c>
    </row>
    <row r="701" customFormat="false" ht="15" hidden="false" customHeight="false" outlineLevel="0" collapsed="false">
      <c r="A701" s="5" t="s">
        <v>836</v>
      </c>
      <c r="B701" s="9" t="n">
        <v>46160</v>
      </c>
      <c r="C701" s="2" t="str">
        <f aca="false">TEXT(B701,"yyyy")</f>
        <v>2026</v>
      </c>
      <c r="D701" s="2" t="n">
        <f aca="false">WEEKNUM(B701,2)</f>
        <v>21</v>
      </c>
      <c r="E701" s="5" t="s">
        <v>136</v>
      </c>
      <c r="F701" s="6" t="str">
        <f aca="false">INDEX(Parametros!$B$2:$B$9,MATCH($E701,Parametros!$A$2:$A$9,0))</f>
        <v>Salsa BBQ</v>
      </c>
      <c r="G701" s="10" t="n">
        <v>111.6</v>
      </c>
      <c r="H701" s="10" t="n">
        <v>8</v>
      </c>
      <c r="I701" s="11" t="n">
        <f aca="false">SUMIFS(Eventos_Paro!$J$2:$J$2186,Eventos_Paro!$D$2:$D$2186,$E701,Eventos_Paro!$B$2:$B$2186,$B701)</f>
        <v>1.95</v>
      </c>
      <c r="J701" s="12" t="n">
        <f aca="false">G701-H701-I701</f>
        <v>101.65</v>
      </c>
      <c r="K701" s="13" t="n">
        <v>441396</v>
      </c>
      <c r="L701" s="13" t="n">
        <v>387171</v>
      </c>
      <c r="M701" s="13" t="n">
        <v>10129</v>
      </c>
      <c r="N701" s="14" t="n">
        <f aca="false">L701+M701</f>
        <v>397300</v>
      </c>
      <c r="O701" s="11" t="n">
        <f aca="false">INDEX(Parametros!$D$2:$D$9,MATCH($E701,Parametros!$A$2:$A$9,0))</f>
        <v>4800</v>
      </c>
      <c r="P701" s="15" t="n">
        <f aca="false">IF((G701-H701)&gt;0,J701/(G701-H701),0)</f>
        <v>0.981177606177606</v>
      </c>
      <c r="Q701" s="15" t="n">
        <f aca="false">IF(J701*O701&gt;0,N701/(O701*J701),0)</f>
        <v>0.81427283161174</v>
      </c>
      <c r="R701" s="15" t="n">
        <f aca="false">IF(N701&gt;0,L701/N701,0)</f>
        <v>0.974505411527813</v>
      </c>
      <c r="S701" s="15" t="n">
        <f aca="false">P701*Q701*R701</f>
        <v>0.778577461389962</v>
      </c>
      <c r="T701" s="15" t="n">
        <f aca="false">IF(K701&gt;0,L701/K701,0)</f>
        <v>0.877151129597912</v>
      </c>
      <c r="U701" s="10" t="n">
        <v>1172.5</v>
      </c>
      <c r="V701" s="5" t="n">
        <v>10</v>
      </c>
      <c r="W701" s="10" t="n">
        <v>56.5</v>
      </c>
      <c r="X701" s="15" t="n">
        <f aca="false">IF(U701&gt;0,W701/U701,0)</f>
        <v>0.0481876332622601</v>
      </c>
      <c r="Y701" s="12" t="n">
        <f aca="false">IF(U701&gt;0,L701/U701,0)</f>
        <v>330.209808102345</v>
      </c>
      <c r="Z701" s="16" t="n">
        <f aca="false">L701*INDEX(Parametros!$E$2:$E$9,MATCH($E701,Parametros!$A$2:$A$9,0))</f>
        <v>224559.18</v>
      </c>
      <c r="AA701" s="16" t="n">
        <f aca="false">Z701*INDEX(Parametros!$F$2:$F$9,MATCH($E701,Parametros!$A$2:$A$9,0))</f>
        <v>6287.65704</v>
      </c>
      <c r="AB701" s="17" t="n">
        <f aca="false">Z701+AA701</f>
        <v>230846.83704</v>
      </c>
      <c r="AC701" s="18" t="n">
        <v>236274.87</v>
      </c>
      <c r="AD701" s="17" t="n">
        <f aca="false">AC701-AB701</f>
        <v>5428.03296000001</v>
      </c>
      <c r="AE701" s="17" t="n">
        <f aca="false">AA701+AD701</f>
        <v>11715.69</v>
      </c>
      <c r="AF701" s="19" t="n">
        <f aca="false">IF(Z701&gt;0,AE701/Z701,0)</f>
        <v>0.05217194861506</v>
      </c>
      <c r="AG701" s="16" t="n">
        <f aca="false">(U701-W701)*INDEX(Parametros!$H$2:$H$9,MATCH($E701,Parametros!$A$2:$A$9,0))+W701*INDEX(Parametros!$H$2:$H$9,MATCH($E701,Parametros!$A$2:$A$9,0))*Parametros!$N$3</f>
        <v>37823.625</v>
      </c>
      <c r="AH701" s="13" t="n">
        <v>20200</v>
      </c>
      <c r="AI701" s="16" t="n">
        <f aca="false">AH701*Parametros!$N$2</f>
        <v>1858.4</v>
      </c>
      <c r="AJ701" s="18" t="n">
        <v>9303</v>
      </c>
      <c r="AK701" s="18" t="n">
        <v>1292</v>
      </c>
      <c r="AL701" s="17" t="n">
        <f aca="false">AG701+AI701+AJ701+AK701</f>
        <v>50277.025</v>
      </c>
      <c r="AM701" s="20" t="n">
        <f aca="false">IF(L701&gt;0,AL701/L701,0)</f>
        <v>0.129857414424118</v>
      </c>
      <c r="AN701" s="16" t="n">
        <f aca="false">L701*INDEX(Parametros!$G$2:$G$9,MATCH($E701,Parametros!$A$2:$A$9,0))</f>
        <v>379427.58</v>
      </c>
      <c r="AO701" s="17" t="n">
        <f aca="false">AN701-AC701-AL701</f>
        <v>92875.685</v>
      </c>
      <c r="AP701" s="15" t="n">
        <f aca="false">IF(AN701&gt;0,AO701/AN701,0)</f>
        <v>0.244778423856273</v>
      </c>
      <c r="AQ701" s="16" t="n">
        <f aca="false">INDEX(Parametros!$I$2:$I$9,MATCH($E701,Parametros!$A$2:$A$9,0))</f>
        <v>17000000</v>
      </c>
      <c r="AR701" s="19" t="n">
        <f aca="false">IF(AQ701&gt;0,AO701/AQ701,0)</f>
        <v>0.0054632755882353</v>
      </c>
    </row>
    <row r="702" customFormat="false" ht="15" hidden="false" customHeight="false" outlineLevel="0" collapsed="false">
      <c r="A702" s="5" t="s">
        <v>837</v>
      </c>
      <c r="B702" s="9" t="n">
        <v>46160</v>
      </c>
      <c r="C702" s="2" t="str">
        <f aca="false">TEXT(B702,"yyyy")</f>
        <v>2026</v>
      </c>
      <c r="D702" s="2" t="n">
        <f aca="false">WEEKNUM(B702,2)</f>
        <v>21</v>
      </c>
      <c r="E702" s="5" t="s">
        <v>138</v>
      </c>
      <c r="F702" s="6" t="str">
        <f aca="false">INDEX(Parametros!$B$2:$B$9,MATCH($E702,Parametros!$A$2:$A$9,0))</f>
        <v>Queso crema</v>
      </c>
      <c r="G702" s="10" t="n">
        <v>112.9</v>
      </c>
      <c r="H702" s="10" t="n">
        <v>8.6</v>
      </c>
      <c r="I702" s="11" t="n">
        <f aca="false">SUMIFS(Eventos_Paro!$J$2:$J$2186,Eventos_Paro!$D$2:$D$2186,$E702,Eventos_Paro!$B$2:$B$2186,$B702)</f>
        <v>7</v>
      </c>
      <c r="J702" s="12" t="n">
        <f aca="false">G702-H702-I702</f>
        <v>97.3</v>
      </c>
      <c r="K702" s="13" t="n">
        <v>324789</v>
      </c>
      <c r="L702" s="13" t="n">
        <v>292398</v>
      </c>
      <c r="M702" s="13" t="n">
        <v>15226</v>
      </c>
      <c r="N702" s="14" t="n">
        <f aca="false">L702+M702</f>
        <v>307624</v>
      </c>
      <c r="O702" s="11" t="n">
        <f aca="false">INDEX(Parametros!$D$2:$D$9,MATCH($E702,Parametros!$A$2:$A$9,0))</f>
        <v>3800</v>
      </c>
      <c r="P702" s="15" t="n">
        <f aca="false">IF((G702-H702)&gt;0,J702/(G702-H702),0)</f>
        <v>0.932885906040268</v>
      </c>
      <c r="Q702" s="15" t="n">
        <f aca="false">IF(J702*O702&gt;0,N702/(O702*J702),0)</f>
        <v>0.832000865473035</v>
      </c>
      <c r="R702" s="15" t="n">
        <f aca="false">IF(N702&gt;0,L702/N702,0)</f>
        <v>0.950504512001664</v>
      </c>
      <c r="S702" s="15" t="n">
        <f aca="false">P702*Q702*R702</f>
        <v>0.737745370136751</v>
      </c>
      <c r="T702" s="15" t="n">
        <f aca="false">IF(K702&gt;0,L702/K702,0)</f>
        <v>0.900270637244488</v>
      </c>
      <c r="U702" s="10" t="n">
        <v>1900.6</v>
      </c>
      <c r="V702" s="5" t="n">
        <v>16</v>
      </c>
      <c r="W702" s="10" t="n">
        <v>94.2</v>
      </c>
      <c r="X702" s="15" t="n">
        <f aca="false">IF(U702&gt;0,W702/U702,0)</f>
        <v>0.0495632958013259</v>
      </c>
      <c r="Y702" s="12" t="n">
        <f aca="false">IF(U702&gt;0,L702/U702,0)</f>
        <v>153.84510154688</v>
      </c>
      <c r="Z702" s="16" t="n">
        <f aca="false">L702*INDEX(Parametros!$E$2:$E$9,MATCH($E702,Parametros!$A$2:$A$9,0))</f>
        <v>327485.76</v>
      </c>
      <c r="AA702" s="16" t="n">
        <f aca="false">Z702*INDEX(Parametros!$F$2:$F$9,MATCH($E702,Parametros!$A$2:$A$9,0))</f>
        <v>11462.0016</v>
      </c>
      <c r="AB702" s="17" t="n">
        <f aca="false">Z702+AA702</f>
        <v>338947.7616</v>
      </c>
      <c r="AC702" s="18" t="n">
        <v>337945.85</v>
      </c>
      <c r="AD702" s="17" t="n">
        <f aca="false">AC702-AB702</f>
        <v>-1001.91160000005</v>
      </c>
      <c r="AE702" s="17" t="n">
        <f aca="false">AA702+AD702</f>
        <v>10460.09</v>
      </c>
      <c r="AF702" s="19" t="n">
        <f aca="false">IF(Z702&gt;0,AE702/Z702,0)</f>
        <v>0.0319405949131955</v>
      </c>
      <c r="AG702" s="16" t="n">
        <f aca="false">(U702-W702)*INDEX(Parametros!$H$2:$H$9,MATCH($E702,Parametros!$A$2:$A$9,0))+W702*INDEX(Parametros!$H$2:$H$9,MATCH($E702,Parametros!$A$2:$A$9,0))*Parametros!$N$3</f>
        <v>64274.1</v>
      </c>
      <c r="AH702" s="13" t="n">
        <v>14978</v>
      </c>
      <c r="AI702" s="16" t="n">
        <f aca="false">AH702*Parametros!$N$2</f>
        <v>1377.976</v>
      </c>
      <c r="AJ702" s="18" t="n">
        <v>20040</v>
      </c>
      <c r="AK702" s="18" t="n">
        <v>7934</v>
      </c>
      <c r="AL702" s="17" t="n">
        <f aca="false">AG702+AI702+AJ702+AK702</f>
        <v>93626.076</v>
      </c>
      <c r="AM702" s="20" t="n">
        <f aca="false">IF(L702&gt;0,AL702/L702,0)</f>
        <v>0.320200808487062</v>
      </c>
      <c r="AN702" s="16" t="n">
        <f aca="false">L702*INDEX(Parametros!$G$2:$G$9,MATCH($E702,Parametros!$A$2:$A$9,0))</f>
        <v>523392.42</v>
      </c>
      <c r="AO702" s="17" t="n">
        <f aca="false">AN702-AC702-AL702</f>
        <v>91820.494</v>
      </c>
      <c r="AP702" s="15" t="n">
        <f aca="false">IF(AN702&gt;0,AO702/AN702,0)</f>
        <v>0.175433366039195</v>
      </c>
      <c r="AQ702" s="16" t="n">
        <f aca="false">INDEX(Parametros!$I$2:$I$9,MATCH($E702,Parametros!$A$2:$A$9,0))</f>
        <v>33200000</v>
      </c>
      <c r="AR702" s="19" t="n">
        <f aca="false">IF(AQ702&gt;0,AO702/AQ702,0)</f>
        <v>0.00276567753012048</v>
      </c>
    </row>
    <row r="703" customFormat="false" ht="15" hidden="false" customHeight="false" outlineLevel="0" collapsed="false">
      <c r="A703" s="5" t="s">
        <v>838</v>
      </c>
      <c r="B703" s="9" t="n">
        <v>46160</v>
      </c>
      <c r="C703" s="2" t="str">
        <f aca="false">TEXT(B703,"yyyy")</f>
        <v>2026</v>
      </c>
      <c r="D703" s="2" t="n">
        <f aca="false">WEEKNUM(B703,2)</f>
        <v>21</v>
      </c>
      <c r="E703" s="5" t="s">
        <v>140</v>
      </c>
      <c r="F703" s="6" t="str">
        <f aca="false">INDEX(Parametros!$B$2:$B$9,MATCH($E703,Parametros!$A$2:$A$9,0))</f>
        <v>Crema de cacahuate</v>
      </c>
      <c r="G703" s="10" t="n">
        <v>113.5</v>
      </c>
      <c r="H703" s="10" t="n">
        <v>6.6</v>
      </c>
      <c r="I703" s="11" t="n">
        <f aca="false">SUMIFS(Eventos_Paro!$J$2:$J$2186,Eventos_Paro!$D$2:$D$2186,$E703,Eventos_Paro!$B$2:$B$2186,$B703)</f>
        <v>1.73333333333333</v>
      </c>
      <c r="J703" s="12" t="n">
        <f aca="false">G703-H703-I703</f>
        <v>105.166666666667</v>
      </c>
      <c r="K703" s="13" t="n">
        <v>367926</v>
      </c>
      <c r="L703" s="13" t="n">
        <v>364831</v>
      </c>
      <c r="M703" s="13" t="n">
        <v>7649</v>
      </c>
      <c r="N703" s="14" t="n">
        <f aca="false">L703+M703</f>
        <v>372480</v>
      </c>
      <c r="O703" s="11" t="n">
        <f aca="false">INDEX(Parametros!$D$2:$D$9,MATCH($E703,Parametros!$A$2:$A$9,0))</f>
        <v>4200</v>
      </c>
      <c r="P703" s="15" t="n">
        <f aca="false">IF((G703-H703)&gt;0,J703/(G703-H703),0)</f>
        <v>0.983785469285937</v>
      </c>
      <c r="Q703" s="15" t="n">
        <f aca="false">IF(J703*O703&gt;0,N703/(O703*J703),0)</f>
        <v>0.843287299071768</v>
      </c>
      <c r="R703" s="15" t="n">
        <f aca="false">IF(N703&gt;0,L703/N703,0)</f>
        <v>0.979464669243986</v>
      </c>
      <c r="S703" s="15" t="n">
        <f aca="false">P703*Q703*R703</f>
        <v>0.812577397656911</v>
      </c>
      <c r="T703" s="15" t="n">
        <f aca="false">IF(K703&gt;0,L703/K703,0)</f>
        <v>0.991587982366019</v>
      </c>
      <c r="U703" s="10" t="n">
        <v>1364.1</v>
      </c>
      <c r="V703" s="5" t="n">
        <v>11</v>
      </c>
      <c r="W703" s="10" t="n">
        <v>115.6</v>
      </c>
      <c r="X703" s="15" t="n">
        <f aca="false">IF(U703&gt;0,W703/U703,0)</f>
        <v>0.0847445201964665</v>
      </c>
      <c r="Y703" s="12" t="n">
        <f aca="false">IF(U703&gt;0,L703/U703,0)</f>
        <v>267.451799721428</v>
      </c>
      <c r="Z703" s="16" t="n">
        <f aca="false">L703*INDEX(Parametros!$E$2:$E$9,MATCH($E703,Parametros!$A$2:$A$9,0))</f>
        <v>353886.07</v>
      </c>
      <c r="AA703" s="16" t="n">
        <f aca="false">Z703*INDEX(Parametros!$F$2:$F$9,MATCH($E703,Parametros!$A$2:$A$9,0))</f>
        <v>7785.49354</v>
      </c>
      <c r="AB703" s="17" t="n">
        <f aca="false">Z703+AA703</f>
        <v>361671.56354</v>
      </c>
      <c r="AC703" s="18" t="n">
        <v>360047.44</v>
      </c>
      <c r="AD703" s="17" t="n">
        <f aca="false">AC703-AB703</f>
        <v>-1624.12354</v>
      </c>
      <c r="AE703" s="17" t="n">
        <f aca="false">AA703+AD703</f>
        <v>6161.37</v>
      </c>
      <c r="AF703" s="19" t="n">
        <f aca="false">IF(Z703&gt;0,AE703/Z703,0)</f>
        <v>0.0174106033616977</v>
      </c>
      <c r="AG703" s="16" t="n">
        <f aca="false">(U703-W703)*INDEX(Parametros!$H$2:$H$9,MATCH($E703,Parametros!$A$2:$A$9,0))+W703*INDEX(Parametros!$H$2:$H$9,MATCH($E703,Parametros!$A$2:$A$9,0))*Parametros!$N$3</f>
        <v>44789.85</v>
      </c>
      <c r="AH703" s="13" t="n">
        <v>18639</v>
      </c>
      <c r="AI703" s="16" t="n">
        <f aca="false">AH703*Parametros!$N$2</f>
        <v>1714.788</v>
      </c>
      <c r="AJ703" s="18" t="n">
        <v>13527</v>
      </c>
      <c r="AK703" s="18" t="n">
        <v>1728</v>
      </c>
      <c r="AL703" s="17" t="n">
        <f aca="false">AG703+AI703+AJ703+AK703</f>
        <v>61759.638</v>
      </c>
      <c r="AM703" s="20" t="n">
        <f aca="false">IF(L703&gt;0,AL703/L703,0)</f>
        <v>0.169282867958041</v>
      </c>
      <c r="AN703" s="16" t="n">
        <f aca="false">L703*INDEX(Parametros!$G$2:$G$9,MATCH($E703,Parametros!$A$2:$A$9,0))</f>
        <v>591026.22</v>
      </c>
      <c r="AO703" s="17" t="n">
        <f aca="false">AN703-AC703-AL703</f>
        <v>169219.142</v>
      </c>
      <c r="AP703" s="15" t="n">
        <f aca="false">IF(AN703&gt;0,AO703/AN703,0)</f>
        <v>0.286314102951304</v>
      </c>
      <c r="AQ703" s="16" t="n">
        <f aca="false">INDEX(Parametros!$I$2:$I$9,MATCH($E703,Parametros!$A$2:$A$9,0))</f>
        <v>28000000</v>
      </c>
      <c r="AR703" s="19" t="n">
        <f aca="false">IF(AQ703&gt;0,AO703/AQ703,0)</f>
        <v>0.00604354078571429</v>
      </c>
    </row>
    <row r="704" customFormat="false" ht="15" hidden="false" customHeight="false" outlineLevel="0" collapsed="false">
      <c r="A704" s="5" t="s">
        <v>839</v>
      </c>
      <c r="B704" s="9" t="n">
        <v>46160</v>
      </c>
      <c r="C704" s="2" t="str">
        <f aca="false">TEXT(B704,"yyyy")</f>
        <v>2026</v>
      </c>
      <c r="D704" s="2" t="n">
        <f aca="false">WEEKNUM(B704,2)</f>
        <v>21</v>
      </c>
      <c r="E704" s="5" t="s">
        <v>142</v>
      </c>
      <c r="F704" s="6" t="str">
        <f aca="false">INDEX(Parametros!$B$2:$B$9,MATCH($E704,Parametros!$A$2:$A$9,0))</f>
        <v>Porciones single serve</v>
      </c>
      <c r="G704" s="10" t="n">
        <v>93.5</v>
      </c>
      <c r="H704" s="10" t="n">
        <v>7.4</v>
      </c>
      <c r="I704" s="11" t="n">
        <f aca="false">SUMIFS(Eventos_Paro!$J$2:$J$2186,Eventos_Paro!$D$2:$D$2186,$E704,Eventos_Paro!$B$2:$B$2186,$B704)</f>
        <v>2.61666666666667</v>
      </c>
      <c r="J704" s="12" t="n">
        <f aca="false">G704-H704-I704</f>
        <v>83.4833333333333</v>
      </c>
      <c r="K704" s="13" t="n">
        <v>183447</v>
      </c>
      <c r="L704" s="13" t="n">
        <v>160873</v>
      </c>
      <c r="M704" s="13" t="n">
        <v>8047</v>
      </c>
      <c r="N704" s="14" t="n">
        <f aca="false">L704+M704</f>
        <v>168920</v>
      </c>
      <c r="O704" s="11" t="n">
        <f aca="false">INDEX(Parametros!$D$2:$D$9,MATCH($E704,Parametros!$A$2:$A$9,0))</f>
        <v>2600</v>
      </c>
      <c r="P704" s="15" t="n">
        <f aca="false">IF((G704-H704)&gt;0,J704/(G704-H704),0)</f>
        <v>0.969608981804104</v>
      </c>
      <c r="Q704" s="15" t="n">
        <f aca="false">IF(J704*O704&gt;0,N704/(O704*J704),0)</f>
        <v>0.778229955311209</v>
      </c>
      <c r="R704" s="15" t="n">
        <f aca="false">IF(N704&gt;0,L704/N704,0)</f>
        <v>0.952362064882785</v>
      </c>
      <c r="S704" s="15" t="n">
        <f aca="false">P704*Q704*R704</f>
        <v>0.718632180827303</v>
      </c>
      <c r="T704" s="15" t="n">
        <f aca="false">IF(K704&gt;0,L704/K704,0)</f>
        <v>0.876945384770533</v>
      </c>
      <c r="U704" s="10" t="n">
        <v>1527.9</v>
      </c>
      <c r="V704" s="5" t="n">
        <v>16</v>
      </c>
      <c r="W704" s="10" t="n">
        <v>31.9</v>
      </c>
      <c r="X704" s="15" t="n">
        <f aca="false">IF(U704&gt;0,W704/U704,0)</f>
        <v>0.0208783297336213</v>
      </c>
      <c r="Y704" s="12" t="n">
        <f aca="false">IF(U704&gt;0,L704/U704,0)</f>
        <v>105.290267687676</v>
      </c>
      <c r="Z704" s="16" t="n">
        <f aca="false">L704*INDEX(Parametros!$E$2:$E$9,MATCH($E704,Parametros!$A$2:$A$9,0))</f>
        <v>119046.02</v>
      </c>
      <c r="AA704" s="16" t="n">
        <f aca="false">Z704*INDEX(Parametros!$F$2:$F$9,MATCH($E704,Parametros!$A$2:$A$9,0))</f>
        <v>5357.0709</v>
      </c>
      <c r="AB704" s="17" t="n">
        <f aca="false">Z704+AA704</f>
        <v>124403.0909</v>
      </c>
      <c r="AC704" s="18" t="n">
        <v>125130.33</v>
      </c>
      <c r="AD704" s="17" t="n">
        <f aca="false">AC704-AB704</f>
        <v>727.239099999992</v>
      </c>
      <c r="AE704" s="17" t="n">
        <f aca="false">AA704+AD704</f>
        <v>6084.30999999999</v>
      </c>
      <c r="AF704" s="19" t="n">
        <f aca="false">IF(Z704&gt;0,AE704/Z704,0)</f>
        <v>0.051108890494617</v>
      </c>
      <c r="AG704" s="16" t="n">
        <f aca="false">(U704-W704)*INDEX(Parametros!$H$2:$H$9,MATCH($E704,Parametros!$A$2:$A$9,0))+W704*INDEX(Parametros!$H$2:$H$9,MATCH($E704,Parametros!$A$2:$A$9,0))*Parametros!$N$3</f>
        <v>46315.5</v>
      </c>
      <c r="AH704" s="13" t="n">
        <v>9037</v>
      </c>
      <c r="AI704" s="16" t="n">
        <f aca="false">AH704*Parametros!$N$2</f>
        <v>831.404</v>
      </c>
      <c r="AJ704" s="18" t="n">
        <v>12468</v>
      </c>
      <c r="AK704" s="18" t="n">
        <v>2250</v>
      </c>
      <c r="AL704" s="17" t="n">
        <f aca="false">AG704+AI704+AJ704+AK704</f>
        <v>61864.904</v>
      </c>
      <c r="AM704" s="20" t="n">
        <f aca="false">IF(L704&gt;0,AL704/L704,0)</f>
        <v>0.384557408639113</v>
      </c>
      <c r="AN704" s="16" t="n">
        <f aca="false">L704*INDEX(Parametros!$G$2:$G$9,MATCH($E704,Parametros!$A$2:$A$9,0))</f>
        <v>276701.56</v>
      </c>
      <c r="AO704" s="17" t="n">
        <f aca="false">AN704-AC704-AL704</f>
        <v>89706.326</v>
      </c>
      <c r="AP704" s="15" t="n">
        <f aca="false">IF(AN704&gt;0,AO704/AN704,0)</f>
        <v>0.324198844415622</v>
      </c>
      <c r="AQ704" s="16" t="n">
        <f aca="false">INDEX(Parametros!$I$2:$I$9,MATCH($E704,Parametros!$A$2:$A$9,0))</f>
        <v>15900000</v>
      </c>
      <c r="AR704" s="19" t="n">
        <f aca="false">IF(AQ704&gt;0,AO704/AQ704,0)</f>
        <v>0.00564190729559748</v>
      </c>
    </row>
    <row r="705" customFormat="false" ht="15" hidden="false" customHeight="false" outlineLevel="0" collapsed="false">
      <c r="A705" s="5" t="s">
        <v>840</v>
      </c>
      <c r="B705" s="9" t="n">
        <v>46160</v>
      </c>
      <c r="C705" s="2" t="str">
        <f aca="false">TEXT(B705,"yyyy")</f>
        <v>2026</v>
      </c>
      <c r="D705" s="2" t="n">
        <f aca="false">WEEKNUM(B705,2)</f>
        <v>21</v>
      </c>
      <c r="E705" s="5" t="s">
        <v>144</v>
      </c>
      <c r="F705" s="6" t="str">
        <f aca="false">INDEX(Parametros!$B$2:$B$9,MATCH($E705,Parametros!$A$2:$A$9,0))</f>
        <v>Salsas picantes</v>
      </c>
      <c r="G705" s="10" t="n">
        <v>92.7</v>
      </c>
      <c r="H705" s="10" t="n">
        <v>7.9</v>
      </c>
      <c r="I705" s="11" t="n">
        <f aca="false">SUMIFS(Eventos_Paro!$J$2:$J$2186,Eventos_Paro!$D$2:$D$2186,$E705,Eventos_Paro!$B$2:$B$2186,$B705)</f>
        <v>0</v>
      </c>
      <c r="J705" s="12" t="n">
        <f aca="false">G705-H705-I705</f>
        <v>84.8</v>
      </c>
      <c r="K705" s="13" t="n">
        <v>202202</v>
      </c>
      <c r="L705" s="13" t="n">
        <v>220298</v>
      </c>
      <c r="M705" s="13" t="n">
        <v>5788</v>
      </c>
      <c r="N705" s="14" t="n">
        <f aca="false">L705+M705</f>
        <v>226086</v>
      </c>
      <c r="O705" s="11" t="n">
        <f aca="false">INDEX(Parametros!$D$2:$D$9,MATCH($E705,Parametros!$A$2:$A$9,0))</f>
        <v>3100</v>
      </c>
      <c r="P705" s="15" t="n">
        <f aca="false">IF((G705-H705)&gt;0,J705/(G705-H705),0)</f>
        <v>1</v>
      </c>
      <c r="Q705" s="15" t="n">
        <f aca="false">IF(J705*O705&gt;0,N705/(O705*J705),0)</f>
        <v>0.860034996956786</v>
      </c>
      <c r="R705" s="15" t="n">
        <f aca="false">IF(N705&gt;0,L705/N705,0)</f>
        <v>0.974399122457826</v>
      </c>
      <c r="S705" s="15" t="n">
        <f aca="false">P705*Q705*R705</f>
        <v>0.838017346317711</v>
      </c>
      <c r="T705" s="15" t="n">
        <f aca="false">IF(K705&gt;0,L705/K705,0)</f>
        <v>1.08949466375209</v>
      </c>
      <c r="U705" s="10" t="n">
        <v>760.4</v>
      </c>
      <c r="V705" s="5" t="n">
        <v>8</v>
      </c>
      <c r="W705" s="10" t="n">
        <v>18.8</v>
      </c>
      <c r="X705" s="15" t="n">
        <f aca="false">IF(U705&gt;0,W705/U705,0)</f>
        <v>0.0247238295633877</v>
      </c>
      <c r="Y705" s="12" t="n">
        <f aca="false">IF(U705&gt;0,L705/U705,0)</f>
        <v>289.71330878485</v>
      </c>
      <c r="Z705" s="16" t="n">
        <f aca="false">L705*INDEX(Parametros!$E$2:$E$9,MATCH($E705,Parametros!$A$2:$A$9,0))</f>
        <v>145396.68</v>
      </c>
      <c r="AA705" s="16" t="n">
        <f aca="false">Z705*INDEX(Parametros!$F$2:$F$9,MATCH($E705,Parametros!$A$2:$A$9,0))</f>
        <v>3780.31368</v>
      </c>
      <c r="AB705" s="17" t="n">
        <f aca="false">Z705+AA705</f>
        <v>149176.99368</v>
      </c>
      <c r="AC705" s="18" t="n">
        <v>147611.28</v>
      </c>
      <c r="AD705" s="17" t="n">
        <f aca="false">AC705-AB705</f>
        <v>-1565.71367999999</v>
      </c>
      <c r="AE705" s="17" t="n">
        <f aca="false">AA705+AD705</f>
        <v>2214.60000000001</v>
      </c>
      <c r="AF705" s="19" t="n">
        <f aca="false">IF(Z705&gt;0,AE705/Z705,0)</f>
        <v>0.0152314344454083</v>
      </c>
      <c r="AG705" s="16" t="n">
        <f aca="false">(U705-W705)*INDEX(Parametros!$H$2:$H$9,MATCH($E705,Parametros!$A$2:$A$9,0))+W705*INDEX(Parametros!$H$2:$H$9,MATCH($E705,Parametros!$A$2:$A$9,0))*Parametros!$N$3</f>
        <v>24248.7</v>
      </c>
      <c r="AH705" s="13" t="n">
        <v>11256</v>
      </c>
      <c r="AI705" s="16" t="n">
        <f aca="false">AH705*Parametros!$N$2</f>
        <v>1035.552</v>
      </c>
      <c r="AJ705" s="18" t="n">
        <v>7219</v>
      </c>
      <c r="AK705" s="18" t="n">
        <v>0</v>
      </c>
      <c r="AL705" s="17" t="n">
        <f aca="false">AG705+AI705+AJ705+AK705</f>
        <v>32503.252</v>
      </c>
      <c r="AM705" s="20" t="n">
        <f aca="false">IF(L705&gt;0,AL705/L705,0)</f>
        <v>0.147542201926481</v>
      </c>
      <c r="AN705" s="16" t="n">
        <f aca="false">L705*INDEX(Parametros!$G$2:$G$9,MATCH($E705,Parametros!$A$2:$A$9,0))</f>
        <v>275372.5</v>
      </c>
      <c r="AO705" s="17" t="n">
        <f aca="false">AN705-AC705-AL705</f>
        <v>95257.968</v>
      </c>
      <c r="AP705" s="15" t="n">
        <f aca="false">IF(AN705&gt;0,AO705/AN705,0)</f>
        <v>0.345924041071639</v>
      </c>
      <c r="AQ705" s="16" t="n">
        <f aca="false">INDEX(Parametros!$I$2:$I$9,MATCH($E705,Parametros!$A$2:$A$9,0))</f>
        <v>13300000</v>
      </c>
      <c r="AR705" s="19" t="n">
        <f aca="false">IF(AQ705&gt;0,AO705/AQ705,0)</f>
        <v>0.00716225323308271</v>
      </c>
    </row>
    <row r="706" customFormat="false" ht="15" hidden="false" customHeight="false" outlineLevel="0" collapsed="false">
      <c r="A706" s="5" t="s">
        <v>841</v>
      </c>
      <c r="B706" s="9" t="n">
        <v>46167</v>
      </c>
      <c r="C706" s="2" t="str">
        <f aca="false">TEXT(B706,"yyyy")</f>
        <v>2026</v>
      </c>
      <c r="D706" s="2" t="n">
        <f aca="false">WEEKNUM(B706,2)</f>
        <v>22</v>
      </c>
      <c r="E706" s="5" t="s">
        <v>130</v>
      </c>
      <c r="F706" s="6" t="str">
        <f aca="false">INDEX(Parametros!$B$2:$B$9,MATCH($E706,Parametros!$A$2:$A$9,0))</f>
        <v>Ketchup botella</v>
      </c>
      <c r="G706" s="10" t="n">
        <v>118.9</v>
      </c>
      <c r="H706" s="10" t="n">
        <v>6.2</v>
      </c>
      <c r="I706" s="11" t="n">
        <f aca="false">SUMIFS(Eventos_Paro!$J$2:$J$2186,Eventos_Paro!$D$2:$D$2186,$E706,Eventos_Paro!$B$2:$B$2186,$B706)</f>
        <v>3.75</v>
      </c>
      <c r="J706" s="12" t="n">
        <f aca="false">G706-H706-I706</f>
        <v>108.95</v>
      </c>
      <c r="K706" s="13" t="n">
        <v>834143</v>
      </c>
      <c r="L706" s="13" t="n">
        <v>879395</v>
      </c>
      <c r="M706" s="13" t="n">
        <v>23924</v>
      </c>
      <c r="N706" s="14" t="n">
        <f aca="false">L706+M706</f>
        <v>903319</v>
      </c>
      <c r="O706" s="11" t="n">
        <f aca="false">INDEX(Parametros!$D$2:$D$9,MATCH($E706,Parametros!$A$2:$A$9,0))</f>
        <v>9000</v>
      </c>
      <c r="P706" s="15" t="n">
        <f aca="false">IF((G706-H706)&gt;0,J706/(G706-H706),0)</f>
        <v>0.966725820763088</v>
      </c>
      <c r="Q706" s="15" t="n">
        <f aca="false">IF(J706*O706&gt;0,N706/(O706*J706),0)</f>
        <v>0.921237060833206</v>
      </c>
      <c r="R706" s="15" t="n">
        <f aca="false">IF(N706&gt;0,L706/N706,0)</f>
        <v>0.973515446924066</v>
      </c>
      <c r="S706" s="15" t="n">
        <f aca="false">P706*Q706*R706</f>
        <v>0.866996943705018</v>
      </c>
      <c r="T706" s="15" t="n">
        <f aca="false">IF(K706&gt;0,L706/K706,0)</f>
        <v>1.05424969100022</v>
      </c>
      <c r="U706" s="10" t="n">
        <v>1979.9</v>
      </c>
      <c r="V706" s="5" t="n">
        <v>15</v>
      </c>
      <c r="W706" s="10" t="n">
        <v>196.4</v>
      </c>
      <c r="X706" s="15" t="n">
        <f aca="false">IF(U706&gt;0,W706/U706,0)</f>
        <v>0.0991969291378353</v>
      </c>
      <c r="Y706" s="12" t="n">
        <f aca="false">IF(U706&gt;0,L706/U706,0)</f>
        <v>444.161321278852</v>
      </c>
      <c r="Z706" s="16" t="n">
        <f aca="false">L706*INDEX(Parametros!$E$2:$E$9,MATCH($E706,Parametros!$A$2:$A$9,0))</f>
        <v>369345.9</v>
      </c>
      <c r="AA706" s="16" t="n">
        <f aca="false">Z706*INDEX(Parametros!$F$2:$F$9,MATCH($E706,Parametros!$A$2:$A$9,0))</f>
        <v>7386.918</v>
      </c>
      <c r="AB706" s="17" t="n">
        <f aca="false">Z706+AA706</f>
        <v>376732.818</v>
      </c>
      <c r="AC706" s="18" t="n">
        <v>383072.68</v>
      </c>
      <c r="AD706" s="17" t="n">
        <f aca="false">AC706-AB706</f>
        <v>6339.86200000002</v>
      </c>
      <c r="AE706" s="17" t="n">
        <f aca="false">AA706+AD706</f>
        <v>13726.78</v>
      </c>
      <c r="AF706" s="19" t="n">
        <f aca="false">IF(Z706&gt;0,AE706/Z706,0)</f>
        <v>0.0371651072883171</v>
      </c>
      <c r="AG706" s="16" t="n">
        <f aca="false">(U706-W706)*INDEX(Parametros!$H$2:$H$9,MATCH($E706,Parametros!$A$2:$A$9,0))+W706*INDEX(Parametros!$H$2:$H$9,MATCH($E706,Parametros!$A$2:$A$9,0))*Parametros!$N$3</f>
        <v>65460.15</v>
      </c>
      <c r="AH706" s="13" t="n">
        <v>45208</v>
      </c>
      <c r="AI706" s="16" t="n">
        <f aca="false">AH706*Parametros!$N$2</f>
        <v>4159.136</v>
      </c>
      <c r="AJ706" s="18" t="n">
        <v>16837</v>
      </c>
      <c r="AK706" s="18" t="n">
        <v>2915</v>
      </c>
      <c r="AL706" s="17" t="n">
        <f aca="false">AG706+AI706+AJ706+AK706</f>
        <v>89371.286</v>
      </c>
      <c r="AM706" s="20" t="n">
        <f aca="false">IF(L706&gt;0,AL706/L706,0)</f>
        <v>0.101628148897822</v>
      </c>
      <c r="AN706" s="16" t="n">
        <f aca="false">L706*INDEX(Parametros!$G$2:$G$9,MATCH($E706,Parametros!$A$2:$A$9,0))</f>
        <v>624370.45</v>
      </c>
      <c r="AO706" s="17" t="n">
        <f aca="false">AN706-AC706-AL706</f>
        <v>151926.484</v>
      </c>
      <c r="AP706" s="15" t="n">
        <f aca="false">IF(AN706&gt;0,AO706/AN706,0)</f>
        <v>0.243327473297303</v>
      </c>
      <c r="AQ706" s="16" t="n">
        <f aca="false">INDEX(Parametros!$I$2:$I$9,MATCH($E706,Parametros!$A$2:$A$9,0))</f>
        <v>29300000</v>
      </c>
      <c r="AR706" s="19" t="n">
        <f aca="false">IF(AQ706&gt;0,AO706/AQ706,0)</f>
        <v>0.00518520423208191</v>
      </c>
    </row>
    <row r="707" customFormat="false" ht="15" hidden="false" customHeight="false" outlineLevel="0" collapsed="false">
      <c r="A707" s="5" t="s">
        <v>842</v>
      </c>
      <c r="B707" s="9" t="n">
        <v>46167</v>
      </c>
      <c r="C707" s="2" t="str">
        <f aca="false">TEXT(B707,"yyyy")</f>
        <v>2026</v>
      </c>
      <c r="D707" s="2" t="n">
        <f aca="false">WEEKNUM(B707,2)</f>
        <v>22</v>
      </c>
      <c r="E707" s="5" t="s">
        <v>132</v>
      </c>
      <c r="F707" s="6" t="str">
        <f aca="false">INDEX(Parametros!$B$2:$B$9,MATCH($E707,Parametros!$A$2:$A$9,0))</f>
        <v>Mayonesa frasco</v>
      </c>
      <c r="G707" s="10" t="n">
        <v>119</v>
      </c>
      <c r="H707" s="10" t="n">
        <v>8.3</v>
      </c>
      <c r="I707" s="11" t="n">
        <f aca="false">SUMIFS(Eventos_Paro!$J$2:$J$2186,Eventos_Paro!$D$2:$D$2186,$E707,Eventos_Paro!$B$2:$B$2186,$B707)</f>
        <v>2.38333333333333</v>
      </c>
      <c r="J707" s="12" t="n">
        <f aca="false">G707-H707-I707</f>
        <v>108.316666666667</v>
      </c>
      <c r="K707" s="13" t="n">
        <v>591745</v>
      </c>
      <c r="L707" s="13" t="n">
        <v>597294</v>
      </c>
      <c r="M707" s="13" t="n">
        <v>12865</v>
      </c>
      <c r="N707" s="14" t="n">
        <f aca="false">L707+M707</f>
        <v>610159</v>
      </c>
      <c r="O707" s="11" t="n">
        <f aca="false">INDEX(Parametros!$D$2:$D$9,MATCH($E707,Parametros!$A$2:$A$9,0))</f>
        <v>6500</v>
      </c>
      <c r="P707" s="15" t="n">
        <f aca="false">IF((G707-H707)&gt;0,J707/(G707-H707),0)</f>
        <v>0.978470340258958</v>
      </c>
      <c r="Q707" s="15" t="n">
        <f aca="false">IF(J707*O707&gt;0,N707/(O707*J707),0)</f>
        <v>0.866631316060459</v>
      </c>
      <c r="R707" s="15" t="n">
        <f aca="false">IF(N707&gt;0,L707/N707,0)</f>
        <v>0.97891533190529</v>
      </c>
      <c r="S707" s="15" t="n">
        <f aca="false">P707*Q707*R707</f>
        <v>0.830093808630394</v>
      </c>
      <c r="T707" s="15" t="n">
        <f aca="false">IF(K707&gt;0,L707/K707,0)</f>
        <v>1.00937735004098</v>
      </c>
      <c r="U707" s="10" t="n">
        <v>1621</v>
      </c>
      <c r="V707" s="5" t="n">
        <v>13</v>
      </c>
      <c r="W707" s="10" t="n">
        <v>74</v>
      </c>
      <c r="X707" s="15" t="n">
        <f aca="false">IF(U707&gt;0,W707/U707,0)</f>
        <v>0.0456508328192474</v>
      </c>
      <c r="Y707" s="12" t="n">
        <f aca="false">IF(U707&gt;0,L707/U707,0)</f>
        <v>368.472547809994</v>
      </c>
      <c r="Z707" s="16" t="n">
        <f aca="false">L707*INDEX(Parametros!$E$2:$E$9,MATCH($E707,Parametros!$A$2:$A$9,0))</f>
        <v>364349.34</v>
      </c>
      <c r="AA707" s="16" t="n">
        <f aca="false">Z707*INDEX(Parametros!$F$2:$F$9,MATCH($E707,Parametros!$A$2:$A$9,0))</f>
        <v>9108.7335</v>
      </c>
      <c r="AB707" s="17" t="n">
        <f aca="false">Z707+AA707</f>
        <v>373458.0735</v>
      </c>
      <c r="AC707" s="18" t="n">
        <v>375036.43</v>
      </c>
      <c r="AD707" s="17" t="n">
        <f aca="false">AC707-AB707</f>
        <v>1578.35650000005</v>
      </c>
      <c r="AE707" s="17" t="n">
        <f aca="false">AA707+AD707</f>
        <v>10687.0900000001</v>
      </c>
      <c r="AF707" s="19" t="n">
        <f aca="false">IF(Z707&gt;0,AE707/Z707,0)</f>
        <v>0.0293319867136305</v>
      </c>
      <c r="AG707" s="16" t="n">
        <f aca="false">(U707-W707)*INDEX(Parametros!$H$2:$H$9,MATCH($E707,Parametros!$A$2:$A$9,0))+W707*INDEX(Parametros!$H$2:$H$9,MATCH($E707,Parametros!$A$2:$A$9,0))*Parametros!$N$3</f>
        <v>52227</v>
      </c>
      <c r="AH707" s="13" t="n">
        <v>31336</v>
      </c>
      <c r="AI707" s="16" t="n">
        <f aca="false">AH707*Parametros!$N$2</f>
        <v>2882.912</v>
      </c>
      <c r="AJ707" s="18" t="n">
        <v>15200</v>
      </c>
      <c r="AK707" s="18" t="n">
        <v>2446</v>
      </c>
      <c r="AL707" s="17" t="n">
        <f aca="false">AG707+AI707+AJ707+AK707</f>
        <v>72755.912</v>
      </c>
      <c r="AM707" s="20" t="n">
        <f aca="false">IF(L707&gt;0,AL707/L707,0)</f>
        <v>0.121809212883438</v>
      </c>
      <c r="AN707" s="16" t="n">
        <f aca="false">L707*INDEX(Parametros!$G$2:$G$9,MATCH($E707,Parametros!$A$2:$A$9,0))</f>
        <v>573402.24</v>
      </c>
      <c r="AO707" s="17" t="n">
        <f aca="false">AN707-AC707-AL707</f>
        <v>125609.898</v>
      </c>
      <c r="AP707" s="15" t="n">
        <f aca="false">IF(AN707&gt;0,AO707/AN707,0)</f>
        <v>0.219060703355466</v>
      </c>
      <c r="AQ707" s="16" t="n">
        <f aca="false">INDEX(Parametros!$I$2:$I$9,MATCH($E707,Parametros!$A$2:$A$9,0))</f>
        <v>29700000</v>
      </c>
      <c r="AR707" s="19" t="n">
        <f aca="false">IF(AQ707&gt;0,AO707/AQ707,0)</f>
        <v>0.0042292894949495</v>
      </c>
    </row>
    <row r="708" customFormat="false" ht="15" hidden="false" customHeight="false" outlineLevel="0" collapsed="false">
      <c r="A708" s="5" t="s">
        <v>843</v>
      </c>
      <c r="B708" s="9" t="n">
        <v>46167</v>
      </c>
      <c r="C708" s="2" t="str">
        <f aca="false">TEXT(B708,"yyyy")</f>
        <v>2026</v>
      </c>
      <c r="D708" s="2" t="n">
        <f aca="false">WEEKNUM(B708,2)</f>
        <v>22</v>
      </c>
      <c r="E708" s="5" t="s">
        <v>134</v>
      </c>
      <c r="F708" s="6" t="str">
        <f aca="false">INDEX(Parametros!$B$2:$B$9,MATCH($E708,Parametros!$A$2:$A$9,0))</f>
        <v>Aderezos vertibles</v>
      </c>
      <c r="G708" s="10" t="n">
        <v>110</v>
      </c>
      <c r="H708" s="10" t="n">
        <v>7.1</v>
      </c>
      <c r="I708" s="11" t="n">
        <f aca="false">SUMIFS(Eventos_Paro!$J$2:$J$2186,Eventos_Paro!$D$2:$D$2186,$E708,Eventos_Paro!$B$2:$B$2186,$B708)</f>
        <v>2.1</v>
      </c>
      <c r="J708" s="12" t="n">
        <f aca="false">G708-H708-I708</f>
        <v>100.8</v>
      </c>
      <c r="K708" s="13" t="n">
        <v>440041</v>
      </c>
      <c r="L708" s="13" t="n">
        <v>434468</v>
      </c>
      <c r="M708" s="13" t="n">
        <v>13585</v>
      </c>
      <c r="N708" s="14" t="n">
        <f aca="false">L708+M708</f>
        <v>448053</v>
      </c>
      <c r="O708" s="11" t="n">
        <f aca="false">INDEX(Parametros!$D$2:$D$9,MATCH($E708,Parametros!$A$2:$A$9,0))</f>
        <v>5200</v>
      </c>
      <c r="P708" s="15" t="n">
        <f aca="false">IF((G708-H708)&gt;0,J708/(G708-H708),0)</f>
        <v>0.979591836734694</v>
      </c>
      <c r="Q708" s="15" t="n">
        <f aca="false">IF(J708*O708&gt;0,N708/(O708*J708),0)</f>
        <v>0.854801968864469</v>
      </c>
      <c r="R708" s="15" t="n">
        <f aca="false">IF(N708&gt;0,L708/N708,0)</f>
        <v>0.969679926258724</v>
      </c>
      <c r="S708" s="15" t="n">
        <f aca="false">P708*Q708*R708</f>
        <v>0.811968303805039</v>
      </c>
      <c r="T708" s="15" t="n">
        <f aca="false">IF(K708&gt;0,L708/K708,0)</f>
        <v>0.987335271031563</v>
      </c>
      <c r="U708" s="10" t="n">
        <v>1328</v>
      </c>
      <c r="V708" s="5" t="n">
        <v>11</v>
      </c>
      <c r="W708" s="10" t="n">
        <v>118</v>
      </c>
      <c r="X708" s="15" t="n">
        <f aca="false">IF(U708&gt;0,W708/U708,0)</f>
        <v>0.088855421686747</v>
      </c>
      <c r="Y708" s="12" t="n">
        <f aca="false">IF(U708&gt;0,L708/U708,0)</f>
        <v>327.159638554217</v>
      </c>
      <c r="Z708" s="16" t="n">
        <f aca="false">L708*INDEX(Parametros!$E$2:$E$9,MATCH($E708,Parametros!$A$2:$A$9,0))</f>
        <v>238957.4</v>
      </c>
      <c r="AA708" s="16" t="n">
        <f aca="false">Z708*INDEX(Parametros!$F$2:$F$9,MATCH($E708,Parametros!$A$2:$A$9,0))</f>
        <v>7168.722</v>
      </c>
      <c r="AB708" s="17" t="n">
        <f aca="false">Z708+AA708</f>
        <v>246126.122</v>
      </c>
      <c r="AC708" s="18" t="n">
        <v>248334.76</v>
      </c>
      <c r="AD708" s="17" t="n">
        <f aca="false">AC708-AB708</f>
        <v>2208.63799999998</v>
      </c>
      <c r="AE708" s="17" t="n">
        <f aca="false">AA708+AD708</f>
        <v>9377.35999999998</v>
      </c>
      <c r="AF708" s="19" t="n">
        <f aca="false">IF(Z708&gt;0,AE708/Z708,0)</f>
        <v>0.0392428106432359</v>
      </c>
      <c r="AG708" s="16" t="n">
        <f aca="false">(U708-W708)*INDEX(Parametros!$H$2:$H$9,MATCH($E708,Parametros!$A$2:$A$9,0))+W708*INDEX(Parametros!$H$2:$H$9,MATCH($E708,Parametros!$A$2:$A$9,0))*Parametros!$N$3</f>
        <v>43690.5</v>
      </c>
      <c r="AH708" s="13" t="n">
        <v>22217</v>
      </c>
      <c r="AI708" s="16" t="n">
        <f aca="false">AH708*Parametros!$N$2</f>
        <v>2043.964</v>
      </c>
      <c r="AJ708" s="18" t="n">
        <v>10634</v>
      </c>
      <c r="AK708" s="18" t="n">
        <v>1050</v>
      </c>
      <c r="AL708" s="17" t="n">
        <f aca="false">AG708+AI708+AJ708+AK708</f>
        <v>57418.464</v>
      </c>
      <c r="AM708" s="20" t="n">
        <f aca="false">IF(L708&gt;0,AL708/L708,0)</f>
        <v>0.132158096798844</v>
      </c>
      <c r="AN708" s="16" t="n">
        <f aca="false">L708*INDEX(Parametros!$G$2:$G$9,MATCH($E708,Parametros!$A$2:$A$9,0))</f>
        <v>443157.36</v>
      </c>
      <c r="AO708" s="17" t="n">
        <f aca="false">AN708-AC708-AL708</f>
        <v>137404.136</v>
      </c>
      <c r="AP708" s="15" t="n">
        <f aca="false">IF(AN708&gt;0,AO708/AN708,0)</f>
        <v>0.310057213085663</v>
      </c>
      <c r="AQ708" s="16" t="n">
        <f aca="false">INDEX(Parametros!$I$2:$I$9,MATCH($E708,Parametros!$A$2:$A$9,0))</f>
        <v>19300000</v>
      </c>
      <c r="AR708" s="19" t="n">
        <f aca="false">IF(AQ708&gt;0,AO708/AQ708,0)</f>
        <v>0.00711938528497409</v>
      </c>
    </row>
    <row r="709" customFormat="false" ht="15" hidden="false" customHeight="false" outlineLevel="0" collapsed="false">
      <c r="A709" s="5" t="s">
        <v>844</v>
      </c>
      <c r="B709" s="9" t="n">
        <v>46167</v>
      </c>
      <c r="C709" s="2" t="str">
        <f aca="false">TEXT(B709,"yyyy")</f>
        <v>2026</v>
      </c>
      <c r="D709" s="2" t="n">
        <f aca="false">WEEKNUM(B709,2)</f>
        <v>22</v>
      </c>
      <c r="E709" s="5" t="s">
        <v>136</v>
      </c>
      <c r="F709" s="6" t="str">
        <f aca="false">INDEX(Parametros!$B$2:$B$9,MATCH($E709,Parametros!$A$2:$A$9,0))</f>
        <v>Salsa BBQ</v>
      </c>
      <c r="G709" s="10" t="n">
        <v>113.7</v>
      </c>
      <c r="H709" s="10" t="n">
        <v>6</v>
      </c>
      <c r="I709" s="11" t="n">
        <f aca="false">SUMIFS(Eventos_Paro!$J$2:$J$2186,Eventos_Paro!$D$2:$D$2186,$E709,Eventos_Paro!$B$2:$B$2186,$B709)</f>
        <v>1.58333333333333</v>
      </c>
      <c r="J709" s="12" t="n">
        <f aca="false">G709-H709-I709</f>
        <v>106.116666666667</v>
      </c>
      <c r="K709" s="13" t="n">
        <v>465637</v>
      </c>
      <c r="L709" s="13" t="n">
        <v>397526</v>
      </c>
      <c r="M709" s="13" t="n">
        <v>9682</v>
      </c>
      <c r="N709" s="14" t="n">
        <f aca="false">L709+M709</f>
        <v>407208</v>
      </c>
      <c r="O709" s="11" t="n">
        <f aca="false">INDEX(Parametros!$D$2:$D$9,MATCH($E709,Parametros!$A$2:$A$9,0))</f>
        <v>4800</v>
      </c>
      <c r="P709" s="15" t="n">
        <f aca="false">IF((G709-H709)&gt;0,J709/(G709-H709),0)</f>
        <v>0.98529866914268</v>
      </c>
      <c r="Q709" s="15" t="n">
        <f aca="false">IF(J709*O709&gt;0,N709/(O709*J709),0)</f>
        <v>0.799450290560704</v>
      </c>
      <c r="R709" s="15" t="n">
        <f aca="false">IF(N709&gt;0,L709/N709,0)</f>
        <v>0.976223453370268</v>
      </c>
      <c r="S709" s="15" t="n">
        <f aca="false">P709*Q709*R709</f>
        <v>0.768968585577221</v>
      </c>
      <c r="T709" s="15" t="n">
        <f aca="false">IF(K709&gt;0,L709/K709,0)</f>
        <v>0.853725112050804</v>
      </c>
      <c r="U709" s="10" t="n">
        <v>1492</v>
      </c>
      <c r="V709" s="5" t="n">
        <v>12</v>
      </c>
      <c r="W709" s="10" t="n">
        <v>127.6</v>
      </c>
      <c r="X709" s="15" t="n">
        <f aca="false">IF(U709&gt;0,W709/U709,0)</f>
        <v>0.0855227882037534</v>
      </c>
      <c r="Y709" s="12" t="n">
        <f aca="false">IF(U709&gt;0,L709/U709,0)</f>
        <v>266.438337801609</v>
      </c>
      <c r="Z709" s="16" t="n">
        <f aca="false">L709*INDEX(Parametros!$E$2:$E$9,MATCH($E709,Parametros!$A$2:$A$9,0))</f>
        <v>230565.08</v>
      </c>
      <c r="AA709" s="16" t="n">
        <f aca="false">Z709*INDEX(Parametros!$F$2:$F$9,MATCH($E709,Parametros!$A$2:$A$9,0))</f>
        <v>6455.82224</v>
      </c>
      <c r="AB709" s="17" t="n">
        <f aca="false">Z709+AA709</f>
        <v>237020.90224</v>
      </c>
      <c r="AC709" s="18" t="n">
        <v>235586.92</v>
      </c>
      <c r="AD709" s="17" t="n">
        <f aca="false">AC709-AB709</f>
        <v>-1433.98223999998</v>
      </c>
      <c r="AE709" s="17" t="n">
        <f aca="false">AA709+AD709</f>
        <v>5021.84000000002</v>
      </c>
      <c r="AF709" s="19" t="n">
        <f aca="false">IF(Z709&gt;0,AE709/Z709,0)</f>
        <v>0.0217805749248759</v>
      </c>
      <c r="AG709" s="16" t="n">
        <f aca="false">(U709-W709)*INDEX(Parametros!$H$2:$H$9,MATCH($E709,Parametros!$A$2:$A$9,0))+W709*INDEX(Parametros!$H$2:$H$9,MATCH($E709,Parametros!$A$2:$A$9,0))*Parametros!$N$3</f>
        <v>49007.7</v>
      </c>
      <c r="AH709" s="13" t="n">
        <v>20959</v>
      </c>
      <c r="AI709" s="16" t="n">
        <f aca="false">AH709*Parametros!$N$2</f>
        <v>1928.228</v>
      </c>
      <c r="AJ709" s="18" t="n">
        <v>10819</v>
      </c>
      <c r="AK709" s="18" t="n">
        <v>1196</v>
      </c>
      <c r="AL709" s="17" t="n">
        <f aca="false">AG709+AI709+AJ709+AK709</f>
        <v>62950.928</v>
      </c>
      <c r="AM709" s="20" t="n">
        <f aca="false">IF(L709&gt;0,AL709/L709,0)</f>
        <v>0.158356756539195</v>
      </c>
      <c r="AN709" s="16" t="n">
        <f aca="false">L709*INDEX(Parametros!$G$2:$G$9,MATCH($E709,Parametros!$A$2:$A$9,0))</f>
        <v>389575.48</v>
      </c>
      <c r="AO709" s="17" t="n">
        <f aca="false">AN709-AC709-AL709</f>
        <v>91037.632</v>
      </c>
      <c r="AP709" s="15" t="n">
        <f aca="false">IF(AN709&gt;0,AO709/AN709,0)</f>
        <v>0.233684193882017</v>
      </c>
      <c r="AQ709" s="16" t="n">
        <f aca="false">INDEX(Parametros!$I$2:$I$9,MATCH($E709,Parametros!$A$2:$A$9,0))</f>
        <v>17000000</v>
      </c>
      <c r="AR709" s="19" t="n">
        <f aca="false">IF(AQ709&gt;0,AO709/AQ709,0)</f>
        <v>0.00535515482352941</v>
      </c>
    </row>
    <row r="710" customFormat="false" ht="15" hidden="false" customHeight="false" outlineLevel="0" collapsed="false">
      <c r="A710" s="5" t="s">
        <v>845</v>
      </c>
      <c r="B710" s="9" t="n">
        <v>46167</v>
      </c>
      <c r="C710" s="2" t="str">
        <f aca="false">TEXT(B710,"yyyy")</f>
        <v>2026</v>
      </c>
      <c r="D710" s="2" t="n">
        <f aca="false">WEEKNUM(B710,2)</f>
        <v>22</v>
      </c>
      <c r="E710" s="5" t="s">
        <v>138</v>
      </c>
      <c r="F710" s="6" t="str">
        <f aca="false">INDEX(Parametros!$B$2:$B$9,MATCH($E710,Parametros!$A$2:$A$9,0))</f>
        <v>Queso crema</v>
      </c>
      <c r="G710" s="10" t="n">
        <v>123.8</v>
      </c>
      <c r="H710" s="10" t="n">
        <v>6.3</v>
      </c>
      <c r="I710" s="11" t="n">
        <f aca="false">SUMIFS(Eventos_Paro!$J$2:$J$2186,Eventos_Paro!$D$2:$D$2186,$E710,Eventos_Paro!$B$2:$B$2186,$B710)</f>
        <v>4.83333333333333</v>
      </c>
      <c r="J710" s="12" t="n">
        <f aca="false">G710-H710-I710</f>
        <v>112.666666666667</v>
      </c>
      <c r="K710" s="13" t="n">
        <v>367194</v>
      </c>
      <c r="L710" s="13" t="n">
        <v>328173</v>
      </c>
      <c r="M710" s="13" t="n">
        <v>14147</v>
      </c>
      <c r="N710" s="14" t="n">
        <f aca="false">L710+M710</f>
        <v>342320</v>
      </c>
      <c r="O710" s="11" t="n">
        <f aca="false">INDEX(Parametros!$D$2:$D$9,MATCH($E710,Parametros!$A$2:$A$9,0))</f>
        <v>3800</v>
      </c>
      <c r="P710" s="15" t="n">
        <f aca="false">IF((G710-H710)&gt;0,J710/(G710-H710),0)</f>
        <v>0.95886524822695</v>
      </c>
      <c r="Q710" s="15" t="n">
        <f aca="false">IF(J710*O710&gt;0,N710/(O710*J710),0)</f>
        <v>0.799563998754282</v>
      </c>
      <c r="R710" s="15" t="n">
        <f aca="false">IF(N710&gt;0,L710/N710,0)</f>
        <v>0.958673171301706</v>
      </c>
      <c r="S710" s="15" t="n">
        <f aca="false">P710*Q710*R710</f>
        <v>0.734989921612542</v>
      </c>
      <c r="T710" s="15" t="n">
        <f aca="false">IF(K710&gt;0,L710/K710,0)</f>
        <v>0.893731923724244</v>
      </c>
      <c r="U710" s="10" t="n">
        <v>2119.4</v>
      </c>
      <c r="V710" s="5" t="n">
        <v>16</v>
      </c>
      <c r="W710" s="10" t="n">
        <v>138.6</v>
      </c>
      <c r="X710" s="15" t="n">
        <f aca="false">IF(U710&gt;0,W710/U710,0)</f>
        <v>0.0653958667547419</v>
      </c>
      <c r="Y710" s="12" t="n">
        <f aca="false">IF(U710&gt;0,L710/U710,0)</f>
        <v>154.842408228744</v>
      </c>
      <c r="Z710" s="16" t="n">
        <f aca="false">L710*INDEX(Parametros!$E$2:$E$9,MATCH($E710,Parametros!$A$2:$A$9,0))</f>
        <v>367553.76</v>
      </c>
      <c r="AA710" s="16" t="n">
        <f aca="false">Z710*INDEX(Parametros!$F$2:$F$9,MATCH($E710,Parametros!$A$2:$A$9,0))</f>
        <v>12864.3816</v>
      </c>
      <c r="AB710" s="17" t="n">
        <f aca="false">Z710+AA710</f>
        <v>380418.1416</v>
      </c>
      <c r="AC710" s="18" t="n">
        <v>385021.09</v>
      </c>
      <c r="AD710" s="17" t="n">
        <f aca="false">AC710-AB710</f>
        <v>4602.94839999999</v>
      </c>
      <c r="AE710" s="17" t="n">
        <f aca="false">AA710+AD710</f>
        <v>17467.33</v>
      </c>
      <c r="AF710" s="19" t="n">
        <f aca="false">IF(Z710&gt;0,AE710/Z710,0)</f>
        <v>0.047523197694944</v>
      </c>
      <c r="AG710" s="16" t="n">
        <f aca="false">(U710-W710)*INDEX(Parametros!$H$2:$H$9,MATCH($E710,Parametros!$A$2:$A$9,0))+W710*INDEX(Parametros!$H$2:$H$9,MATCH($E710,Parametros!$A$2:$A$9,0))*Parametros!$N$3</f>
        <v>72227.1</v>
      </c>
      <c r="AH710" s="13" t="n">
        <v>17516</v>
      </c>
      <c r="AI710" s="16" t="n">
        <f aca="false">AH710*Parametros!$N$2</f>
        <v>1611.472</v>
      </c>
      <c r="AJ710" s="18" t="n">
        <v>17936</v>
      </c>
      <c r="AK710" s="18" t="n">
        <v>4603</v>
      </c>
      <c r="AL710" s="17" t="n">
        <f aca="false">AG710+AI710+AJ710+AK710</f>
        <v>96377.572</v>
      </c>
      <c r="AM710" s="20" t="n">
        <f aca="false">IF(L710&gt;0,AL710/L710,0)</f>
        <v>0.293679163124328</v>
      </c>
      <c r="AN710" s="16" t="n">
        <f aca="false">L710*INDEX(Parametros!$G$2:$G$9,MATCH($E710,Parametros!$A$2:$A$9,0))</f>
        <v>587429.67</v>
      </c>
      <c r="AO710" s="17" t="n">
        <f aca="false">AN710-AC710-AL710</f>
        <v>106031.008</v>
      </c>
      <c r="AP710" s="15" t="n">
        <f aca="false">IF(AN710&gt;0,AO710/AN710,0)</f>
        <v>0.180499919249908</v>
      </c>
      <c r="AQ710" s="16" t="n">
        <f aca="false">INDEX(Parametros!$I$2:$I$9,MATCH($E710,Parametros!$A$2:$A$9,0))</f>
        <v>33200000</v>
      </c>
      <c r="AR710" s="19" t="n">
        <f aca="false">IF(AQ710&gt;0,AO710/AQ710,0)</f>
        <v>0.00319370506024096</v>
      </c>
    </row>
    <row r="711" customFormat="false" ht="15" hidden="false" customHeight="false" outlineLevel="0" collapsed="false">
      <c r="A711" s="5" t="s">
        <v>846</v>
      </c>
      <c r="B711" s="9" t="n">
        <v>46167</v>
      </c>
      <c r="C711" s="2" t="str">
        <f aca="false">TEXT(B711,"yyyy")</f>
        <v>2026</v>
      </c>
      <c r="D711" s="2" t="n">
        <f aca="false">WEEKNUM(B711,2)</f>
        <v>22</v>
      </c>
      <c r="E711" s="5" t="s">
        <v>140</v>
      </c>
      <c r="F711" s="6" t="str">
        <f aca="false">INDEX(Parametros!$B$2:$B$9,MATCH($E711,Parametros!$A$2:$A$9,0))</f>
        <v>Crema de cacahuate</v>
      </c>
      <c r="G711" s="10" t="n">
        <v>104.6</v>
      </c>
      <c r="H711" s="10" t="n">
        <v>7.8</v>
      </c>
      <c r="I711" s="11" t="n">
        <f aca="false">SUMIFS(Eventos_Paro!$J$2:$J$2186,Eventos_Paro!$D$2:$D$2186,$E711,Eventos_Paro!$B$2:$B$2186,$B711)</f>
        <v>0.566666666666667</v>
      </c>
      <c r="J711" s="12" t="n">
        <f aca="false">G711-H711-I711</f>
        <v>96.2333333333333</v>
      </c>
      <c r="K711" s="13" t="n">
        <v>334348</v>
      </c>
      <c r="L711" s="13" t="n">
        <v>330556</v>
      </c>
      <c r="M711" s="13" t="n">
        <v>11137</v>
      </c>
      <c r="N711" s="14" t="n">
        <f aca="false">L711+M711</f>
        <v>341693</v>
      </c>
      <c r="O711" s="11" t="n">
        <f aca="false">INDEX(Parametros!$D$2:$D$9,MATCH($E711,Parametros!$A$2:$A$9,0))</f>
        <v>4200</v>
      </c>
      <c r="P711" s="15" t="n">
        <f aca="false">IF((G711-H711)&gt;0,J711/(G711-H711),0)</f>
        <v>0.994146005509642</v>
      </c>
      <c r="Q711" s="15" t="n">
        <f aca="false">IF(J711*O711&gt;0,N711/(O711*J711),0)</f>
        <v>0.845398089959919</v>
      </c>
      <c r="R711" s="15" t="n">
        <f aca="false">IF(N711&gt;0,L711/N711,0)</f>
        <v>0.967406414530002</v>
      </c>
      <c r="S711" s="15" t="n">
        <f aca="false">P711*Q711*R711</f>
        <v>0.813055883510429</v>
      </c>
      <c r="T711" s="15" t="n">
        <f aca="false">IF(K711&gt;0,L711/K711,0)</f>
        <v>0.988658523454604</v>
      </c>
      <c r="U711" s="10" t="n">
        <v>1385</v>
      </c>
      <c r="V711" s="5" t="n">
        <v>12</v>
      </c>
      <c r="W711" s="10" t="n">
        <v>129.8</v>
      </c>
      <c r="X711" s="15" t="n">
        <f aca="false">IF(U711&gt;0,W711/U711,0)</f>
        <v>0.0937184115523466</v>
      </c>
      <c r="Y711" s="12" t="n">
        <f aca="false">IF(U711&gt;0,L711/U711,0)</f>
        <v>238.668592057762</v>
      </c>
      <c r="Z711" s="16" t="n">
        <f aca="false">L711*INDEX(Parametros!$E$2:$E$9,MATCH($E711,Parametros!$A$2:$A$9,0))</f>
        <v>320639.32</v>
      </c>
      <c r="AA711" s="16" t="n">
        <f aca="false">Z711*INDEX(Parametros!$F$2:$F$9,MATCH($E711,Parametros!$A$2:$A$9,0))</f>
        <v>7054.06504</v>
      </c>
      <c r="AB711" s="17" t="n">
        <f aca="false">Z711+AA711</f>
        <v>327693.38504</v>
      </c>
      <c r="AC711" s="18" t="n">
        <v>328697.11</v>
      </c>
      <c r="AD711" s="17" t="n">
        <f aca="false">AC711-AB711</f>
        <v>1003.72495999996</v>
      </c>
      <c r="AE711" s="17" t="n">
        <f aca="false">AA711+AD711</f>
        <v>8057.78999999996</v>
      </c>
      <c r="AF711" s="19" t="n">
        <f aca="false">IF(Z711&gt;0,AE711/Z711,0)</f>
        <v>0.0251303863793123</v>
      </c>
      <c r="AG711" s="16" t="n">
        <f aca="false">(U711-W711)*INDEX(Parametros!$H$2:$H$9,MATCH($E711,Parametros!$A$2:$A$9,0))+W711*INDEX(Parametros!$H$2:$H$9,MATCH($E711,Parametros!$A$2:$A$9,0))*Parametros!$N$3</f>
        <v>45671.85</v>
      </c>
      <c r="AH711" s="13" t="n">
        <v>17460</v>
      </c>
      <c r="AI711" s="16" t="n">
        <f aca="false">AH711*Parametros!$N$2</f>
        <v>1606.32</v>
      </c>
      <c r="AJ711" s="18" t="n">
        <v>12874</v>
      </c>
      <c r="AK711" s="18" t="n">
        <v>612</v>
      </c>
      <c r="AL711" s="17" t="n">
        <f aca="false">AG711+AI711+AJ711+AK711</f>
        <v>60764.17</v>
      </c>
      <c r="AM711" s="20" t="n">
        <f aca="false">IF(L711&gt;0,AL711/L711,0)</f>
        <v>0.183824132673435</v>
      </c>
      <c r="AN711" s="16" t="n">
        <f aca="false">L711*INDEX(Parametros!$G$2:$G$9,MATCH($E711,Parametros!$A$2:$A$9,0))</f>
        <v>535500.72</v>
      </c>
      <c r="AO711" s="17" t="n">
        <f aca="false">AN711-AC711-AL711</f>
        <v>146039.44</v>
      </c>
      <c r="AP711" s="15" t="n">
        <f aca="false">IF(AN711&gt;0,AO711/AN711,0)</f>
        <v>0.272715674406563</v>
      </c>
      <c r="AQ711" s="16" t="n">
        <f aca="false">INDEX(Parametros!$I$2:$I$9,MATCH($E711,Parametros!$A$2:$A$9,0))</f>
        <v>28000000</v>
      </c>
      <c r="AR711" s="19" t="n">
        <f aca="false">IF(AQ711&gt;0,AO711/AQ711,0)</f>
        <v>0.00521569428571429</v>
      </c>
    </row>
    <row r="712" customFormat="false" ht="15" hidden="false" customHeight="false" outlineLevel="0" collapsed="false">
      <c r="A712" s="5" t="s">
        <v>847</v>
      </c>
      <c r="B712" s="9" t="n">
        <v>46167</v>
      </c>
      <c r="C712" s="2" t="str">
        <f aca="false">TEXT(B712,"yyyy")</f>
        <v>2026</v>
      </c>
      <c r="D712" s="2" t="n">
        <f aca="false">WEEKNUM(B712,2)</f>
        <v>22</v>
      </c>
      <c r="E712" s="5" t="s">
        <v>142</v>
      </c>
      <c r="F712" s="6" t="str">
        <f aca="false">INDEX(Parametros!$B$2:$B$9,MATCH($E712,Parametros!$A$2:$A$9,0))</f>
        <v>Porciones single serve</v>
      </c>
      <c r="G712" s="10" t="n">
        <v>123.4</v>
      </c>
      <c r="H712" s="10" t="n">
        <v>7.3</v>
      </c>
      <c r="I712" s="11" t="n">
        <f aca="false">SUMIFS(Eventos_Paro!$J$2:$J$2186,Eventos_Paro!$D$2:$D$2186,$E712,Eventos_Paro!$B$2:$B$2186,$B712)</f>
        <v>6.76666666666667</v>
      </c>
      <c r="J712" s="12" t="n">
        <f aca="false">G712-H712-I712</f>
        <v>109.333333333333</v>
      </c>
      <c r="K712" s="13" t="n">
        <v>248244</v>
      </c>
      <c r="L712" s="13" t="n">
        <v>207535</v>
      </c>
      <c r="M712" s="13" t="n">
        <v>9851</v>
      </c>
      <c r="N712" s="14" t="n">
        <f aca="false">L712+M712</f>
        <v>217386</v>
      </c>
      <c r="O712" s="11" t="n">
        <f aca="false">INDEX(Parametros!$D$2:$D$9,MATCH($E712,Parametros!$A$2:$A$9,0))</f>
        <v>2600</v>
      </c>
      <c r="P712" s="15" t="n">
        <f aca="false">IF((G712-H712)&gt;0,J712/(G712-H712),0)</f>
        <v>0.941716910709159</v>
      </c>
      <c r="Q712" s="15" t="n">
        <f aca="false">IF(J712*O712&gt;0,N712/(O712*J712),0)</f>
        <v>0.764725609756098</v>
      </c>
      <c r="R712" s="15" t="n">
        <f aca="false">IF(N712&gt;0,L712/N712,0)</f>
        <v>0.954684294296781</v>
      </c>
      <c r="S712" s="15" t="n">
        <f aca="false">P712*Q712*R712</f>
        <v>0.687520704962565</v>
      </c>
      <c r="T712" s="15" t="n">
        <f aca="false">IF(K712&gt;0,L712/K712,0)</f>
        <v>0.836012149336943</v>
      </c>
      <c r="U712" s="10" t="n">
        <v>1953.4</v>
      </c>
      <c r="V712" s="5" t="n">
        <v>15</v>
      </c>
      <c r="W712" s="10" t="n">
        <v>102.4</v>
      </c>
      <c r="X712" s="15" t="n">
        <f aca="false">IF(U712&gt;0,W712/U712,0)</f>
        <v>0.0524214190641958</v>
      </c>
      <c r="Y712" s="12" t="n">
        <f aca="false">IF(U712&gt;0,L712/U712,0)</f>
        <v>106.242960991092</v>
      </c>
      <c r="Z712" s="16" t="n">
        <f aca="false">L712*INDEX(Parametros!$E$2:$E$9,MATCH($E712,Parametros!$A$2:$A$9,0))</f>
        <v>153575.9</v>
      </c>
      <c r="AA712" s="16" t="n">
        <f aca="false">Z712*INDEX(Parametros!$F$2:$F$9,MATCH($E712,Parametros!$A$2:$A$9,0))</f>
        <v>6910.9155</v>
      </c>
      <c r="AB712" s="17" t="n">
        <f aca="false">Z712+AA712</f>
        <v>160486.8155</v>
      </c>
      <c r="AC712" s="18" t="n">
        <v>157668.23</v>
      </c>
      <c r="AD712" s="17" t="n">
        <f aca="false">AC712-AB712</f>
        <v>-2818.58549999999</v>
      </c>
      <c r="AE712" s="17" t="n">
        <f aca="false">AA712+AD712</f>
        <v>4092.33000000001</v>
      </c>
      <c r="AF712" s="19" t="n">
        <f aca="false">IF(Z712&gt;0,AE712/Z712,0)</f>
        <v>0.0266469543723984</v>
      </c>
      <c r="AG712" s="16" t="n">
        <f aca="false">(U712-W712)*INDEX(Parametros!$H$2:$H$9,MATCH($E712,Parametros!$A$2:$A$9,0))+W712*INDEX(Parametros!$H$2:$H$9,MATCH($E712,Parametros!$A$2:$A$9,0))*Parametros!$N$3</f>
        <v>60138</v>
      </c>
      <c r="AH712" s="13" t="n">
        <v>10835</v>
      </c>
      <c r="AI712" s="16" t="n">
        <f aca="false">AH712*Parametros!$N$2</f>
        <v>996.82</v>
      </c>
      <c r="AJ712" s="18" t="n">
        <v>13937</v>
      </c>
      <c r="AK712" s="18" t="n">
        <v>8645</v>
      </c>
      <c r="AL712" s="17" t="n">
        <f aca="false">AG712+AI712+AJ712+AK712</f>
        <v>83716.82</v>
      </c>
      <c r="AM712" s="20" t="n">
        <f aca="false">IF(L712&gt;0,AL712/L712,0)</f>
        <v>0.403386513118269</v>
      </c>
      <c r="AN712" s="16" t="n">
        <f aca="false">L712*INDEX(Parametros!$G$2:$G$9,MATCH($E712,Parametros!$A$2:$A$9,0))</f>
        <v>356960.2</v>
      </c>
      <c r="AO712" s="17" t="n">
        <f aca="false">AN712-AC712-AL712</f>
        <v>115575.15</v>
      </c>
      <c r="AP712" s="15" t="n">
        <f aca="false">IF(AN712&gt;0,AO712/AN712,0)</f>
        <v>0.323776012003579</v>
      </c>
      <c r="AQ712" s="16" t="n">
        <f aca="false">INDEX(Parametros!$I$2:$I$9,MATCH($E712,Parametros!$A$2:$A$9,0))</f>
        <v>15900000</v>
      </c>
      <c r="AR712" s="19" t="n">
        <f aca="false">IF(AQ712&gt;0,AO712/AQ712,0)</f>
        <v>0.00726887735849057</v>
      </c>
    </row>
    <row r="713" customFormat="false" ht="15" hidden="false" customHeight="false" outlineLevel="0" collapsed="false">
      <c r="A713" s="5" t="s">
        <v>848</v>
      </c>
      <c r="B713" s="9" t="n">
        <v>46167</v>
      </c>
      <c r="C713" s="2" t="str">
        <f aca="false">TEXT(B713,"yyyy")</f>
        <v>2026</v>
      </c>
      <c r="D713" s="2" t="n">
        <f aca="false">WEEKNUM(B713,2)</f>
        <v>22</v>
      </c>
      <c r="E713" s="5" t="s">
        <v>144</v>
      </c>
      <c r="F713" s="6" t="str">
        <f aca="false">INDEX(Parametros!$B$2:$B$9,MATCH($E713,Parametros!$A$2:$A$9,0))</f>
        <v>Salsas picantes</v>
      </c>
      <c r="G713" s="10" t="n">
        <v>76.4</v>
      </c>
      <c r="H713" s="10" t="n">
        <v>6.4</v>
      </c>
      <c r="I713" s="11" t="n">
        <f aca="false">SUMIFS(Eventos_Paro!$J$2:$J$2186,Eventos_Paro!$D$2:$D$2186,$E713,Eventos_Paro!$B$2:$B$2186,$B713)</f>
        <v>5.85</v>
      </c>
      <c r="J713" s="12" t="n">
        <f aca="false">G713-H713-I713</f>
        <v>64.15</v>
      </c>
      <c r="K713" s="13" t="n">
        <v>166001</v>
      </c>
      <c r="L713" s="13" t="n">
        <v>164945</v>
      </c>
      <c r="M713" s="13" t="n">
        <v>4834</v>
      </c>
      <c r="N713" s="14" t="n">
        <f aca="false">L713+M713</f>
        <v>169779</v>
      </c>
      <c r="O713" s="11" t="n">
        <f aca="false">INDEX(Parametros!$D$2:$D$9,MATCH($E713,Parametros!$A$2:$A$9,0))</f>
        <v>3100</v>
      </c>
      <c r="P713" s="15" t="n">
        <f aca="false">IF((G713-H713)&gt;0,J713/(G713-H713),0)</f>
        <v>0.916428571428572</v>
      </c>
      <c r="Q713" s="15" t="n">
        <f aca="false">IF(J713*O713&gt;0,N713/(O713*J713),0)</f>
        <v>0.853739974354462</v>
      </c>
      <c r="R713" s="15" t="n">
        <f aca="false">IF(N713&gt;0,L713/N713,0)</f>
        <v>0.971527691881799</v>
      </c>
      <c r="S713" s="15" t="n">
        <f aca="false">P713*Q713*R713</f>
        <v>0.760115207373272</v>
      </c>
      <c r="T713" s="15" t="n">
        <f aca="false">IF(K713&gt;0,L713/K713,0)</f>
        <v>0.993638592538599</v>
      </c>
      <c r="U713" s="10" t="n">
        <v>743.6</v>
      </c>
      <c r="V713" s="5" t="n">
        <v>9</v>
      </c>
      <c r="W713" s="10" t="n">
        <v>56</v>
      </c>
      <c r="X713" s="15" t="n">
        <f aca="false">IF(U713&gt;0,W713/U713,0)</f>
        <v>0.0753093060785369</v>
      </c>
      <c r="Y713" s="12" t="n">
        <f aca="false">IF(U713&gt;0,L713/U713,0)</f>
        <v>221.819526627219</v>
      </c>
      <c r="Z713" s="16" t="n">
        <f aca="false">L713*INDEX(Parametros!$E$2:$E$9,MATCH($E713,Parametros!$A$2:$A$9,0))</f>
        <v>108863.7</v>
      </c>
      <c r="AA713" s="16" t="n">
        <f aca="false">Z713*INDEX(Parametros!$F$2:$F$9,MATCH($E713,Parametros!$A$2:$A$9,0))</f>
        <v>2830.4562</v>
      </c>
      <c r="AB713" s="17" t="n">
        <f aca="false">Z713+AA713</f>
        <v>111694.1562</v>
      </c>
      <c r="AC713" s="18" t="n">
        <v>111794.99</v>
      </c>
      <c r="AD713" s="17" t="n">
        <f aca="false">AC713-AB713</f>
        <v>100.833799999993</v>
      </c>
      <c r="AE713" s="17" t="n">
        <f aca="false">AA713+AD713</f>
        <v>2931.28999999999</v>
      </c>
      <c r="AF713" s="19" t="n">
        <f aca="false">IF(Z713&gt;0,AE713/Z713,0)</f>
        <v>0.026926238957522</v>
      </c>
      <c r="AG713" s="16" t="n">
        <f aca="false">(U713-W713)*INDEX(Parametros!$H$2:$H$9,MATCH($E713,Parametros!$A$2:$A$9,0))+W713*INDEX(Parametros!$H$2:$H$9,MATCH($E713,Parametros!$A$2:$A$9,0))*Parametros!$N$3</f>
        <v>24305.4</v>
      </c>
      <c r="AH713" s="13" t="n">
        <v>8860</v>
      </c>
      <c r="AI713" s="16" t="n">
        <f aca="false">AH713*Parametros!$N$2</f>
        <v>815.12</v>
      </c>
      <c r="AJ713" s="18" t="n">
        <v>6625</v>
      </c>
      <c r="AK713" s="18" t="n">
        <v>4666</v>
      </c>
      <c r="AL713" s="17" t="n">
        <f aca="false">AG713+AI713+AJ713+AK713</f>
        <v>36411.52</v>
      </c>
      <c r="AM713" s="20" t="n">
        <f aca="false">IF(L713&gt;0,AL713/L713,0)</f>
        <v>0.220749461941859</v>
      </c>
      <c r="AN713" s="16" t="n">
        <f aca="false">L713*INDEX(Parametros!$G$2:$G$9,MATCH($E713,Parametros!$A$2:$A$9,0))</f>
        <v>206181.25</v>
      </c>
      <c r="AO713" s="17" t="n">
        <f aca="false">AN713-AC713-AL713</f>
        <v>57974.74</v>
      </c>
      <c r="AP713" s="15" t="n">
        <f aca="false">IF(AN713&gt;0,AO713/AN713,0)</f>
        <v>0.281183376276941</v>
      </c>
      <c r="AQ713" s="16" t="n">
        <f aca="false">INDEX(Parametros!$I$2:$I$9,MATCH($E713,Parametros!$A$2:$A$9,0))</f>
        <v>13300000</v>
      </c>
      <c r="AR713" s="19" t="n">
        <f aca="false">IF(AQ713&gt;0,AO713/AQ713,0)</f>
        <v>0.0043590030075188</v>
      </c>
    </row>
    <row r="714" customFormat="false" ht="15" hidden="false" customHeight="false" outlineLevel="0" collapsed="false">
      <c r="A714" s="5" t="s">
        <v>849</v>
      </c>
      <c r="B714" s="9" t="n">
        <v>46174</v>
      </c>
      <c r="C714" s="2" t="str">
        <f aca="false">TEXT(B714,"yyyy")</f>
        <v>2026</v>
      </c>
      <c r="D714" s="2" t="n">
        <f aca="false">WEEKNUM(B714,2)</f>
        <v>23</v>
      </c>
      <c r="E714" s="5" t="s">
        <v>130</v>
      </c>
      <c r="F714" s="6" t="str">
        <f aca="false">INDEX(Parametros!$B$2:$B$9,MATCH($E714,Parametros!$A$2:$A$9,0))</f>
        <v>Ketchup botella</v>
      </c>
      <c r="G714" s="10" t="n">
        <v>127.1</v>
      </c>
      <c r="H714" s="10" t="n">
        <v>6.7</v>
      </c>
      <c r="I714" s="11" t="n">
        <f aca="false">SUMIFS(Eventos_Paro!$J$2:$J$2186,Eventos_Paro!$D$2:$D$2186,$E714,Eventos_Paro!$B$2:$B$2186,$B714)</f>
        <v>3.76666666666667</v>
      </c>
      <c r="J714" s="12" t="n">
        <f aca="false">G714-H714-I714</f>
        <v>116.633333333333</v>
      </c>
      <c r="K714" s="13" t="n">
        <v>893937</v>
      </c>
      <c r="L714" s="13" t="n">
        <v>880104</v>
      </c>
      <c r="M714" s="13" t="n">
        <v>26084</v>
      </c>
      <c r="N714" s="14" t="n">
        <f aca="false">L714+M714</f>
        <v>906188</v>
      </c>
      <c r="O714" s="11" t="n">
        <f aca="false">INDEX(Parametros!$D$2:$D$9,MATCH($E714,Parametros!$A$2:$A$9,0))</f>
        <v>9000</v>
      </c>
      <c r="P714" s="15" t="n">
        <f aca="false">IF((G714-H714)&gt;0,J714/(G714-H714),0)</f>
        <v>0.968715393133998</v>
      </c>
      <c r="Q714" s="15" t="n">
        <f aca="false">IF(J714*O714&gt;0,N714/(O714*J714),0)</f>
        <v>0.863282842716967</v>
      </c>
      <c r="R714" s="15" t="n">
        <f aca="false">IF(N714&gt;0,L714/N714,0)</f>
        <v>0.971215685928306</v>
      </c>
      <c r="S714" s="15" t="n">
        <f aca="false">P714*Q714*R714</f>
        <v>0.812203765227021</v>
      </c>
      <c r="T714" s="15" t="n">
        <f aca="false">IF(K714&gt;0,L714/K714,0)</f>
        <v>0.984525755170666</v>
      </c>
      <c r="U714" s="10" t="n">
        <v>1842.5</v>
      </c>
      <c r="V714" s="5" t="n">
        <v>14</v>
      </c>
      <c r="W714" s="10" t="n">
        <v>63.1</v>
      </c>
      <c r="X714" s="15" t="n">
        <f aca="false">IF(U714&gt;0,W714/U714,0)</f>
        <v>0.034246947082768</v>
      </c>
      <c r="Y714" s="12" t="n">
        <f aca="false">IF(U714&gt;0,L714/U714,0)</f>
        <v>477.668385345997</v>
      </c>
      <c r="Z714" s="16" t="n">
        <f aca="false">L714*INDEX(Parametros!$E$2:$E$9,MATCH($E714,Parametros!$A$2:$A$9,0))</f>
        <v>369643.68</v>
      </c>
      <c r="AA714" s="16" t="n">
        <f aca="false">Z714*INDEX(Parametros!$F$2:$F$9,MATCH($E714,Parametros!$A$2:$A$9,0))</f>
        <v>7392.8736</v>
      </c>
      <c r="AB714" s="17" t="n">
        <f aca="false">Z714+AA714</f>
        <v>377036.5536</v>
      </c>
      <c r="AC714" s="18" t="n">
        <v>375104.41</v>
      </c>
      <c r="AD714" s="17" t="n">
        <f aca="false">AC714-AB714</f>
        <v>-1932.14360000001</v>
      </c>
      <c r="AE714" s="17" t="n">
        <f aca="false">AA714+AD714</f>
        <v>5460.72999999999</v>
      </c>
      <c r="AF714" s="19" t="n">
        <f aca="false">IF(Z714&gt;0,AE714/Z714,0)</f>
        <v>0.0147729564860949</v>
      </c>
      <c r="AG714" s="16" t="n">
        <f aca="false">(U714-W714)*INDEX(Parametros!$H$2:$H$9,MATCH($E714,Parametros!$A$2:$A$9,0))+W714*INDEX(Parametros!$H$2:$H$9,MATCH($E714,Parametros!$A$2:$A$9,0))*Parametros!$N$3</f>
        <v>59032.575</v>
      </c>
      <c r="AH714" s="13" t="n">
        <v>47441</v>
      </c>
      <c r="AI714" s="16" t="n">
        <f aca="false">AH714*Parametros!$N$2</f>
        <v>4364.572</v>
      </c>
      <c r="AJ714" s="18" t="n">
        <v>14399</v>
      </c>
      <c r="AK714" s="18" t="n">
        <v>3560</v>
      </c>
      <c r="AL714" s="17" t="n">
        <f aca="false">AG714+AI714+AJ714+AK714</f>
        <v>81356.147</v>
      </c>
      <c r="AM714" s="20" t="n">
        <f aca="false">IF(L714&gt;0,AL714/L714,0)</f>
        <v>0.0924392424077155</v>
      </c>
      <c r="AN714" s="16" t="n">
        <f aca="false">L714*INDEX(Parametros!$G$2:$G$9,MATCH($E714,Parametros!$A$2:$A$9,0))</f>
        <v>624873.84</v>
      </c>
      <c r="AO714" s="17" t="n">
        <f aca="false">AN714-AC714-AL714</f>
        <v>168413.283</v>
      </c>
      <c r="AP714" s="15" t="n">
        <f aca="false">IF(AN714&gt;0,AO714/AN714,0)</f>
        <v>0.269515656152288</v>
      </c>
      <c r="AQ714" s="16" t="n">
        <f aca="false">INDEX(Parametros!$I$2:$I$9,MATCH($E714,Parametros!$A$2:$A$9,0))</f>
        <v>29300000</v>
      </c>
      <c r="AR714" s="19" t="n">
        <f aca="false">IF(AQ714&gt;0,AO714/AQ714,0)</f>
        <v>0.00574789361774744</v>
      </c>
    </row>
    <row r="715" customFormat="false" ht="15" hidden="false" customHeight="false" outlineLevel="0" collapsed="false">
      <c r="A715" s="5" t="s">
        <v>850</v>
      </c>
      <c r="B715" s="9" t="n">
        <v>46174</v>
      </c>
      <c r="C715" s="2" t="str">
        <f aca="false">TEXT(B715,"yyyy")</f>
        <v>2026</v>
      </c>
      <c r="D715" s="2" t="n">
        <f aca="false">WEEKNUM(B715,2)</f>
        <v>23</v>
      </c>
      <c r="E715" s="5" t="s">
        <v>132</v>
      </c>
      <c r="F715" s="6" t="str">
        <f aca="false">INDEX(Parametros!$B$2:$B$9,MATCH($E715,Parametros!$A$2:$A$9,0))</f>
        <v>Mayonesa frasco</v>
      </c>
      <c r="G715" s="10" t="n">
        <v>121.3</v>
      </c>
      <c r="H715" s="10" t="n">
        <v>5.8</v>
      </c>
      <c r="I715" s="11" t="n">
        <f aca="false">SUMIFS(Eventos_Paro!$J$2:$J$2186,Eventos_Paro!$D$2:$D$2186,$E715,Eventos_Paro!$B$2:$B$2186,$B715)</f>
        <v>0</v>
      </c>
      <c r="J715" s="12" t="n">
        <f aca="false">G715-H715-I715</f>
        <v>115.5</v>
      </c>
      <c r="K715" s="13" t="n">
        <v>619346</v>
      </c>
      <c r="L715" s="13" t="n">
        <v>641465</v>
      </c>
      <c r="M715" s="13" t="n">
        <v>14912</v>
      </c>
      <c r="N715" s="14" t="n">
        <f aca="false">L715+M715</f>
        <v>656377</v>
      </c>
      <c r="O715" s="11" t="n">
        <f aca="false">INDEX(Parametros!$D$2:$D$9,MATCH($E715,Parametros!$A$2:$A$9,0))</f>
        <v>6500</v>
      </c>
      <c r="P715" s="15" t="n">
        <f aca="false">IF((G715-H715)&gt;0,J715/(G715-H715),0)</f>
        <v>1</v>
      </c>
      <c r="Q715" s="15" t="n">
        <f aca="false">IF(J715*O715&gt;0,N715/(O715*J715),0)</f>
        <v>0.874295038295038</v>
      </c>
      <c r="R715" s="15" t="n">
        <f aca="false">IF(N715&gt;0,L715/N715,0)</f>
        <v>0.977281348980845</v>
      </c>
      <c r="S715" s="15" t="n">
        <f aca="false">P715*Q715*R715</f>
        <v>0.854432234432235</v>
      </c>
      <c r="T715" s="15" t="n">
        <f aca="false">IF(K715&gt;0,L715/K715,0)</f>
        <v>1.0357134784111</v>
      </c>
      <c r="U715" s="10" t="n">
        <v>1865.4</v>
      </c>
      <c r="V715" s="5" t="n">
        <v>14</v>
      </c>
      <c r="W715" s="10" t="n">
        <v>167.2</v>
      </c>
      <c r="X715" s="15" t="n">
        <f aca="false">IF(U715&gt;0,W715/U715,0)</f>
        <v>0.0896322504556663</v>
      </c>
      <c r="Y715" s="12" t="n">
        <f aca="false">IF(U715&gt;0,L715/U715,0)</f>
        <v>343.87530824488</v>
      </c>
      <c r="Z715" s="16" t="n">
        <f aca="false">L715*INDEX(Parametros!$E$2:$E$9,MATCH($E715,Parametros!$A$2:$A$9,0))</f>
        <v>391293.65</v>
      </c>
      <c r="AA715" s="16" t="n">
        <f aca="false">Z715*INDEX(Parametros!$F$2:$F$9,MATCH($E715,Parametros!$A$2:$A$9,0))</f>
        <v>9782.34125</v>
      </c>
      <c r="AB715" s="17" t="n">
        <f aca="false">Z715+AA715</f>
        <v>401075.99125</v>
      </c>
      <c r="AC715" s="18" t="n">
        <v>405569.13</v>
      </c>
      <c r="AD715" s="17" t="n">
        <f aca="false">AC715-AB715</f>
        <v>4493.13875000004</v>
      </c>
      <c r="AE715" s="17" t="n">
        <f aca="false">AA715+AD715</f>
        <v>14275.48</v>
      </c>
      <c r="AF715" s="19" t="n">
        <f aca="false">IF(Z715&gt;0,AE715/Z715,0)</f>
        <v>0.0364827796208807</v>
      </c>
      <c r="AG715" s="16" t="n">
        <f aca="false">(U715-W715)*INDEX(Parametros!$H$2:$H$9,MATCH($E715,Parametros!$A$2:$A$9,0))+W715*INDEX(Parametros!$H$2:$H$9,MATCH($E715,Parametros!$A$2:$A$9,0))*Parametros!$N$3</f>
        <v>61393.5</v>
      </c>
      <c r="AH715" s="13" t="n">
        <v>33625</v>
      </c>
      <c r="AI715" s="16" t="n">
        <f aca="false">AH715*Parametros!$N$2</f>
        <v>3093.5</v>
      </c>
      <c r="AJ715" s="18" t="n">
        <v>12535</v>
      </c>
      <c r="AK715" s="18" t="n">
        <v>0</v>
      </c>
      <c r="AL715" s="17" t="n">
        <f aca="false">AG715+AI715+AJ715+AK715</f>
        <v>77022</v>
      </c>
      <c r="AM715" s="20" t="n">
        <f aca="false">IF(L715&gt;0,AL715/L715,0)</f>
        <v>0.120072022635686</v>
      </c>
      <c r="AN715" s="16" t="n">
        <f aca="false">L715*INDEX(Parametros!$G$2:$G$9,MATCH($E715,Parametros!$A$2:$A$9,0))</f>
        <v>615806.4</v>
      </c>
      <c r="AO715" s="17" t="n">
        <f aca="false">AN715-AC715-AL715</f>
        <v>133215.27</v>
      </c>
      <c r="AP715" s="15" t="n">
        <f aca="false">IF(AN715&gt;0,AO715/AN715,0)</f>
        <v>0.21632654353706</v>
      </c>
      <c r="AQ715" s="16" t="n">
        <f aca="false">INDEX(Parametros!$I$2:$I$9,MATCH($E715,Parametros!$A$2:$A$9,0))</f>
        <v>29700000</v>
      </c>
      <c r="AR715" s="19" t="n">
        <f aca="false">IF(AQ715&gt;0,AO715/AQ715,0)</f>
        <v>0.00448536262626263</v>
      </c>
    </row>
    <row r="716" customFormat="false" ht="15" hidden="false" customHeight="false" outlineLevel="0" collapsed="false">
      <c r="A716" s="5" t="s">
        <v>851</v>
      </c>
      <c r="B716" s="9" t="n">
        <v>46174</v>
      </c>
      <c r="C716" s="2" t="str">
        <f aca="false">TEXT(B716,"yyyy")</f>
        <v>2026</v>
      </c>
      <c r="D716" s="2" t="n">
        <f aca="false">WEEKNUM(B716,2)</f>
        <v>23</v>
      </c>
      <c r="E716" s="5" t="s">
        <v>134</v>
      </c>
      <c r="F716" s="6" t="str">
        <f aca="false">INDEX(Parametros!$B$2:$B$9,MATCH($E716,Parametros!$A$2:$A$9,0))</f>
        <v>Aderezos vertibles</v>
      </c>
      <c r="G716" s="10" t="n">
        <v>137.5</v>
      </c>
      <c r="H716" s="10" t="n">
        <v>7.1</v>
      </c>
      <c r="I716" s="11" t="n">
        <f aca="false">SUMIFS(Eventos_Paro!$J$2:$J$2186,Eventos_Paro!$D$2:$D$2186,$E716,Eventos_Paro!$B$2:$B$2186,$B716)</f>
        <v>1.81666666666667</v>
      </c>
      <c r="J716" s="12" t="n">
        <f aca="false">G716-H716-I716</f>
        <v>128.583333333333</v>
      </c>
      <c r="K716" s="13" t="n">
        <v>559395</v>
      </c>
      <c r="L716" s="13" t="n">
        <v>536998</v>
      </c>
      <c r="M716" s="13" t="n">
        <v>19853</v>
      </c>
      <c r="N716" s="14" t="n">
        <f aca="false">L716+M716</f>
        <v>556851</v>
      </c>
      <c r="O716" s="11" t="n">
        <f aca="false">INDEX(Parametros!$D$2:$D$9,MATCH($E716,Parametros!$A$2:$A$9,0))</f>
        <v>5200</v>
      </c>
      <c r="P716" s="15" t="n">
        <f aca="false">IF((G716-H716)&gt;0,J716/(G716-H716),0)</f>
        <v>0.986068507157464</v>
      </c>
      <c r="Q716" s="15" t="n">
        <f aca="false">IF(J716*O716&gt;0,N716/(O716*J716),0)</f>
        <v>0.832819681938282</v>
      </c>
      <c r="R716" s="15" t="n">
        <f aca="false">IF(N716&gt;0,L716/N716,0)</f>
        <v>0.964347733953966</v>
      </c>
      <c r="S716" s="15" t="n">
        <f aca="false">P716*Q716*R716</f>
        <v>0.791939004247286</v>
      </c>
      <c r="T716" s="15" t="n">
        <f aca="false">IF(K716&gt;0,L716/K716,0)</f>
        <v>0.959962101913675</v>
      </c>
      <c r="U716" s="10" t="n">
        <v>1712.9</v>
      </c>
      <c r="V716" s="5" t="n">
        <v>12</v>
      </c>
      <c r="W716" s="10" t="n">
        <v>62.9</v>
      </c>
      <c r="X716" s="15" t="n">
        <f aca="false">IF(U716&gt;0,W716/U716,0)</f>
        <v>0.0367213497577208</v>
      </c>
      <c r="Y716" s="12" t="n">
        <f aca="false">IF(U716&gt;0,L716/U716,0)</f>
        <v>313.502247650184</v>
      </c>
      <c r="Z716" s="16" t="n">
        <f aca="false">L716*INDEX(Parametros!$E$2:$E$9,MATCH($E716,Parametros!$A$2:$A$9,0))</f>
        <v>295348.9</v>
      </c>
      <c r="AA716" s="16" t="n">
        <f aca="false">Z716*INDEX(Parametros!$F$2:$F$9,MATCH($E716,Parametros!$A$2:$A$9,0))</f>
        <v>8860.467</v>
      </c>
      <c r="AB716" s="17" t="n">
        <f aca="false">Z716+AA716</f>
        <v>304209.367</v>
      </c>
      <c r="AC716" s="18" t="n">
        <v>307335.21</v>
      </c>
      <c r="AD716" s="17" t="n">
        <f aca="false">AC716-AB716</f>
        <v>3125.84299999999</v>
      </c>
      <c r="AE716" s="17" t="n">
        <f aca="false">AA716+AD716</f>
        <v>11986.31</v>
      </c>
      <c r="AF716" s="19" t="n">
        <f aca="false">IF(Z716&gt;0,AE716/Z716,0)</f>
        <v>0.0405835606633375</v>
      </c>
      <c r="AG716" s="16" t="n">
        <f aca="false">(U716-W716)*INDEX(Parametros!$H$2:$H$9,MATCH($E716,Parametros!$A$2:$A$9,0))+W716*INDEX(Parametros!$H$2:$H$9,MATCH($E716,Parametros!$A$2:$A$9,0))*Parametros!$N$3</f>
        <v>54947.025</v>
      </c>
      <c r="AH716" s="13" t="n">
        <v>28058</v>
      </c>
      <c r="AI716" s="16" t="n">
        <f aca="false">AH716*Parametros!$N$2</f>
        <v>2581.336</v>
      </c>
      <c r="AJ716" s="18" t="n">
        <v>10606</v>
      </c>
      <c r="AK716" s="18" t="n">
        <v>1636</v>
      </c>
      <c r="AL716" s="17" t="n">
        <f aca="false">AG716+AI716+AJ716+AK716</f>
        <v>69770.361</v>
      </c>
      <c r="AM716" s="20" t="n">
        <f aca="false">IF(L716&gt;0,AL716/L716,0)</f>
        <v>0.129926668255748</v>
      </c>
      <c r="AN716" s="16" t="n">
        <f aca="false">L716*INDEX(Parametros!$G$2:$G$9,MATCH($E716,Parametros!$A$2:$A$9,0))</f>
        <v>547737.96</v>
      </c>
      <c r="AO716" s="17" t="n">
        <f aca="false">AN716-AC716-AL716</f>
        <v>170632.389</v>
      </c>
      <c r="AP716" s="15" t="n">
        <f aca="false">IF(AN716&gt;0,AO716/AN716,0)</f>
        <v>0.311521934685703</v>
      </c>
      <c r="AQ716" s="16" t="n">
        <f aca="false">INDEX(Parametros!$I$2:$I$9,MATCH($E716,Parametros!$A$2:$A$9,0))</f>
        <v>19300000</v>
      </c>
      <c r="AR716" s="19" t="n">
        <f aca="false">IF(AQ716&gt;0,AO716/AQ716,0)</f>
        <v>0.00884105642487046</v>
      </c>
    </row>
    <row r="717" customFormat="false" ht="15" hidden="false" customHeight="false" outlineLevel="0" collapsed="false">
      <c r="A717" s="5" t="s">
        <v>852</v>
      </c>
      <c r="B717" s="9" t="n">
        <v>46174</v>
      </c>
      <c r="C717" s="2" t="str">
        <f aca="false">TEXT(B717,"yyyy")</f>
        <v>2026</v>
      </c>
      <c r="D717" s="2" t="n">
        <f aca="false">WEEKNUM(B717,2)</f>
        <v>23</v>
      </c>
      <c r="E717" s="5" t="s">
        <v>136</v>
      </c>
      <c r="F717" s="6" t="str">
        <f aca="false">INDEX(Parametros!$B$2:$B$9,MATCH($E717,Parametros!$A$2:$A$9,0))</f>
        <v>Salsa BBQ</v>
      </c>
      <c r="G717" s="10" t="n">
        <v>125</v>
      </c>
      <c r="H717" s="10" t="n">
        <v>5.6</v>
      </c>
      <c r="I717" s="11" t="n">
        <f aca="false">SUMIFS(Eventos_Paro!$J$2:$J$2186,Eventos_Paro!$D$2:$D$2186,$E717,Eventos_Paro!$B$2:$B$2186,$B717)</f>
        <v>1.01666666666667</v>
      </c>
      <c r="J717" s="12" t="n">
        <f aca="false">G717-H717-I717</f>
        <v>118.383333333333</v>
      </c>
      <c r="K717" s="13" t="n">
        <v>522893</v>
      </c>
      <c r="L717" s="13" t="n">
        <v>453534</v>
      </c>
      <c r="M717" s="13" t="n">
        <v>14666</v>
      </c>
      <c r="N717" s="14" t="n">
        <f aca="false">L717+M717</f>
        <v>468200</v>
      </c>
      <c r="O717" s="11" t="n">
        <f aca="false">INDEX(Parametros!$D$2:$D$9,MATCH($E717,Parametros!$A$2:$A$9,0))</f>
        <v>4800</v>
      </c>
      <c r="P717" s="15" t="n">
        <f aca="false">IF((G717-H717)&gt;0,J717/(G717-H717),0)</f>
        <v>0.991485203796762</v>
      </c>
      <c r="Q717" s="15" t="n">
        <f aca="false">IF(J717*O717&gt;0,N717/(O717*J717),0)</f>
        <v>0.823947627762917</v>
      </c>
      <c r="R717" s="15" t="n">
        <f aca="false">IF(N717&gt;0,L717/N717,0)</f>
        <v>0.968675779581376</v>
      </c>
      <c r="S717" s="15" t="n">
        <f aca="false">P717*Q717*R717</f>
        <v>0.791342127303183</v>
      </c>
      <c r="T717" s="15" t="n">
        <f aca="false">IF(K717&gt;0,L717/K717,0)</f>
        <v>0.867355271537389</v>
      </c>
      <c r="U717" s="10" t="n">
        <v>1572.1</v>
      </c>
      <c r="V717" s="5" t="n">
        <v>12</v>
      </c>
      <c r="W717" s="10" t="n">
        <v>72.1</v>
      </c>
      <c r="X717" s="15" t="n">
        <f aca="false">IF(U717&gt;0,W717/U717,0)</f>
        <v>0.0458622225049297</v>
      </c>
      <c r="Y717" s="12" t="n">
        <f aca="false">IF(U717&gt;0,L717/U717,0)</f>
        <v>288.4892818523</v>
      </c>
      <c r="Z717" s="16" t="n">
        <f aca="false">L717*INDEX(Parametros!$E$2:$E$9,MATCH($E717,Parametros!$A$2:$A$9,0))</f>
        <v>263049.72</v>
      </c>
      <c r="AA717" s="16" t="n">
        <f aca="false">Z717*INDEX(Parametros!$F$2:$F$9,MATCH($E717,Parametros!$A$2:$A$9,0))</f>
        <v>7365.39216</v>
      </c>
      <c r="AB717" s="17" t="n">
        <f aca="false">Z717+AA717</f>
        <v>270415.11216</v>
      </c>
      <c r="AC717" s="18" t="n">
        <v>269365.81</v>
      </c>
      <c r="AD717" s="17" t="n">
        <f aca="false">AC717-AB717</f>
        <v>-1049.30215999996</v>
      </c>
      <c r="AE717" s="17" t="n">
        <f aca="false">AA717+AD717</f>
        <v>6316.09000000004</v>
      </c>
      <c r="AF717" s="19" t="n">
        <f aca="false">IF(Z717&gt;0,AE717/Z717,0)</f>
        <v>0.0240110120626627</v>
      </c>
      <c r="AG717" s="16" t="n">
        <f aca="false">(U717-W717)*INDEX(Parametros!$H$2:$H$9,MATCH($E717,Parametros!$A$2:$A$9,0))+W717*INDEX(Parametros!$H$2:$H$9,MATCH($E717,Parametros!$A$2:$A$9,0))*Parametros!$N$3</f>
        <v>50656.725</v>
      </c>
      <c r="AH717" s="13" t="n">
        <v>25098</v>
      </c>
      <c r="AI717" s="16" t="n">
        <f aca="false">AH717*Parametros!$N$2</f>
        <v>2309.016</v>
      </c>
      <c r="AJ717" s="18" t="n">
        <v>8875</v>
      </c>
      <c r="AK717" s="18" t="n">
        <v>635</v>
      </c>
      <c r="AL717" s="17" t="n">
        <f aca="false">AG717+AI717+AJ717+AK717</f>
        <v>62475.741</v>
      </c>
      <c r="AM717" s="20" t="n">
        <f aca="false">IF(L717&gt;0,AL717/L717,0)</f>
        <v>0.137753158528357</v>
      </c>
      <c r="AN717" s="16" t="n">
        <f aca="false">L717*INDEX(Parametros!$G$2:$G$9,MATCH($E717,Parametros!$A$2:$A$9,0))</f>
        <v>444463.32</v>
      </c>
      <c r="AO717" s="17" t="n">
        <f aca="false">AN717-AC717-AL717</f>
        <v>112621.769</v>
      </c>
      <c r="AP717" s="15" t="n">
        <f aca="false">IF(AN717&gt;0,AO717/AN717,0)</f>
        <v>0.253388218852345</v>
      </c>
      <c r="AQ717" s="16" t="n">
        <f aca="false">INDEX(Parametros!$I$2:$I$9,MATCH($E717,Parametros!$A$2:$A$9,0))</f>
        <v>17000000</v>
      </c>
      <c r="AR717" s="19" t="n">
        <f aca="false">IF(AQ717&gt;0,AO717/AQ717,0)</f>
        <v>0.00662480994117647</v>
      </c>
    </row>
    <row r="718" customFormat="false" ht="15" hidden="false" customHeight="false" outlineLevel="0" collapsed="false">
      <c r="A718" s="5" t="s">
        <v>853</v>
      </c>
      <c r="B718" s="9" t="n">
        <v>46174</v>
      </c>
      <c r="C718" s="2" t="str">
        <f aca="false">TEXT(B718,"yyyy")</f>
        <v>2026</v>
      </c>
      <c r="D718" s="2" t="n">
        <f aca="false">WEEKNUM(B718,2)</f>
        <v>23</v>
      </c>
      <c r="E718" s="5" t="s">
        <v>138</v>
      </c>
      <c r="F718" s="6" t="str">
        <f aca="false">INDEX(Parametros!$B$2:$B$9,MATCH($E718,Parametros!$A$2:$A$9,0))</f>
        <v>Queso crema</v>
      </c>
      <c r="G718" s="10" t="n">
        <v>128.5</v>
      </c>
      <c r="H718" s="10" t="n">
        <v>7.8</v>
      </c>
      <c r="I718" s="11" t="n">
        <f aca="false">SUMIFS(Eventos_Paro!$J$2:$J$2186,Eventos_Paro!$D$2:$D$2186,$E718,Eventos_Paro!$B$2:$B$2186,$B718)</f>
        <v>6.96666666666667</v>
      </c>
      <c r="J718" s="12" t="n">
        <f aca="false">G718-H718-I718</f>
        <v>113.733333333333</v>
      </c>
      <c r="K718" s="13" t="n">
        <v>378380</v>
      </c>
      <c r="L718" s="13" t="n">
        <v>338779</v>
      </c>
      <c r="M718" s="13" t="n">
        <v>13560</v>
      </c>
      <c r="N718" s="14" t="n">
        <f aca="false">L718+M718</f>
        <v>352339</v>
      </c>
      <c r="O718" s="11" t="n">
        <f aca="false">INDEX(Parametros!$D$2:$D$9,MATCH($E718,Parametros!$A$2:$A$9,0))</f>
        <v>3800</v>
      </c>
      <c r="P718" s="15" t="n">
        <f aca="false">IF((G718-H718)&gt;0,J718/(G718-H718),0)</f>
        <v>0.942281137807236</v>
      </c>
      <c r="Q718" s="15" t="n">
        <f aca="false">IF(J718*O718&gt;0,N718/(O718*J718),0)</f>
        <v>0.815247269698278</v>
      </c>
      <c r="R718" s="15" t="n">
        <f aca="false">IF(N718&gt;0,L718/N718,0)</f>
        <v>0.961514337044721</v>
      </c>
      <c r="S718" s="15" t="n">
        <f aca="false">P718*Q718*R718</f>
        <v>0.738627741682292</v>
      </c>
      <c r="T718" s="15" t="n">
        <f aca="false">IF(K718&gt;0,L718/K718,0)</f>
        <v>0.895340662825731</v>
      </c>
      <c r="U718" s="10" t="n">
        <v>2041.3</v>
      </c>
      <c r="V718" s="5" t="n">
        <v>15</v>
      </c>
      <c r="W718" s="10" t="n">
        <v>113.8</v>
      </c>
      <c r="X718" s="15" t="n">
        <f aca="false">IF(U718&gt;0,W718/U718,0)</f>
        <v>0.0557487875373537</v>
      </c>
      <c r="Y718" s="12" t="n">
        <f aca="false">IF(U718&gt;0,L718/U718,0)</f>
        <v>165.962376916671</v>
      </c>
      <c r="Z718" s="16" t="n">
        <f aca="false">L718*INDEX(Parametros!$E$2:$E$9,MATCH($E718,Parametros!$A$2:$A$9,0))</f>
        <v>379432.48</v>
      </c>
      <c r="AA718" s="16" t="n">
        <f aca="false">Z718*INDEX(Parametros!$F$2:$F$9,MATCH($E718,Parametros!$A$2:$A$9,0))</f>
        <v>13280.1368</v>
      </c>
      <c r="AB718" s="17" t="n">
        <f aca="false">Z718+AA718</f>
        <v>392712.6168</v>
      </c>
      <c r="AC718" s="18" t="n">
        <v>384929.63</v>
      </c>
      <c r="AD718" s="17" t="n">
        <f aca="false">AC718-AB718</f>
        <v>-7782.98680000001</v>
      </c>
      <c r="AE718" s="17" t="n">
        <f aca="false">AA718+AD718</f>
        <v>5497.14999999999</v>
      </c>
      <c r="AF718" s="19" t="n">
        <f aca="false">IF(Z718&gt;0,AE718/Z718,0)</f>
        <v>0.0144878213905146</v>
      </c>
      <c r="AG718" s="16" t="n">
        <f aca="false">(U718-W718)*INDEX(Parametros!$H$2:$H$9,MATCH($E718,Parametros!$A$2:$A$9,0))+W718*INDEX(Parametros!$H$2:$H$9,MATCH($E718,Parametros!$A$2:$A$9,0))*Parametros!$N$3</f>
        <v>69240.6</v>
      </c>
      <c r="AH718" s="13" t="n">
        <v>17347</v>
      </c>
      <c r="AI718" s="16" t="n">
        <f aca="false">AH718*Parametros!$N$2</f>
        <v>1595.924</v>
      </c>
      <c r="AJ718" s="18" t="n">
        <v>17151</v>
      </c>
      <c r="AK718" s="18" t="n">
        <v>9057</v>
      </c>
      <c r="AL718" s="17" t="n">
        <f aca="false">AG718+AI718+AJ718+AK718</f>
        <v>97044.524</v>
      </c>
      <c r="AM718" s="20" t="n">
        <f aca="false">IF(L718&gt;0,AL718/L718,0)</f>
        <v>0.286453776650855</v>
      </c>
      <c r="AN718" s="16" t="n">
        <f aca="false">L718*INDEX(Parametros!$G$2:$G$9,MATCH($E718,Parametros!$A$2:$A$9,0))</f>
        <v>606414.41</v>
      </c>
      <c r="AO718" s="17" t="n">
        <f aca="false">AN718-AC718-AL718</f>
        <v>124440.256</v>
      </c>
      <c r="AP718" s="15" t="n">
        <f aca="false">IF(AN718&gt;0,AO718/AN718,0)</f>
        <v>0.205206627593167</v>
      </c>
      <c r="AQ718" s="16" t="n">
        <f aca="false">INDEX(Parametros!$I$2:$I$9,MATCH($E718,Parametros!$A$2:$A$9,0))</f>
        <v>33200000</v>
      </c>
      <c r="AR718" s="19" t="n">
        <f aca="false">IF(AQ718&gt;0,AO718/AQ718,0)</f>
        <v>0.00374820048192771</v>
      </c>
    </row>
    <row r="719" customFormat="false" ht="15" hidden="false" customHeight="false" outlineLevel="0" collapsed="false">
      <c r="A719" s="5" t="s">
        <v>854</v>
      </c>
      <c r="B719" s="9" t="n">
        <v>46174</v>
      </c>
      <c r="C719" s="2" t="str">
        <f aca="false">TEXT(B719,"yyyy")</f>
        <v>2026</v>
      </c>
      <c r="D719" s="2" t="n">
        <f aca="false">WEEKNUM(B719,2)</f>
        <v>23</v>
      </c>
      <c r="E719" s="5" t="s">
        <v>140</v>
      </c>
      <c r="F719" s="6" t="str">
        <f aca="false">INDEX(Parametros!$B$2:$B$9,MATCH($E719,Parametros!$A$2:$A$9,0))</f>
        <v>Crema de cacahuate</v>
      </c>
      <c r="G719" s="10" t="n">
        <v>111</v>
      </c>
      <c r="H719" s="10" t="n">
        <v>8.2</v>
      </c>
      <c r="I719" s="11" t="n">
        <f aca="false">SUMIFS(Eventos_Paro!$J$2:$J$2186,Eventos_Paro!$D$2:$D$2186,$E719,Eventos_Paro!$B$2:$B$2186,$B719)</f>
        <v>0.8</v>
      </c>
      <c r="J719" s="12" t="n">
        <f aca="false">G719-H719-I719</f>
        <v>102</v>
      </c>
      <c r="K719" s="13" t="n">
        <v>356189</v>
      </c>
      <c r="L719" s="13" t="n">
        <v>348414</v>
      </c>
      <c r="M719" s="13" t="n">
        <v>12074</v>
      </c>
      <c r="N719" s="14" t="n">
        <f aca="false">L719+M719</f>
        <v>360488</v>
      </c>
      <c r="O719" s="11" t="n">
        <f aca="false">INDEX(Parametros!$D$2:$D$9,MATCH($E719,Parametros!$A$2:$A$9,0))</f>
        <v>4200</v>
      </c>
      <c r="P719" s="15" t="n">
        <f aca="false">IF((G719-H719)&gt;0,J719/(G719-H719),0)</f>
        <v>0.992217898832685</v>
      </c>
      <c r="Q719" s="15" t="n">
        <f aca="false">IF(J719*O719&gt;0,N719/(O719*J719),0)</f>
        <v>0.841475256769374</v>
      </c>
      <c r="R719" s="15" t="n">
        <f aca="false">IF(N719&gt;0,L719/N719,0)</f>
        <v>0.966506513392956</v>
      </c>
      <c r="S719" s="15" t="n">
        <f aca="false">P719*Q719*R719</f>
        <v>0.806962201222902</v>
      </c>
      <c r="T719" s="15" t="n">
        <f aca="false">IF(K719&gt;0,L719/K719,0)</f>
        <v>0.978171700978975</v>
      </c>
      <c r="U719" s="10" t="n">
        <v>1485.3</v>
      </c>
      <c r="V719" s="5" t="n">
        <v>12</v>
      </c>
      <c r="W719" s="10" t="n">
        <v>153.3</v>
      </c>
      <c r="X719" s="15" t="n">
        <f aca="false">IF(U719&gt;0,W719/U719,0)</f>
        <v>0.103211472429812</v>
      </c>
      <c r="Y719" s="12" t="n">
        <f aca="false">IF(U719&gt;0,L719/U719,0)</f>
        <v>234.574833366997</v>
      </c>
      <c r="Z719" s="16" t="n">
        <f aca="false">L719*INDEX(Parametros!$E$2:$E$9,MATCH($E719,Parametros!$A$2:$A$9,0))</f>
        <v>337961.58</v>
      </c>
      <c r="AA719" s="16" t="n">
        <f aca="false">Z719*INDEX(Parametros!$F$2:$F$9,MATCH($E719,Parametros!$A$2:$A$9,0))</f>
        <v>7435.15476</v>
      </c>
      <c r="AB719" s="17" t="n">
        <f aca="false">Z719+AA719</f>
        <v>345396.73476</v>
      </c>
      <c r="AC719" s="18" t="n">
        <v>348889.66</v>
      </c>
      <c r="AD719" s="17" t="n">
        <f aca="false">AC719-AB719</f>
        <v>3492.92523999995</v>
      </c>
      <c r="AE719" s="17" t="n">
        <f aca="false">AA719+AD719</f>
        <v>10928.08</v>
      </c>
      <c r="AF719" s="19" t="n">
        <f aca="false">IF(Z719&gt;0,AE719/Z719,0)</f>
        <v>0.0323352731396272</v>
      </c>
      <c r="AG719" s="16" t="n">
        <f aca="false">(U719-W719)*INDEX(Parametros!$H$2:$H$9,MATCH($E719,Parametros!$A$2:$A$9,0))+W719*INDEX(Parametros!$H$2:$H$9,MATCH($E719,Parametros!$A$2:$A$9,0))*Parametros!$N$3</f>
        <v>49201.425</v>
      </c>
      <c r="AH719" s="13" t="n">
        <v>19044</v>
      </c>
      <c r="AI719" s="16" t="n">
        <f aca="false">AH719*Parametros!$N$2</f>
        <v>1752.048</v>
      </c>
      <c r="AJ719" s="18" t="n">
        <v>12745</v>
      </c>
      <c r="AK719" s="18" t="n">
        <v>802</v>
      </c>
      <c r="AL719" s="17" t="n">
        <f aca="false">AG719+AI719+AJ719+AK719</f>
        <v>64500.473</v>
      </c>
      <c r="AM719" s="20" t="n">
        <f aca="false">IF(L719&gt;0,AL719/L719,0)</f>
        <v>0.185125950736767</v>
      </c>
      <c r="AN719" s="16" t="n">
        <f aca="false">L719*INDEX(Parametros!$G$2:$G$9,MATCH($E719,Parametros!$A$2:$A$9,0))</f>
        <v>564430.68</v>
      </c>
      <c r="AO719" s="17" t="n">
        <f aca="false">AN719-AC719-AL719</f>
        <v>151040.547</v>
      </c>
      <c r="AP719" s="15" t="n">
        <f aca="false">IF(AN719&gt;0,AO719/AN719,0)</f>
        <v>0.267598045875182</v>
      </c>
      <c r="AQ719" s="16" t="n">
        <f aca="false">INDEX(Parametros!$I$2:$I$9,MATCH($E719,Parametros!$A$2:$A$9,0))</f>
        <v>28000000</v>
      </c>
      <c r="AR719" s="19" t="n">
        <f aca="false">IF(AQ719&gt;0,AO719/AQ719,0)</f>
        <v>0.00539430525</v>
      </c>
    </row>
    <row r="720" customFormat="false" ht="15" hidden="false" customHeight="false" outlineLevel="0" collapsed="false">
      <c r="A720" s="5" t="s">
        <v>855</v>
      </c>
      <c r="B720" s="9" t="n">
        <v>46174</v>
      </c>
      <c r="C720" s="2" t="str">
        <f aca="false">TEXT(B720,"yyyy")</f>
        <v>2026</v>
      </c>
      <c r="D720" s="2" t="n">
        <f aca="false">WEEKNUM(B720,2)</f>
        <v>23</v>
      </c>
      <c r="E720" s="5" t="s">
        <v>142</v>
      </c>
      <c r="F720" s="6" t="str">
        <f aca="false">INDEX(Parametros!$B$2:$B$9,MATCH($E720,Parametros!$A$2:$A$9,0))</f>
        <v>Porciones single serve</v>
      </c>
      <c r="G720" s="10" t="n">
        <v>150</v>
      </c>
      <c r="H720" s="10" t="n">
        <v>5.4</v>
      </c>
      <c r="I720" s="11" t="n">
        <f aca="false">SUMIFS(Eventos_Paro!$J$2:$J$2186,Eventos_Paro!$D$2:$D$2186,$E720,Eventos_Paro!$B$2:$B$2186,$B720)</f>
        <v>7.81666666666667</v>
      </c>
      <c r="J720" s="12" t="n">
        <f aca="false">G720-H720-I720</f>
        <v>136.783333333333</v>
      </c>
      <c r="K720" s="13" t="n">
        <v>310156</v>
      </c>
      <c r="L720" s="13" t="n">
        <v>260685</v>
      </c>
      <c r="M720" s="13" t="n">
        <v>13852</v>
      </c>
      <c r="N720" s="14" t="n">
        <f aca="false">L720+M720</f>
        <v>274537</v>
      </c>
      <c r="O720" s="11" t="n">
        <f aca="false">INDEX(Parametros!$D$2:$D$9,MATCH($E720,Parametros!$A$2:$A$9,0))</f>
        <v>2600</v>
      </c>
      <c r="P720" s="15" t="n">
        <f aca="false">IF((G720-H720)&gt;0,J720/(G720-H720),0)</f>
        <v>0.945942830797603</v>
      </c>
      <c r="Q720" s="15" t="n">
        <f aca="false">IF(J720*O720&gt;0,N720/(O720*J720),0)</f>
        <v>0.771959209305377</v>
      </c>
      <c r="R720" s="15" t="n">
        <f aca="false">IF(N720&gt;0,L720/N720,0)</f>
        <v>0.949544141591115</v>
      </c>
      <c r="S720" s="15" t="n">
        <f aca="false">P720*Q720*R720</f>
        <v>0.693384934567507</v>
      </c>
      <c r="T720" s="15" t="n">
        <f aca="false">IF(K720&gt;0,L720/K720,0)</f>
        <v>0.840496395362334</v>
      </c>
      <c r="U720" s="10" t="n">
        <v>2808.1</v>
      </c>
      <c r="V720" s="5" t="n">
        <v>17</v>
      </c>
      <c r="W720" s="10" t="n">
        <v>258.1</v>
      </c>
      <c r="X720" s="15" t="n">
        <f aca="false">IF(U720&gt;0,W720/U720,0)</f>
        <v>0.0919126811723229</v>
      </c>
      <c r="Y720" s="12" t="n">
        <f aca="false">IF(U720&gt;0,L720/U720,0)</f>
        <v>92.8332324347424</v>
      </c>
      <c r="Z720" s="16" t="n">
        <f aca="false">L720*INDEX(Parametros!$E$2:$E$9,MATCH($E720,Parametros!$A$2:$A$9,0))</f>
        <v>192906.9</v>
      </c>
      <c r="AA720" s="16" t="n">
        <f aca="false">Z720*INDEX(Parametros!$F$2:$F$9,MATCH($E720,Parametros!$A$2:$A$9,0))</f>
        <v>8680.8105</v>
      </c>
      <c r="AB720" s="17" t="n">
        <f aca="false">Z720+AA720</f>
        <v>201587.7105</v>
      </c>
      <c r="AC720" s="18" t="n">
        <v>200212.3</v>
      </c>
      <c r="AD720" s="17" t="n">
        <f aca="false">AC720-AB720</f>
        <v>-1375.4105</v>
      </c>
      <c r="AE720" s="17" t="n">
        <f aca="false">AA720+AD720</f>
        <v>7305.4</v>
      </c>
      <c r="AF720" s="19" t="n">
        <f aca="false">IF(Z720&gt;0,AE720/Z720,0)</f>
        <v>0.0378700813708582</v>
      </c>
      <c r="AG720" s="16" t="n">
        <f aca="false">(U720-W720)*INDEX(Parametros!$H$2:$H$9,MATCH($E720,Parametros!$A$2:$A$9,0))+W720*INDEX(Parametros!$H$2:$H$9,MATCH($E720,Parametros!$A$2:$A$9,0))*Parametros!$N$3</f>
        <v>88114.5</v>
      </c>
      <c r="AH720" s="13" t="n">
        <v>15638</v>
      </c>
      <c r="AI720" s="16" t="n">
        <f aca="false">AH720*Parametros!$N$2</f>
        <v>1438.696</v>
      </c>
      <c r="AJ720" s="18" t="n">
        <v>11788</v>
      </c>
      <c r="AK720" s="18" t="n">
        <v>6933</v>
      </c>
      <c r="AL720" s="17" t="n">
        <f aca="false">AG720+AI720+AJ720+AK720</f>
        <v>108274.196</v>
      </c>
      <c r="AM720" s="20" t="n">
        <f aca="false">IF(L720&gt;0,AL720/L720,0)</f>
        <v>0.415344941212575</v>
      </c>
      <c r="AN720" s="16" t="n">
        <f aca="false">L720*INDEX(Parametros!$G$2:$G$9,MATCH($E720,Parametros!$A$2:$A$9,0))</f>
        <v>448378.2</v>
      </c>
      <c r="AO720" s="17" t="n">
        <f aca="false">AN720-AC720-AL720</f>
        <v>139891.704</v>
      </c>
      <c r="AP720" s="15" t="n">
        <f aca="false">IF(AN720&gt;0,AO720/AN720,0)</f>
        <v>0.311994882891274</v>
      </c>
      <c r="AQ720" s="16" t="n">
        <f aca="false">INDEX(Parametros!$I$2:$I$9,MATCH($E720,Parametros!$A$2:$A$9,0))</f>
        <v>15900000</v>
      </c>
      <c r="AR720" s="19" t="n">
        <f aca="false">IF(AQ720&gt;0,AO720/AQ720,0)</f>
        <v>0.00879822037735849</v>
      </c>
    </row>
    <row r="721" customFormat="false" ht="15" hidden="false" customHeight="false" outlineLevel="0" collapsed="false">
      <c r="A721" s="5" t="s">
        <v>856</v>
      </c>
      <c r="B721" s="9" t="n">
        <v>46174</v>
      </c>
      <c r="C721" s="2" t="str">
        <f aca="false">TEXT(B721,"yyyy")</f>
        <v>2026</v>
      </c>
      <c r="D721" s="2" t="n">
        <f aca="false">WEEKNUM(B721,2)</f>
        <v>23</v>
      </c>
      <c r="E721" s="5" t="s">
        <v>144</v>
      </c>
      <c r="F721" s="6" t="str">
        <f aca="false">INDEX(Parametros!$B$2:$B$9,MATCH($E721,Parametros!$A$2:$A$9,0))</f>
        <v>Salsas picantes</v>
      </c>
      <c r="G721" s="10" t="n">
        <v>113</v>
      </c>
      <c r="H721" s="10" t="n">
        <v>7.5</v>
      </c>
      <c r="I721" s="11" t="n">
        <f aca="false">SUMIFS(Eventos_Paro!$J$2:$J$2186,Eventos_Paro!$D$2:$D$2186,$E721,Eventos_Paro!$B$2:$B$2186,$B721)</f>
        <v>0.666666666666667</v>
      </c>
      <c r="J721" s="12" t="n">
        <f aca="false">G721-H721-I721</f>
        <v>104.833333333333</v>
      </c>
      <c r="K721" s="13" t="n">
        <v>248980</v>
      </c>
      <c r="L721" s="13" t="n">
        <v>280018</v>
      </c>
      <c r="M721" s="13" t="n">
        <v>4478</v>
      </c>
      <c r="N721" s="14" t="n">
        <f aca="false">L721+M721</f>
        <v>284496</v>
      </c>
      <c r="O721" s="11" t="n">
        <f aca="false">INDEX(Parametros!$D$2:$D$9,MATCH($E721,Parametros!$A$2:$A$9,0))</f>
        <v>3100</v>
      </c>
      <c r="P721" s="15" t="n">
        <f aca="false">IF((G721-H721)&gt;0,J721/(G721-H721),0)</f>
        <v>0.993680884676145</v>
      </c>
      <c r="Q721" s="15" t="n">
        <f aca="false">IF(J721*O721&gt;0,N721/(O721*J721),0)</f>
        <v>0.875417200882097</v>
      </c>
      <c r="R721" s="15" t="n">
        <f aca="false">IF(N721&gt;0,L721/N721,0)</f>
        <v>0.984259884145999</v>
      </c>
      <c r="S721" s="15" t="n">
        <f aca="false">P721*Q721*R721</f>
        <v>0.856193242623452</v>
      </c>
      <c r="T721" s="15" t="n">
        <f aca="false">IF(K721&gt;0,L721/K721,0)</f>
        <v>1.12466061531047</v>
      </c>
      <c r="U721" s="10" t="n">
        <v>1174.8</v>
      </c>
      <c r="V721" s="5" t="n">
        <v>10</v>
      </c>
      <c r="W721" s="10" t="n">
        <v>44.8</v>
      </c>
      <c r="X721" s="15" t="n">
        <f aca="false">IF(U721&gt;0,W721/U721,0)</f>
        <v>0.0381341504937011</v>
      </c>
      <c r="Y721" s="12" t="n">
        <f aca="false">IF(U721&gt;0,L721/U721,0)</f>
        <v>238.353762342526</v>
      </c>
      <c r="Z721" s="16" t="n">
        <f aca="false">L721*INDEX(Parametros!$E$2:$E$9,MATCH($E721,Parametros!$A$2:$A$9,0))</f>
        <v>184811.88</v>
      </c>
      <c r="AA721" s="16" t="n">
        <f aca="false">Z721*INDEX(Parametros!$F$2:$F$9,MATCH($E721,Parametros!$A$2:$A$9,0))</f>
        <v>4805.10888</v>
      </c>
      <c r="AB721" s="17" t="n">
        <f aca="false">Z721+AA721</f>
        <v>189616.98888</v>
      </c>
      <c r="AC721" s="18" t="n">
        <v>187383.37</v>
      </c>
      <c r="AD721" s="17" t="n">
        <f aca="false">AC721-AB721</f>
        <v>-2233.61888000002</v>
      </c>
      <c r="AE721" s="17" t="n">
        <f aca="false">AA721+AD721</f>
        <v>2571.48999999998</v>
      </c>
      <c r="AF721" s="19" t="n">
        <f aca="false">IF(Z721&gt;0,AE721/Z721,0)</f>
        <v>0.0139140946999726</v>
      </c>
      <c r="AG721" s="16" t="n">
        <f aca="false">(U721-W721)*INDEX(Parametros!$H$2:$H$9,MATCH($E721,Parametros!$A$2:$A$9,0))+W721*INDEX(Parametros!$H$2:$H$9,MATCH($E721,Parametros!$A$2:$A$9,0))*Parametros!$N$3</f>
        <v>37711.8</v>
      </c>
      <c r="AH721" s="13" t="n">
        <v>14711</v>
      </c>
      <c r="AI721" s="16" t="n">
        <f aca="false">AH721*Parametros!$N$2</f>
        <v>1353.412</v>
      </c>
      <c r="AJ721" s="18" t="n">
        <v>7041</v>
      </c>
      <c r="AK721" s="18" t="n">
        <v>351</v>
      </c>
      <c r="AL721" s="17" t="n">
        <f aca="false">AG721+AI721+AJ721+AK721</f>
        <v>46457.212</v>
      </c>
      <c r="AM721" s="20" t="n">
        <f aca="false">IF(L721&gt;0,AL721/L721,0)</f>
        <v>0.165907948774722</v>
      </c>
      <c r="AN721" s="16" t="n">
        <f aca="false">L721*INDEX(Parametros!$G$2:$G$9,MATCH($E721,Parametros!$A$2:$A$9,0))</f>
        <v>350022.5</v>
      </c>
      <c r="AO721" s="17" t="n">
        <f aca="false">AN721-AC721-AL721</f>
        <v>116181.918</v>
      </c>
      <c r="AP721" s="15" t="n">
        <f aca="false">IF(AN721&gt;0,AO721/AN721,0)</f>
        <v>0.331926998978637</v>
      </c>
      <c r="AQ721" s="16" t="n">
        <f aca="false">INDEX(Parametros!$I$2:$I$9,MATCH($E721,Parametros!$A$2:$A$9,0))</f>
        <v>13300000</v>
      </c>
      <c r="AR721" s="19" t="n">
        <f aca="false">IF(AQ721&gt;0,AO721/AQ721,0)</f>
        <v>0.00873548255639098</v>
      </c>
    </row>
    <row r="722" customFormat="false" ht="15" hidden="false" customHeight="false" outlineLevel="0" collapsed="false">
      <c r="A722" s="5" t="s">
        <v>857</v>
      </c>
      <c r="B722" s="9" t="n">
        <v>46181</v>
      </c>
      <c r="C722" s="2" t="str">
        <f aca="false">TEXT(B722,"yyyy")</f>
        <v>2026</v>
      </c>
      <c r="D722" s="2" t="n">
        <f aca="false">WEEKNUM(B722,2)</f>
        <v>24</v>
      </c>
      <c r="E722" s="5" t="s">
        <v>130</v>
      </c>
      <c r="F722" s="6" t="str">
        <f aca="false">INDEX(Parametros!$B$2:$B$9,MATCH($E722,Parametros!$A$2:$A$9,0))</f>
        <v>Ketchup botella</v>
      </c>
      <c r="G722" s="10" t="n">
        <v>118.9</v>
      </c>
      <c r="H722" s="10" t="n">
        <v>5.9</v>
      </c>
      <c r="I722" s="11" t="n">
        <f aca="false">SUMIFS(Eventos_Paro!$J$2:$J$2186,Eventos_Paro!$D$2:$D$2186,$E722,Eventos_Paro!$B$2:$B$2186,$B722)</f>
        <v>0</v>
      </c>
      <c r="J722" s="12" t="n">
        <f aca="false">G722-H722-I722</f>
        <v>113</v>
      </c>
      <c r="K722" s="13" t="n">
        <v>841256</v>
      </c>
      <c r="L722" s="13" t="n">
        <v>858991</v>
      </c>
      <c r="M722" s="13" t="n">
        <v>18647</v>
      </c>
      <c r="N722" s="14" t="n">
        <f aca="false">L722+M722</f>
        <v>877638</v>
      </c>
      <c r="O722" s="11" t="n">
        <f aca="false">INDEX(Parametros!$D$2:$D$9,MATCH($E722,Parametros!$A$2:$A$9,0))</f>
        <v>9000</v>
      </c>
      <c r="P722" s="15" t="n">
        <f aca="false">IF((G722-H722)&gt;0,J722/(G722-H722),0)</f>
        <v>1</v>
      </c>
      <c r="Q722" s="15" t="n">
        <f aca="false">IF(J722*O722&gt;0,N722/(O722*J722),0)</f>
        <v>0.862967551622419</v>
      </c>
      <c r="R722" s="15" t="n">
        <f aca="false">IF(N722&gt;0,L722/N722,0)</f>
        <v>0.97875319892712</v>
      </c>
      <c r="S722" s="15" t="n">
        <f aca="false">P722*Q722*R722</f>
        <v>0.844632251720747</v>
      </c>
      <c r="T722" s="15" t="n">
        <f aca="false">IF(K722&gt;0,L722/K722,0)</f>
        <v>1.02108157326664</v>
      </c>
      <c r="U722" s="10" t="n">
        <v>1800.6</v>
      </c>
      <c r="V722" s="5" t="n">
        <v>14</v>
      </c>
      <c r="W722" s="10" t="n">
        <v>136</v>
      </c>
      <c r="X722" s="15" t="n">
        <f aca="false">IF(U722&gt;0,W722/U722,0)</f>
        <v>0.0755303787626347</v>
      </c>
      <c r="Y722" s="12" t="n">
        <f aca="false">IF(U722&gt;0,L722/U722,0)</f>
        <v>477.058202821282</v>
      </c>
      <c r="Z722" s="16" t="n">
        <f aca="false">L722*INDEX(Parametros!$E$2:$E$9,MATCH($E722,Parametros!$A$2:$A$9,0))</f>
        <v>360776.22</v>
      </c>
      <c r="AA722" s="16" t="n">
        <f aca="false">Z722*INDEX(Parametros!$F$2:$F$9,MATCH($E722,Parametros!$A$2:$A$9,0))</f>
        <v>7215.5244</v>
      </c>
      <c r="AB722" s="17" t="n">
        <f aca="false">Z722+AA722</f>
        <v>367991.7444</v>
      </c>
      <c r="AC722" s="18" t="n">
        <v>363724.49</v>
      </c>
      <c r="AD722" s="17" t="n">
        <f aca="false">AC722-AB722</f>
        <v>-4267.25439999998</v>
      </c>
      <c r="AE722" s="17" t="n">
        <f aca="false">AA722+AD722</f>
        <v>2948.27000000002</v>
      </c>
      <c r="AF722" s="19" t="n">
        <f aca="false">IF(Z722&gt;0,AE722/Z722,0)</f>
        <v>0.00817201865466638</v>
      </c>
      <c r="AG722" s="16" t="n">
        <f aca="false">(U722-W722)*INDEX(Parametros!$H$2:$H$9,MATCH($E722,Parametros!$A$2:$A$9,0))+W722*INDEX(Parametros!$H$2:$H$9,MATCH($E722,Parametros!$A$2:$A$9,0))*Parametros!$N$3</f>
        <v>58860.9</v>
      </c>
      <c r="AH722" s="13" t="n">
        <v>42427</v>
      </c>
      <c r="AI722" s="16" t="n">
        <f aca="false">AH722*Parametros!$N$2</f>
        <v>3903.284</v>
      </c>
      <c r="AJ722" s="18" t="n">
        <v>16347</v>
      </c>
      <c r="AK722" s="18" t="n">
        <v>0</v>
      </c>
      <c r="AL722" s="17" t="n">
        <f aca="false">AG722+AI722+AJ722+AK722</f>
        <v>79111.184</v>
      </c>
      <c r="AM722" s="20" t="n">
        <f aca="false">IF(L722&gt;0,AL722/L722,0)</f>
        <v>0.0920978031201724</v>
      </c>
      <c r="AN722" s="16" t="n">
        <f aca="false">L722*INDEX(Parametros!$G$2:$G$9,MATCH($E722,Parametros!$A$2:$A$9,0))</f>
        <v>609883.61</v>
      </c>
      <c r="AO722" s="17" t="n">
        <f aca="false">AN722-AC722-AL722</f>
        <v>167047.936</v>
      </c>
      <c r="AP722" s="15" t="n">
        <f aca="false">IF(AN722&gt;0,AO722/AN722,0)</f>
        <v>0.273901336682912</v>
      </c>
      <c r="AQ722" s="16" t="n">
        <f aca="false">INDEX(Parametros!$I$2:$I$9,MATCH($E722,Parametros!$A$2:$A$9,0))</f>
        <v>29300000</v>
      </c>
      <c r="AR722" s="19" t="n">
        <f aca="false">IF(AQ722&gt;0,AO722/AQ722,0)</f>
        <v>0.0057012947440273</v>
      </c>
    </row>
    <row r="723" customFormat="false" ht="15" hidden="false" customHeight="false" outlineLevel="0" collapsed="false">
      <c r="A723" s="5" t="s">
        <v>858</v>
      </c>
      <c r="B723" s="9" t="n">
        <v>46181</v>
      </c>
      <c r="C723" s="2" t="str">
        <f aca="false">TEXT(B723,"yyyy")</f>
        <v>2026</v>
      </c>
      <c r="D723" s="2" t="n">
        <f aca="false">WEEKNUM(B723,2)</f>
        <v>24</v>
      </c>
      <c r="E723" s="5" t="s">
        <v>132</v>
      </c>
      <c r="F723" s="6" t="str">
        <f aca="false">INDEX(Parametros!$B$2:$B$9,MATCH($E723,Parametros!$A$2:$A$9,0))</f>
        <v>Mayonesa frasco</v>
      </c>
      <c r="G723" s="10" t="n">
        <v>122.9</v>
      </c>
      <c r="H723" s="10" t="n">
        <v>5.5</v>
      </c>
      <c r="I723" s="11" t="n">
        <f aca="false">SUMIFS(Eventos_Paro!$J$2:$J$2186,Eventos_Paro!$D$2:$D$2186,$E723,Eventos_Paro!$B$2:$B$2186,$B723)</f>
        <v>0</v>
      </c>
      <c r="J723" s="12" t="n">
        <f aca="false">G723-H723-I723</f>
        <v>117.4</v>
      </c>
      <c r="K723" s="13" t="n">
        <v>631232</v>
      </c>
      <c r="L723" s="13" t="n">
        <v>649085</v>
      </c>
      <c r="M723" s="13" t="n">
        <v>24271</v>
      </c>
      <c r="N723" s="14" t="n">
        <f aca="false">L723+M723</f>
        <v>673356</v>
      </c>
      <c r="O723" s="11" t="n">
        <f aca="false">INDEX(Parametros!$D$2:$D$9,MATCH($E723,Parametros!$A$2:$A$9,0))</f>
        <v>6500</v>
      </c>
      <c r="P723" s="15" t="n">
        <f aca="false">IF((G723-H723)&gt;0,J723/(G723-H723),0)</f>
        <v>1</v>
      </c>
      <c r="Q723" s="15" t="n">
        <f aca="false">IF(J723*O723&gt;0,N723/(O723*J723),0)</f>
        <v>0.882395492071812</v>
      </c>
      <c r="R723" s="15" t="n">
        <f aca="false">IF(N723&gt;0,L723/N723,0)</f>
        <v>0.963955173786229</v>
      </c>
      <c r="S723" s="15" t="n">
        <f aca="false">P723*Q723*R723</f>
        <v>0.850589699908269</v>
      </c>
      <c r="T723" s="15" t="n">
        <f aca="false">IF(K723&gt;0,L723/K723,0)</f>
        <v>1.02828278667748</v>
      </c>
      <c r="U723" s="10" t="n">
        <v>1490.9</v>
      </c>
      <c r="V723" s="5" t="n">
        <v>12</v>
      </c>
      <c r="W723" s="10" t="n">
        <v>16.1</v>
      </c>
      <c r="X723" s="15" t="n">
        <f aca="false">IF(U723&gt;0,W723/U723,0)</f>
        <v>0.0107988463344289</v>
      </c>
      <c r="Y723" s="12" t="n">
        <f aca="false">IF(U723&gt;0,L723/U723,0)</f>
        <v>435.364544905762</v>
      </c>
      <c r="Z723" s="16" t="n">
        <f aca="false">L723*INDEX(Parametros!$E$2:$E$9,MATCH($E723,Parametros!$A$2:$A$9,0))</f>
        <v>395941.85</v>
      </c>
      <c r="AA723" s="16" t="n">
        <f aca="false">Z723*INDEX(Parametros!$F$2:$F$9,MATCH($E723,Parametros!$A$2:$A$9,0))</f>
        <v>9898.54625</v>
      </c>
      <c r="AB723" s="17" t="n">
        <f aca="false">Z723+AA723</f>
        <v>405840.39625</v>
      </c>
      <c r="AC723" s="18" t="n">
        <v>402106.46</v>
      </c>
      <c r="AD723" s="17" t="n">
        <f aca="false">AC723-AB723</f>
        <v>-3733.93624999997</v>
      </c>
      <c r="AE723" s="17" t="n">
        <f aca="false">AA723+AD723</f>
        <v>6164.61000000003</v>
      </c>
      <c r="AF723" s="19" t="n">
        <f aca="false">IF(Z723&gt;0,AE723/Z723,0)</f>
        <v>0.0155694832460879</v>
      </c>
      <c r="AG723" s="16" t="n">
        <f aca="false">(U723-W723)*INDEX(Parametros!$H$2:$H$9,MATCH($E723,Parametros!$A$2:$A$9,0))+W723*INDEX(Parametros!$H$2:$H$9,MATCH($E723,Parametros!$A$2:$A$9,0))*Parametros!$N$3</f>
        <v>47216.925</v>
      </c>
      <c r="AH723" s="13" t="n">
        <v>32139</v>
      </c>
      <c r="AI723" s="16" t="n">
        <f aca="false">AH723*Parametros!$N$2</f>
        <v>2956.788</v>
      </c>
      <c r="AJ723" s="18" t="n">
        <v>15313</v>
      </c>
      <c r="AK723" s="18" t="n">
        <v>0</v>
      </c>
      <c r="AL723" s="17" t="n">
        <f aca="false">AG723+AI723+AJ723+AK723</f>
        <v>65486.713</v>
      </c>
      <c r="AM723" s="20" t="n">
        <f aca="false">IF(L723&gt;0,AL723/L723,0)</f>
        <v>0.100890812451374</v>
      </c>
      <c r="AN723" s="16" t="n">
        <f aca="false">L723*INDEX(Parametros!$G$2:$G$9,MATCH($E723,Parametros!$A$2:$A$9,0))</f>
        <v>623121.6</v>
      </c>
      <c r="AO723" s="17" t="n">
        <f aca="false">AN723-AC723-AL723</f>
        <v>155528.427</v>
      </c>
      <c r="AP723" s="15" t="n">
        <f aca="false">IF(AN723&gt;0,AO723/AN723,0)</f>
        <v>0.249595627883867</v>
      </c>
      <c r="AQ723" s="16" t="n">
        <f aca="false">INDEX(Parametros!$I$2:$I$9,MATCH($E723,Parametros!$A$2:$A$9,0))</f>
        <v>29700000</v>
      </c>
      <c r="AR723" s="19" t="n">
        <f aca="false">IF(AQ723&gt;0,AO723/AQ723,0)</f>
        <v>0.00523664737373737</v>
      </c>
    </row>
    <row r="724" customFormat="false" ht="15" hidden="false" customHeight="false" outlineLevel="0" collapsed="false">
      <c r="A724" s="5" t="s">
        <v>859</v>
      </c>
      <c r="B724" s="9" t="n">
        <v>46181</v>
      </c>
      <c r="C724" s="2" t="str">
        <f aca="false">TEXT(B724,"yyyy")</f>
        <v>2026</v>
      </c>
      <c r="D724" s="2" t="n">
        <f aca="false">WEEKNUM(B724,2)</f>
        <v>24</v>
      </c>
      <c r="E724" s="5" t="s">
        <v>134</v>
      </c>
      <c r="F724" s="6" t="str">
        <f aca="false">INDEX(Parametros!$B$2:$B$9,MATCH($E724,Parametros!$A$2:$A$9,0))</f>
        <v>Aderezos vertibles</v>
      </c>
      <c r="G724" s="10" t="n">
        <v>127.6</v>
      </c>
      <c r="H724" s="10" t="n">
        <v>5.2</v>
      </c>
      <c r="I724" s="11" t="n">
        <f aca="false">SUMIFS(Eventos_Paro!$J$2:$J$2186,Eventos_Paro!$D$2:$D$2186,$E724,Eventos_Paro!$B$2:$B$2186,$B724)</f>
        <v>4.8</v>
      </c>
      <c r="J724" s="12" t="n">
        <f aca="false">G724-H724-I724</f>
        <v>117.6</v>
      </c>
      <c r="K724" s="13" t="n">
        <v>526493</v>
      </c>
      <c r="L724" s="13" t="n">
        <v>529607</v>
      </c>
      <c r="M724" s="13" t="n">
        <v>12720</v>
      </c>
      <c r="N724" s="14" t="n">
        <f aca="false">L724+M724</f>
        <v>542327</v>
      </c>
      <c r="O724" s="11" t="n">
        <f aca="false">INDEX(Parametros!$D$2:$D$9,MATCH($E724,Parametros!$A$2:$A$9,0))</f>
        <v>5200</v>
      </c>
      <c r="P724" s="15" t="n">
        <f aca="false">IF((G724-H724)&gt;0,J724/(G724-H724),0)</f>
        <v>0.96078431372549</v>
      </c>
      <c r="Q724" s="15" t="n">
        <f aca="false">IF(J724*O724&gt;0,N724/(O724*J724),0)</f>
        <v>0.886850798011512</v>
      </c>
      <c r="R724" s="15" t="n">
        <f aca="false">IF(N724&gt;0,L724/N724,0)</f>
        <v>0.976545515897236</v>
      </c>
      <c r="S724" s="15" t="n">
        <f aca="false">P724*Q724*R724</f>
        <v>0.832087418300654</v>
      </c>
      <c r="T724" s="15" t="n">
        <f aca="false">IF(K724&gt;0,L724/K724,0)</f>
        <v>1.0059146085513</v>
      </c>
      <c r="U724" s="10" t="n">
        <v>1860.5</v>
      </c>
      <c r="V724" s="5" t="n">
        <v>13</v>
      </c>
      <c r="W724" s="10" t="n">
        <v>201.7</v>
      </c>
      <c r="X724" s="15" t="n">
        <f aca="false">IF(U724&gt;0,W724/U724,0)</f>
        <v>0.108411717280301</v>
      </c>
      <c r="Y724" s="12" t="n">
        <f aca="false">IF(U724&gt;0,L724/U724,0)</f>
        <v>284.658425154528</v>
      </c>
      <c r="Z724" s="16" t="n">
        <f aca="false">L724*INDEX(Parametros!$E$2:$E$9,MATCH($E724,Parametros!$A$2:$A$9,0))</f>
        <v>291283.85</v>
      </c>
      <c r="AA724" s="16" t="n">
        <f aca="false">Z724*INDEX(Parametros!$F$2:$F$9,MATCH($E724,Parametros!$A$2:$A$9,0))</f>
        <v>8738.5155</v>
      </c>
      <c r="AB724" s="17" t="n">
        <f aca="false">Z724+AA724</f>
        <v>300022.3655</v>
      </c>
      <c r="AC724" s="18" t="n">
        <v>298588.92</v>
      </c>
      <c r="AD724" s="17" t="n">
        <f aca="false">AC724-AB724</f>
        <v>-1433.44550000003</v>
      </c>
      <c r="AE724" s="17" t="n">
        <f aca="false">AA724+AD724</f>
        <v>7305.06999999997</v>
      </c>
      <c r="AF724" s="19" t="n">
        <f aca="false">IF(Z724&gt;0,AE724/Z724,0)</f>
        <v>0.0250788706617273</v>
      </c>
      <c r="AG724" s="16" t="n">
        <f aca="false">(U724-W724)*INDEX(Parametros!$H$2:$H$9,MATCH($E724,Parametros!$A$2:$A$9,0))+W724*INDEX(Parametros!$H$2:$H$9,MATCH($E724,Parametros!$A$2:$A$9,0))*Parametros!$N$3</f>
        <v>61782.525</v>
      </c>
      <c r="AH724" s="13" t="n">
        <v>24607</v>
      </c>
      <c r="AI724" s="16" t="n">
        <f aca="false">AH724*Parametros!$N$2</f>
        <v>2263.844</v>
      </c>
      <c r="AJ724" s="18" t="n">
        <v>9647</v>
      </c>
      <c r="AK724" s="18" t="n">
        <v>4044</v>
      </c>
      <c r="AL724" s="17" t="n">
        <f aca="false">AG724+AI724+AJ724+AK724</f>
        <v>77737.369</v>
      </c>
      <c r="AM724" s="20" t="n">
        <f aca="false">IF(L724&gt;0,AL724/L724,0)</f>
        <v>0.146783122201935</v>
      </c>
      <c r="AN724" s="16" t="n">
        <f aca="false">L724*INDEX(Parametros!$G$2:$G$9,MATCH($E724,Parametros!$A$2:$A$9,0))</f>
        <v>540199.14</v>
      </c>
      <c r="AO724" s="17" t="n">
        <f aca="false">AN724-AC724-AL724</f>
        <v>163872.851</v>
      </c>
      <c r="AP724" s="15" t="n">
        <f aca="false">IF(AN724&gt;0,AO724/AN724,0)</f>
        <v>0.303356371504035</v>
      </c>
      <c r="AQ724" s="16" t="n">
        <f aca="false">INDEX(Parametros!$I$2:$I$9,MATCH($E724,Parametros!$A$2:$A$9,0))</f>
        <v>19300000</v>
      </c>
      <c r="AR724" s="19" t="n">
        <f aca="false">IF(AQ724&gt;0,AO724/AQ724,0)</f>
        <v>0.00849082129533679</v>
      </c>
    </row>
    <row r="725" customFormat="false" ht="15" hidden="false" customHeight="false" outlineLevel="0" collapsed="false">
      <c r="A725" s="5" t="s">
        <v>860</v>
      </c>
      <c r="B725" s="9" t="n">
        <v>46181</v>
      </c>
      <c r="C725" s="2" t="str">
        <f aca="false">TEXT(B725,"yyyy")</f>
        <v>2026</v>
      </c>
      <c r="D725" s="2" t="n">
        <f aca="false">WEEKNUM(B725,2)</f>
        <v>24</v>
      </c>
      <c r="E725" s="5" t="s">
        <v>136</v>
      </c>
      <c r="F725" s="6" t="str">
        <f aca="false">INDEX(Parametros!$B$2:$B$9,MATCH($E725,Parametros!$A$2:$A$9,0))</f>
        <v>Salsa BBQ</v>
      </c>
      <c r="G725" s="10" t="n">
        <v>125</v>
      </c>
      <c r="H725" s="10" t="n">
        <v>7.8</v>
      </c>
      <c r="I725" s="11" t="n">
        <f aca="false">SUMIFS(Eventos_Paro!$J$2:$J$2186,Eventos_Paro!$D$2:$D$2186,$E725,Eventos_Paro!$B$2:$B$2186,$B725)</f>
        <v>0.333333333333333</v>
      </c>
      <c r="J725" s="12" t="n">
        <f aca="false">G725-H725-I725</f>
        <v>116.866666666667</v>
      </c>
      <c r="K725" s="13" t="n">
        <v>518891</v>
      </c>
      <c r="L725" s="13" t="n">
        <v>445145</v>
      </c>
      <c r="M725" s="13" t="n">
        <v>15747</v>
      </c>
      <c r="N725" s="14" t="n">
        <f aca="false">L725+M725</f>
        <v>460892</v>
      </c>
      <c r="O725" s="11" t="n">
        <f aca="false">INDEX(Parametros!$D$2:$D$9,MATCH($E725,Parametros!$A$2:$A$9,0))</f>
        <v>4800</v>
      </c>
      <c r="P725" s="15" t="n">
        <f aca="false">IF((G725-H725)&gt;0,J725/(G725-H725),0)</f>
        <v>0.997155858930603</v>
      </c>
      <c r="Q725" s="15" t="n">
        <f aca="false">IF(J725*O725&gt;0,N725/(O725*J725),0)</f>
        <v>0.821612949229892</v>
      </c>
      <c r="R725" s="15" t="n">
        <f aca="false">IF(N725&gt;0,L725/N725,0)</f>
        <v>0.965833644324484</v>
      </c>
      <c r="S725" s="15" t="n">
        <f aca="false">P725*Q725*R725</f>
        <v>0.791284485210467</v>
      </c>
      <c r="T725" s="15" t="n">
        <f aca="false">IF(K725&gt;0,L725/K725,0)</f>
        <v>0.857877666022344</v>
      </c>
      <c r="U725" s="10" t="n">
        <v>1322.1</v>
      </c>
      <c r="V725" s="5" t="n">
        <v>10</v>
      </c>
      <c r="W725" s="10" t="n">
        <v>72.1</v>
      </c>
      <c r="X725" s="15" t="n">
        <f aca="false">IF(U725&gt;0,W725/U725,0)</f>
        <v>0.0545344527645413</v>
      </c>
      <c r="Y725" s="12" t="n">
        <f aca="false">IF(U725&gt;0,L725/U725,0)</f>
        <v>336.695408819303</v>
      </c>
      <c r="Z725" s="16" t="n">
        <f aca="false">L725*INDEX(Parametros!$E$2:$E$9,MATCH($E725,Parametros!$A$2:$A$9,0))</f>
        <v>258184.1</v>
      </c>
      <c r="AA725" s="16" t="n">
        <f aca="false">Z725*INDEX(Parametros!$F$2:$F$9,MATCH($E725,Parametros!$A$2:$A$9,0))</f>
        <v>7229.1548</v>
      </c>
      <c r="AB725" s="17" t="n">
        <f aca="false">Z725+AA725</f>
        <v>265413.2548</v>
      </c>
      <c r="AC725" s="18" t="n">
        <v>261275.28</v>
      </c>
      <c r="AD725" s="17" t="n">
        <f aca="false">AC725-AB725</f>
        <v>-4137.9748</v>
      </c>
      <c r="AE725" s="17" t="n">
        <f aca="false">AA725+AD725</f>
        <v>3091.18</v>
      </c>
      <c r="AF725" s="19" t="n">
        <f aca="false">IF(Z725&gt;0,AE725/Z725,0)</f>
        <v>0.0119727744659722</v>
      </c>
      <c r="AG725" s="16" t="n">
        <f aca="false">(U725-W725)*INDEX(Parametros!$H$2:$H$9,MATCH($E725,Parametros!$A$2:$A$9,0))+W725*INDEX(Parametros!$H$2:$H$9,MATCH($E725,Parametros!$A$2:$A$9,0))*Parametros!$N$3</f>
        <v>42781.725</v>
      </c>
      <c r="AH725" s="13" t="n">
        <v>23872</v>
      </c>
      <c r="AI725" s="16" t="n">
        <f aca="false">AH725*Parametros!$N$2</f>
        <v>2196.224</v>
      </c>
      <c r="AJ725" s="18" t="n">
        <v>8975</v>
      </c>
      <c r="AK725" s="18" t="n">
        <v>350</v>
      </c>
      <c r="AL725" s="17" t="n">
        <f aca="false">AG725+AI725+AJ725+AK725</f>
        <v>54302.949</v>
      </c>
      <c r="AM725" s="20" t="n">
        <f aca="false">IF(L725&gt;0,AL725/L725,0)</f>
        <v>0.121989349537791</v>
      </c>
      <c r="AN725" s="16" t="n">
        <f aca="false">L725*INDEX(Parametros!$G$2:$G$9,MATCH($E725,Parametros!$A$2:$A$9,0))</f>
        <v>436242.1</v>
      </c>
      <c r="AO725" s="17" t="n">
        <f aca="false">AN725-AC725-AL725</f>
        <v>120663.871</v>
      </c>
      <c r="AP725" s="15" t="n">
        <f aca="false">IF(AN725&gt;0,AO725/AN725,0)</f>
        <v>0.276598409461168</v>
      </c>
      <c r="AQ725" s="16" t="n">
        <f aca="false">INDEX(Parametros!$I$2:$I$9,MATCH($E725,Parametros!$A$2:$A$9,0))</f>
        <v>17000000</v>
      </c>
      <c r="AR725" s="19" t="n">
        <f aca="false">IF(AQ725&gt;0,AO725/AQ725,0)</f>
        <v>0.00709787476470588</v>
      </c>
    </row>
    <row r="726" customFormat="false" ht="15" hidden="false" customHeight="false" outlineLevel="0" collapsed="false">
      <c r="A726" s="5" t="s">
        <v>861</v>
      </c>
      <c r="B726" s="9" t="n">
        <v>46181</v>
      </c>
      <c r="C726" s="2" t="str">
        <f aca="false">TEXT(B726,"yyyy")</f>
        <v>2026</v>
      </c>
      <c r="D726" s="2" t="n">
        <f aca="false">WEEKNUM(B726,2)</f>
        <v>24</v>
      </c>
      <c r="E726" s="5" t="s">
        <v>138</v>
      </c>
      <c r="F726" s="6" t="str">
        <f aca="false">INDEX(Parametros!$B$2:$B$9,MATCH($E726,Parametros!$A$2:$A$9,0))</f>
        <v>Queso crema</v>
      </c>
      <c r="G726" s="10" t="n">
        <v>133.9</v>
      </c>
      <c r="H726" s="10" t="n">
        <v>6.9</v>
      </c>
      <c r="I726" s="11" t="n">
        <f aca="false">SUMIFS(Eventos_Paro!$J$2:$J$2186,Eventos_Paro!$D$2:$D$2186,$E726,Eventos_Paro!$B$2:$B$2186,$B726)</f>
        <v>1.86666666666667</v>
      </c>
      <c r="J726" s="12" t="n">
        <f aca="false">G726-H726-I726</f>
        <v>125.133333333333</v>
      </c>
      <c r="K726" s="13" t="n">
        <v>399204</v>
      </c>
      <c r="L726" s="13" t="n">
        <v>366444</v>
      </c>
      <c r="M726" s="13" t="n">
        <v>15745</v>
      </c>
      <c r="N726" s="14" t="n">
        <f aca="false">L726+M726</f>
        <v>382189</v>
      </c>
      <c r="O726" s="11" t="n">
        <f aca="false">INDEX(Parametros!$D$2:$D$9,MATCH($E726,Parametros!$A$2:$A$9,0))</f>
        <v>3800</v>
      </c>
      <c r="P726" s="15" t="n">
        <f aca="false">IF((G726-H726)&gt;0,J726/(G726-H726),0)</f>
        <v>0.985301837270341</v>
      </c>
      <c r="Q726" s="15" t="n">
        <f aca="false">IF(J726*O726&gt;0,N726/(O726*J726),0)</f>
        <v>0.803751086560301</v>
      </c>
      <c r="R726" s="15" t="n">
        <f aca="false">IF(N726&gt;0,L726/N726,0)</f>
        <v>0.958803105269906</v>
      </c>
      <c r="S726" s="15" t="n">
        <f aca="false">P726*Q726*R726</f>
        <v>0.759312059676751</v>
      </c>
      <c r="T726" s="15" t="n">
        <f aca="false">IF(K726&gt;0,L726/K726,0)</f>
        <v>0.917936694021102</v>
      </c>
      <c r="U726" s="10" t="n">
        <v>2141.7</v>
      </c>
      <c r="V726" s="5" t="n">
        <v>15</v>
      </c>
      <c r="W726" s="10" t="n">
        <v>133.2</v>
      </c>
      <c r="X726" s="15" t="n">
        <f aca="false">IF(U726&gt;0,W726/U726,0)</f>
        <v>0.0621935845356493</v>
      </c>
      <c r="Y726" s="12" t="n">
        <f aca="false">IF(U726&gt;0,L726/U726,0)</f>
        <v>171.099593780642</v>
      </c>
      <c r="Z726" s="16" t="n">
        <f aca="false">L726*INDEX(Parametros!$E$2:$E$9,MATCH($E726,Parametros!$A$2:$A$9,0))</f>
        <v>410417.28</v>
      </c>
      <c r="AA726" s="16" t="n">
        <f aca="false">Z726*INDEX(Parametros!$F$2:$F$9,MATCH($E726,Parametros!$A$2:$A$9,0))</f>
        <v>14364.6048</v>
      </c>
      <c r="AB726" s="17" t="n">
        <f aca="false">Z726+AA726</f>
        <v>424781.8848</v>
      </c>
      <c r="AC726" s="18" t="n">
        <v>425304.79</v>
      </c>
      <c r="AD726" s="17" t="n">
        <f aca="false">AC726-AB726</f>
        <v>522.905199999921</v>
      </c>
      <c r="AE726" s="17" t="n">
        <f aca="false">AA726+AD726</f>
        <v>14887.5099999999</v>
      </c>
      <c r="AF726" s="19" t="n">
        <f aca="false">IF(Z726&gt;0,AE726/Z726,0)</f>
        <v>0.0362740818320318</v>
      </c>
      <c r="AG726" s="16" t="n">
        <f aca="false">(U726-W726)*INDEX(Parametros!$H$2:$H$9,MATCH($E726,Parametros!$A$2:$A$9,0))+W726*INDEX(Parametros!$H$2:$H$9,MATCH($E726,Parametros!$A$2:$A$9,0))*Parametros!$N$3</f>
        <v>72873.9</v>
      </c>
      <c r="AH726" s="13" t="n">
        <v>18877</v>
      </c>
      <c r="AI726" s="16" t="n">
        <f aca="false">AH726*Parametros!$N$2</f>
        <v>1736.684</v>
      </c>
      <c r="AJ726" s="18" t="n">
        <v>17446</v>
      </c>
      <c r="AK726" s="18" t="n">
        <v>589</v>
      </c>
      <c r="AL726" s="17" t="n">
        <f aca="false">AG726+AI726+AJ726+AK726</f>
        <v>92645.584</v>
      </c>
      <c r="AM726" s="20" t="n">
        <f aca="false">IF(L726&gt;0,AL726/L726,0)</f>
        <v>0.252823307244763</v>
      </c>
      <c r="AN726" s="16" t="n">
        <f aca="false">L726*INDEX(Parametros!$G$2:$G$9,MATCH($E726,Parametros!$A$2:$A$9,0))</f>
        <v>655934.76</v>
      </c>
      <c r="AO726" s="17" t="n">
        <f aca="false">AN726-AC726-AL726</f>
        <v>137984.386</v>
      </c>
      <c r="AP726" s="15" t="n">
        <f aca="false">IF(AN726&gt;0,AO726/AN726,0)</f>
        <v>0.210362972683442</v>
      </c>
      <c r="AQ726" s="16" t="n">
        <f aca="false">INDEX(Parametros!$I$2:$I$9,MATCH($E726,Parametros!$A$2:$A$9,0))</f>
        <v>33200000</v>
      </c>
      <c r="AR726" s="19" t="n">
        <f aca="false">IF(AQ726&gt;0,AO726/AQ726,0)</f>
        <v>0.00415615620481928</v>
      </c>
    </row>
    <row r="727" customFormat="false" ht="15" hidden="false" customHeight="false" outlineLevel="0" collapsed="false">
      <c r="A727" s="5" t="s">
        <v>862</v>
      </c>
      <c r="B727" s="9" t="n">
        <v>46181</v>
      </c>
      <c r="C727" s="2" t="str">
        <f aca="false">TEXT(B727,"yyyy")</f>
        <v>2026</v>
      </c>
      <c r="D727" s="2" t="n">
        <f aca="false">WEEKNUM(B727,2)</f>
        <v>24</v>
      </c>
      <c r="E727" s="5" t="s">
        <v>140</v>
      </c>
      <c r="F727" s="6" t="str">
        <f aca="false">INDEX(Parametros!$B$2:$B$9,MATCH($E727,Parametros!$A$2:$A$9,0))</f>
        <v>Crema de cacahuate</v>
      </c>
      <c r="G727" s="10" t="n">
        <v>119.3</v>
      </c>
      <c r="H727" s="10" t="n">
        <v>5.1</v>
      </c>
      <c r="I727" s="11" t="n">
        <f aca="false">SUMIFS(Eventos_Paro!$J$2:$J$2186,Eventos_Paro!$D$2:$D$2186,$E727,Eventos_Paro!$B$2:$B$2186,$B727)</f>
        <v>0.85</v>
      </c>
      <c r="J727" s="12" t="n">
        <f aca="false">G727-H727-I727</f>
        <v>113.35</v>
      </c>
      <c r="K727" s="13" t="n">
        <v>396755</v>
      </c>
      <c r="L727" s="13" t="n">
        <v>411918</v>
      </c>
      <c r="M727" s="13" t="n">
        <v>11505</v>
      </c>
      <c r="N727" s="14" t="n">
        <f aca="false">L727+M727</f>
        <v>423423</v>
      </c>
      <c r="O727" s="11" t="n">
        <f aca="false">INDEX(Parametros!$D$2:$D$9,MATCH($E727,Parametros!$A$2:$A$9,0))</f>
        <v>4200</v>
      </c>
      <c r="P727" s="15" t="n">
        <f aca="false">IF((G727-H727)&gt;0,J727/(G727-H727),0)</f>
        <v>0.992556917688266</v>
      </c>
      <c r="Q727" s="15" t="n">
        <f aca="false">IF(J727*O727&gt;0,N727/(O727*J727),0)</f>
        <v>0.889413321570357</v>
      </c>
      <c r="R727" s="15" t="n">
        <f aca="false">IF(N727&gt;0,L727/N727,0)</f>
        <v>0.972828589849866</v>
      </c>
      <c r="S727" s="15" t="n">
        <f aca="false">P727*Q727*R727</f>
        <v>0.858806604953715</v>
      </c>
      <c r="T727" s="15" t="n">
        <f aca="false">IF(K727&gt;0,L727/K727,0)</f>
        <v>1.03821753979156</v>
      </c>
      <c r="U727" s="10" t="n">
        <v>1581</v>
      </c>
      <c r="V727" s="5" t="n">
        <v>12</v>
      </c>
      <c r="W727" s="10" t="n">
        <v>149.4</v>
      </c>
      <c r="X727" s="15" t="n">
        <f aca="false">IF(U727&gt;0,W727/U727,0)</f>
        <v>0.0944971537001898</v>
      </c>
      <c r="Y727" s="12" t="n">
        <f aca="false">IF(U727&gt;0,L727/U727,0)</f>
        <v>260.542694497154</v>
      </c>
      <c r="Z727" s="16" t="n">
        <f aca="false">L727*INDEX(Parametros!$E$2:$E$9,MATCH($E727,Parametros!$A$2:$A$9,0))</f>
        <v>399560.46</v>
      </c>
      <c r="AA727" s="16" t="n">
        <f aca="false">Z727*INDEX(Parametros!$F$2:$F$9,MATCH($E727,Parametros!$A$2:$A$9,0))</f>
        <v>8790.33012</v>
      </c>
      <c r="AB727" s="17" t="n">
        <f aca="false">Z727+AA727</f>
        <v>408350.79012</v>
      </c>
      <c r="AC727" s="18" t="n">
        <v>401354.12</v>
      </c>
      <c r="AD727" s="17" t="n">
        <f aca="false">AC727-AB727</f>
        <v>-6996.67011999997</v>
      </c>
      <c r="AE727" s="17" t="n">
        <f aca="false">AA727+AD727</f>
        <v>1793.66000000003</v>
      </c>
      <c r="AF727" s="19" t="n">
        <f aca="false">IF(Z727&gt;0,AE727/Z727,0)</f>
        <v>0.00448908282866636</v>
      </c>
      <c r="AG727" s="16" t="n">
        <f aca="false">(U727-W727)*INDEX(Parametros!$H$2:$H$9,MATCH($E727,Parametros!$A$2:$A$9,0))+W727*INDEX(Parametros!$H$2:$H$9,MATCH($E727,Parametros!$A$2:$A$9,0))*Parametros!$N$3</f>
        <v>52154.55</v>
      </c>
      <c r="AH727" s="13" t="n">
        <v>20797</v>
      </c>
      <c r="AI727" s="16" t="n">
        <f aca="false">AH727*Parametros!$N$2</f>
        <v>1913.324</v>
      </c>
      <c r="AJ727" s="18" t="n">
        <v>10987</v>
      </c>
      <c r="AK727" s="18" t="n">
        <v>643</v>
      </c>
      <c r="AL727" s="17" t="n">
        <f aca="false">AG727+AI727+AJ727+AK727</f>
        <v>65697.874</v>
      </c>
      <c r="AM727" s="20" t="n">
        <f aca="false">IF(L727&gt;0,AL727/L727,0)</f>
        <v>0.159492602896693</v>
      </c>
      <c r="AN727" s="16" t="n">
        <f aca="false">L727*INDEX(Parametros!$G$2:$G$9,MATCH($E727,Parametros!$A$2:$A$9,0))</f>
        <v>667307.16</v>
      </c>
      <c r="AO727" s="17" t="n">
        <f aca="false">AN727-AC727-AL727</f>
        <v>200255.166</v>
      </c>
      <c r="AP727" s="15" t="n">
        <f aca="false">IF(AN727&gt;0,AO727/AN727,0)</f>
        <v>0.300094436271297</v>
      </c>
      <c r="AQ727" s="16" t="n">
        <f aca="false">INDEX(Parametros!$I$2:$I$9,MATCH($E727,Parametros!$A$2:$A$9,0))</f>
        <v>28000000</v>
      </c>
      <c r="AR727" s="19" t="n">
        <f aca="false">IF(AQ727&gt;0,AO727/AQ727,0)</f>
        <v>0.00715197021428572</v>
      </c>
    </row>
    <row r="728" customFormat="false" ht="15" hidden="false" customHeight="false" outlineLevel="0" collapsed="false">
      <c r="A728" s="5" t="s">
        <v>863</v>
      </c>
      <c r="B728" s="9" t="n">
        <v>46181</v>
      </c>
      <c r="C728" s="2" t="str">
        <f aca="false">TEXT(B728,"yyyy")</f>
        <v>2026</v>
      </c>
      <c r="D728" s="2" t="n">
        <f aca="false">WEEKNUM(B728,2)</f>
        <v>24</v>
      </c>
      <c r="E728" s="5" t="s">
        <v>142</v>
      </c>
      <c r="F728" s="6" t="str">
        <f aca="false">INDEX(Parametros!$B$2:$B$9,MATCH($E728,Parametros!$A$2:$A$9,0))</f>
        <v>Porciones single serve</v>
      </c>
      <c r="G728" s="10" t="n">
        <v>135.3</v>
      </c>
      <c r="H728" s="10" t="n">
        <v>5.2</v>
      </c>
      <c r="I728" s="11" t="n">
        <f aca="false">SUMIFS(Eventos_Paro!$J$2:$J$2186,Eventos_Paro!$D$2:$D$2186,$E728,Eventos_Paro!$B$2:$B$2186,$B728)</f>
        <v>4.23333333333333</v>
      </c>
      <c r="J728" s="12" t="n">
        <f aca="false">G728-H728-I728</f>
        <v>125.866666666667</v>
      </c>
      <c r="K728" s="13" t="n">
        <v>279807</v>
      </c>
      <c r="L728" s="13" t="n">
        <v>225256</v>
      </c>
      <c r="M728" s="13" t="n">
        <v>11821</v>
      </c>
      <c r="N728" s="14" t="n">
        <f aca="false">L728+M728</f>
        <v>237077</v>
      </c>
      <c r="O728" s="11" t="n">
        <f aca="false">INDEX(Parametros!$D$2:$D$9,MATCH($E728,Parametros!$A$2:$A$9,0))</f>
        <v>2600</v>
      </c>
      <c r="P728" s="15" t="n">
        <f aca="false">IF((G728-H728)&gt;0,J728/(G728-H728),0)</f>
        <v>0.967460927491673</v>
      </c>
      <c r="Q728" s="15" t="n">
        <f aca="false">IF(J728*O728&gt;0,N728/(O728*J728),0)</f>
        <v>0.724444874511082</v>
      </c>
      <c r="R728" s="15" t="n">
        <f aca="false">IF(N728&gt;0,L728/N728,0)</f>
        <v>0.950138562576716</v>
      </c>
      <c r="S728" s="15" t="n">
        <f aca="false">P728*Q728*R728</f>
        <v>0.665925619346065</v>
      </c>
      <c r="T728" s="15" t="n">
        <f aca="false">IF(K728&gt;0,L728/K728,0)</f>
        <v>0.805040617282627</v>
      </c>
      <c r="U728" s="10" t="n">
        <v>2736.2</v>
      </c>
      <c r="V728" s="5" t="n">
        <v>17</v>
      </c>
      <c r="W728" s="10" t="n">
        <v>436.1</v>
      </c>
      <c r="X728" s="15" t="n">
        <f aca="false">IF(U728&gt;0,W728/U728,0)</f>
        <v>0.159381624150281</v>
      </c>
      <c r="Y728" s="12" t="n">
        <f aca="false">IF(U728&gt;0,L728/U728,0)</f>
        <v>82.32439149185</v>
      </c>
      <c r="Z728" s="16" t="n">
        <f aca="false">L728*INDEX(Parametros!$E$2:$E$9,MATCH($E728,Parametros!$A$2:$A$9,0))</f>
        <v>166689.44</v>
      </c>
      <c r="AA728" s="16" t="n">
        <f aca="false">Z728*INDEX(Parametros!$F$2:$F$9,MATCH($E728,Parametros!$A$2:$A$9,0))</f>
        <v>7501.0248</v>
      </c>
      <c r="AB728" s="17" t="n">
        <f aca="false">Z728+AA728</f>
        <v>174190.4648</v>
      </c>
      <c r="AC728" s="18" t="n">
        <v>175922.59</v>
      </c>
      <c r="AD728" s="17" t="n">
        <f aca="false">AC728-AB728</f>
        <v>1732.12519999998</v>
      </c>
      <c r="AE728" s="17" t="n">
        <f aca="false">AA728+AD728</f>
        <v>9233.14999999998</v>
      </c>
      <c r="AF728" s="19" t="n">
        <f aca="false">IF(Z728&gt;0,AE728/Z728,0)</f>
        <v>0.0553913313284872</v>
      </c>
      <c r="AG728" s="16" t="n">
        <f aca="false">(U728-W728)*INDEX(Parametros!$H$2:$H$9,MATCH($E728,Parametros!$A$2:$A$9,0))+W728*INDEX(Parametros!$H$2:$H$9,MATCH($E728,Parametros!$A$2:$A$9,0))*Parametros!$N$3</f>
        <v>88627.5</v>
      </c>
      <c r="AH728" s="13" t="n">
        <v>13030</v>
      </c>
      <c r="AI728" s="16" t="n">
        <f aca="false">AH728*Parametros!$N$2</f>
        <v>1198.76</v>
      </c>
      <c r="AJ728" s="18" t="n">
        <v>13186</v>
      </c>
      <c r="AK728" s="18" t="n">
        <v>2455</v>
      </c>
      <c r="AL728" s="17" t="n">
        <f aca="false">AG728+AI728+AJ728+AK728</f>
        <v>105467.26</v>
      </c>
      <c r="AM728" s="20" t="n">
        <f aca="false">IF(L728&gt;0,AL728/L728,0)</f>
        <v>0.468210658095678</v>
      </c>
      <c r="AN728" s="16" t="n">
        <f aca="false">L728*INDEX(Parametros!$G$2:$G$9,MATCH($E728,Parametros!$A$2:$A$9,0))</f>
        <v>387440.32</v>
      </c>
      <c r="AO728" s="17" t="n">
        <f aca="false">AN728-AC728-AL728</f>
        <v>106050.47</v>
      </c>
      <c r="AP728" s="15" t="n">
        <f aca="false">IF(AN728&gt;0,AO728/AN728,0)</f>
        <v>0.27372078879142</v>
      </c>
      <c r="AQ728" s="16" t="n">
        <f aca="false">INDEX(Parametros!$I$2:$I$9,MATCH($E728,Parametros!$A$2:$A$9,0))</f>
        <v>15900000</v>
      </c>
      <c r="AR728" s="19" t="n">
        <f aca="false">IF(AQ728&gt;0,AO728/AQ728,0)</f>
        <v>0.00666984088050315</v>
      </c>
    </row>
    <row r="729" customFormat="false" ht="15" hidden="false" customHeight="false" outlineLevel="0" collapsed="false">
      <c r="A729" s="5" t="s">
        <v>864</v>
      </c>
      <c r="B729" s="9" t="n">
        <v>46181</v>
      </c>
      <c r="C729" s="2" t="str">
        <f aca="false">TEXT(B729,"yyyy")</f>
        <v>2026</v>
      </c>
      <c r="D729" s="2" t="n">
        <f aca="false">WEEKNUM(B729,2)</f>
        <v>24</v>
      </c>
      <c r="E729" s="5" t="s">
        <v>144</v>
      </c>
      <c r="F729" s="6" t="str">
        <f aca="false">INDEX(Parametros!$B$2:$B$9,MATCH($E729,Parametros!$A$2:$A$9,0))</f>
        <v>Salsas picantes</v>
      </c>
      <c r="G729" s="10" t="n">
        <v>107.5</v>
      </c>
      <c r="H729" s="10" t="n">
        <v>5.7</v>
      </c>
      <c r="I729" s="11" t="n">
        <f aca="false">SUMIFS(Eventos_Paro!$J$2:$J$2186,Eventos_Paro!$D$2:$D$2186,$E729,Eventos_Paro!$B$2:$B$2186,$B729)</f>
        <v>0.183333333333333</v>
      </c>
      <c r="J729" s="12" t="n">
        <f aca="false">G729-H729-I729</f>
        <v>101.616666666667</v>
      </c>
      <c r="K729" s="13" t="n">
        <v>239260</v>
      </c>
      <c r="L729" s="13" t="n">
        <v>250628</v>
      </c>
      <c r="M729" s="13" t="n">
        <v>7508</v>
      </c>
      <c r="N729" s="14" t="n">
        <f aca="false">L729+M729</f>
        <v>258136</v>
      </c>
      <c r="O729" s="11" t="n">
        <f aca="false">INDEX(Parametros!$D$2:$D$9,MATCH($E729,Parametros!$A$2:$A$9,0))</f>
        <v>3100</v>
      </c>
      <c r="P729" s="15" t="n">
        <f aca="false">IF((G729-H729)&gt;0,J729/(G729-H729),0)</f>
        <v>0.998199083169614</v>
      </c>
      <c r="Q729" s="15" t="n">
        <f aca="false">IF(J729*O729&gt;0,N729/(O729*J729),0)</f>
        <v>0.819449015115842</v>
      </c>
      <c r="R729" s="15" t="n">
        <f aca="false">IF(N729&gt;0,L729/N729,0)</f>
        <v>0.970914556667803</v>
      </c>
      <c r="S729" s="15" t="n">
        <f aca="false">P729*Q729*R729</f>
        <v>0.794182140820077</v>
      </c>
      <c r="T729" s="15" t="n">
        <f aca="false">IF(K729&gt;0,L729/K729,0)</f>
        <v>1.04751316559391</v>
      </c>
      <c r="U729" s="10" t="n">
        <v>1052.3</v>
      </c>
      <c r="V729" s="5" t="n">
        <v>9</v>
      </c>
      <c r="W729" s="10" t="n">
        <v>84.8</v>
      </c>
      <c r="X729" s="15" t="n">
        <f aca="false">IF(U729&gt;0,W729/U729,0)</f>
        <v>0.0805853843960848</v>
      </c>
      <c r="Y729" s="12" t="n">
        <f aca="false">IF(U729&gt;0,L729/U729,0)</f>
        <v>238.171624061579</v>
      </c>
      <c r="Z729" s="16" t="n">
        <f aca="false">L729*INDEX(Parametros!$E$2:$E$9,MATCH($E729,Parametros!$A$2:$A$9,0))</f>
        <v>165414.48</v>
      </c>
      <c r="AA729" s="16" t="n">
        <f aca="false">Z729*INDEX(Parametros!$F$2:$F$9,MATCH($E729,Parametros!$A$2:$A$9,0))</f>
        <v>4300.77648</v>
      </c>
      <c r="AB729" s="17" t="n">
        <f aca="false">Z729+AA729</f>
        <v>169715.25648</v>
      </c>
      <c r="AC729" s="18" t="n">
        <v>168298.02</v>
      </c>
      <c r="AD729" s="17" t="n">
        <f aca="false">AC729-AB729</f>
        <v>-1417.23648000002</v>
      </c>
      <c r="AE729" s="17" t="n">
        <f aca="false">AA729+AD729</f>
        <v>2883.53999999998</v>
      </c>
      <c r="AF729" s="19" t="n">
        <f aca="false">IF(Z729&gt;0,AE729/Z729,0)</f>
        <v>0.017432210287757</v>
      </c>
      <c r="AG729" s="16" t="n">
        <f aca="false">(U729-W729)*INDEX(Parametros!$H$2:$H$9,MATCH($E729,Parametros!$A$2:$A$9,0))+W729*INDEX(Parametros!$H$2:$H$9,MATCH($E729,Parametros!$A$2:$A$9,0))*Parametros!$N$3</f>
        <v>34483.05</v>
      </c>
      <c r="AH729" s="13" t="n">
        <v>12371</v>
      </c>
      <c r="AI729" s="16" t="n">
        <f aca="false">AH729*Parametros!$N$2</f>
        <v>1138.132</v>
      </c>
      <c r="AJ729" s="18" t="n">
        <v>6336</v>
      </c>
      <c r="AK729" s="18" t="n">
        <v>150</v>
      </c>
      <c r="AL729" s="17" t="n">
        <f aca="false">AG729+AI729+AJ729+AK729</f>
        <v>42107.182</v>
      </c>
      <c r="AM729" s="20" t="n">
        <f aca="false">IF(L729&gt;0,AL729/L729,0)</f>
        <v>0.168006695181704</v>
      </c>
      <c r="AN729" s="16" t="n">
        <f aca="false">L729*INDEX(Parametros!$G$2:$G$9,MATCH($E729,Parametros!$A$2:$A$9,0))</f>
        <v>313285</v>
      </c>
      <c r="AO729" s="17" t="n">
        <f aca="false">AN729-AC729-AL729</f>
        <v>102879.798</v>
      </c>
      <c r="AP729" s="15" t="n">
        <f aca="false">IF(AN729&gt;0,AO729/AN729,0)</f>
        <v>0.328390436822701</v>
      </c>
      <c r="AQ729" s="16" t="n">
        <f aca="false">INDEX(Parametros!$I$2:$I$9,MATCH($E729,Parametros!$A$2:$A$9,0))</f>
        <v>13300000</v>
      </c>
      <c r="AR729" s="19" t="n">
        <f aca="false">IF(AQ729&gt;0,AO729/AQ729,0)</f>
        <v>0.00773532315789474</v>
      </c>
    </row>
    <row r="730" customFormat="false" ht="15" hidden="false" customHeight="false" outlineLevel="0" collapsed="false">
      <c r="A730" s="5" t="s">
        <v>865</v>
      </c>
      <c r="B730" s="9" t="n">
        <v>46188</v>
      </c>
      <c r="C730" s="2" t="str">
        <f aca="false">TEXT(B730,"yyyy")</f>
        <v>2026</v>
      </c>
      <c r="D730" s="2" t="n">
        <f aca="false">WEEKNUM(B730,2)</f>
        <v>25</v>
      </c>
      <c r="E730" s="5" t="s">
        <v>130</v>
      </c>
      <c r="F730" s="6" t="str">
        <f aca="false">INDEX(Parametros!$B$2:$B$9,MATCH($E730,Parametros!$A$2:$A$9,0))</f>
        <v>Ketchup botella</v>
      </c>
      <c r="G730" s="10" t="n">
        <v>119.3</v>
      </c>
      <c r="H730" s="10" t="n">
        <v>11.9</v>
      </c>
      <c r="I730" s="11" t="n">
        <f aca="false">SUMIFS(Eventos_Paro!$J$2:$J$2186,Eventos_Paro!$D$2:$D$2186,$E730,Eventos_Paro!$B$2:$B$2186,$B730)</f>
        <v>0.833333333333333</v>
      </c>
      <c r="J730" s="12" t="n">
        <f aca="false">G730-H730-I730</f>
        <v>106.566666666667</v>
      </c>
      <c r="K730" s="13" t="n">
        <v>801335</v>
      </c>
      <c r="L730" s="13" t="n">
        <v>841176</v>
      </c>
      <c r="M730" s="13" t="n">
        <v>15927</v>
      </c>
      <c r="N730" s="14" t="n">
        <f aca="false">L730+M730</f>
        <v>857103</v>
      </c>
      <c r="O730" s="11" t="n">
        <f aca="false">INDEX(Parametros!$D$2:$D$9,MATCH($E730,Parametros!$A$2:$A$9,0))</f>
        <v>9000</v>
      </c>
      <c r="P730" s="15" t="n">
        <f aca="false">IF((G730-H730)&gt;0,J730/(G730-H730),0)</f>
        <v>0.992240844196152</v>
      </c>
      <c r="Q730" s="15" t="n">
        <f aca="false">IF(J730*O730&gt;0,N730/(O730*J730),0)</f>
        <v>0.893653425086018</v>
      </c>
      <c r="R730" s="15" t="n">
        <f aca="false">IF(N730&gt;0,L730/N730,0)</f>
        <v>0.98141763592007</v>
      </c>
      <c r="S730" s="15" t="n">
        <f aca="false">P730*Q730*R730</f>
        <v>0.87024208566108</v>
      </c>
      <c r="T730" s="15" t="n">
        <f aca="false">IF(K730&gt;0,L730/K730,0)</f>
        <v>1.04971828261588</v>
      </c>
      <c r="U730" s="10" t="n">
        <v>1781.1</v>
      </c>
      <c r="V730" s="5" t="n">
        <v>14</v>
      </c>
      <c r="W730" s="10" t="n">
        <v>110.9</v>
      </c>
      <c r="X730" s="15" t="n">
        <f aca="false">IF(U730&gt;0,W730/U730,0)</f>
        <v>0.0622648924821739</v>
      </c>
      <c r="Y730" s="12" t="n">
        <f aca="false">IF(U730&gt;0,L730/U730,0)</f>
        <v>472.278928751895</v>
      </c>
      <c r="Z730" s="16" t="n">
        <f aca="false">L730*INDEX(Parametros!$E$2:$E$9,MATCH($E730,Parametros!$A$2:$A$9,0))</f>
        <v>353293.92</v>
      </c>
      <c r="AA730" s="16" t="n">
        <f aca="false">Z730*INDEX(Parametros!$F$2:$F$9,MATCH($E730,Parametros!$A$2:$A$9,0))</f>
        <v>7065.8784</v>
      </c>
      <c r="AB730" s="17" t="n">
        <f aca="false">Z730+AA730</f>
        <v>360359.7984</v>
      </c>
      <c r="AC730" s="18" t="n">
        <v>356063.09</v>
      </c>
      <c r="AD730" s="17" t="n">
        <f aca="false">AC730-AB730</f>
        <v>-4296.70839999995</v>
      </c>
      <c r="AE730" s="17" t="n">
        <f aca="false">AA730+AD730</f>
        <v>2769.17000000005</v>
      </c>
      <c r="AF730" s="19" t="n">
        <f aca="false">IF(Z730&gt;0,AE730/Z730,0)</f>
        <v>0.00783814790812153</v>
      </c>
      <c r="AG730" s="16" t="n">
        <f aca="false">(U730-W730)*INDEX(Parametros!$H$2:$H$9,MATCH($E730,Parametros!$A$2:$A$9,0))+W730*INDEX(Parametros!$H$2:$H$9,MATCH($E730,Parametros!$A$2:$A$9,0))*Parametros!$N$3</f>
        <v>57851.325</v>
      </c>
      <c r="AH730" s="13" t="n">
        <v>42614</v>
      </c>
      <c r="AI730" s="16" t="n">
        <f aca="false">AH730*Parametros!$N$2</f>
        <v>3920.488</v>
      </c>
      <c r="AJ730" s="18" t="n">
        <v>14757</v>
      </c>
      <c r="AK730" s="18" t="n">
        <v>795</v>
      </c>
      <c r="AL730" s="17" t="n">
        <f aca="false">AG730+AI730+AJ730+AK730</f>
        <v>77323.813</v>
      </c>
      <c r="AM730" s="20" t="n">
        <f aca="false">IF(L730&gt;0,AL730/L730,0)</f>
        <v>0.091923465481659</v>
      </c>
      <c r="AN730" s="16" t="n">
        <f aca="false">L730*INDEX(Parametros!$G$2:$G$9,MATCH($E730,Parametros!$A$2:$A$9,0))</f>
        <v>597234.96</v>
      </c>
      <c r="AO730" s="17" t="n">
        <f aca="false">AN730-AC730-AL730</f>
        <v>163848.057</v>
      </c>
      <c r="AP730" s="15" t="n">
        <f aca="false">IF(AN730&gt;0,AO730/AN730,0)</f>
        <v>0.274344383657648</v>
      </c>
      <c r="AQ730" s="16" t="n">
        <f aca="false">INDEX(Parametros!$I$2:$I$9,MATCH($E730,Parametros!$A$2:$A$9,0))</f>
        <v>29300000</v>
      </c>
      <c r="AR730" s="19" t="n">
        <f aca="false">IF(AQ730&gt;0,AO730/AQ730,0)</f>
        <v>0.00559208385665529</v>
      </c>
    </row>
    <row r="731" customFormat="false" ht="15" hidden="false" customHeight="false" outlineLevel="0" collapsed="false">
      <c r="A731" s="5" t="s">
        <v>866</v>
      </c>
      <c r="B731" s="9" t="n">
        <v>46188</v>
      </c>
      <c r="C731" s="2" t="str">
        <f aca="false">TEXT(B731,"yyyy")</f>
        <v>2026</v>
      </c>
      <c r="D731" s="2" t="n">
        <f aca="false">WEEKNUM(B731,2)</f>
        <v>25</v>
      </c>
      <c r="E731" s="5" t="s">
        <v>132</v>
      </c>
      <c r="F731" s="6" t="str">
        <f aca="false">INDEX(Parametros!$B$2:$B$9,MATCH($E731,Parametros!$A$2:$A$9,0))</f>
        <v>Mayonesa frasco</v>
      </c>
      <c r="G731" s="10" t="n">
        <v>115.9</v>
      </c>
      <c r="H731" s="10" t="n">
        <v>9.7</v>
      </c>
      <c r="I731" s="11" t="n">
        <f aca="false">SUMIFS(Eventos_Paro!$J$2:$J$2186,Eventos_Paro!$D$2:$D$2186,$E731,Eventos_Paro!$B$2:$B$2186,$B731)</f>
        <v>0</v>
      </c>
      <c r="J731" s="12" t="n">
        <f aca="false">G731-H731-I731</f>
        <v>106.2</v>
      </c>
      <c r="K731" s="13" t="n">
        <v>572276</v>
      </c>
      <c r="L731" s="13" t="n">
        <v>570247</v>
      </c>
      <c r="M731" s="13" t="n">
        <v>14786</v>
      </c>
      <c r="N731" s="14" t="n">
        <f aca="false">L731+M731</f>
        <v>585033</v>
      </c>
      <c r="O731" s="11" t="n">
        <f aca="false">INDEX(Parametros!$D$2:$D$9,MATCH($E731,Parametros!$A$2:$A$9,0))</f>
        <v>6500</v>
      </c>
      <c r="P731" s="15" t="n">
        <f aca="false">IF((G731-H731)&gt;0,J731/(G731-H731),0)</f>
        <v>1</v>
      </c>
      <c r="Q731" s="15" t="n">
        <f aca="false">IF(J731*O731&gt;0,N731/(O731*J731),0)</f>
        <v>0.847505432420687</v>
      </c>
      <c r="R731" s="15" t="n">
        <f aca="false">IF(N731&gt;0,L731/N731,0)</f>
        <v>0.974726212025647</v>
      </c>
      <c r="S731" s="15" t="n">
        <f aca="false">P731*Q731*R731</f>
        <v>0.826085759814573</v>
      </c>
      <c r="T731" s="15" t="n">
        <f aca="false">IF(K731&gt;0,L731/K731,0)</f>
        <v>0.996454507964688</v>
      </c>
      <c r="U731" s="10" t="n">
        <v>1779.9</v>
      </c>
      <c r="V731" s="5" t="n">
        <v>14</v>
      </c>
      <c r="W731" s="10" t="n">
        <v>157.3</v>
      </c>
      <c r="X731" s="15" t="n">
        <f aca="false">IF(U731&gt;0,W731/U731,0)</f>
        <v>0.0883757514467105</v>
      </c>
      <c r="Y731" s="12" t="n">
        <f aca="false">IF(U731&gt;0,L731/U731,0)</f>
        <v>320.381482105736</v>
      </c>
      <c r="Z731" s="16" t="n">
        <f aca="false">L731*INDEX(Parametros!$E$2:$E$9,MATCH($E731,Parametros!$A$2:$A$9,0))</f>
        <v>347850.67</v>
      </c>
      <c r="AA731" s="16" t="n">
        <f aca="false">Z731*INDEX(Parametros!$F$2:$F$9,MATCH($E731,Parametros!$A$2:$A$9,0))</f>
        <v>8696.26675</v>
      </c>
      <c r="AB731" s="17" t="n">
        <f aca="false">Z731+AA731</f>
        <v>356546.93675</v>
      </c>
      <c r="AC731" s="18" t="n">
        <v>356920.39</v>
      </c>
      <c r="AD731" s="17" t="n">
        <f aca="false">AC731-AB731</f>
        <v>373.453250000021</v>
      </c>
      <c r="AE731" s="17" t="n">
        <f aca="false">AA731+AD731</f>
        <v>9069.72000000002</v>
      </c>
      <c r="AF731" s="19" t="n">
        <f aca="false">IF(Z731&gt;0,AE731/Z731,0)</f>
        <v>0.0260736022155715</v>
      </c>
      <c r="AG731" s="16" t="n">
        <f aca="false">(U731-W731)*INDEX(Parametros!$H$2:$H$9,MATCH($E731,Parametros!$A$2:$A$9,0))+W731*INDEX(Parametros!$H$2:$H$9,MATCH($E731,Parametros!$A$2:$A$9,0))*Parametros!$N$3</f>
        <v>58544.325</v>
      </c>
      <c r="AH731" s="13" t="n">
        <v>29065</v>
      </c>
      <c r="AI731" s="16" t="n">
        <f aca="false">AH731*Parametros!$N$2</f>
        <v>2673.98</v>
      </c>
      <c r="AJ731" s="18" t="n">
        <v>14278</v>
      </c>
      <c r="AK731" s="18" t="n">
        <v>0</v>
      </c>
      <c r="AL731" s="17" t="n">
        <f aca="false">AG731+AI731+AJ731+AK731</f>
        <v>75496.305</v>
      </c>
      <c r="AM731" s="20" t="n">
        <f aca="false">IF(L731&gt;0,AL731/L731,0)</f>
        <v>0.132392287903312</v>
      </c>
      <c r="AN731" s="16" t="n">
        <f aca="false">L731*INDEX(Parametros!$G$2:$G$9,MATCH($E731,Parametros!$A$2:$A$9,0))</f>
        <v>547437.12</v>
      </c>
      <c r="AO731" s="17" t="n">
        <f aca="false">AN731-AC731-AL731</f>
        <v>115020.425</v>
      </c>
      <c r="AP731" s="15" t="n">
        <f aca="false">IF(AN731&gt;0,AO731/AN731,0)</f>
        <v>0.210107098692906</v>
      </c>
      <c r="AQ731" s="16" t="n">
        <f aca="false">INDEX(Parametros!$I$2:$I$9,MATCH($E731,Parametros!$A$2:$A$9,0))</f>
        <v>29700000</v>
      </c>
      <c r="AR731" s="19" t="n">
        <f aca="false">IF(AQ731&gt;0,AO731/AQ731,0)</f>
        <v>0.00387274158249158</v>
      </c>
    </row>
    <row r="732" customFormat="false" ht="15" hidden="false" customHeight="false" outlineLevel="0" collapsed="false">
      <c r="A732" s="5" t="s">
        <v>867</v>
      </c>
      <c r="B732" s="9" t="n">
        <v>46188</v>
      </c>
      <c r="C732" s="2" t="str">
        <f aca="false">TEXT(B732,"yyyy")</f>
        <v>2026</v>
      </c>
      <c r="D732" s="2" t="n">
        <f aca="false">WEEKNUM(B732,2)</f>
        <v>25</v>
      </c>
      <c r="E732" s="5" t="s">
        <v>134</v>
      </c>
      <c r="F732" s="6" t="str">
        <f aca="false">INDEX(Parametros!$B$2:$B$9,MATCH($E732,Parametros!$A$2:$A$9,0))</f>
        <v>Aderezos vertibles</v>
      </c>
      <c r="G732" s="10" t="n">
        <v>125.8</v>
      </c>
      <c r="H732" s="10" t="n">
        <v>11.5</v>
      </c>
      <c r="I732" s="11" t="n">
        <f aca="false">SUMIFS(Eventos_Paro!$J$2:$J$2186,Eventos_Paro!$D$2:$D$2186,$E732,Eventos_Paro!$B$2:$B$2186,$B732)</f>
        <v>4.51666666666667</v>
      </c>
      <c r="J732" s="12" t="n">
        <f aca="false">G732-H732-I732</f>
        <v>109.783333333333</v>
      </c>
      <c r="K732" s="13" t="n">
        <v>492739</v>
      </c>
      <c r="L732" s="13" t="n">
        <v>438888</v>
      </c>
      <c r="M732" s="13" t="n">
        <v>14294</v>
      </c>
      <c r="N732" s="14" t="n">
        <f aca="false">L732+M732</f>
        <v>453182</v>
      </c>
      <c r="O732" s="11" t="n">
        <f aca="false">INDEX(Parametros!$D$2:$D$9,MATCH($E732,Parametros!$A$2:$A$9,0))</f>
        <v>5200</v>
      </c>
      <c r="P732" s="15" t="n">
        <f aca="false">IF((G732-H732)&gt;0,J732/(G732-H732),0)</f>
        <v>0.960484106153398</v>
      </c>
      <c r="Q732" s="15" t="n">
        <f aca="false">IF(J732*O732&gt;0,N732/(O732*J732),0)</f>
        <v>0.7938398477187</v>
      </c>
      <c r="R732" s="15" t="n">
        <f aca="false">IF(N732&gt;0,L732/N732,0)</f>
        <v>0.96845858838171</v>
      </c>
      <c r="S732" s="15" t="n">
        <f aca="false">P732*Q732*R732</f>
        <v>0.7384211588936</v>
      </c>
      <c r="T732" s="15" t="n">
        <f aca="false">IF(K732&gt;0,L732/K732,0)</f>
        <v>0.890710903744173</v>
      </c>
      <c r="U732" s="10" t="n">
        <v>1524.9</v>
      </c>
      <c r="V732" s="5" t="n">
        <v>11</v>
      </c>
      <c r="W732" s="10" t="n">
        <v>141.1</v>
      </c>
      <c r="X732" s="15" t="n">
        <f aca="false">IF(U732&gt;0,W732/U732,0)</f>
        <v>0.092530657748049</v>
      </c>
      <c r="Y732" s="12" t="n">
        <f aca="false">IF(U732&gt;0,L732/U732,0)</f>
        <v>287.814282903797</v>
      </c>
      <c r="Z732" s="16" t="n">
        <f aca="false">L732*INDEX(Parametros!$E$2:$E$9,MATCH($E732,Parametros!$A$2:$A$9,0))</f>
        <v>241388.4</v>
      </c>
      <c r="AA732" s="16" t="n">
        <f aca="false">Z732*INDEX(Parametros!$F$2:$F$9,MATCH($E732,Parametros!$A$2:$A$9,0))</f>
        <v>7241.652</v>
      </c>
      <c r="AB732" s="17" t="n">
        <f aca="false">Z732+AA732</f>
        <v>248630.052</v>
      </c>
      <c r="AC732" s="18" t="n">
        <v>246367.71</v>
      </c>
      <c r="AD732" s="17" t="n">
        <f aca="false">AC732-AB732</f>
        <v>-2262.34200000003</v>
      </c>
      <c r="AE732" s="17" t="n">
        <f aca="false">AA732+AD732</f>
        <v>4979.30999999997</v>
      </c>
      <c r="AF732" s="19" t="n">
        <f aca="false">IF(Z732&gt;0,AE732/Z732,0)</f>
        <v>0.0206277932162439</v>
      </c>
      <c r="AG732" s="16" t="n">
        <f aca="false">(U732-W732)*INDEX(Parametros!$H$2:$H$9,MATCH($E732,Parametros!$A$2:$A$9,0))+W732*INDEX(Parametros!$H$2:$H$9,MATCH($E732,Parametros!$A$2:$A$9,0))*Parametros!$N$3</f>
        <v>50256.675</v>
      </c>
      <c r="AH732" s="13" t="n">
        <v>24208</v>
      </c>
      <c r="AI732" s="16" t="n">
        <f aca="false">AH732*Parametros!$N$2</f>
        <v>2227.136</v>
      </c>
      <c r="AJ732" s="18" t="n">
        <v>9299</v>
      </c>
      <c r="AK732" s="18" t="n">
        <v>2867</v>
      </c>
      <c r="AL732" s="17" t="n">
        <f aca="false">AG732+AI732+AJ732+AK732</f>
        <v>64649.811</v>
      </c>
      <c r="AM732" s="20" t="n">
        <f aca="false">IF(L732&gt;0,AL732/L732,0)</f>
        <v>0.14730366517198</v>
      </c>
      <c r="AN732" s="16" t="n">
        <f aca="false">L732*INDEX(Parametros!$G$2:$G$9,MATCH($E732,Parametros!$A$2:$A$9,0))</f>
        <v>447665.76</v>
      </c>
      <c r="AO732" s="17" t="n">
        <f aca="false">AN732-AC732-AL732</f>
        <v>136648.239</v>
      </c>
      <c r="AP732" s="15" t="n">
        <f aca="false">IF(AN732&gt;0,AO732/AN732,0)</f>
        <v>0.305246126038319</v>
      </c>
      <c r="AQ732" s="16" t="n">
        <f aca="false">INDEX(Parametros!$I$2:$I$9,MATCH($E732,Parametros!$A$2:$A$9,0))</f>
        <v>19300000</v>
      </c>
      <c r="AR732" s="19" t="n">
        <f aca="false">IF(AQ732&gt;0,AO732/AQ732,0)</f>
        <v>0.0070802196373057</v>
      </c>
    </row>
    <row r="733" customFormat="false" ht="15" hidden="false" customHeight="false" outlineLevel="0" collapsed="false">
      <c r="A733" s="5" t="s">
        <v>868</v>
      </c>
      <c r="B733" s="9" t="n">
        <v>46188</v>
      </c>
      <c r="C733" s="2" t="str">
        <f aca="false">TEXT(B733,"yyyy")</f>
        <v>2026</v>
      </c>
      <c r="D733" s="2" t="n">
        <f aca="false">WEEKNUM(B733,2)</f>
        <v>25</v>
      </c>
      <c r="E733" s="5" t="s">
        <v>136</v>
      </c>
      <c r="F733" s="6" t="str">
        <f aca="false">INDEX(Parametros!$B$2:$B$9,MATCH($E733,Parametros!$A$2:$A$9,0))</f>
        <v>Salsa BBQ</v>
      </c>
      <c r="G733" s="10" t="n">
        <v>119.6</v>
      </c>
      <c r="H733" s="10" t="n">
        <v>10.8</v>
      </c>
      <c r="I733" s="11" t="n">
        <f aca="false">SUMIFS(Eventos_Paro!$J$2:$J$2186,Eventos_Paro!$D$2:$D$2186,$E733,Eventos_Paro!$B$2:$B$2186,$B733)</f>
        <v>4.43333333333333</v>
      </c>
      <c r="J733" s="12" t="n">
        <f aca="false">G733-H733-I733</f>
        <v>104.366666666667</v>
      </c>
      <c r="K733" s="13" t="n">
        <v>486002</v>
      </c>
      <c r="L733" s="13" t="n">
        <v>426399</v>
      </c>
      <c r="M733" s="13" t="n">
        <v>11311</v>
      </c>
      <c r="N733" s="14" t="n">
        <f aca="false">L733+M733</f>
        <v>437710</v>
      </c>
      <c r="O733" s="11" t="n">
        <f aca="false">INDEX(Parametros!$D$2:$D$9,MATCH($E733,Parametros!$A$2:$A$9,0))</f>
        <v>4800</v>
      </c>
      <c r="P733" s="15" t="n">
        <f aca="false">IF((G733-H733)&gt;0,J733/(G733-H733),0)</f>
        <v>0.959252450980392</v>
      </c>
      <c r="Q733" s="15" t="n">
        <f aca="false">IF(J733*O733&gt;0,N733/(O733*J733),0)</f>
        <v>0.873742414564037</v>
      </c>
      <c r="R733" s="15" t="n">
        <f aca="false">IF(N733&gt;0,L733/N733,0)</f>
        <v>0.974158689543305</v>
      </c>
      <c r="S733" s="15" t="n">
        <f aca="false">P733*Q733*R733</f>
        <v>0.816480928308824</v>
      </c>
      <c r="T733" s="15" t="n">
        <f aca="false">IF(K733&gt;0,L733/K733,0)</f>
        <v>0.877360586993469</v>
      </c>
      <c r="U733" s="10" t="n">
        <v>1376.5</v>
      </c>
      <c r="V733" s="5" t="n">
        <v>11</v>
      </c>
      <c r="W733" s="10" t="n">
        <v>60.9</v>
      </c>
      <c r="X733" s="15" t="n">
        <f aca="false">IF(U733&gt;0,W733/U733,0)</f>
        <v>0.0442426443879404</v>
      </c>
      <c r="Y733" s="12" t="n">
        <f aca="false">IF(U733&gt;0,L733/U733,0)</f>
        <v>309.770432255721</v>
      </c>
      <c r="Z733" s="16" t="n">
        <f aca="false">L733*INDEX(Parametros!$E$2:$E$9,MATCH($E733,Parametros!$A$2:$A$9,0))</f>
        <v>247311.42</v>
      </c>
      <c r="AA733" s="16" t="n">
        <f aca="false">Z733*INDEX(Parametros!$F$2:$F$9,MATCH($E733,Parametros!$A$2:$A$9,0))</f>
        <v>6924.71976</v>
      </c>
      <c r="AB733" s="17" t="n">
        <f aca="false">Z733+AA733</f>
        <v>254236.13976</v>
      </c>
      <c r="AC733" s="18" t="n">
        <v>257154.21</v>
      </c>
      <c r="AD733" s="17" t="n">
        <f aca="false">AC733-AB733</f>
        <v>2918.07024</v>
      </c>
      <c r="AE733" s="17" t="n">
        <f aca="false">AA733+AD733</f>
        <v>9842.79</v>
      </c>
      <c r="AF733" s="19" t="n">
        <f aca="false">IF(Z733&gt;0,AE733/Z733,0)</f>
        <v>0.0397991730426359</v>
      </c>
      <c r="AG733" s="16" t="n">
        <f aca="false">(U733-W733)*INDEX(Parametros!$H$2:$H$9,MATCH($E733,Parametros!$A$2:$A$9,0))+W733*INDEX(Parametros!$H$2:$H$9,MATCH($E733,Parametros!$A$2:$A$9,0))*Parametros!$N$3</f>
        <v>44318.925</v>
      </c>
      <c r="AH733" s="13" t="n">
        <v>22756</v>
      </c>
      <c r="AI733" s="16" t="n">
        <f aca="false">AH733*Parametros!$N$2</f>
        <v>2093.552</v>
      </c>
      <c r="AJ733" s="18" t="n">
        <v>8420</v>
      </c>
      <c r="AK733" s="18" t="n">
        <v>3566</v>
      </c>
      <c r="AL733" s="17" t="n">
        <f aca="false">AG733+AI733+AJ733+AK733</f>
        <v>58398.477</v>
      </c>
      <c r="AM733" s="20" t="n">
        <f aca="false">IF(L733&gt;0,AL733/L733,0)</f>
        <v>0.136957349806167</v>
      </c>
      <c r="AN733" s="16" t="n">
        <f aca="false">L733*INDEX(Parametros!$G$2:$G$9,MATCH($E733,Parametros!$A$2:$A$9,0))</f>
        <v>417871.02</v>
      </c>
      <c r="AO733" s="17" t="n">
        <f aca="false">AN733-AC733-AL733</f>
        <v>102318.333</v>
      </c>
      <c r="AP733" s="15" t="n">
        <f aca="false">IF(AN733&gt;0,AO733/AN733,0)</f>
        <v>0.244856254927657</v>
      </c>
      <c r="AQ733" s="16" t="n">
        <f aca="false">INDEX(Parametros!$I$2:$I$9,MATCH($E733,Parametros!$A$2:$A$9,0))</f>
        <v>17000000</v>
      </c>
      <c r="AR733" s="19" t="n">
        <f aca="false">IF(AQ733&gt;0,AO733/AQ733,0)</f>
        <v>0.00601872547058824</v>
      </c>
    </row>
    <row r="734" customFormat="false" ht="15" hidden="false" customHeight="false" outlineLevel="0" collapsed="false">
      <c r="A734" s="5" t="s">
        <v>869</v>
      </c>
      <c r="B734" s="9" t="n">
        <v>46188</v>
      </c>
      <c r="C734" s="2" t="str">
        <f aca="false">TEXT(B734,"yyyy")</f>
        <v>2026</v>
      </c>
      <c r="D734" s="2" t="n">
        <f aca="false">WEEKNUM(B734,2)</f>
        <v>25</v>
      </c>
      <c r="E734" s="5" t="s">
        <v>138</v>
      </c>
      <c r="F734" s="6" t="str">
        <f aca="false">INDEX(Parametros!$B$2:$B$9,MATCH($E734,Parametros!$A$2:$A$9,0))</f>
        <v>Queso crema</v>
      </c>
      <c r="G734" s="10" t="n">
        <v>124.9</v>
      </c>
      <c r="H734" s="10" t="n">
        <v>10.3</v>
      </c>
      <c r="I734" s="11" t="n">
        <f aca="false">SUMIFS(Eventos_Paro!$J$2:$J$2186,Eventos_Paro!$D$2:$D$2186,$E734,Eventos_Paro!$B$2:$B$2186,$B734)</f>
        <v>0</v>
      </c>
      <c r="J734" s="12" t="n">
        <f aca="false">G734-H734-I734</f>
        <v>114.6</v>
      </c>
      <c r="K734" s="13" t="n">
        <v>361024</v>
      </c>
      <c r="L734" s="13" t="n">
        <v>351265</v>
      </c>
      <c r="M734" s="13" t="n">
        <v>14717</v>
      </c>
      <c r="N734" s="14" t="n">
        <f aca="false">L734+M734</f>
        <v>365982</v>
      </c>
      <c r="O734" s="11" t="n">
        <f aca="false">INDEX(Parametros!$D$2:$D$9,MATCH($E734,Parametros!$A$2:$A$9,0))</f>
        <v>3800</v>
      </c>
      <c r="P734" s="15" t="n">
        <f aca="false">IF((G734-H734)&gt;0,J734/(G734-H734),0)</f>
        <v>1</v>
      </c>
      <c r="Q734" s="15" t="n">
        <f aca="false">IF(J734*O734&gt;0,N734/(O734*J734),0)</f>
        <v>0.84041058142739</v>
      </c>
      <c r="R734" s="15" t="n">
        <f aca="false">IF(N734&gt;0,L734/N734,0)</f>
        <v>0.959787639829281</v>
      </c>
      <c r="S734" s="15" t="n">
        <f aca="false">P734*Q734*R734</f>
        <v>0.806615688435749</v>
      </c>
      <c r="T734" s="15" t="n">
        <f aca="false">IF(K734&gt;0,L734/K734,0)</f>
        <v>0.972968556107073</v>
      </c>
      <c r="U734" s="10" t="n">
        <v>2121.5</v>
      </c>
      <c r="V734" s="5" t="n">
        <v>15</v>
      </c>
      <c r="W734" s="10" t="n">
        <v>248</v>
      </c>
      <c r="X734" s="15" t="n">
        <f aca="false">IF(U734&gt;0,W734/U734,0)</f>
        <v>0.116898420928588</v>
      </c>
      <c r="Y734" s="12" t="n">
        <f aca="false">IF(U734&gt;0,L734/U734,0)</f>
        <v>165.573886401131</v>
      </c>
      <c r="Z734" s="16" t="n">
        <f aca="false">L734*INDEX(Parametros!$E$2:$E$9,MATCH($E734,Parametros!$A$2:$A$9,0))</f>
        <v>393416.8</v>
      </c>
      <c r="AA734" s="16" t="n">
        <f aca="false">Z734*INDEX(Parametros!$F$2:$F$9,MATCH($E734,Parametros!$A$2:$A$9,0))</f>
        <v>13769.588</v>
      </c>
      <c r="AB734" s="17" t="n">
        <f aca="false">Z734+AA734</f>
        <v>407186.388</v>
      </c>
      <c r="AC734" s="18" t="n">
        <v>416487.88</v>
      </c>
      <c r="AD734" s="17" t="n">
        <f aca="false">AC734-AB734</f>
        <v>9301.49199999997</v>
      </c>
      <c r="AE734" s="17" t="n">
        <f aca="false">AA734+AD734</f>
        <v>23071.08</v>
      </c>
      <c r="AF734" s="19" t="n">
        <f aca="false">IF(Z734&gt;0,AE734/Z734,0)</f>
        <v>0.0586428439253229</v>
      </c>
      <c r="AG734" s="16" t="n">
        <f aca="false">(U734-W734)*INDEX(Parametros!$H$2:$H$9,MATCH($E734,Parametros!$A$2:$A$9,0))+W734*INDEX(Parametros!$H$2:$H$9,MATCH($E734,Parametros!$A$2:$A$9,0))*Parametros!$N$3</f>
        <v>74101.5</v>
      </c>
      <c r="AH734" s="13" t="n">
        <v>19173</v>
      </c>
      <c r="AI734" s="16" t="n">
        <f aca="false">AH734*Parametros!$N$2</f>
        <v>1763.916</v>
      </c>
      <c r="AJ734" s="18" t="n">
        <v>17119</v>
      </c>
      <c r="AK734" s="18" t="n">
        <v>0</v>
      </c>
      <c r="AL734" s="17" t="n">
        <f aca="false">AG734+AI734+AJ734+AK734</f>
        <v>92984.416</v>
      </c>
      <c r="AM734" s="20" t="n">
        <f aca="false">IF(L734&gt;0,AL734/L734,0)</f>
        <v>0.264713011543991</v>
      </c>
      <c r="AN734" s="16" t="n">
        <f aca="false">L734*INDEX(Parametros!$G$2:$G$9,MATCH($E734,Parametros!$A$2:$A$9,0))</f>
        <v>628764.35</v>
      </c>
      <c r="AO734" s="17" t="n">
        <f aca="false">AN734-AC734-AL734</f>
        <v>119292.054</v>
      </c>
      <c r="AP734" s="15" t="n">
        <f aca="false">IF(AN734&gt;0,AO734/AN734,0)</f>
        <v>0.189724582826619</v>
      </c>
      <c r="AQ734" s="16" t="n">
        <f aca="false">INDEX(Parametros!$I$2:$I$9,MATCH($E734,Parametros!$A$2:$A$9,0))</f>
        <v>33200000</v>
      </c>
      <c r="AR734" s="19" t="n">
        <f aca="false">IF(AQ734&gt;0,AO734/AQ734,0)</f>
        <v>0.00359313415662651</v>
      </c>
    </row>
    <row r="735" customFormat="false" ht="15" hidden="false" customHeight="false" outlineLevel="0" collapsed="false">
      <c r="A735" s="5" t="s">
        <v>870</v>
      </c>
      <c r="B735" s="9" t="n">
        <v>46188</v>
      </c>
      <c r="C735" s="2" t="str">
        <f aca="false">TEXT(B735,"yyyy")</f>
        <v>2026</v>
      </c>
      <c r="D735" s="2" t="n">
        <f aca="false">WEEKNUM(B735,2)</f>
        <v>25</v>
      </c>
      <c r="E735" s="5" t="s">
        <v>140</v>
      </c>
      <c r="F735" s="6" t="str">
        <f aca="false">INDEX(Parametros!$B$2:$B$9,MATCH($E735,Parametros!$A$2:$A$9,0))</f>
        <v>Crema de cacahuate</v>
      </c>
      <c r="G735" s="10" t="n">
        <v>109.7</v>
      </c>
      <c r="H735" s="10" t="n">
        <v>11.6</v>
      </c>
      <c r="I735" s="11" t="n">
        <f aca="false">SUMIFS(Eventos_Paro!$J$2:$J$2186,Eventos_Paro!$D$2:$D$2186,$E735,Eventos_Paro!$B$2:$B$2186,$B735)</f>
        <v>0.733333333333333</v>
      </c>
      <c r="J735" s="12" t="n">
        <f aca="false">G735-H735-I735</f>
        <v>97.3666666666667</v>
      </c>
      <c r="K735" s="13" t="n">
        <v>341575</v>
      </c>
      <c r="L735" s="13" t="n">
        <v>347035</v>
      </c>
      <c r="M735" s="13" t="n">
        <v>7212</v>
      </c>
      <c r="N735" s="14" t="n">
        <f aca="false">L735+M735</f>
        <v>354247</v>
      </c>
      <c r="O735" s="11" t="n">
        <f aca="false">INDEX(Parametros!$D$2:$D$9,MATCH($E735,Parametros!$A$2:$A$9,0))</f>
        <v>4200</v>
      </c>
      <c r="P735" s="15" t="n">
        <f aca="false">IF((G735-H735)&gt;0,J735/(G735-H735),0)</f>
        <v>0.99252463472647</v>
      </c>
      <c r="Q735" s="15" t="n">
        <f aca="false">IF(J735*O735&gt;0,N735/(O735*J735),0)</f>
        <v>0.866256663569228</v>
      </c>
      <c r="R735" s="15" t="n">
        <f aca="false">IF(N735&gt;0,L735/N735,0)</f>
        <v>0.979641323709163</v>
      </c>
      <c r="S735" s="15" t="n">
        <f aca="false">P735*Q735*R735</f>
        <v>0.84227707392845</v>
      </c>
      <c r="T735" s="15" t="n">
        <f aca="false">IF(K735&gt;0,L735/K735,0)</f>
        <v>1.01598477640343</v>
      </c>
      <c r="U735" s="10" t="n">
        <v>1419.6</v>
      </c>
      <c r="V735" s="5" t="n">
        <v>12</v>
      </c>
      <c r="W735" s="10" t="n">
        <v>103.2</v>
      </c>
      <c r="X735" s="15" t="n">
        <f aca="false">IF(U735&gt;0,W735/U735,0)</f>
        <v>0.0726965342349958</v>
      </c>
      <c r="Y735" s="12" t="n">
        <f aca="false">IF(U735&gt;0,L735/U735,0)</f>
        <v>244.459706959707</v>
      </c>
      <c r="Z735" s="16" t="n">
        <f aca="false">L735*INDEX(Parametros!$E$2:$E$9,MATCH($E735,Parametros!$A$2:$A$9,0))</f>
        <v>336623.95</v>
      </c>
      <c r="AA735" s="16" t="n">
        <f aca="false">Z735*INDEX(Parametros!$F$2:$F$9,MATCH($E735,Parametros!$A$2:$A$9,0))</f>
        <v>7405.7269</v>
      </c>
      <c r="AB735" s="17" t="n">
        <f aca="false">Z735+AA735</f>
        <v>344029.6769</v>
      </c>
      <c r="AC735" s="18" t="n">
        <v>347436.79</v>
      </c>
      <c r="AD735" s="17" t="n">
        <f aca="false">AC735-AB735</f>
        <v>3407.11309999996</v>
      </c>
      <c r="AE735" s="17" t="n">
        <f aca="false">AA735+AD735</f>
        <v>10812.84</v>
      </c>
      <c r="AF735" s="19" t="n">
        <f aca="false">IF(Z735&gt;0,AE735/Z735,0)</f>
        <v>0.0321214221388584</v>
      </c>
      <c r="AG735" s="16" t="n">
        <f aca="false">(U735-W735)*INDEX(Parametros!$H$2:$H$9,MATCH($E735,Parametros!$A$2:$A$9,0))+W735*INDEX(Parametros!$H$2:$H$9,MATCH($E735,Parametros!$A$2:$A$9,0))*Parametros!$N$3</f>
        <v>46342.8</v>
      </c>
      <c r="AH735" s="13" t="n">
        <v>18972</v>
      </c>
      <c r="AI735" s="16" t="n">
        <f aca="false">AH735*Parametros!$N$2</f>
        <v>1745.424</v>
      </c>
      <c r="AJ735" s="18" t="n">
        <v>10657</v>
      </c>
      <c r="AK735" s="18" t="n">
        <v>646</v>
      </c>
      <c r="AL735" s="17" t="n">
        <f aca="false">AG735+AI735+AJ735+AK735</f>
        <v>59391.224</v>
      </c>
      <c r="AM735" s="20" t="n">
        <f aca="false">IF(L735&gt;0,AL735/L735,0)</f>
        <v>0.171139003270564</v>
      </c>
      <c r="AN735" s="16" t="n">
        <f aca="false">L735*INDEX(Parametros!$G$2:$G$9,MATCH($E735,Parametros!$A$2:$A$9,0))</f>
        <v>562196.7</v>
      </c>
      <c r="AO735" s="17" t="n">
        <f aca="false">AN735-AC735-AL735</f>
        <v>155368.686</v>
      </c>
      <c r="AP735" s="15" t="n">
        <f aca="false">IF(AN735&gt;0,AO735/AN735,0)</f>
        <v>0.276360010651077</v>
      </c>
      <c r="AQ735" s="16" t="n">
        <f aca="false">INDEX(Parametros!$I$2:$I$9,MATCH($E735,Parametros!$A$2:$A$9,0))</f>
        <v>28000000</v>
      </c>
      <c r="AR735" s="19" t="n">
        <f aca="false">IF(AQ735&gt;0,AO735/AQ735,0)</f>
        <v>0.00554888164285715</v>
      </c>
    </row>
    <row r="736" customFormat="false" ht="15" hidden="false" customHeight="false" outlineLevel="0" collapsed="false">
      <c r="A736" s="5" t="s">
        <v>871</v>
      </c>
      <c r="B736" s="9" t="n">
        <v>46188</v>
      </c>
      <c r="C736" s="2" t="str">
        <f aca="false">TEXT(B736,"yyyy")</f>
        <v>2026</v>
      </c>
      <c r="D736" s="2" t="n">
        <f aca="false">WEEKNUM(B736,2)</f>
        <v>25</v>
      </c>
      <c r="E736" s="5" t="s">
        <v>142</v>
      </c>
      <c r="F736" s="6" t="str">
        <f aca="false">INDEX(Parametros!$B$2:$B$9,MATCH($E736,Parametros!$A$2:$A$9,0))</f>
        <v>Porciones single serve</v>
      </c>
      <c r="G736" s="10" t="n">
        <v>80.5</v>
      </c>
      <c r="H736" s="10" t="n">
        <v>9.8</v>
      </c>
      <c r="I736" s="11" t="n">
        <f aca="false">SUMIFS(Eventos_Paro!$J$2:$J$2186,Eventos_Paro!$D$2:$D$2186,$E736,Eventos_Paro!$B$2:$B$2186,$B736)</f>
        <v>5.01666666666667</v>
      </c>
      <c r="J736" s="12" t="n">
        <f aca="false">G736-H736-I736</f>
        <v>65.6833333333333</v>
      </c>
      <c r="K736" s="13" t="n">
        <v>152391</v>
      </c>
      <c r="L736" s="13" t="n">
        <v>133857</v>
      </c>
      <c r="M736" s="13" t="n">
        <v>8252</v>
      </c>
      <c r="N736" s="14" t="n">
        <f aca="false">L736+M736</f>
        <v>142109</v>
      </c>
      <c r="O736" s="11" t="n">
        <f aca="false">INDEX(Parametros!$D$2:$D$9,MATCH($E736,Parametros!$A$2:$A$9,0))</f>
        <v>2600</v>
      </c>
      <c r="P736" s="15" t="n">
        <f aca="false">IF((G736-H736)&gt;0,J736/(G736-H736),0)</f>
        <v>0.929042904290429</v>
      </c>
      <c r="Q736" s="15" t="n">
        <f aca="false">IF(J736*O736&gt;0,N736/(O736*J736),0)</f>
        <v>0.832133585774794</v>
      </c>
      <c r="R736" s="15" t="n">
        <f aca="false">IF(N736&gt;0,L736/N736,0)</f>
        <v>0.941931897346403</v>
      </c>
      <c r="S736" s="15" t="n">
        <f aca="false">P736*Q736*R736</f>
        <v>0.728196061364378</v>
      </c>
      <c r="T736" s="15" t="n">
        <f aca="false">IF(K736&gt;0,L736/K736,0)</f>
        <v>0.878378644408134</v>
      </c>
      <c r="U736" s="10" t="n">
        <v>1221.2</v>
      </c>
      <c r="V736" s="5" t="n">
        <v>14</v>
      </c>
      <c r="W736" s="10" t="n">
        <v>94.2</v>
      </c>
      <c r="X736" s="15" t="n">
        <f aca="false">IF(U736&gt;0,W736/U736,0)</f>
        <v>0.0771372420569931</v>
      </c>
      <c r="Y736" s="12" t="n">
        <f aca="false">IF(U736&gt;0,L736/U736,0)</f>
        <v>109.611038322961</v>
      </c>
      <c r="Z736" s="16" t="n">
        <f aca="false">L736*INDEX(Parametros!$E$2:$E$9,MATCH($E736,Parametros!$A$2:$A$9,0))</f>
        <v>99054.18</v>
      </c>
      <c r="AA736" s="16" t="n">
        <f aca="false">Z736*INDEX(Parametros!$F$2:$F$9,MATCH($E736,Parametros!$A$2:$A$9,0))</f>
        <v>4457.4381</v>
      </c>
      <c r="AB736" s="17" t="n">
        <f aca="false">Z736+AA736</f>
        <v>103511.6181</v>
      </c>
      <c r="AC736" s="18" t="n">
        <v>104613.32</v>
      </c>
      <c r="AD736" s="17" t="n">
        <f aca="false">AC736-AB736</f>
        <v>1101.70190000001</v>
      </c>
      <c r="AE736" s="17" t="n">
        <f aca="false">AA736+AD736</f>
        <v>5559.14000000001</v>
      </c>
      <c r="AF736" s="19" t="n">
        <f aca="false">IF(Z736&gt;0,AE736/Z736,0)</f>
        <v>0.0561222151351918</v>
      </c>
      <c r="AG736" s="16" t="n">
        <f aca="false">(U736-W736)*INDEX(Parametros!$H$2:$H$9,MATCH($E736,Parametros!$A$2:$A$9,0))+W736*INDEX(Parametros!$H$2:$H$9,MATCH($E736,Parametros!$A$2:$A$9,0))*Parametros!$N$3</f>
        <v>38049</v>
      </c>
      <c r="AH736" s="13" t="n">
        <v>7678</v>
      </c>
      <c r="AI736" s="16" t="n">
        <f aca="false">AH736*Parametros!$N$2</f>
        <v>706.376</v>
      </c>
      <c r="AJ736" s="18" t="n">
        <v>11291</v>
      </c>
      <c r="AK736" s="18" t="n">
        <v>3049</v>
      </c>
      <c r="AL736" s="17" t="n">
        <f aca="false">AG736+AI736+AJ736+AK736</f>
        <v>53095.376</v>
      </c>
      <c r="AM736" s="20" t="n">
        <f aca="false">IF(L736&gt;0,AL736/L736,0)</f>
        <v>0.396657447873477</v>
      </c>
      <c r="AN736" s="16" t="n">
        <f aca="false">L736*INDEX(Parametros!$G$2:$G$9,MATCH($E736,Parametros!$A$2:$A$9,0))</f>
        <v>230234.04</v>
      </c>
      <c r="AO736" s="17" t="n">
        <f aca="false">AN736-AC736-AL736</f>
        <v>72525.344</v>
      </c>
      <c r="AP736" s="15" t="n">
        <f aca="false">IF(AN736&gt;0,AO736/AN736,0)</f>
        <v>0.315007042399117</v>
      </c>
      <c r="AQ736" s="16" t="n">
        <f aca="false">INDEX(Parametros!$I$2:$I$9,MATCH($E736,Parametros!$A$2:$A$9,0))</f>
        <v>15900000</v>
      </c>
      <c r="AR736" s="19" t="n">
        <f aca="false">IF(AQ736&gt;0,AO736/AQ736,0)</f>
        <v>0.00456134238993711</v>
      </c>
    </row>
    <row r="737" customFormat="false" ht="15" hidden="false" customHeight="false" outlineLevel="0" collapsed="false">
      <c r="A737" s="5" t="s">
        <v>872</v>
      </c>
      <c r="B737" s="9" t="n">
        <v>46188</v>
      </c>
      <c r="C737" s="2" t="str">
        <f aca="false">TEXT(B737,"yyyy")</f>
        <v>2026</v>
      </c>
      <c r="D737" s="2" t="n">
        <f aca="false">WEEKNUM(B737,2)</f>
        <v>25</v>
      </c>
      <c r="E737" s="5" t="s">
        <v>144</v>
      </c>
      <c r="F737" s="6" t="str">
        <f aca="false">INDEX(Parametros!$B$2:$B$9,MATCH($E737,Parametros!$A$2:$A$9,0))</f>
        <v>Salsas picantes</v>
      </c>
      <c r="G737" s="10" t="n">
        <v>93.6</v>
      </c>
      <c r="H737" s="10" t="n">
        <v>10</v>
      </c>
      <c r="I737" s="11" t="n">
        <f aca="false">SUMIFS(Eventos_Paro!$J$2:$J$2186,Eventos_Paro!$D$2:$D$2186,$E737,Eventos_Paro!$B$2:$B$2186,$B737)</f>
        <v>0.533333333333333</v>
      </c>
      <c r="J737" s="12" t="n">
        <f aca="false">G737-H737-I737</f>
        <v>83.0666666666667</v>
      </c>
      <c r="K737" s="13" t="n">
        <v>195830</v>
      </c>
      <c r="L737" s="13" t="n">
        <v>211246</v>
      </c>
      <c r="M737" s="13" t="n">
        <v>7407</v>
      </c>
      <c r="N737" s="14" t="n">
        <f aca="false">L737+M737</f>
        <v>218653</v>
      </c>
      <c r="O737" s="11" t="n">
        <f aca="false">INDEX(Parametros!$D$2:$D$9,MATCH($E737,Parametros!$A$2:$A$9,0))</f>
        <v>3100</v>
      </c>
      <c r="P737" s="15" t="n">
        <f aca="false">IF((G737-H737)&gt;0,J737/(G737-H737),0)</f>
        <v>0.993620414673046</v>
      </c>
      <c r="Q737" s="15" t="n">
        <f aca="false">IF(J737*O737&gt;0,N737/(O737*J737),0)</f>
        <v>0.849115880495003</v>
      </c>
      <c r="R737" s="15" t="n">
        <f aca="false">IF(N737&gt;0,L737/N737,0)</f>
        <v>0.966124407165692</v>
      </c>
      <c r="S737" s="15" t="n">
        <f aca="false">P737*Q737*R737</f>
        <v>0.815118073776818</v>
      </c>
      <c r="T737" s="15" t="n">
        <f aca="false">IF(K737&gt;0,L737/K737,0)</f>
        <v>1.0787213399377</v>
      </c>
      <c r="U737" s="10" t="n">
        <v>963</v>
      </c>
      <c r="V737" s="5" t="n">
        <v>10</v>
      </c>
      <c r="W737" s="10" t="n">
        <v>27</v>
      </c>
      <c r="X737" s="15" t="n">
        <f aca="false">IF(U737&gt;0,W737/U737,0)</f>
        <v>0.0280373831775701</v>
      </c>
      <c r="Y737" s="12" t="n">
        <f aca="false">IF(U737&gt;0,L737/U737,0)</f>
        <v>219.36240913811</v>
      </c>
      <c r="Z737" s="16" t="n">
        <f aca="false">L737*INDEX(Parametros!$E$2:$E$9,MATCH($E737,Parametros!$A$2:$A$9,0))</f>
        <v>139422.36</v>
      </c>
      <c r="AA737" s="16" t="n">
        <f aca="false">Z737*INDEX(Parametros!$F$2:$F$9,MATCH($E737,Parametros!$A$2:$A$9,0))</f>
        <v>3624.98136</v>
      </c>
      <c r="AB737" s="17" t="n">
        <f aca="false">Z737+AA737</f>
        <v>143047.34136</v>
      </c>
      <c r="AC737" s="18" t="n">
        <v>141446.16</v>
      </c>
      <c r="AD737" s="17" t="n">
        <f aca="false">AC737-AB737</f>
        <v>-1601.18136000002</v>
      </c>
      <c r="AE737" s="17" t="n">
        <f aca="false">AA737+AD737</f>
        <v>2023.79999999998</v>
      </c>
      <c r="AF737" s="19" t="n">
        <f aca="false">IF(Z737&gt;0,AE737/Z737,0)</f>
        <v>0.0145156056747281</v>
      </c>
      <c r="AG737" s="16" t="n">
        <f aca="false">(U737-W737)*INDEX(Parametros!$H$2:$H$9,MATCH($E737,Parametros!$A$2:$A$9,0))+W737*INDEX(Parametros!$H$2:$H$9,MATCH($E737,Parametros!$A$2:$A$9,0))*Parametros!$N$3</f>
        <v>30759.75</v>
      </c>
      <c r="AH737" s="13" t="n">
        <v>11469</v>
      </c>
      <c r="AI737" s="16" t="n">
        <f aca="false">AH737*Parametros!$N$2</f>
        <v>1055.148</v>
      </c>
      <c r="AJ737" s="18" t="n">
        <v>6748</v>
      </c>
      <c r="AK737" s="18" t="n">
        <v>347</v>
      </c>
      <c r="AL737" s="17" t="n">
        <f aca="false">AG737+AI737+AJ737+AK737</f>
        <v>38909.898</v>
      </c>
      <c r="AM737" s="20" t="n">
        <f aca="false">IF(L737&gt;0,AL737/L737,0)</f>
        <v>0.184192353938063</v>
      </c>
      <c r="AN737" s="16" t="n">
        <f aca="false">L737*INDEX(Parametros!$G$2:$G$9,MATCH($E737,Parametros!$A$2:$A$9,0))</f>
        <v>264057.5</v>
      </c>
      <c r="AO737" s="17" t="n">
        <f aca="false">AN737-AC737-AL737</f>
        <v>83701.442</v>
      </c>
      <c r="AP737" s="15" t="n">
        <f aca="false">IF(AN737&gt;0,AO737/AN737,0)</f>
        <v>0.316981877053293</v>
      </c>
      <c r="AQ737" s="16" t="n">
        <f aca="false">INDEX(Parametros!$I$2:$I$9,MATCH($E737,Parametros!$A$2:$A$9,0))</f>
        <v>13300000</v>
      </c>
      <c r="AR737" s="19" t="n">
        <f aca="false">IF(AQ737&gt;0,AO737/AQ737,0)</f>
        <v>0.0062933415037594</v>
      </c>
    </row>
    <row r="738" customFormat="false" ht="15" hidden="false" customHeight="false" outlineLevel="0" collapsed="false">
      <c r="A738" s="5" t="s">
        <v>873</v>
      </c>
      <c r="B738" s="9" t="n">
        <v>46195</v>
      </c>
      <c r="C738" s="2" t="str">
        <f aca="false">TEXT(B738,"yyyy")</f>
        <v>2026</v>
      </c>
      <c r="D738" s="2" t="n">
        <f aca="false">WEEKNUM(B738,2)</f>
        <v>26</v>
      </c>
      <c r="E738" s="5" t="s">
        <v>130</v>
      </c>
      <c r="F738" s="6" t="str">
        <f aca="false">INDEX(Parametros!$B$2:$B$9,MATCH($E738,Parametros!$A$2:$A$9,0))</f>
        <v>Ketchup botella</v>
      </c>
      <c r="G738" s="10" t="n">
        <v>132.9</v>
      </c>
      <c r="H738" s="10" t="n">
        <v>7.5</v>
      </c>
      <c r="I738" s="11" t="n">
        <f aca="false">SUMIFS(Eventos_Paro!$J$2:$J$2186,Eventos_Paro!$D$2:$D$2186,$E738,Eventos_Paro!$B$2:$B$2186,$B738)</f>
        <v>3.33333333333333</v>
      </c>
      <c r="J738" s="12" t="n">
        <f aca="false">G738-H738-I738</f>
        <v>122.066666666667</v>
      </c>
      <c r="K738" s="13" t="n">
        <v>937228</v>
      </c>
      <c r="L738" s="13" t="n">
        <v>988024</v>
      </c>
      <c r="M738" s="13" t="n">
        <v>21037</v>
      </c>
      <c r="N738" s="14" t="n">
        <f aca="false">L738+M738</f>
        <v>1009061</v>
      </c>
      <c r="O738" s="11" t="n">
        <f aca="false">INDEX(Parametros!$D$2:$D$9,MATCH($E738,Parametros!$A$2:$A$9,0))</f>
        <v>9000</v>
      </c>
      <c r="P738" s="15" t="n">
        <f aca="false">IF((G738-H738)&gt;0,J738/(G738-H738),0)</f>
        <v>0.973418394471026</v>
      </c>
      <c r="Q738" s="15" t="n">
        <f aca="false">IF(J738*O738&gt;0,N738/(O738*J738),0)</f>
        <v>0.918497178226834</v>
      </c>
      <c r="R738" s="15" t="n">
        <f aca="false">IF(N738&gt;0,L738/N738,0)</f>
        <v>0.979151904592488</v>
      </c>
      <c r="S738" s="15" t="n">
        <f aca="false">P738*Q738*R738</f>
        <v>0.875442140705299</v>
      </c>
      <c r="T738" s="15" t="n">
        <f aca="false">IF(K738&gt;0,L738/K738,0)</f>
        <v>1.05419812468257</v>
      </c>
      <c r="U738" s="10" t="n">
        <v>2173.1</v>
      </c>
      <c r="V738" s="5" t="n">
        <v>15</v>
      </c>
      <c r="W738" s="10" t="n">
        <v>179.6</v>
      </c>
      <c r="X738" s="15" t="n">
        <f aca="false">IF(U738&gt;0,W738/U738,0)</f>
        <v>0.0826469099443192</v>
      </c>
      <c r="Y738" s="12" t="n">
        <f aca="false">IF(U738&gt;0,L738/U738,0)</f>
        <v>454.661083245134</v>
      </c>
      <c r="Z738" s="16" t="n">
        <f aca="false">L738*INDEX(Parametros!$E$2:$E$9,MATCH($E738,Parametros!$A$2:$A$9,0))</f>
        <v>414970.08</v>
      </c>
      <c r="AA738" s="16" t="n">
        <f aca="false">Z738*INDEX(Parametros!$F$2:$F$9,MATCH($E738,Parametros!$A$2:$A$9,0))</f>
        <v>8299.4016</v>
      </c>
      <c r="AB738" s="17" t="n">
        <f aca="false">Z738+AA738</f>
        <v>423269.4816</v>
      </c>
      <c r="AC738" s="18" t="n">
        <v>426953.62</v>
      </c>
      <c r="AD738" s="17" t="n">
        <f aca="false">AC738-AB738</f>
        <v>3684.13840000005</v>
      </c>
      <c r="AE738" s="17" t="n">
        <f aca="false">AA738+AD738</f>
        <v>11983.5400000001</v>
      </c>
      <c r="AF738" s="19" t="n">
        <f aca="false">IF(Z738&gt;0,AE738/Z738,0)</f>
        <v>0.0288780820053341</v>
      </c>
      <c r="AG738" s="16" t="n">
        <f aca="false">(U738-W738)*INDEX(Parametros!$H$2:$H$9,MATCH($E738,Parametros!$A$2:$A$9,0))+W738*INDEX(Parametros!$H$2:$H$9,MATCH($E738,Parametros!$A$2:$A$9,0))*Parametros!$N$3</f>
        <v>71281.35</v>
      </c>
      <c r="AH738" s="13" t="n">
        <v>51220</v>
      </c>
      <c r="AI738" s="16" t="n">
        <f aca="false">AH738*Parametros!$N$2</f>
        <v>4712.24</v>
      </c>
      <c r="AJ738" s="18" t="n">
        <v>16824</v>
      </c>
      <c r="AK738" s="18" t="n">
        <v>2597</v>
      </c>
      <c r="AL738" s="17" t="n">
        <f aca="false">AG738+AI738+AJ738+AK738</f>
        <v>95414.59</v>
      </c>
      <c r="AM738" s="20" t="n">
        <f aca="false">IF(L738&gt;0,AL738/L738,0)</f>
        <v>0.0965711258026121</v>
      </c>
      <c r="AN738" s="16" t="n">
        <f aca="false">L738*INDEX(Parametros!$G$2:$G$9,MATCH($E738,Parametros!$A$2:$A$9,0))</f>
        <v>701497.04</v>
      </c>
      <c r="AO738" s="17" t="n">
        <f aca="false">AN738-AC738-AL738</f>
        <v>179128.83</v>
      </c>
      <c r="AP738" s="15" t="n">
        <f aca="false">IF(AN738&gt;0,AO738/AN738,0)</f>
        <v>0.25535222500725</v>
      </c>
      <c r="AQ738" s="16" t="n">
        <f aca="false">INDEX(Parametros!$I$2:$I$9,MATCH($E738,Parametros!$A$2:$A$9,0))</f>
        <v>29300000</v>
      </c>
      <c r="AR738" s="19" t="n">
        <f aca="false">IF(AQ738&gt;0,AO738/AQ738,0)</f>
        <v>0.00611361194539249</v>
      </c>
    </row>
    <row r="739" customFormat="false" ht="15" hidden="false" customHeight="false" outlineLevel="0" collapsed="false">
      <c r="A739" s="5" t="s">
        <v>874</v>
      </c>
      <c r="B739" s="9" t="n">
        <v>46195</v>
      </c>
      <c r="C739" s="2" t="str">
        <f aca="false">TEXT(B739,"yyyy")</f>
        <v>2026</v>
      </c>
      <c r="D739" s="2" t="n">
        <f aca="false">WEEKNUM(B739,2)</f>
        <v>26</v>
      </c>
      <c r="E739" s="5" t="s">
        <v>132</v>
      </c>
      <c r="F739" s="6" t="str">
        <f aca="false">INDEX(Parametros!$B$2:$B$9,MATCH($E739,Parametros!$A$2:$A$9,0))</f>
        <v>Mayonesa frasco</v>
      </c>
      <c r="G739" s="10" t="n">
        <v>122.5</v>
      </c>
      <c r="H739" s="10" t="n">
        <v>7.3</v>
      </c>
      <c r="I739" s="11" t="n">
        <f aca="false">SUMIFS(Eventos_Paro!$J$2:$J$2186,Eventos_Paro!$D$2:$D$2186,$E739,Eventos_Paro!$B$2:$B$2186,$B739)</f>
        <v>1.81666666666667</v>
      </c>
      <c r="J739" s="12" t="n">
        <f aca="false">G739-H739-I739</f>
        <v>113.383333333333</v>
      </c>
      <c r="K739" s="13" t="n">
        <v>621829</v>
      </c>
      <c r="L739" s="13" t="n">
        <v>634982</v>
      </c>
      <c r="M739" s="13" t="n">
        <v>19655</v>
      </c>
      <c r="N739" s="14" t="n">
        <f aca="false">L739+M739</f>
        <v>654637</v>
      </c>
      <c r="O739" s="11" t="n">
        <f aca="false">INDEX(Parametros!$D$2:$D$9,MATCH($E739,Parametros!$A$2:$A$9,0))</f>
        <v>6500</v>
      </c>
      <c r="P739" s="15" t="n">
        <f aca="false">IF((G739-H739)&gt;0,J739/(G739-H739),0)</f>
        <v>0.984230324074074</v>
      </c>
      <c r="Q739" s="15" t="n">
        <f aca="false">IF(J739*O739&gt;0,N739/(O739*J739),0)</f>
        <v>0.888255633826705</v>
      </c>
      <c r="R739" s="15" t="n">
        <f aca="false">IF(N739&gt;0,L739/N739,0)</f>
        <v>0.969975727005959</v>
      </c>
      <c r="S739" s="15" t="n">
        <f aca="false">P739*Q739*R739</f>
        <v>0.847999465811966</v>
      </c>
      <c r="T739" s="15" t="n">
        <f aca="false">IF(K739&gt;0,L739/K739,0)</f>
        <v>1.02115211738275</v>
      </c>
      <c r="U739" s="10" t="n">
        <v>1833.3</v>
      </c>
      <c r="V739" s="5" t="n">
        <v>14</v>
      </c>
      <c r="W739" s="10" t="n">
        <v>118.3</v>
      </c>
      <c r="X739" s="15" t="n">
        <f aca="false">IF(U739&gt;0,W739/U739,0)</f>
        <v>0.0645284459717449</v>
      </c>
      <c r="Y739" s="12" t="n">
        <f aca="false">IF(U739&gt;0,L739/U739,0)</f>
        <v>346.360115638466</v>
      </c>
      <c r="Z739" s="16" t="n">
        <f aca="false">L739*INDEX(Parametros!$E$2:$E$9,MATCH($E739,Parametros!$A$2:$A$9,0))</f>
        <v>387339.02</v>
      </c>
      <c r="AA739" s="16" t="n">
        <f aca="false">Z739*INDEX(Parametros!$F$2:$F$9,MATCH($E739,Parametros!$A$2:$A$9,0))</f>
        <v>9683.4755</v>
      </c>
      <c r="AB739" s="17" t="n">
        <f aca="false">Z739+AA739</f>
        <v>397022.4955</v>
      </c>
      <c r="AC739" s="18" t="n">
        <v>405543.85</v>
      </c>
      <c r="AD739" s="17" t="n">
        <f aca="false">AC739-AB739</f>
        <v>8521.35449999996</v>
      </c>
      <c r="AE739" s="17" t="n">
        <f aca="false">AA739+AD739</f>
        <v>18204.83</v>
      </c>
      <c r="AF739" s="19" t="n">
        <f aca="false">IF(Z739&gt;0,AE739/Z739,0)</f>
        <v>0.0469997316562632</v>
      </c>
      <c r="AG739" s="16" t="n">
        <f aca="false">(U739-W739)*INDEX(Parametros!$H$2:$H$9,MATCH($E739,Parametros!$A$2:$A$9,0))+W739*INDEX(Parametros!$H$2:$H$9,MATCH($E739,Parametros!$A$2:$A$9,0))*Parametros!$N$3</f>
        <v>59612.175</v>
      </c>
      <c r="AH739" s="13" t="n">
        <v>30401</v>
      </c>
      <c r="AI739" s="16" t="n">
        <f aca="false">AH739*Parametros!$N$2</f>
        <v>2796.892</v>
      </c>
      <c r="AJ739" s="18" t="n">
        <v>13220</v>
      </c>
      <c r="AK739" s="18" t="n">
        <v>1331</v>
      </c>
      <c r="AL739" s="17" t="n">
        <f aca="false">AG739+AI739+AJ739+AK739</f>
        <v>76960.067</v>
      </c>
      <c r="AM739" s="20" t="n">
        <f aca="false">IF(L739&gt;0,AL739/L739,0)</f>
        <v>0.121200391507161</v>
      </c>
      <c r="AN739" s="16" t="n">
        <f aca="false">L739*INDEX(Parametros!$G$2:$G$9,MATCH($E739,Parametros!$A$2:$A$9,0))</f>
        <v>609582.72</v>
      </c>
      <c r="AO739" s="17" t="n">
        <f aca="false">AN739-AC739-AL739</f>
        <v>127078.803</v>
      </c>
      <c r="AP739" s="15" t="n">
        <f aca="false">IF(AN739&gt;0,AO739/AN739,0)</f>
        <v>0.208468512690123</v>
      </c>
      <c r="AQ739" s="16" t="n">
        <f aca="false">INDEX(Parametros!$I$2:$I$9,MATCH($E739,Parametros!$A$2:$A$9,0))</f>
        <v>29700000</v>
      </c>
      <c r="AR739" s="19" t="n">
        <f aca="false">IF(AQ739&gt;0,AO739/AQ739,0)</f>
        <v>0.00427874757575758</v>
      </c>
    </row>
    <row r="740" customFormat="false" ht="15" hidden="false" customHeight="false" outlineLevel="0" collapsed="false">
      <c r="A740" s="5" t="s">
        <v>875</v>
      </c>
      <c r="B740" s="9" t="n">
        <v>46195</v>
      </c>
      <c r="C740" s="2" t="str">
        <f aca="false">TEXT(B740,"yyyy")</f>
        <v>2026</v>
      </c>
      <c r="D740" s="2" t="n">
        <f aca="false">WEEKNUM(B740,2)</f>
        <v>26</v>
      </c>
      <c r="E740" s="5" t="s">
        <v>134</v>
      </c>
      <c r="F740" s="6" t="str">
        <f aca="false">INDEX(Parametros!$B$2:$B$9,MATCH($E740,Parametros!$A$2:$A$9,0))</f>
        <v>Aderezos vertibles</v>
      </c>
      <c r="G740" s="10" t="n">
        <v>111.1</v>
      </c>
      <c r="H740" s="10" t="n">
        <v>7.7</v>
      </c>
      <c r="I740" s="11" t="n">
        <f aca="false">SUMIFS(Eventos_Paro!$J$2:$J$2186,Eventos_Paro!$D$2:$D$2186,$E740,Eventos_Paro!$B$2:$B$2186,$B740)</f>
        <v>8.28333333333333</v>
      </c>
      <c r="J740" s="12" t="n">
        <f aca="false">G740-H740-I740</f>
        <v>95.1166666666667</v>
      </c>
      <c r="K740" s="13" t="n">
        <v>446508</v>
      </c>
      <c r="L740" s="13" t="n">
        <v>432778</v>
      </c>
      <c r="M740" s="13" t="n">
        <v>13856</v>
      </c>
      <c r="N740" s="14" t="n">
        <f aca="false">L740+M740</f>
        <v>446634</v>
      </c>
      <c r="O740" s="11" t="n">
        <f aca="false">INDEX(Parametros!$D$2:$D$9,MATCH($E740,Parametros!$A$2:$A$9,0))</f>
        <v>5200</v>
      </c>
      <c r="P740" s="15" t="n">
        <f aca="false">IF((G740-H740)&gt;0,J740/(G740-H740),0)</f>
        <v>0.919890393294649</v>
      </c>
      <c r="Q740" s="15" t="n">
        <f aca="false">IF(J740*O740&gt;0,N740/(O740*J740),0)</f>
        <v>0.903008451159844</v>
      </c>
      <c r="R740" s="15" t="n">
        <f aca="false">IF(N740&gt;0,L740/N740,0)</f>
        <v>0.968976835619322</v>
      </c>
      <c r="S740" s="15" t="n">
        <f aca="false">P740*Q740*R740</f>
        <v>0.804898824579676</v>
      </c>
      <c r="T740" s="15" t="n">
        <f aca="false">IF(K740&gt;0,L740/K740,0)</f>
        <v>0.969250270991785</v>
      </c>
      <c r="U740" s="10" t="n">
        <v>1422.8</v>
      </c>
      <c r="V740" s="5" t="n">
        <v>12</v>
      </c>
      <c r="W740" s="10" t="n">
        <v>89.6</v>
      </c>
      <c r="X740" s="15" t="n">
        <f aca="false">IF(U740&gt;0,W740/U740,0)</f>
        <v>0.0629744166432387</v>
      </c>
      <c r="Y740" s="12" t="n">
        <f aca="false">IF(U740&gt;0,L740/U740,0)</f>
        <v>304.173460781558</v>
      </c>
      <c r="Z740" s="16" t="n">
        <f aca="false">L740*INDEX(Parametros!$E$2:$E$9,MATCH($E740,Parametros!$A$2:$A$9,0))</f>
        <v>238027.9</v>
      </c>
      <c r="AA740" s="16" t="n">
        <f aca="false">Z740*INDEX(Parametros!$F$2:$F$9,MATCH($E740,Parametros!$A$2:$A$9,0))</f>
        <v>7140.837</v>
      </c>
      <c r="AB740" s="17" t="n">
        <f aca="false">Z740+AA740</f>
        <v>245168.737</v>
      </c>
      <c r="AC740" s="18" t="n">
        <v>246852.89</v>
      </c>
      <c r="AD740" s="17" t="n">
        <f aca="false">AC740-AB740</f>
        <v>1684.15299999999</v>
      </c>
      <c r="AE740" s="17" t="n">
        <f aca="false">AA740+AD740</f>
        <v>8824.98999999999</v>
      </c>
      <c r="AF740" s="19" t="n">
        <f aca="false">IF(Z740&gt;0,AE740/Z740,0)</f>
        <v>0.0370754436769807</v>
      </c>
      <c r="AG740" s="16" t="n">
        <f aca="false">(U740-W740)*INDEX(Parametros!$H$2:$H$9,MATCH($E740,Parametros!$A$2:$A$9,0))+W740*INDEX(Parametros!$H$2:$H$9,MATCH($E740,Parametros!$A$2:$A$9,0))*Parametros!$N$3</f>
        <v>46229.4</v>
      </c>
      <c r="AH740" s="13" t="n">
        <v>24257</v>
      </c>
      <c r="AI740" s="16" t="n">
        <f aca="false">AH740*Parametros!$N$2</f>
        <v>2231.644</v>
      </c>
      <c r="AJ740" s="18" t="n">
        <v>8906</v>
      </c>
      <c r="AK740" s="18" t="n">
        <v>6645</v>
      </c>
      <c r="AL740" s="17" t="n">
        <f aca="false">AG740+AI740+AJ740+AK740</f>
        <v>64012.044</v>
      </c>
      <c r="AM740" s="20" t="n">
        <f aca="false">IF(L740&gt;0,AL740/L740,0)</f>
        <v>0.147909653448188</v>
      </c>
      <c r="AN740" s="16" t="n">
        <f aca="false">L740*INDEX(Parametros!$G$2:$G$9,MATCH($E740,Parametros!$A$2:$A$9,0))</f>
        <v>441433.56</v>
      </c>
      <c r="AO740" s="17" t="n">
        <f aca="false">AN740-AC740-AL740</f>
        <v>130568.626</v>
      </c>
      <c r="AP740" s="15" t="n">
        <f aca="false">IF(AN740&gt;0,AO740/AN740,0)</f>
        <v>0.295783188754385</v>
      </c>
      <c r="AQ740" s="16" t="n">
        <f aca="false">INDEX(Parametros!$I$2:$I$9,MATCH($E740,Parametros!$A$2:$A$9,0))</f>
        <v>19300000</v>
      </c>
      <c r="AR740" s="19" t="n">
        <f aca="false">IF(AQ740&gt;0,AO740/AQ740,0)</f>
        <v>0.00676521378238342</v>
      </c>
    </row>
    <row r="741" customFormat="false" ht="15" hidden="false" customHeight="false" outlineLevel="0" collapsed="false">
      <c r="A741" s="5" t="s">
        <v>876</v>
      </c>
      <c r="B741" s="9" t="n">
        <v>46195</v>
      </c>
      <c r="C741" s="2" t="str">
        <f aca="false">TEXT(B741,"yyyy")</f>
        <v>2026</v>
      </c>
      <c r="D741" s="2" t="n">
        <f aca="false">WEEKNUM(B741,2)</f>
        <v>26</v>
      </c>
      <c r="E741" s="5" t="s">
        <v>136</v>
      </c>
      <c r="F741" s="6" t="str">
        <f aca="false">INDEX(Parametros!$B$2:$B$9,MATCH($E741,Parametros!$A$2:$A$9,0))</f>
        <v>Salsa BBQ</v>
      </c>
      <c r="G741" s="10" t="n">
        <v>118.2</v>
      </c>
      <c r="H741" s="10" t="n">
        <v>5.9</v>
      </c>
      <c r="I741" s="11" t="n">
        <f aca="false">SUMIFS(Eventos_Paro!$J$2:$J$2186,Eventos_Paro!$D$2:$D$2186,$E741,Eventos_Paro!$B$2:$B$2186,$B741)</f>
        <v>3.48333333333333</v>
      </c>
      <c r="J741" s="12" t="n">
        <f aca="false">G741-H741-I741</f>
        <v>108.816666666667</v>
      </c>
      <c r="K741" s="13" t="n">
        <v>505055</v>
      </c>
      <c r="L741" s="13" t="n">
        <v>400600</v>
      </c>
      <c r="M741" s="13" t="n">
        <v>9838</v>
      </c>
      <c r="N741" s="14" t="n">
        <f aca="false">L741+M741</f>
        <v>410438</v>
      </c>
      <c r="O741" s="11" t="n">
        <f aca="false">INDEX(Parametros!$D$2:$D$9,MATCH($E741,Parametros!$A$2:$A$9,0))</f>
        <v>4800</v>
      </c>
      <c r="P741" s="15" t="n">
        <f aca="false">IF((G741-H741)&gt;0,J741/(G741-H741),0)</f>
        <v>0.968981893737014</v>
      </c>
      <c r="Q741" s="15" t="n">
        <f aca="false">IF(J741*O741&gt;0,N741/(O741*J741),0)</f>
        <v>0.785797978250881</v>
      </c>
      <c r="R741" s="15" t="n">
        <f aca="false">IF(N741&gt;0,L741/N741,0)</f>
        <v>0.976030484506795</v>
      </c>
      <c r="S741" s="15" t="n">
        <f aca="false">P741*Q741*R741</f>
        <v>0.743173048382309</v>
      </c>
      <c r="T741" s="15" t="n">
        <f aca="false">IF(K741&gt;0,L741/K741,0)</f>
        <v>0.793180940689628</v>
      </c>
      <c r="U741" s="10" t="n">
        <v>1478.2</v>
      </c>
      <c r="V741" s="5" t="n">
        <v>11</v>
      </c>
      <c r="W741" s="10" t="n">
        <v>178</v>
      </c>
      <c r="X741" s="15" t="n">
        <f aca="false">IF(U741&gt;0,W741/U741,0)</f>
        <v>0.120416723041537</v>
      </c>
      <c r="Y741" s="12" t="n">
        <f aca="false">IF(U741&gt;0,L741/U741,0)</f>
        <v>271.005276687864</v>
      </c>
      <c r="Z741" s="16" t="n">
        <f aca="false">L741*INDEX(Parametros!$E$2:$E$9,MATCH($E741,Parametros!$A$2:$A$9,0))</f>
        <v>232348</v>
      </c>
      <c r="AA741" s="16" t="n">
        <f aca="false">Z741*INDEX(Parametros!$F$2:$F$9,MATCH($E741,Parametros!$A$2:$A$9,0))</f>
        <v>6505.744</v>
      </c>
      <c r="AB741" s="17" t="n">
        <f aca="false">Z741+AA741</f>
        <v>238853.744</v>
      </c>
      <c r="AC741" s="18" t="n">
        <v>245978.96</v>
      </c>
      <c r="AD741" s="17" t="n">
        <f aca="false">AC741-AB741</f>
        <v>7125.21600000002</v>
      </c>
      <c r="AE741" s="17" t="n">
        <f aca="false">AA741+AD741</f>
        <v>13630.96</v>
      </c>
      <c r="AF741" s="19" t="n">
        <f aca="false">IF(Z741&gt;0,AE741/Z741,0)</f>
        <v>0.0586661387229501</v>
      </c>
      <c r="AG741" s="16" t="n">
        <f aca="false">(U741-W741)*INDEX(Parametros!$H$2:$H$9,MATCH($E741,Parametros!$A$2:$A$9,0))+W741*INDEX(Parametros!$H$2:$H$9,MATCH($E741,Parametros!$A$2:$A$9,0))*Parametros!$N$3</f>
        <v>49366.8</v>
      </c>
      <c r="AH741" s="13" t="n">
        <v>21512</v>
      </c>
      <c r="AI741" s="16" t="n">
        <f aca="false">AH741*Parametros!$N$2</f>
        <v>1979.104</v>
      </c>
      <c r="AJ741" s="18" t="n">
        <v>9455</v>
      </c>
      <c r="AK741" s="18" t="n">
        <v>3461</v>
      </c>
      <c r="AL741" s="17" t="n">
        <f aca="false">AG741+AI741+AJ741+AK741</f>
        <v>64261.904</v>
      </c>
      <c r="AM741" s="20" t="n">
        <f aca="false">IF(L741&gt;0,AL741/L741,0)</f>
        <v>0.160414138791812</v>
      </c>
      <c r="AN741" s="16" t="n">
        <f aca="false">L741*INDEX(Parametros!$G$2:$G$9,MATCH($E741,Parametros!$A$2:$A$9,0))</f>
        <v>392588</v>
      </c>
      <c r="AO741" s="17" t="n">
        <f aca="false">AN741-AC741-AL741</f>
        <v>82347.136</v>
      </c>
      <c r="AP741" s="15" t="n">
        <f aca="false">IF(AN741&gt;0,AO741/AN741,0)</f>
        <v>0.209754592600895</v>
      </c>
      <c r="AQ741" s="16" t="n">
        <f aca="false">INDEX(Parametros!$I$2:$I$9,MATCH($E741,Parametros!$A$2:$A$9,0))</f>
        <v>17000000</v>
      </c>
      <c r="AR741" s="19" t="n">
        <f aca="false">IF(AQ741&gt;0,AO741/AQ741,0)</f>
        <v>0.00484394917647059</v>
      </c>
    </row>
    <row r="742" customFormat="false" ht="15" hidden="false" customHeight="false" outlineLevel="0" collapsed="false">
      <c r="A742" s="5" t="s">
        <v>877</v>
      </c>
      <c r="B742" s="9" t="n">
        <v>46195</v>
      </c>
      <c r="C742" s="2" t="str">
        <f aca="false">TEXT(B742,"yyyy")</f>
        <v>2026</v>
      </c>
      <c r="D742" s="2" t="n">
        <f aca="false">WEEKNUM(B742,2)</f>
        <v>26</v>
      </c>
      <c r="E742" s="5" t="s">
        <v>138</v>
      </c>
      <c r="F742" s="6" t="str">
        <f aca="false">INDEX(Parametros!$B$2:$B$9,MATCH($E742,Parametros!$A$2:$A$9,0))</f>
        <v>Queso crema</v>
      </c>
      <c r="G742" s="10" t="n">
        <v>124.8</v>
      </c>
      <c r="H742" s="10" t="n">
        <v>6.5</v>
      </c>
      <c r="I742" s="11" t="n">
        <f aca="false">SUMIFS(Eventos_Paro!$J$2:$J$2186,Eventos_Paro!$D$2:$D$2186,$E742,Eventos_Paro!$B$2:$B$2186,$B742)</f>
        <v>3.2</v>
      </c>
      <c r="J742" s="12" t="n">
        <f aca="false">G742-H742-I742</f>
        <v>115.1</v>
      </c>
      <c r="K742" s="13" t="n">
        <v>373313</v>
      </c>
      <c r="L742" s="13" t="n">
        <v>297840</v>
      </c>
      <c r="M742" s="13" t="n">
        <v>12039</v>
      </c>
      <c r="N742" s="14" t="n">
        <f aca="false">L742+M742</f>
        <v>309879</v>
      </c>
      <c r="O742" s="11" t="n">
        <f aca="false">INDEX(Parametros!$D$2:$D$9,MATCH($E742,Parametros!$A$2:$A$9,0))</f>
        <v>3800</v>
      </c>
      <c r="P742" s="15" t="n">
        <f aca="false">IF((G742-H742)&gt;0,J742/(G742-H742),0)</f>
        <v>0.972950126796281</v>
      </c>
      <c r="Q742" s="15" t="n">
        <f aca="false">IF(J742*O742&gt;0,N742/(O742*J742),0)</f>
        <v>0.708489185605195</v>
      </c>
      <c r="R742" s="15" t="n">
        <f aca="false">IF(N742&gt;0,L742/N742,0)</f>
        <v>0.961149351843784</v>
      </c>
      <c r="S742" s="15" t="n">
        <f aca="false">P742*Q742*R742</f>
        <v>0.662543933798995</v>
      </c>
      <c r="T742" s="15" t="n">
        <f aca="false">IF(K742&gt;0,L742/K742,0)</f>
        <v>0.797829167481443</v>
      </c>
      <c r="U742" s="10" t="n">
        <v>2068.9</v>
      </c>
      <c r="V742" s="5" t="n">
        <v>15</v>
      </c>
      <c r="W742" s="10" t="n">
        <v>196.9</v>
      </c>
      <c r="X742" s="15" t="n">
        <f aca="false">IF(U742&gt;0,W742/U742,0)</f>
        <v>0.0951713470926579</v>
      </c>
      <c r="Y742" s="12" t="n">
        <f aca="false">IF(U742&gt;0,L742/U742,0)</f>
        <v>143.960558751027</v>
      </c>
      <c r="Z742" s="16" t="n">
        <f aca="false">L742*INDEX(Parametros!$E$2:$E$9,MATCH($E742,Parametros!$A$2:$A$9,0))</f>
        <v>333580.8</v>
      </c>
      <c r="AA742" s="16" t="n">
        <f aca="false">Z742*INDEX(Parametros!$F$2:$F$9,MATCH($E742,Parametros!$A$2:$A$9,0))</f>
        <v>11675.328</v>
      </c>
      <c r="AB742" s="17" t="n">
        <f aca="false">Z742+AA742</f>
        <v>345256.128</v>
      </c>
      <c r="AC742" s="18" t="n">
        <v>351830.99</v>
      </c>
      <c r="AD742" s="17" t="n">
        <f aca="false">AC742-AB742</f>
        <v>6574.86199999997</v>
      </c>
      <c r="AE742" s="17" t="n">
        <f aca="false">AA742+AD742</f>
        <v>18250.19</v>
      </c>
      <c r="AF742" s="19" t="n">
        <f aca="false">IF(Z742&gt;0,AE742/Z742,0)</f>
        <v>0.0547099533306472</v>
      </c>
      <c r="AG742" s="16" t="n">
        <f aca="false">(U742-W742)*INDEX(Parametros!$H$2:$H$9,MATCH($E742,Parametros!$A$2:$A$9,0))+W742*INDEX(Parametros!$H$2:$H$9,MATCH($E742,Parametros!$A$2:$A$9,0))*Parametros!$N$3</f>
        <v>71522.55</v>
      </c>
      <c r="AH742" s="13" t="n">
        <v>16749</v>
      </c>
      <c r="AI742" s="16" t="n">
        <f aca="false">AH742*Parametros!$N$2</f>
        <v>1540.908</v>
      </c>
      <c r="AJ742" s="18" t="n">
        <v>21821</v>
      </c>
      <c r="AK742" s="18" t="n">
        <v>2457</v>
      </c>
      <c r="AL742" s="17" t="n">
        <f aca="false">AG742+AI742+AJ742+AK742</f>
        <v>97341.458</v>
      </c>
      <c r="AM742" s="20" t="n">
        <f aca="false">IF(L742&gt;0,AL742/L742,0)</f>
        <v>0.326824664249261</v>
      </c>
      <c r="AN742" s="16" t="n">
        <f aca="false">L742*INDEX(Parametros!$G$2:$G$9,MATCH($E742,Parametros!$A$2:$A$9,0))</f>
        <v>533133.6</v>
      </c>
      <c r="AO742" s="17" t="n">
        <f aca="false">AN742-AC742-AL742</f>
        <v>83961.152</v>
      </c>
      <c r="AP742" s="15" t="n">
        <f aca="false">IF(AN742&gt;0,AO742/AN742,0)</f>
        <v>0.15748613855889</v>
      </c>
      <c r="AQ742" s="16" t="n">
        <f aca="false">INDEX(Parametros!$I$2:$I$9,MATCH($E742,Parametros!$A$2:$A$9,0))</f>
        <v>33200000</v>
      </c>
      <c r="AR742" s="19" t="n">
        <f aca="false">IF(AQ742&gt;0,AO742/AQ742,0)</f>
        <v>0.00252895036144578</v>
      </c>
    </row>
    <row r="743" customFormat="false" ht="15" hidden="false" customHeight="false" outlineLevel="0" collapsed="false">
      <c r="A743" s="5" t="s">
        <v>878</v>
      </c>
      <c r="B743" s="9" t="n">
        <v>46195</v>
      </c>
      <c r="C743" s="2" t="str">
        <f aca="false">TEXT(B743,"yyyy")</f>
        <v>2026</v>
      </c>
      <c r="D743" s="2" t="n">
        <f aca="false">WEEKNUM(B743,2)</f>
        <v>26</v>
      </c>
      <c r="E743" s="5" t="s">
        <v>140</v>
      </c>
      <c r="F743" s="6" t="str">
        <f aca="false">INDEX(Parametros!$B$2:$B$9,MATCH($E743,Parametros!$A$2:$A$9,0))</f>
        <v>Crema de cacahuate</v>
      </c>
      <c r="G743" s="10" t="n">
        <v>114</v>
      </c>
      <c r="H743" s="10" t="n">
        <v>5.9</v>
      </c>
      <c r="I743" s="11" t="n">
        <f aca="false">SUMIFS(Eventos_Paro!$J$2:$J$2186,Eventos_Paro!$D$2:$D$2186,$E743,Eventos_Paro!$B$2:$B$2186,$B743)</f>
        <v>0.983333333333333</v>
      </c>
      <c r="J743" s="12" t="n">
        <f aca="false">G743-H743-I743</f>
        <v>107.116666666667</v>
      </c>
      <c r="K743" s="13" t="n">
        <v>377034</v>
      </c>
      <c r="L743" s="13" t="n">
        <v>380410</v>
      </c>
      <c r="M743" s="13" t="n">
        <v>8508</v>
      </c>
      <c r="N743" s="14" t="n">
        <f aca="false">L743+M743</f>
        <v>388918</v>
      </c>
      <c r="O743" s="11" t="n">
        <f aca="false">INDEX(Parametros!$D$2:$D$9,MATCH($E743,Parametros!$A$2:$A$9,0))</f>
        <v>4200</v>
      </c>
      <c r="P743" s="15" t="n">
        <f aca="false">IF((G743-H743)&gt;0,J743/(G743-H743),0)</f>
        <v>0.990903484427999</v>
      </c>
      <c r="Q743" s="15" t="n">
        <f aca="false">IF(J743*O743&gt;0,N743/(O743*J743),0)</f>
        <v>0.86447353797595</v>
      </c>
      <c r="R743" s="15" t="n">
        <f aca="false">IF(N743&gt;0,L743/N743,0)</f>
        <v>0.978123923294885</v>
      </c>
      <c r="S743" s="15" t="n">
        <f aca="false">P743*Q743*R743</f>
        <v>0.837870578388617</v>
      </c>
      <c r="T743" s="15" t="n">
        <f aca="false">IF(K743&gt;0,L743/K743,0)</f>
        <v>1.00895409963027</v>
      </c>
      <c r="U743" s="10" t="n">
        <v>1571.6</v>
      </c>
      <c r="V743" s="5" t="n">
        <v>13</v>
      </c>
      <c r="W743" s="10" t="n">
        <v>89.6</v>
      </c>
      <c r="X743" s="15" t="n">
        <f aca="false">IF(U743&gt;0,W743/U743,0)</f>
        <v>0.057011962331382</v>
      </c>
      <c r="Y743" s="12" t="n">
        <f aca="false">IF(U743&gt;0,L743/U743,0)</f>
        <v>242.052685161619</v>
      </c>
      <c r="Z743" s="16" t="n">
        <f aca="false">L743*INDEX(Parametros!$E$2:$E$9,MATCH($E743,Parametros!$A$2:$A$9,0))</f>
        <v>368997.7</v>
      </c>
      <c r="AA743" s="16" t="n">
        <f aca="false">Z743*INDEX(Parametros!$F$2:$F$9,MATCH($E743,Parametros!$A$2:$A$9,0))</f>
        <v>8117.9494</v>
      </c>
      <c r="AB743" s="17" t="n">
        <f aca="false">Z743+AA743</f>
        <v>377115.6494</v>
      </c>
      <c r="AC743" s="18" t="n">
        <v>376817.03</v>
      </c>
      <c r="AD743" s="17" t="n">
        <f aca="false">AC743-AB743</f>
        <v>-298.619399999967</v>
      </c>
      <c r="AE743" s="17" t="n">
        <f aca="false">AA743+AD743</f>
        <v>7819.33000000003</v>
      </c>
      <c r="AF743" s="19" t="n">
        <f aca="false">IF(Z743&gt;0,AE743/Z743,0)</f>
        <v>0.0211907282890924</v>
      </c>
      <c r="AG743" s="16" t="n">
        <f aca="false">(U743-W743)*INDEX(Parametros!$H$2:$H$9,MATCH($E743,Parametros!$A$2:$A$9,0))+W743*INDEX(Parametros!$H$2:$H$9,MATCH($E743,Parametros!$A$2:$A$9,0))*Parametros!$N$3</f>
        <v>50916.6</v>
      </c>
      <c r="AH743" s="13" t="n">
        <v>20020</v>
      </c>
      <c r="AI743" s="16" t="n">
        <f aca="false">AH743*Parametros!$N$2</f>
        <v>1841.84</v>
      </c>
      <c r="AJ743" s="18" t="n">
        <v>13201</v>
      </c>
      <c r="AK743" s="18" t="n">
        <v>643</v>
      </c>
      <c r="AL743" s="17" t="n">
        <f aca="false">AG743+AI743+AJ743+AK743</f>
        <v>66602.44</v>
      </c>
      <c r="AM743" s="20" t="n">
        <f aca="false">IF(L743&gt;0,AL743/L743,0)</f>
        <v>0.175080676112615</v>
      </c>
      <c r="AN743" s="16" t="n">
        <f aca="false">L743*INDEX(Parametros!$G$2:$G$9,MATCH($E743,Parametros!$A$2:$A$9,0))</f>
        <v>616264.2</v>
      </c>
      <c r="AO743" s="17" t="n">
        <f aca="false">AN743-AC743-AL743</f>
        <v>172844.73</v>
      </c>
      <c r="AP743" s="15" t="n">
        <f aca="false">IF(AN743&gt;0,AO743/AN743,0)</f>
        <v>0.280471800893188</v>
      </c>
      <c r="AQ743" s="16" t="n">
        <f aca="false">INDEX(Parametros!$I$2:$I$9,MATCH($E743,Parametros!$A$2:$A$9,0))</f>
        <v>28000000</v>
      </c>
      <c r="AR743" s="19" t="n">
        <f aca="false">IF(AQ743&gt;0,AO743/AQ743,0)</f>
        <v>0.00617302607142857</v>
      </c>
    </row>
    <row r="744" customFormat="false" ht="15" hidden="false" customHeight="false" outlineLevel="0" collapsed="false">
      <c r="A744" s="5" t="s">
        <v>879</v>
      </c>
      <c r="B744" s="9" t="n">
        <v>46195</v>
      </c>
      <c r="C744" s="2" t="str">
        <f aca="false">TEXT(B744,"yyyy")</f>
        <v>2026</v>
      </c>
      <c r="D744" s="2" t="n">
        <f aca="false">WEEKNUM(B744,2)</f>
        <v>26</v>
      </c>
      <c r="E744" s="5" t="s">
        <v>142</v>
      </c>
      <c r="F744" s="6" t="str">
        <f aca="false">INDEX(Parametros!$B$2:$B$9,MATCH($E744,Parametros!$A$2:$A$9,0))</f>
        <v>Porciones single serve</v>
      </c>
      <c r="G744" s="10" t="n">
        <v>142.7</v>
      </c>
      <c r="H744" s="10" t="n">
        <v>8.3</v>
      </c>
      <c r="I744" s="11" t="n">
        <f aca="false">SUMIFS(Eventos_Paro!$J$2:$J$2186,Eventos_Paro!$D$2:$D$2186,$E744,Eventos_Paro!$B$2:$B$2186,$B744)</f>
        <v>3.21666666666667</v>
      </c>
      <c r="J744" s="12" t="n">
        <f aca="false">G744-H744-I744</f>
        <v>131.183333333333</v>
      </c>
      <c r="K744" s="13" t="n">
        <v>290187</v>
      </c>
      <c r="L744" s="13" t="n">
        <v>232640</v>
      </c>
      <c r="M744" s="13" t="n">
        <v>12770</v>
      </c>
      <c r="N744" s="14" t="n">
        <f aca="false">L744+M744</f>
        <v>245410</v>
      </c>
      <c r="O744" s="11" t="n">
        <f aca="false">INDEX(Parametros!$D$2:$D$9,MATCH($E744,Parametros!$A$2:$A$9,0))</f>
        <v>2600</v>
      </c>
      <c r="P744" s="15" t="n">
        <f aca="false">IF((G744-H744)&gt;0,J744/(G744-H744),0)</f>
        <v>0.976066468253968</v>
      </c>
      <c r="Q744" s="15" t="n">
        <f aca="false">IF(J744*O744&gt;0,N744/(O744*J744),0)</f>
        <v>0.71951565141757</v>
      </c>
      <c r="R744" s="15" t="n">
        <f aca="false">IF(N744&gt;0,L744/N744,0)</f>
        <v>0.947964630618149</v>
      </c>
      <c r="S744" s="15" t="n">
        <f aca="false">P744*Q744*R744</f>
        <v>0.665750915750916</v>
      </c>
      <c r="T744" s="15" t="n">
        <f aca="false">IF(K744&gt;0,L744/K744,0)</f>
        <v>0.801689944759758</v>
      </c>
      <c r="U744" s="10" t="n">
        <v>2480.6</v>
      </c>
      <c r="V744" s="5" t="n">
        <v>16</v>
      </c>
      <c r="W744" s="10" t="n">
        <v>197.4</v>
      </c>
      <c r="X744" s="15" t="n">
        <f aca="false">IF(U744&gt;0,W744/U744,0)</f>
        <v>0.0795775215673627</v>
      </c>
      <c r="Y744" s="12" t="n">
        <f aca="false">IF(U744&gt;0,L744/U744,0)</f>
        <v>93.7837619930662</v>
      </c>
      <c r="Z744" s="16" t="n">
        <f aca="false">L744*INDEX(Parametros!$E$2:$E$9,MATCH($E744,Parametros!$A$2:$A$9,0))</f>
        <v>172153.6</v>
      </c>
      <c r="AA744" s="16" t="n">
        <f aca="false">Z744*INDEX(Parametros!$F$2:$F$9,MATCH($E744,Parametros!$A$2:$A$9,0))</f>
        <v>7746.912</v>
      </c>
      <c r="AB744" s="17" t="n">
        <f aca="false">Z744+AA744</f>
        <v>179900.512</v>
      </c>
      <c r="AC744" s="18" t="n">
        <v>179715.47</v>
      </c>
      <c r="AD744" s="17" t="n">
        <f aca="false">AC744-AB744</f>
        <v>-185.042000000016</v>
      </c>
      <c r="AE744" s="17" t="n">
        <f aca="false">AA744+AD744</f>
        <v>7561.86999999998</v>
      </c>
      <c r="AF744" s="19" t="n">
        <f aca="false">IF(Z744&gt;0,AE744/Z744,0)</f>
        <v>0.0439251342986727</v>
      </c>
      <c r="AG744" s="16" t="n">
        <f aca="false">(U744-W744)*INDEX(Parametros!$H$2:$H$9,MATCH($E744,Parametros!$A$2:$A$9,0))+W744*INDEX(Parametros!$H$2:$H$9,MATCH($E744,Parametros!$A$2:$A$9,0))*Parametros!$N$3</f>
        <v>77379</v>
      </c>
      <c r="AH744" s="13" t="n">
        <v>12849</v>
      </c>
      <c r="AI744" s="16" t="n">
        <f aca="false">AH744*Parametros!$N$2</f>
        <v>1182.108</v>
      </c>
      <c r="AJ744" s="18" t="n">
        <v>10546</v>
      </c>
      <c r="AK744" s="18" t="n">
        <v>2445</v>
      </c>
      <c r="AL744" s="17" t="n">
        <f aca="false">AG744+AI744+AJ744+AK744</f>
        <v>91552.108</v>
      </c>
      <c r="AM744" s="20" t="n">
        <f aca="false">IF(L744&gt;0,AL744/L744,0)</f>
        <v>0.393535539889959</v>
      </c>
      <c r="AN744" s="16" t="n">
        <f aca="false">L744*INDEX(Parametros!$G$2:$G$9,MATCH($E744,Parametros!$A$2:$A$9,0))</f>
        <v>400140.8</v>
      </c>
      <c r="AO744" s="17" t="n">
        <f aca="false">AN744-AC744-AL744</f>
        <v>128873.222</v>
      </c>
      <c r="AP744" s="15" t="n">
        <f aca="false">IF(AN744&gt;0,AO744/AN744,0)</f>
        <v>0.322069686470362</v>
      </c>
      <c r="AQ744" s="16" t="n">
        <f aca="false">INDEX(Parametros!$I$2:$I$9,MATCH($E744,Parametros!$A$2:$A$9,0))</f>
        <v>15900000</v>
      </c>
      <c r="AR744" s="19" t="n">
        <f aca="false">IF(AQ744&gt;0,AO744/AQ744,0)</f>
        <v>0.00810523408805032</v>
      </c>
    </row>
    <row r="745" customFormat="false" ht="15" hidden="false" customHeight="false" outlineLevel="0" collapsed="false">
      <c r="A745" s="5" t="s">
        <v>880</v>
      </c>
      <c r="B745" s="9" t="n">
        <v>46195</v>
      </c>
      <c r="C745" s="2" t="str">
        <f aca="false">TEXT(B745,"yyyy")</f>
        <v>2026</v>
      </c>
      <c r="D745" s="2" t="n">
        <f aca="false">WEEKNUM(B745,2)</f>
        <v>26</v>
      </c>
      <c r="E745" s="5" t="s">
        <v>144</v>
      </c>
      <c r="F745" s="6" t="str">
        <f aca="false">INDEX(Parametros!$B$2:$B$9,MATCH($E745,Parametros!$A$2:$A$9,0))</f>
        <v>Salsas picantes</v>
      </c>
      <c r="G745" s="10" t="n">
        <v>80.9</v>
      </c>
      <c r="H745" s="10" t="n">
        <v>8.4</v>
      </c>
      <c r="I745" s="11" t="n">
        <f aca="false">SUMIFS(Eventos_Paro!$J$2:$J$2186,Eventos_Paro!$D$2:$D$2186,$E745,Eventos_Paro!$B$2:$B$2186,$B745)</f>
        <v>0.616666666666667</v>
      </c>
      <c r="J745" s="12" t="n">
        <f aca="false">G745-H745-I745</f>
        <v>71.8833333333333</v>
      </c>
      <c r="K745" s="13" t="n">
        <v>169406</v>
      </c>
      <c r="L745" s="13" t="n">
        <v>173316</v>
      </c>
      <c r="M745" s="13" t="n">
        <v>5597</v>
      </c>
      <c r="N745" s="14" t="n">
        <f aca="false">L745+M745</f>
        <v>178913</v>
      </c>
      <c r="O745" s="11" t="n">
        <f aca="false">INDEX(Parametros!$D$2:$D$9,MATCH($E745,Parametros!$A$2:$A$9,0))</f>
        <v>3100</v>
      </c>
      <c r="P745" s="15" t="n">
        <f aca="false">IF((G745-H745)&gt;0,J745/(G745-H745),0)</f>
        <v>0.991494252873563</v>
      </c>
      <c r="Q745" s="15" t="n">
        <f aca="false">IF(J745*O745&gt;0,N745/(O745*J745),0)</f>
        <v>0.802882508245888</v>
      </c>
      <c r="R745" s="15" t="n">
        <f aca="false">IF(N745&gt;0,L745/N745,0)</f>
        <v>0.968716638813278</v>
      </c>
      <c r="S745" s="15" t="n">
        <f aca="false">P745*Q745*R745</f>
        <v>0.771150166852058</v>
      </c>
      <c r="T745" s="15" t="n">
        <f aca="false">IF(K745&gt;0,L745/K745,0)</f>
        <v>1.02308064649422</v>
      </c>
      <c r="U745" s="10" t="n">
        <v>1007.5</v>
      </c>
      <c r="V745" s="5" t="n">
        <v>11</v>
      </c>
      <c r="W745" s="10" t="n">
        <v>117.6</v>
      </c>
      <c r="X745" s="15" t="n">
        <f aca="false">IF(U745&gt;0,W745/U745,0)</f>
        <v>0.116724565756824</v>
      </c>
      <c r="Y745" s="12" t="n">
        <f aca="false">IF(U745&gt;0,L745/U745,0)</f>
        <v>172.025806451613</v>
      </c>
      <c r="Z745" s="16" t="n">
        <f aca="false">L745*INDEX(Parametros!$E$2:$E$9,MATCH($E745,Parametros!$A$2:$A$9,0))</f>
        <v>114388.56</v>
      </c>
      <c r="AA745" s="16" t="n">
        <f aca="false">Z745*INDEX(Parametros!$F$2:$F$9,MATCH($E745,Parametros!$A$2:$A$9,0))</f>
        <v>2974.10256</v>
      </c>
      <c r="AB745" s="17" t="n">
        <f aca="false">Z745+AA745</f>
        <v>117362.66256</v>
      </c>
      <c r="AC745" s="18" t="n">
        <v>119999.42</v>
      </c>
      <c r="AD745" s="17" t="n">
        <f aca="false">AC745-AB745</f>
        <v>2636.75743999999</v>
      </c>
      <c r="AE745" s="17" t="n">
        <f aca="false">AA745+AD745</f>
        <v>5610.85999999999</v>
      </c>
      <c r="AF745" s="19" t="n">
        <f aca="false">IF(Z745&gt;0,AE745/Z745,0)</f>
        <v>0.0490508841093898</v>
      </c>
      <c r="AG745" s="16" t="n">
        <f aca="false">(U745-W745)*INDEX(Parametros!$H$2:$H$9,MATCH($E745,Parametros!$A$2:$A$9,0))+W745*INDEX(Parametros!$H$2:$H$9,MATCH($E745,Parametros!$A$2:$A$9,0))*Parametros!$N$3</f>
        <v>33588.45</v>
      </c>
      <c r="AH745" s="13" t="n">
        <v>9533</v>
      </c>
      <c r="AI745" s="16" t="n">
        <f aca="false">AH745*Parametros!$N$2</f>
        <v>877.036</v>
      </c>
      <c r="AJ745" s="18" t="n">
        <v>7597</v>
      </c>
      <c r="AK745" s="18" t="n">
        <v>413</v>
      </c>
      <c r="AL745" s="17" t="n">
        <f aca="false">AG745+AI745+AJ745+AK745</f>
        <v>42475.486</v>
      </c>
      <c r="AM745" s="20" t="n">
        <f aca="false">IF(L745&gt;0,AL745/L745,0)</f>
        <v>0.245075388308062</v>
      </c>
      <c r="AN745" s="16" t="n">
        <f aca="false">L745*INDEX(Parametros!$G$2:$G$9,MATCH($E745,Parametros!$A$2:$A$9,0))</f>
        <v>216645</v>
      </c>
      <c r="AO745" s="17" t="n">
        <f aca="false">AN745-AC745-AL745</f>
        <v>54170.094</v>
      </c>
      <c r="AP745" s="15" t="n">
        <f aca="false">IF(AN745&gt;0,AO745/AN745,0)</f>
        <v>0.250040822543793</v>
      </c>
      <c r="AQ745" s="16" t="n">
        <f aca="false">INDEX(Parametros!$I$2:$I$9,MATCH($E745,Parametros!$A$2:$A$9,0))</f>
        <v>13300000</v>
      </c>
      <c r="AR745" s="19" t="n">
        <f aca="false">IF(AQ745&gt;0,AO745/AQ745,0)</f>
        <v>0.00407293939849624</v>
      </c>
    </row>
    <row r="746" customFormat="false" ht="15" hidden="false" customHeight="false" outlineLevel="0" collapsed="false">
      <c r="A746" s="5" t="s">
        <v>881</v>
      </c>
      <c r="B746" s="9" t="n">
        <v>46202</v>
      </c>
      <c r="C746" s="2" t="str">
        <f aca="false">TEXT(B746,"yyyy")</f>
        <v>2026</v>
      </c>
      <c r="D746" s="2" t="n">
        <f aca="false">WEEKNUM(B746,2)</f>
        <v>27</v>
      </c>
      <c r="E746" s="5" t="s">
        <v>130</v>
      </c>
      <c r="F746" s="6" t="str">
        <f aca="false">INDEX(Parametros!$B$2:$B$9,MATCH($E746,Parametros!$A$2:$A$9,0))</f>
        <v>Ketchup botella</v>
      </c>
      <c r="G746" s="10" t="n">
        <v>122.7</v>
      </c>
      <c r="H746" s="10" t="n">
        <v>8.4</v>
      </c>
      <c r="I746" s="11" t="n">
        <f aca="false">SUMIFS(Eventos_Paro!$J$2:$J$2186,Eventos_Paro!$D$2:$D$2186,$E746,Eventos_Paro!$B$2:$B$2186,$B746)</f>
        <v>2.11666666666667</v>
      </c>
      <c r="J746" s="12" t="n">
        <f aca="false">G746-H746-I746</f>
        <v>112.183333333333</v>
      </c>
      <c r="K746" s="13" t="n">
        <v>855263</v>
      </c>
      <c r="L746" s="13" t="n">
        <v>849135</v>
      </c>
      <c r="M746" s="13" t="n">
        <v>20172</v>
      </c>
      <c r="N746" s="14" t="n">
        <f aca="false">L746+M746</f>
        <v>869307</v>
      </c>
      <c r="O746" s="11" t="n">
        <f aca="false">INDEX(Parametros!$D$2:$D$9,MATCH($E746,Parametros!$A$2:$A$9,0))</f>
        <v>9000</v>
      </c>
      <c r="P746" s="15" t="n">
        <f aca="false">IF((G746-H746)&gt;0,J746/(G746-H746),0)</f>
        <v>0.981481481481482</v>
      </c>
      <c r="Q746" s="15" t="n">
        <f aca="false">IF(J746*O746&gt;0,N746/(O746*J746),0)</f>
        <v>0.860998365770316</v>
      </c>
      <c r="R746" s="15" t="n">
        <f aca="false">IF(N746&gt;0,L746/N746,0)</f>
        <v>0.976795309367117</v>
      </c>
      <c r="S746" s="15" t="n">
        <f aca="false">P746*Q746*R746</f>
        <v>0.825444736074657</v>
      </c>
      <c r="T746" s="15" t="n">
        <f aca="false">IF(K746&gt;0,L746/K746,0)</f>
        <v>0.992834952523376</v>
      </c>
      <c r="U746" s="10" t="n">
        <v>1806.5</v>
      </c>
      <c r="V746" s="5" t="n">
        <v>14</v>
      </c>
      <c r="W746" s="10" t="n">
        <v>88.7</v>
      </c>
      <c r="X746" s="15" t="n">
        <f aca="false">IF(U746&gt;0,W746/U746,0)</f>
        <v>0.049100470523111</v>
      </c>
      <c r="Y746" s="12" t="n">
        <f aca="false">IF(U746&gt;0,L746/U746,0)</f>
        <v>470.044284528093</v>
      </c>
      <c r="Z746" s="16" t="n">
        <f aca="false">L746*INDEX(Parametros!$E$2:$E$9,MATCH($E746,Parametros!$A$2:$A$9,0))</f>
        <v>356636.7</v>
      </c>
      <c r="AA746" s="16" t="n">
        <f aca="false">Z746*INDEX(Parametros!$F$2:$F$9,MATCH($E746,Parametros!$A$2:$A$9,0))</f>
        <v>7132.734</v>
      </c>
      <c r="AB746" s="17" t="n">
        <f aca="false">Z746+AA746</f>
        <v>363769.434</v>
      </c>
      <c r="AC746" s="18" t="n">
        <v>361009.5</v>
      </c>
      <c r="AD746" s="17" t="n">
        <f aca="false">AC746-AB746</f>
        <v>-2759.93400000001</v>
      </c>
      <c r="AE746" s="17" t="n">
        <f aca="false">AA746+AD746</f>
        <v>4372.79999999999</v>
      </c>
      <c r="AF746" s="19" t="n">
        <f aca="false">IF(Z746&gt;0,AE746/Z746,0)</f>
        <v>0.0122612170873048</v>
      </c>
      <c r="AG746" s="16" t="n">
        <f aca="false">(U746-W746)*INDEX(Parametros!$H$2:$H$9,MATCH($E746,Parametros!$A$2:$A$9,0))+W746*INDEX(Parametros!$H$2:$H$9,MATCH($E746,Parametros!$A$2:$A$9,0))*Parametros!$N$3</f>
        <v>58301.775</v>
      </c>
      <c r="AH746" s="13" t="n">
        <v>43479</v>
      </c>
      <c r="AI746" s="16" t="n">
        <f aca="false">AH746*Parametros!$N$2</f>
        <v>4000.068</v>
      </c>
      <c r="AJ746" s="18" t="n">
        <v>16519</v>
      </c>
      <c r="AK746" s="18" t="n">
        <v>1199</v>
      </c>
      <c r="AL746" s="17" t="n">
        <f aca="false">AG746+AI746+AJ746+AK746</f>
        <v>80019.843</v>
      </c>
      <c r="AM746" s="20" t="n">
        <f aca="false">IF(L746&gt;0,AL746/L746,0)</f>
        <v>0.0942368916603367</v>
      </c>
      <c r="AN746" s="16" t="n">
        <f aca="false">L746*INDEX(Parametros!$G$2:$G$9,MATCH($E746,Parametros!$A$2:$A$9,0))</f>
        <v>602885.85</v>
      </c>
      <c r="AO746" s="17" t="n">
        <f aca="false">AN746-AC746-AL746</f>
        <v>161856.507</v>
      </c>
      <c r="AP746" s="15" t="n">
        <f aca="false">IF(AN746&gt;0,AO746/AN746,0)</f>
        <v>0.268469573469007</v>
      </c>
      <c r="AQ746" s="16" t="n">
        <f aca="false">INDEX(Parametros!$I$2:$I$9,MATCH($E746,Parametros!$A$2:$A$9,0))</f>
        <v>29300000</v>
      </c>
      <c r="AR746" s="19" t="n">
        <f aca="false">IF(AQ746&gt;0,AO746/AQ746,0)</f>
        <v>0.0055241128668942</v>
      </c>
    </row>
    <row r="747" customFormat="false" ht="15" hidden="false" customHeight="false" outlineLevel="0" collapsed="false">
      <c r="A747" s="5" t="s">
        <v>882</v>
      </c>
      <c r="B747" s="9" t="n">
        <v>46202</v>
      </c>
      <c r="C747" s="2" t="str">
        <f aca="false">TEXT(B747,"yyyy")</f>
        <v>2026</v>
      </c>
      <c r="D747" s="2" t="n">
        <f aca="false">WEEKNUM(B747,2)</f>
        <v>27</v>
      </c>
      <c r="E747" s="5" t="s">
        <v>132</v>
      </c>
      <c r="F747" s="6" t="str">
        <f aca="false">INDEX(Parametros!$B$2:$B$9,MATCH($E747,Parametros!$A$2:$A$9,0))</f>
        <v>Mayonesa frasco</v>
      </c>
      <c r="G747" s="10" t="n">
        <v>121.4</v>
      </c>
      <c r="H747" s="10" t="n">
        <v>6</v>
      </c>
      <c r="I747" s="11" t="n">
        <f aca="false">SUMIFS(Eventos_Paro!$J$2:$J$2186,Eventos_Paro!$D$2:$D$2186,$E747,Eventos_Paro!$B$2:$B$2186,$B747)</f>
        <v>5.91666666666667</v>
      </c>
      <c r="J747" s="12" t="n">
        <f aca="false">G747-H747-I747</f>
        <v>109.483333333333</v>
      </c>
      <c r="K747" s="13" t="n">
        <v>623634</v>
      </c>
      <c r="L747" s="13" t="n">
        <v>594598</v>
      </c>
      <c r="M747" s="13" t="n">
        <v>19792</v>
      </c>
      <c r="N747" s="14" t="n">
        <f aca="false">L747+M747</f>
        <v>614390</v>
      </c>
      <c r="O747" s="11" t="n">
        <f aca="false">INDEX(Parametros!$D$2:$D$9,MATCH($E747,Parametros!$A$2:$A$9,0))</f>
        <v>6500</v>
      </c>
      <c r="P747" s="15" t="n">
        <f aca="false">IF((G747-H747)&gt;0,J747/(G747-H747),0)</f>
        <v>0.948729058347776</v>
      </c>
      <c r="Q747" s="15" t="n">
        <f aca="false">IF(J747*O747&gt;0,N747/(O747*J747),0)</f>
        <v>0.863341803576238</v>
      </c>
      <c r="R747" s="15" t="n">
        <f aca="false">IF(N747&gt;0,L747/N747,0)</f>
        <v>0.967785934015853</v>
      </c>
      <c r="S747" s="15" t="n">
        <f aca="false">P747*Q747*R747</f>
        <v>0.792691641114518</v>
      </c>
      <c r="T747" s="15" t="n">
        <f aca="false">IF(K747&gt;0,L747/K747,0)</f>
        <v>0.953440639862483</v>
      </c>
      <c r="U747" s="10" t="n">
        <v>1814.4</v>
      </c>
      <c r="V747" s="5" t="n">
        <v>13</v>
      </c>
      <c r="W747" s="10" t="n">
        <v>236.2</v>
      </c>
      <c r="X747" s="15" t="n">
        <f aca="false">IF(U747&gt;0,W747/U747,0)</f>
        <v>0.130180776014109</v>
      </c>
      <c r="Y747" s="12" t="n">
        <f aca="false">IF(U747&gt;0,L747/U747,0)</f>
        <v>327.710537918871</v>
      </c>
      <c r="Z747" s="16" t="n">
        <f aca="false">L747*INDEX(Parametros!$E$2:$E$9,MATCH($E747,Parametros!$A$2:$A$9,0))</f>
        <v>362704.78</v>
      </c>
      <c r="AA747" s="16" t="n">
        <f aca="false">Z747*INDEX(Parametros!$F$2:$F$9,MATCH($E747,Parametros!$A$2:$A$9,0))</f>
        <v>9067.6195</v>
      </c>
      <c r="AB747" s="17" t="n">
        <f aca="false">Z747+AA747</f>
        <v>371772.3995</v>
      </c>
      <c r="AC747" s="18" t="n">
        <v>367228.09</v>
      </c>
      <c r="AD747" s="17" t="n">
        <f aca="false">AC747-AB747</f>
        <v>-4544.30949999992</v>
      </c>
      <c r="AE747" s="17" t="n">
        <f aca="false">AA747+AD747</f>
        <v>4523.31000000008</v>
      </c>
      <c r="AF747" s="19" t="n">
        <f aca="false">IF(Z747&gt;0,AE747/Z747,0)</f>
        <v>0.0124710515257066</v>
      </c>
      <c r="AG747" s="16" t="n">
        <f aca="false">(U747-W747)*INDEX(Parametros!$H$2:$H$9,MATCH($E747,Parametros!$A$2:$A$9,0))+W747*INDEX(Parametros!$H$2:$H$9,MATCH($E747,Parametros!$A$2:$A$9,0))*Parametros!$N$3</f>
        <v>60873.75</v>
      </c>
      <c r="AH747" s="13" t="n">
        <v>33149</v>
      </c>
      <c r="AI747" s="16" t="n">
        <f aca="false">AH747*Parametros!$N$2</f>
        <v>3049.708</v>
      </c>
      <c r="AJ747" s="18" t="n">
        <v>12176</v>
      </c>
      <c r="AK747" s="18" t="n">
        <v>5522</v>
      </c>
      <c r="AL747" s="17" t="n">
        <f aca="false">AG747+AI747+AJ747+AK747</f>
        <v>81621.458</v>
      </c>
      <c r="AM747" s="20" t="n">
        <f aca="false">IF(L747&gt;0,AL747/L747,0)</f>
        <v>0.137271665898641</v>
      </c>
      <c r="AN747" s="16" t="n">
        <f aca="false">L747*INDEX(Parametros!$G$2:$G$9,MATCH($E747,Parametros!$A$2:$A$9,0))</f>
        <v>570814.08</v>
      </c>
      <c r="AO747" s="17" t="n">
        <f aca="false">AN747-AC747-AL747</f>
        <v>121964.532</v>
      </c>
      <c r="AP747" s="15" t="n">
        <f aca="false">IF(AN747&gt;0,AO747/AN747,0)</f>
        <v>0.213667700698623</v>
      </c>
      <c r="AQ747" s="16" t="n">
        <f aca="false">INDEX(Parametros!$I$2:$I$9,MATCH($E747,Parametros!$A$2:$A$9,0))</f>
        <v>29700000</v>
      </c>
      <c r="AR747" s="19" t="n">
        <f aca="false">IF(AQ747&gt;0,AO747/AQ747,0)</f>
        <v>0.0041065498989899</v>
      </c>
    </row>
    <row r="748" customFormat="false" ht="15" hidden="false" customHeight="false" outlineLevel="0" collapsed="false">
      <c r="A748" s="5" t="s">
        <v>883</v>
      </c>
      <c r="B748" s="9" t="n">
        <v>46202</v>
      </c>
      <c r="C748" s="2" t="str">
        <f aca="false">TEXT(B748,"yyyy")</f>
        <v>2026</v>
      </c>
      <c r="D748" s="2" t="n">
        <f aca="false">WEEKNUM(B748,2)</f>
        <v>27</v>
      </c>
      <c r="E748" s="5" t="s">
        <v>134</v>
      </c>
      <c r="F748" s="6" t="str">
        <f aca="false">INDEX(Parametros!$B$2:$B$9,MATCH($E748,Parametros!$A$2:$A$9,0))</f>
        <v>Aderezos vertibles</v>
      </c>
      <c r="G748" s="10" t="n">
        <v>127.4</v>
      </c>
      <c r="H748" s="10" t="n">
        <v>5.6</v>
      </c>
      <c r="I748" s="11" t="n">
        <f aca="false">SUMIFS(Eventos_Paro!$J$2:$J$2186,Eventos_Paro!$D$2:$D$2186,$E748,Eventos_Paro!$B$2:$B$2186,$B748)</f>
        <v>1.51666666666667</v>
      </c>
      <c r="J748" s="12" t="n">
        <f aca="false">G748-H748-I748</f>
        <v>120.283333333333</v>
      </c>
      <c r="K748" s="13" t="n">
        <v>526577</v>
      </c>
      <c r="L748" s="13" t="n">
        <v>449959</v>
      </c>
      <c r="M748" s="13" t="n">
        <v>20577</v>
      </c>
      <c r="N748" s="14" t="n">
        <f aca="false">L748+M748</f>
        <v>470536</v>
      </c>
      <c r="O748" s="11" t="n">
        <f aca="false">INDEX(Parametros!$D$2:$D$9,MATCH($E748,Parametros!$A$2:$A$9,0))</f>
        <v>5200</v>
      </c>
      <c r="P748" s="15" t="n">
        <f aca="false">IF((G748-H748)&gt;0,J748/(G748-H748),0)</f>
        <v>0.987547892720307</v>
      </c>
      <c r="Q748" s="15" t="n">
        <f aca="false">IF(J748*O748&gt;0,N748/(O748*J748),0)</f>
        <v>0.752287867321815</v>
      </c>
      <c r="R748" s="15" t="n">
        <f aca="false">IF(N748&gt;0,L748/N748,0)</f>
        <v>0.956269020861316</v>
      </c>
      <c r="S748" s="15" t="n">
        <f aca="false">P748*Q748*R748</f>
        <v>0.710431666035114</v>
      </c>
      <c r="T748" s="15" t="n">
        <f aca="false">IF(K748&gt;0,L748/K748,0)</f>
        <v>0.854498012636329</v>
      </c>
      <c r="U748" s="10" t="n">
        <v>1795.5</v>
      </c>
      <c r="V748" s="5" t="n">
        <v>13</v>
      </c>
      <c r="W748" s="10" t="n">
        <v>139.3</v>
      </c>
      <c r="X748" s="15" t="n">
        <f aca="false">IF(U748&gt;0,W748/U748,0)</f>
        <v>0.0775828460038986</v>
      </c>
      <c r="Y748" s="12" t="n">
        <f aca="false">IF(U748&gt;0,L748/U748,0)</f>
        <v>250.6037315511</v>
      </c>
      <c r="Z748" s="16" t="n">
        <f aca="false">L748*INDEX(Parametros!$E$2:$E$9,MATCH($E748,Parametros!$A$2:$A$9,0))</f>
        <v>247477.45</v>
      </c>
      <c r="AA748" s="16" t="n">
        <f aca="false">Z748*INDEX(Parametros!$F$2:$F$9,MATCH($E748,Parametros!$A$2:$A$9,0))</f>
        <v>7424.3235</v>
      </c>
      <c r="AB748" s="17" t="n">
        <f aca="false">Z748+AA748</f>
        <v>254901.7735</v>
      </c>
      <c r="AC748" s="18" t="n">
        <v>251355.26</v>
      </c>
      <c r="AD748" s="17" t="n">
        <f aca="false">AC748-AB748</f>
        <v>-3546.5135</v>
      </c>
      <c r="AE748" s="17" t="n">
        <f aca="false">AA748+AD748</f>
        <v>3877.81</v>
      </c>
      <c r="AF748" s="19" t="n">
        <f aca="false">IF(Z748&gt;0,AE748/Z748,0)</f>
        <v>0.0156693468435205</v>
      </c>
      <c r="AG748" s="16" t="n">
        <f aca="false">(U748-W748)*INDEX(Parametros!$H$2:$H$9,MATCH($E748,Parametros!$A$2:$A$9,0))+W748*INDEX(Parametros!$H$2:$H$9,MATCH($E748,Parametros!$A$2:$A$9,0))*Parametros!$N$3</f>
        <v>58752.225</v>
      </c>
      <c r="AH748" s="13" t="n">
        <v>23998</v>
      </c>
      <c r="AI748" s="16" t="n">
        <f aca="false">AH748*Parametros!$N$2</f>
        <v>2207.816</v>
      </c>
      <c r="AJ748" s="18" t="n">
        <v>10706</v>
      </c>
      <c r="AK748" s="18" t="n">
        <v>1426</v>
      </c>
      <c r="AL748" s="17" t="n">
        <f aca="false">AG748+AI748+AJ748+AK748</f>
        <v>73092.041</v>
      </c>
      <c r="AM748" s="20" t="n">
        <f aca="false">IF(L748&gt;0,AL748/L748,0)</f>
        <v>0.162441558008619</v>
      </c>
      <c r="AN748" s="16" t="n">
        <f aca="false">L748*INDEX(Parametros!$G$2:$G$9,MATCH($E748,Parametros!$A$2:$A$9,0))</f>
        <v>458958.18</v>
      </c>
      <c r="AO748" s="17" t="n">
        <f aca="false">AN748-AC748-AL748</f>
        <v>134510.879</v>
      </c>
      <c r="AP748" s="15" t="n">
        <f aca="false">IF(AN748&gt;0,AO748/AN748,0)</f>
        <v>0.293078726693574</v>
      </c>
      <c r="AQ748" s="16" t="n">
        <f aca="false">INDEX(Parametros!$I$2:$I$9,MATCH($E748,Parametros!$A$2:$A$9,0))</f>
        <v>19300000</v>
      </c>
      <c r="AR748" s="19" t="n">
        <f aca="false">IF(AQ748&gt;0,AO748/AQ748,0)</f>
        <v>0.00696947559585492</v>
      </c>
    </row>
    <row r="749" customFormat="false" ht="15" hidden="false" customHeight="false" outlineLevel="0" collapsed="false">
      <c r="A749" s="5" t="s">
        <v>884</v>
      </c>
      <c r="B749" s="9" t="n">
        <v>46202</v>
      </c>
      <c r="C749" s="2" t="str">
        <f aca="false">TEXT(B749,"yyyy")</f>
        <v>2026</v>
      </c>
      <c r="D749" s="2" t="n">
        <f aca="false">WEEKNUM(B749,2)</f>
        <v>27</v>
      </c>
      <c r="E749" s="5" t="s">
        <v>136</v>
      </c>
      <c r="F749" s="6" t="str">
        <f aca="false">INDEX(Parametros!$B$2:$B$9,MATCH($E749,Parametros!$A$2:$A$9,0))</f>
        <v>Salsa BBQ</v>
      </c>
      <c r="G749" s="10" t="n">
        <v>98</v>
      </c>
      <c r="H749" s="10" t="n">
        <v>7.6</v>
      </c>
      <c r="I749" s="11" t="n">
        <f aca="false">SUMIFS(Eventos_Paro!$J$2:$J$2186,Eventos_Paro!$D$2:$D$2186,$E749,Eventos_Paro!$B$2:$B$2186,$B749)</f>
        <v>0.516666666666667</v>
      </c>
      <c r="J749" s="12" t="n">
        <f aca="false">G749-H749-I749</f>
        <v>89.8833333333333</v>
      </c>
      <c r="K749" s="13" t="n">
        <v>408452</v>
      </c>
      <c r="L749" s="13" t="n">
        <v>364881</v>
      </c>
      <c r="M749" s="13" t="n">
        <v>8455</v>
      </c>
      <c r="N749" s="14" t="n">
        <f aca="false">L749+M749</f>
        <v>373336</v>
      </c>
      <c r="O749" s="11" t="n">
        <f aca="false">INDEX(Parametros!$D$2:$D$9,MATCH($E749,Parametros!$A$2:$A$9,0))</f>
        <v>4800</v>
      </c>
      <c r="P749" s="15" t="n">
        <f aca="false">IF((G749-H749)&gt;0,J749/(G749-H749),0)</f>
        <v>0.994284660766962</v>
      </c>
      <c r="Q749" s="15" t="n">
        <f aca="false">IF(J749*O749&gt;0,N749/(O749*J749),0)</f>
        <v>0.86532542184313</v>
      </c>
      <c r="R749" s="15" t="n">
        <f aca="false">IF(N749&gt;0,L749/N749,0)</f>
        <v>0.977352840336855</v>
      </c>
      <c r="S749" s="15" t="n">
        <f aca="false">P749*Q749*R749</f>
        <v>0.840894634955752</v>
      </c>
      <c r="T749" s="15" t="n">
        <f aca="false">IF(K749&gt;0,L749/K749,0)</f>
        <v>0.893326510826242</v>
      </c>
      <c r="U749" s="10" t="n">
        <v>1121.7</v>
      </c>
      <c r="V749" s="5" t="n">
        <v>11</v>
      </c>
      <c r="W749" s="10" t="n">
        <v>43.7</v>
      </c>
      <c r="X749" s="15" t="n">
        <f aca="false">IF(U749&gt;0,W749/U749,0)</f>
        <v>0.038958723366319</v>
      </c>
      <c r="Y749" s="12" t="n">
        <f aca="false">IF(U749&gt;0,L749/U749,0)</f>
        <v>325.292859053223</v>
      </c>
      <c r="Z749" s="16" t="n">
        <f aca="false">L749*INDEX(Parametros!$E$2:$E$9,MATCH($E749,Parametros!$A$2:$A$9,0))</f>
        <v>211630.98</v>
      </c>
      <c r="AA749" s="16" t="n">
        <f aca="false">Z749*INDEX(Parametros!$F$2:$F$9,MATCH($E749,Parametros!$A$2:$A$9,0))</f>
        <v>5925.66744</v>
      </c>
      <c r="AB749" s="17" t="n">
        <f aca="false">Z749+AA749</f>
        <v>217556.64744</v>
      </c>
      <c r="AC749" s="18" t="n">
        <v>222847.2</v>
      </c>
      <c r="AD749" s="17" t="n">
        <f aca="false">AC749-AB749</f>
        <v>5290.55256000004</v>
      </c>
      <c r="AE749" s="17" t="n">
        <f aca="false">AA749+AD749</f>
        <v>11216.22</v>
      </c>
      <c r="AF749" s="19" t="n">
        <f aca="false">IF(Z749&gt;0,AE749/Z749,0)</f>
        <v>0.0529989512877559</v>
      </c>
      <c r="AG749" s="16" t="n">
        <f aca="false">(U749-W749)*INDEX(Parametros!$H$2:$H$9,MATCH($E749,Parametros!$A$2:$A$9,0))+W749*INDEX(Parametros!$H$2:$H$9,MATCH($E749,Parametros!$A$2:$A$9,0))*Parametros!$N$3</f>
        <v>36021.825</v>
      </c>
      <c r="AH749" s="13" t="n">
        <v>18297</v>
      </c>
      <c r="AI749" s="16" t="n">
        <f aca="false">AH749*Parametros!$N$2</f>
        <v>1683.324</v>
      </c>
      <c r="AJ749" s="18" t="n">
        <v>8469</v>
      </c>
      <c r="AK749" s="18" t="n">
        <v>242</v>
      </c>
      <c r="AL749" s="17" t="n">
        <f aca="false">AG749+AI749+AJ749+AK749</f>
        <v>46416.149</v>
      </c>
      <c r="AM749" s="20" t="n">
        <f aca="false">IF(L749&gt;0,AL749/L749,0)</f>
        <v>0.127209005127699</v>
      </c>
      <c r="AN749" s="16" t="n">
        <f aca="false">L749*INDEX(Parametros!$G$2:$G$9,MATCH($E749,Parametros!$A$2:$A$9,0))</f>
        <v>357583.38</v>
      </c>
      <c r="AO749" s="17" t="n">
        <f aca="false">AN749-AC749-AL749</f>
        <v>88320.031</v>
      </c>
      <c r="AP749" s="15" t="n">
        <f aca="false">IF(AN749&gt;0,AO749/AN749,0)</f>
        <v>0.246991431760615</v>
      </c>
      <c r="AQ749" s="16" t="n">
        <f aca="false">INDEX(Parametros!$I$2:$I$9,MATCH($E749,Parametros!$A$2:$A$9,0))</f>
        <v>17000000</v>
      </c>
      <c r="AR749" s="19" t="n">
        <f aca="false">IF(AQ749&gt;0,AO749/AQ749,0)</f>
        <v>0.00519529594117647</v>
      </c>
    </row>
    <row r="750" customFormat="false" ht="15" hidden="false" customHeight="false" outlineLevel="0" collapsed="false">
      <c r="A750" s="5" t="s">
        <v>885</v>
      </c>
      <c r="B750" s="9" t="n">
        <v>46202</v>
      </c>
      <c r="C750" s="2" t="str">
        <f aca="false">TEXT(B750,"yyyy")</f>
        <v>2026</v>
      </c>
      <c r="D750" s="2" t="n">
        <f aca="false">WEEKNUM(B750,2)</f>
        <v>27</v>
      </c>
      <c r="E750" s="5" t="s">
        <v>138</v>
      </c>
      <c r="F750" s="6" t="str">
        <f aca="false">INDEX(Parametros!$B$2:$B$9,MATCH($E750,Parametros!$A$2:$A$9,0))</f>
        <v>Queso crema</v>
      </c>
      <c r="G750" s="10" t="n">
        <v>150</v>
      </c>
      <c r="H750" s="10" t="n">
        <v>6.1</v>
      </c>
      <c r="I750" s="11" t="n">
        <f aca="false">SUMIFS(Eventos_Paro!$J$2:$J$2186,Eventos_Paro!$D$2:$D$2186,$E750,Eventos_Paro!$B$2:$B$2186,$B750)</f>
        <v>5.33333333333333</v>
      </c>
      <c r="J750" s="12" t="n">
        <f aca="false">G750-H750-I750</f>
        <v>138.566666666667</v>
      </c>
      <c r="K750" s="13" t="n">
        <v>454627</v>
      </c>
      <c r="L750" s="13" t="n">
        <v>380704</v>
      </c>
      <c r="M750" s="13" t="n">
        <v>14731</v>
      </c>
      <c r="N750" s="14" t="n">
        <f aca="false">L750+M750</f>
        <v>395435</v>
      </c>
      <c r="O750" s="11" t="n">
        <f aca="false">INDEX(Parametros!$D$2:$D$9,MATCH($E750,Parametros!$A$2:$A$9,0))</f>
        <v>3800</v>
      </c>
      <c r="P750" s="15" t="n">
        <f aca="false">IF((G750-H750)&gt;0,J750/(G750-H750),0)</f>
        <v>0.962937224924716</v>
      </c>
      <c r="Q750" s="15" t="n">
        <f aca="false">IF(J750*O750&gt;0,N750/(O750*J750),0)</f>
        <v>0.750987554283833</v>
      </c>
      <c r="R750" s="15" t="n">
        <f aca="false">IF(N750&gt;0,L750/N750,0)</f>
        <v>0.962747354179574</v>
      </c>
      <c r="S750" s="15" t="n">
        <f aca="false">P750*Q750*R750</f>
        <v>0.696214476427343</v>
      </c>
      <c r="T750" s="15" t="n">
        <f aca="false">IF(K750&gt;0,L750/K750,0)</f>
        <v>0.837398570696417</v>
      </c>
      <c r="U750" s="10" t="n">
        <v>2314.7</v>
      </c>
      <c r="V750" s="5" t="n">
        <v>15</v>
      </c>
      <c r="W750" s="10" t="n">
        <v>64.7</v>
      </c>
      <c r="X750" s="15" t="n">
        <f aca="false">IF(U750&gt;0,W750/U750,0)</f>
        <v>0.0279517864086059</v>
      </c>
      <c r="Y750" s="12" t="n">
        <f aca="false">IF(U750&gt;0,L750/U750,0)</f>
        <v>164.472285825377</v>
      </c>
      <c r="Z750" s="16" t="n">
        <f aca="false">L750*INDEX(Parametros!$E$2:$E$9,MATCH($E750,Parametros!$A$2:$A$9,0))</f>
        <v>426388.48</v>
      </c>
      <c r="AA750" s="16" t="n">
        <f aca="false">Z750*INDEX(Parametros!$F$2:$F$9,MATCH($E750,Parametros!$A$2:$A$9,0))</f>
        <v>14923.5968</v>
      </c>
      <c r="AB750" s="17" t="n">
        <f aca="false">Z750+AA750</f>
        <v>441312.0768</v>
      </c>
      <c r="AC750" s="18" t="n">
        <v>435738.4</v>
      </c>
      <c r="AD750" s="17" t="n">
        <f aca="false">AC750-AB750</f>
        <v>-5573.67680000002</v>
      </c>
      <c r="AE750" s="17" t="n">
        <f aca="false">AA750+AD750</f>
        <v>9349.91999999999</v>
      </c>
      <c r="AF750" s="19" t="n">
        <f aca="false">IF(Z750&gt;0,AE750/Z750,0)</f>
        <v>0.0219281721682537</v>
      </c>
      <c r="AG750" s="16" t="n">
        <f aca="false">(U750-W750)*INDEX(Parametros!$H$2:$H$9,MATCH($E750,Parametros!$A$2:$A$9,0))+W750*INDEX(Parametros!$H$2:$H$9,MATCH($E750,Parametros!$A$2:$A$9,0))*Parametros!$N$3</f>
        <v>77452.65</v>
      </c>
      <c r="AH750" s="13" t="n">
        <v>20262</v>
      </c>
      <c r="AI750" s="16" t="n">
        <f aca="false">AH750*Parametros!$N$2</f>
        <v>1864.104</v>
      </c>
      <c r="AJ750" s="18" t="n">
        <v>17688</v>
      </c>
      <c r="AK750" s="18" t="n">
        <v>4984</v>
      </c>
      <c r="AL750" s="17" t="n">
        <f aca="false">AG750+AI750+AJ750+AK750</f>
        <v>101988.754</v>
      </c>
      <c r="AM750" s="20" t="n">
        <f aca="false">IF(L750&gt;0,AL750/L750,0)</f>
        <v>0.26789514688577</v>
      </c>
      <c r="AN750" s="16" t="n">
        <f aca="false">L750*INDEX(Parametros!$G$2:$G$9,MATCH($E750,Parametros!$A$2:$A$9,0))</f>
        <v>681460.16</v>
      </c>
      <c r="AO750" s="17" t="n">
        <f aca="false">AN750-AC750-AL750</f>
        <v>143733.006</v>
      </c>
      <c r="AP750" s="15" t="n">
        <f aca="false">IF(AN750&gt;0,AO750/AN750,0)</f>
        <v>0.21091916217083</v>
      </c>
      <c r="AQ750" s="16" t="n">
        <f aca="false">INDEX(Parametros!$I$2:$I$9,MATCH($E750,Parametros!$A$2:$A$9,0))</f>
        <v>33200000</v>
      </c>
      <c r="AR750" s="19" t="n">
        <f aca="false">IF(AQ750&gt;0,AO750/AQ750,0)</f>
        <v>0.00432930740963855</v>
      </c>
    </row>
    <row r="751" customFormat="false" ht="15" hidden="false" customHeight="false" outlineLevel="0" collapsed="false">
      <c r="A751" s="5" t="s">
        <v>886</v>
      </c>
      <c r="B751" s="9" t="n">
        <v>46202</v>
      </c>
      <c r="C751" s="2" t="str">
        <f aca="false">TEXT(B751,"yyyy")</f>
        <v>2026</v>
      </c>
      <c r="D751" s="2" t="n">
        <f aca="false">WEEKNUM(B751,2)</f>
        <v>27</v>
      </c>
      <c r="E751" s="5" t="s">
        <v>140</v>
      </c>
      <c r="F751" s="6" t="str">
        <f aca="false">INDEX(Parametros!$B$2:$B$9,MATCH($E751,Parametros!$A$2:$A$9,0))</f>
        <v>Crema de cacahuate</v>
      </c>
      <c r="G751" s="10" t="n">
        <v>111.7</v>
      </c>
      <c r="H751" s="10" t="n">
        <v>5.6</v>
      </c>
      <c r="I751" s="11" t="n">
        <f aca="false">SUMIFS(Eventos_Paro!$J$2:$J$2186,Eventos_Paro!$D$2:$D$2186,$E751,Eventos_Paro!$B$2:$B$2186,$B751)</f>
        <v>0</v>
      </c>
      <c r="J751" s="12" t="n">
        <f aca="false">G751-H751-I751</f>
        <v>106.1</v>
      </c>
      <c r="K751" s="13" t="n">
        <v>370489</v>
      </c>
      <c r="L751" s="13" t="n">
        <v>387038</v>
      </c>
      <c r="M751" s="13" t="n">
        <v>10330</v>
      </c>
      <c r="N751" s="14" t="n">
        <f aca="false">L751+M751</f>
        <v>397368</v>
      </c>
      <c r="O751" s="11" t="n">
        <f aca="false">INDEX(Parametros!$D$2:$D$9,MATCH($E751,Parametros!$A$2:$A$9,0))</f>
        <v>4200</v>
      </c>
      <c r="P751" s="15" t="n">
        <f aca="false">IF((G751-H751)&gt;0,J751/(G751-H751),0)</f>
        <v>1</v>
      </c>
      <c r="Q751" s="15" t="n">
        <f aca="false">IF(J751*O751&gt;0,N751/(O751*J751),0)</f>
        <v>0.891719402181231</v>
      </c>
      <c r="R751" s="15" t="n">
        <f aca="false">IF(N751&gt;0,L751/N751,0)</f>
        <v>0.974003945964446</v>
      </c>
      <c r="S751" s="15" t="n">
        <f aca="false">P751*Q751*R751</f>
        <v>0.868538216417575</v>
      </c>
      <c r="T751" s="15" t="n">
        <f aca="false">IF(K751&gt;0,L751/K751,0)</f>
        <v>1.04466799284189</v>
      </c>
      <c r="U751" s="10" t="n">
        <v>1610.3</v>
      </c>
      <c r="V751" s="5" t="n">
        <v>14</v>
      </c>
      <c r="W751" s="10" t="n">
        <v>46.5</v>
      </c>
      <c r="X751" s="15" t="n">
        <f aca="false">IF(U751&gt;0,W751/U751,0)</f>
        <v>0.0288766068434453</v>
      </c>
      <c r="Y751" s="12" t="n">
        <f aca="false">IF(U751&gt;0,L751/U751,0)</f>
        <v>240.351487300503</v>
      </c>
      <c r="Z751" s="16" t="n">
        <f aca="false">L751*INDEX(Parametros!$E$2:$E$9,MATCH($E751,Parametros!$A$2:$A$9,0))</f>
        <v>375426.86</v>
      </c>
      <c r="AA751" s="16" t="n">
        <f aca="false">Z751*INDEX(Parametros!$F$2:$F$9,MATCH($E751,Parametros!$A$2:$A$9,0))</f>
        <v>8259.39092</v>
      </c>
      <c r="AB751" s="17" t="n">
        <f aca="false">Z751+AA751</f>
        <v>383686.25092</v>
      </c>
      <c r="AC751" s="18" t="n">
        <v>386615.5</v>
      </c>
      <c r="AD751" s="17" t="n">
        <f aca="false">AC751-AB751</f>
        <v>2929.24908000004</v>
      </c>
      <c r="AE751" s="17" t="n">
        <f aca="false">AA751+AD751</f>
        <v>11188.64</v>
      </c>
      <c r="AF751" s="19" t="n">
        <f aca="false">IF(Z751&gt;0,AE751/Z751,0)</f>
        <v>0.02980244940386</v>
      </c>
      <c r="AG751" s="16" t="n">
        <f aca="false">(U751-W751)*INDEX(Parametros!$H$2:$H$9,MATCH($E751,Parametros!$A$2:$A$9,0))+W751*INDEX(Parametros!$H$2:$H$9,MATCH($E751,Parametros!$A$2:$A$9,0))*Parametros!$N$3</f>
        <v>51456.825</v>
      </c>
      <c r="AH751" s="13" t="n">
        <v>20312</v>
      </c>
      <c r="AI751" s="16" t="n">
        <f aca="false">AH751*Parametros!$N$2</f>
        <v>1868.704</v>
      </c>
      <c r="AJ751" s="18" t="n">
        <v>14179</v>
      </c>
      <c r="AK751" s="18" t="n">
        <v>0</v>
      </c>
      <c r="AL751" s="17" t="n">
        <f aca="false">AG751+AI751+AJ751+AK751</f>
        <v>67504.529</v>
      </c>
      <c r="AM751" s="20" t="n">
        <f aca="false">IF(L751&gt;0,AL751/L751,0)</f>
        <v>0.174413181651414</v>
      </c>
      <c r="AN751" s="16" t="n">
        <f aca="false">L751*INDEX(Parametros!$G$2:$G$9,MATCH($E751,Parametros!$A$2:$A$9,0))</f>
        <v>627001.56</v>
      </c>
      <c r="AO751" s="17" t="n">
        <f aca="false">AN751-AC751-AL751</f>
        <v>172881.531</v>
      </c>
      <c r="AP751" s="15" t="n">
        <f aca="false">IF(AN751&gt;0,AO751/AN751,0)</f>
        <v>0.275727433596816</v>
      </c>
      <c r="AQ751" s="16" t="n">
        <f aca="false">INDEX(Parametros!$I$2:$I$9,MATCH($E751,Parametros!$A$2:$A$9,0))</f>
        <v>28000000</v>
      </c>
      <c r="AR751" s="19" t="n">
        <f aca="false">IF(AQ751&gt;0,AO751/AQ751,0)</f>
        <v>0.00617434039285715</v>
      </c>
    </row>
    <row r="752" customFormat="false" ht="15" hidden="false" customHeight="false" outlineLevel="0" collapsed="false">
      <c r="A752" s="5" t="s">
        <v>887</v>
      </c>
      <c r="B752" s="9" t="n">
        <v>46202</v>
      </c>
      <c r="C752" s="2" t="str">
        <f aca="false">TEXT(B752,"yyyy")</f>
        <v>2026</v>
      </c>
      <c r="D752" s="2" t="n">
        <f aca="false">WEEKNUM(B752,2)</f>
        <v>27</v>
      </c>
      <c r="E752" s="5" t="s">
        <v>142</v>
      </c>
      <c r="F752" s="6" t="str">
        <f aca="false">INDEX(Parametros!$B$2:$B$9,MATCH($E752,Parametros!$A$2:$A$9,0))</f>
        <v>Porciones single serve</v>
      </c>
      <c r="G752" s="10" t="n">
        <v>115</v>
      </c>
      <c r="H752" s="10" t="n">
        <v>8.7</v>
      </c>
      <c r="I752" s="11" t="n">
        <f aca="false">SUMIFS(Eventos_Paro!$J$2:$J$2186,Eventos_Paro!$D$2:$D$2186,$E752,Eventos_Paro!$B$2:$B$2186,$B752)</f>
        <v>0.966666666666667</v>
      </c>
      <c r="J752" s="12" t="n">
        <f aca="false">G752-H752-I752</f>
        <v>105.333333333333</v>
      </c>
      <c r="K752" s="13" t="n">
        <v>229783</v>
      </c>
      <c r="L752" s="13" t="n">
        <v>200594</v>
      </c>
      <c r="M752" s="13" t="n">
        <v>11014</v>
      </c>
      <c r="N752" s="14" t="n">
        <f aca="false">L752+M752</f>
        <v>211608</v>
      </c>
      <c r="O752" s="11" t="n">
        <f aca="false">INDEX(Parametros!$D$2:$D$9,MATCH($E752,Parametros!$A$2:$A$9,0))</f>
        <v>2600</v>
      </c>
      <c r="P752" s="15" t="n">
        <f aca="false">IF((G752-H752)&gt;0,J752/(G752-H752),0)</f>
        <v>0.99090624020069</v>
      </c>
      <c r="Q752" s="15" t="n">
        <f aca="false">IF(J752*O752&gt;0,N752/(O752*J752),0)</f>
        <v>0.772667964946446</v>
      </c>
      <c r="R752" s="15" t="n">
        <f aca="false">IF(N752&gt;0,L752/N752,0)</f>
        <v>0.947950928131262</v>
      </c>
      <c r="S752" s="15" t="n">
        <f aca="false">P752*Q752*R752</f>
        <v>0.72579057818945</v>
      </c>
      <c r="T752" s="15" t="n">
        <f aca="false">IF(K752&gt;0,L752/K752,0)</f>
        <v>0.872971455677748</v>
      </c>
      <c r="U752" s="10" t="n">
        <v>1858.2</v>
      </c>
      <c r="V752" s="5" t="n">
        <v>15</v>
      </c>
      <c r="W752" s="10" t="n">
        <v>133.2</v>
      </c>
      <c r="X752" s="15" t="n">
        <f aca="false">IF(U752&gt;0,W752/U752,0)</f>
        <v>0.0716822731675815</v>
      </c>
      <c r="Y752" s="12" t="n">
        <f aca="false">IF(U752&gt;0,L752/U752,0)</f>
        <v>107.950704983317</v>
      </c>
      <c r="Z752" s="16" t="n">
        <f aca="false">L752*INDEX(Parametros!$E$2:$E$9,MATCH($E752,Parametros!$A$2:$A$9,0))</f>
        <v>148439.56</v>
      </c>
      <c r="AA752" s="16" t="n">
        <f aca="false">Z752*INDEX(Parametros!$F$2:$F$9,MATCH($E752,Parametros!$A$2:$A$9,0))</f>
        <v>6679.7802</v>
      </c>
      <c r="AB752" s="17" t="n">
        <f aca="false">Z752+AA752</f>
        <v>155119.3402</v>
      </c>
      <c r="AC752" s="18" t="n">
        <v>151148.08</v>
      </c>
      <c r="AD752" s="17" t="n">
        <f aca="false">AC752-AB752</f>
        <v>-3971.26020000002</v>
      </c>
      <c r="AE752" s="17" t="n">
        <f aca="false">AA752+AD752</f>
        <v>2708.51999999998</v>
      </c>
      <c r="AF752" s="19" t="n">
        <f aca="false">IF(Z752&gt;0,AE752/Z752,0)</f>
        <v>0.0182466183542984</v>
      </c>
      <c r="AG752" s="16" t="n">
        <f aca="false">(U752-W752)*INDEX(Parametros!$H$2:$H$9,MATCH($E752,Parametros!$A$2:$A$9,0))+W752*INDEX(Parametros!$H$2:$H$9,MATCH($E752,Parametros!$A$2:$A$9,0))*Parametros!$N$3</f>
        <v>57744</v>
      </c>
      <c r="AH752" s="13" t="n">
        <v>11099</v>
      </c>
      <c r="AI752" s="16" t="n">
        <f aca="false">AH752*Parametros!$N$2</f>
        <v>1021.108</v>
      </c>
      <c r="AJ752" s="18" t="n">
        <v>11120</v>
      </c>
      <c r="AK752" s="18" t="n">
        <v>838</v>
      </c>
      <c r="AL752" s="17" t="n">
        <f aca="false">AG752+AI752+AJ752+AK752</f>
        <v>70723.108</v>
      </c>
      <c r="AM752" s="20" t="n">
        <f aca="false">IF(L752&gt;0,AL752/L752,0)</f>
        <v>0.352568411816904</v>
      </c>
      <c r="AN752" s="16" t="n">
        <f aca="false">L752*INDEX(Parametros!$G$2:$G$9,MATCH($E752,Parametros!$A$2:$A$9,0))</f>
        <v>345021.68</v>
      </c>
      <c r="AO752" s="17" t="n">
        <f aca="false">AN752-AC752-AL752</f>
        <v>123150.492</v>
      </c>
      <c r="AP752" s="15" t="n">
        <f aca="false">IF(AN752&gt;0,AO752/AN752,0)</f>
        <v>0.35693551779123</v>
      </c>
      <c r="AQ752" s="16" t="n">
        <f aca="false">INDEX(Parametros!$I$2:$I$9,MATCH($E752,Parametros!$A$2:$A$9,0))</f>
        <v>15900000</v>
      </c>
      <c r="AR752" s="19" t="n">
        <f aca="false">IF(AQ752&gt;0,AO752/AQ752,0)</f>
        <v>0.00774531396226415</v>
      </c>
    </row>
    <row r="753" customFormat="false" ht="15" hidden="false" customHeight="false" outlineLevel="0" collapsed="false">
      <c r="A753" s="5" t="s">
        <v>888</v>
      </c>
      <c r="B753" s="9" t="n">
        <v>46202</v>
      </c>
      <c r="C753" s="2" t="str">
        <f aca="false">TEXT(B753,"yyyy")</f>
        <v>2026</v>
      </c>
      <c r="D753" s="2" t="n">
        <f aca="false">WEEKNUM(B753,2)</f>
        <v>27</v>
      </c>
      <c r="E753" s="5" t="s">
        <v>144</v>
      </c>
      <c r="F753" s="6" t="str">
        <f aca="false">INDEX(Parametros!$B$2:$B$9,MATCH($E753,Parametros!$A$2:$A$9,0))</f>
        <v>Salsas picantes</v>
      </c>
      <c r="G753" s="10" t="n">
        <v>96.1</v>
      </c>
      <c r="H753" s="10" t="n">
        <v>6.4</v>
      </c>
      <c r="I753" s="11" t="n">
        <f aca="false">SUMIFS(Eventos_Paro!$J$2:$J$2186,Eventos_Paro!$D$2:$D$2186,$E753,Eventos_Paro!$B$2:$B$2186,$B753)</f>
        <v>0</v>
      </c>
      <c r="J753" s="12" t="n">
        <f aca="false">G753-H753-I753</f>
        <v>89.7</v>
      </c>
      <c r="K753" s="13" t="n">
        <v>209260</v>
      </c>
      <c r="L753" s="13" t="n">
        <v>232231</v>
      </c>
      <c r="M753" s="13" t="n">
        <v>6888</v>
      </c>
      <c r="N753" s="14" t="n">
        <f aca="false">L753+M753</f>
        <v>239119</v>
      </c>
      <c r="O753" s="11" t="n">
        <f aca="false">INDEX(Parametros!$D$2:$D$9,MATCH($E753,Parametros!$A$2:$A$9,0))</f>
        <v>3100</v>
      </c>
      <c r="P753" s="15" t="n">
        <f aca="false">IF((G753-H753)&gt;0,J753/(G753-H753),0)</f>
        <v>1</v>
      </c>
      <c r="Q753" s="15" t="n">
        <f aca="false">IF(J753*O753&gt;0,N753/(O753*J753),0)</f>
        <v>0.859923760204265</v>
      </c>
      <c r="R753" s="15" t="n">
        <f aca="false">IF(N753&gt;0,L753/N753,0)</f>
        <v>0.971194258925472</v>
      </c>
      <c r="S753" s="15" t="n">
        <f aca="false">P753*Q753*R753</f>
        <v>0.835153019023987</v>
      </c>
      <c r="T753" s="15" t="n">
        <f aca="false">IF(K753&gt;0,L753/K753,0)</f>
        <v>1.10977253177865</v>
      </c>
      <c r="U753" s="10" t="n">
        <v>873.3</v>
      </c>
      <c r="V753" s="5" t="n">
        <v>9</v>
      </c>
      <c r="W753" s="10" t="n">
        <v>8.4</v>
      </c>
      <c r="X753" s="15" t="n">
        <f aca="false">IF(U753&gt;0,W753/U753,0)</f>
        <v>0.00961868773617314</v>
      </c>
      <c r="Y753" s="12" t="n">
        <f aca="false">IF(U753&gt;0,L753/U753,0)</f>
        <v>265.92350853086</v>
      </c>
      <c r="Z753" s="16" t="n">
        <f aca="false">L753*INDEX(Parametros!$E$2:$E$9,MATCH($E753,Parametros!$A$2:$A$9,0))</f>
        <v>153272.46</v>
      </c>
      <c r="AA753" s="16" t="n">
        <f aca="false">Z753*INDEX(Parametros!$F$2:$F$9,MATCH($E753,Parametros!$A$2:$A$9,0))</f>
        <v>3985.08396</v>
      </c>
      <c r="AB753" s="17" t="n">
        <f aca="false">Z753+AA753</f>
        <v>157257.54396</v>
      </c>
      <c r="AC753" s="18" t="n">
        <v>158969.97</v>
      </c>
      <c r="AD753" s="17" t="n">
        <f aca="false">AC753-AB753</f>
        <v>1712.42603999999</v>
      </c>
      <c r="AE753" s="17" t="n">
        <f aca="false">AA753+AD753</f>
        <v>5697.50999999999</v>
      </c>
      <c r="AF753" s="19" t="n">
        <f aca="false">IF(Z753&gt;0,AE753/Z753,0)</f>
        <v>0.0371724313682966</v>
      </c>
      <c r="AG753" s="16" t="n">
        <f aca="false">(U753-W753)*INDEX(Parametros!$H$2:$H$9,MATCH($E753,Parametros!$A$2:$A$9,0))+W753*INDEX(Parametros!$H$2:$H$9,MATCH($E753,Parametros!$A$2:$A$9,0))*Parametros!$N$3</f>
        <v>27641.25</v>
      </c>
      <c r="AH753" s="13" t="n">
        <v>12079</v>
      </c>
      <c r="AI753" s="16" t="n">
        <f aca="false">AH753*Parametros!$N$2</f>
        <v>1111.268</v>
      </c>
      <c r="AJ753" s="18" t="n">
        <v>6776</v>
      </c>
      <c r="AK753" s="18" t="n">
        <v>0</v>
      </c>
      <c r="AL753" s="17" t="n">
        <f aca="false">AG753+AI753+AJ753+AK753</f>
        <v>35528.518</v>
      </c>
      <c r="AM753" s="20" t="n">
        <f aca="false">IF(L753&gt;0,AL753/L753,0)</f>
        <v>0.15298783538804</v>
      </c>
      <c r="AN753" s="16" t="n">
        <f aca="false">L753*INDEX(Parametros!$G$2:$G$9,MATCH($E753,Parametros!$A$2:$A$9,0))</f>
        <v>290288.75</v>
      </c>
      <c r="AO753" s="17" t="n">
        <f aca="false">AN753-AC753-AL753</f>
        <v>95790.262</v>
      </c>
      <c r="AP753" s="15" t="n">
        <f aca="false">IF(AN753&gt;0,AO753/AN753,0)</f>
        <v>0.329982687927107</v>
      </c>
      <c r="AQ753" s="16" t="n">
        <f aca="false">INDEX(Parametros!$I$2:$I$9,MATCH($E753,Parametros!$A$2:$A$9,0))</f>
        <v>13300000</v>
      </c>
      <c r="AR753" s="19" t="n">
        <f aca="false">IF(AQ753&gt;0,AO753/AQ753,0)</f>
        <v>0.00720227533834586</v>
      </c>
    </row>
    <row r="754" customFormat="false" ht="15" hidden="false" customHeight="false" outlineLevel="0" collapsed="false">
      <c r="A754" s="5" t="s">
        <v>889</v>
      </c>
      <c r="B754" s="9" t="n">
        <v>46209</v>
      </c>
      <c r="C754" s="2" t="str">
        <f aca="false">TEXT(B754,"yyyy")</f>
        <v>2026</v>
      </c>
      <c r="D754" s="2" t="n">
        <f aca="false">WEEKNUM(B754,2)</f>
        <v>28</v>
      </c>
      <c r="E754" s="5" t="s">
        <v>130</v>
      </c>
      <c r="F754" s="6" t="str">
        <f aca="false">INDEX(Parametros!$B$2:$B$9,MATCH($E754,Parametros!$A$2:$A$9,0))</f>
        <v>Ketchup botella</v>
      </c>
      <c r="G754" s="10" t="n">
        <v>127.3</v>
      </c>
      <c r="H754" s="10" t="n">
        <v>5.4</v>
      </c>
      <c r="I754" s="11" t="n">
        <f aca="false">SUMIFS(Eventos_Paro!$J$2:$J$2186,Eventos_Paro!$D$2:$D$2186,$E754,Eventos_Paro!$B$2:$B$2186,$B754)</f>
        <v>2.98333333333333</v>
      </c>
      <c r="J754" s="12" t="n">
        <f aca="false">G754-H754-I754</f>
        <v>118.916666666667</v>
      </c>
      <c r="K754" s="13" t="n">
        <v>912693</v>
      </c>
      <c r="L754" s="13" t="n">
        <v>892247</v>
      </c>
      <c r="M754" s="13" t="n">
        <v>18740</v>
      </c>
      <c r="N754" s="14" t="n">
        <f aca="false">L754+M754</f>
        <v>910987</v>
      </c>
      <c r="O754" s="11" t="n">
        <f aca="false">INDEX(Parametros!$D$2:$D$9,MATCH($E754,Parametros!$A$2:$A$9,0))</f>
        <v>9000</v>
      </c>
      <c r="P754" s="15" t="n">
        <f aca="false">IF((G754-H754)&gt;0,J754/(G754-H754),0)</f>
        <v>0.975526387749522</v>
      </c>
      <c r="Q754" s="15" t="n">
        <f aca="false">IF(J754*O754&gt;0,N754/(O754*J754),0)</f>
        <v>0.85119084326092</v>
      </c>
      <c r="R754" s="15" t="n">
        <f aca="false">IF(N754&gt;0,L754/N754,0)</f>
        <v>0.979428905132565</v>
      </c>
      <c r="S754" s="15" t="n">
        <f aca="false">P754*Q754*R754</f>
        <v>0.813277732203081</v>
      </c>
      <c r="T754" s="15" t="n">
        <f aca="false">IF(K754&gt;0,L754/K754,0)</f>
        <v>0.977598162799539</v>
      </c>
      <c r="U754" s="10" t="n">
        <v>1896.4</v>
      </c>
      <c r="V754" s="5" t="n">
        <v>14</v>
      </c>
      <c r="W754" s="10" t="n">
        <v>114.2</v>
      </c>
      <c r="X754" s="15" t="n">
        <f aca="false">IF(U754&gt;0,W754/U754,0)</f>
        <v>0.0602193630035857</v>
      </c>
      <c r="Y754" s="12" t="n">
        <f aca="false">IF(U754&gt;0,L754/U754,0)</f>
        <v>470.495148702805</v>
      </c>
      <c r="Z754" s="16" t="n">
        <f aca="false">L754*INDEX(Parametros!$E$2:$E$9,MATCH($E754,Parametros!$A$2:$A$9,0))</f>
        <v>374743.74</v>
      </c>
      <c r="AA754" s="16" t="n">
        <f aca="false">Z754*INDEX(Parametros!$F$2:$F$9,MATCH($E754,Parametros!$A$2:$A$9,0))</f>
        <v>7494.8748</v>
      </c>
      <c r="AB754" s="17" t="n">
        <f aca="false">Z754+AA754</f>
        <v>382238.6148</v>
      </c>
      <c r="AC754" s="18" t="n">
        <v>383959.28</v>
      </c>
      <c r="AD754" s="17" t="n">
        <f aca="false">AC754-AB754</f>
        <v>1720.66520000005</v>
      </c>
      <c r="AE754" s="17" t="n">
        <f aca="false">AA754+AD754</f>
        <v>9215.54000000005</v>
      </c>
      <c r="AF754" s="19" t="n">
        <f aca="false">IF(Z754&gt;0,AE754/Z754,0)</f>
        <v>0.0245915782342356</v>
      </c>
      <c r="AG754" s="16" t="n">
        <f aca="false">(U754-W754)*INDEX(Parametros!$H$2:$H$9,MATCH($E754,Parametros!$A$2:$A$9,0))+W754*INDEX(Parametros!$H$2:$H$9,MATCH($E754,Parametros!$A$2:$A$9,0))*Parametros!$N$3</f>
        <v>61535.25</v>
      </c>
      <c r="AH754" s="13" t="n">
        <v>45301</v>
      </c>
      <c r="AI754" s="16" t="n">
        <f aca="false">AH754*Parametros!$N$2</f>
        <v>4167.692</v>
      </c>
      <c r="AJ754" s="18" t="n">
        <v>15344</v>
      </c>
      <c r="AK754" s="18" t="n">
        <v>3104</v>
      </c>
      <c r="AL754" s="17" t="n">
        <f aca="false">AG754+AI754+AJ754+AK754</f>
        <v>84150.942</v>
      </c>
      <c r="AM754" s="20" t="n">
        <f aca="false">IF(L754&gt;0,AL754/L754,0)</f>
        <v>0.0943135051168567</v>
      </c>
      <c r="AN754" s="16" t="n">
        <f aca="false">L754*INDEX(Parametros!$G$2:$G$9,MATCH($E754,Parametros!$A$2:$A$9,0))</f>
        <v>633495.37</v>
      </c>
      <c r="AO754" s="17" t="n">
        <f aca="false">AN754-AC754-AL754</f>
        <v>165385.148</v>
      </c>
      <c r="AP754" s="15" t="n">
        <f aca="false">IF(AN754&gt;0,AO754/AN754,0)</f>
        <v>0.261067650739105</v>
      </c>
      <c r="AQ754" s="16" t="n">
        <f aca="false">INDEX(Parametros!$I$2:$I$9,MATCH($E754,Parametros!$A$2:$A$9,0))</f>
        <v>29300000</v>
      </c>
      <c r="AR754" s="19" t="n">
        <f aca="false">IF(AQ754&gt;0,AO754/AQ754,0)</f>
        <v>0.0056445443003413</v>
      </c>
    </row>
    <row r="755" customFormat="false" ht="15" hidden="false" customHeight="false" outlineLevel="0" collapsed="false">
      <c r="A755" s="5" t="s">
        <v>890</v>
      </c>
      <c r="B755" s="9" t="n">
        <v>46209</v>
      </c>
      <c r="C755" s="2" t="str">
        <f aca="false">TEXT(B755,"yyyy")</f>
        <v>2026</v>
      </c>
      <c r="D755" s="2" t="n">
        <f aca="false">WEEKNUM(B755,2)</f>
        <v>28</v>
      </c>
      <c r="E755" s="5" t="s">
        <v>132</v>
      </c>
      <c r="F755" s="6" t="str">
        <f aca="false">INDEX(Parametros!$B$2:$B$9,MATCH($E755,Parametros!$A$2:$A$9,0))</f>
        <v>Mayonesa frasco</v>
      </c>
      <c r="G755" s="10" t="n">
        <v>125.2</v>
      </c>
      <c r="H755" s="10" t="n">
        <v>8.3</v>
      </c>
      <c r="I755" s="11" t="n">
        <f aca="false">SUMIFS(Eventos_Paro!$J$2:$J$2186,Eventos_Paro!$D$2:$D$2186,$E755,Eventos_Paro!$B$2:$B$2186,$B755)</f>
        <v>1.13333333333333</v>
      </c>
      <c r="J755" s="12" t="n">
        <f aca="false">G755-H755-I755</f>
        <v>115.766666666667</v>
      </c>
      <c r="K755" s="13" t="n">
        <v>632130</v>
      </c>
      <c r="L755" s="13" t="n">
        <v>640829</v>
      </c>
      <c r="M755" s="13" t="n">
        <v>17614</v>
      </c>
      <c r="N755" s="14" t="n">
        <f aca="false">L755+M755</f>
        <v>658443</v>
      </c>
      <c r="O755" s="11" t="n">
        <f aca="false">INDEX(Parametros!$D$2:$D$9,MATCH($E755,Parametros!$A$2:$A$9,0))</f>
        <v>6500</v>
      </c>
      <c r="P755" s="15" t="n">
        <f aca="false">IF((G755-H755)&gt;0,J755/(G755-H755),0)</f>
        <v>0.990305104077559</v>
      </c>
      <c r="Q755" s="15" t="n">
        <f aca="false">IF(J755*O755&gt;0,N755/(O755*J755),0)</f>
        <v>0.875026689406188</v>
      </c>
      <c r="R755" s="15" t="n">
        <f aca="false">IF(N755&gt;0,L755/N755,0)</f>
        <v>0.973249013202358</v>
      </c>
      <c r="S755" s="15" t="n">
        <f aca="false">P755*Q755*R755</f>
        <v>0.843362505757715</v>
      </c>
      <c r="T755" s="15" t="n">
        <f aca="false">IF(K755&gt;0,L755/K755,0)</f>
        <v>1.01376140983658</v>
      </c>
      <c r="U755" s="10" t="n">
        <v>1808</v>
      </c>
      <c r="V755" s="5" t="n">
        <v>14</v>
      </c>
      <c r="W755" s="10" t="n">
        <v>55.2</v>
      </c>
      <c r="X755" s="15" t="n">
        <f aca="false">IF(U755&gt;0,W755/U755,0)</f>
        <v>0.0305309734513274</v>
      </c>
      <c r="Y755" s="12" t="n">
        <f aca="false">IF(U755&gt;0,L755/U755,0)</f>
        <v>354.440818584071</v>
      </c>
      <c r="Z755" s="16" t="n">
        <f aca="false">L755*INDEX(Parametros!$E$2:$E$9,MATCH($E755,Parametros!$A$2:$A$9,0))</f>
        <v>390905.69</v>
      </c>
      <c r="AA755" s="16" t="n">
        <f aca="false">Z755*INDEX(Parametros!$F$2:$F$9,MATCH($E755,Parametros!$A$2:$A$9,0))</f>
        <v>9772.64225</v>
      </c>
      <c r="AB755" s="17" t="n">
        <f aca="false">Z755+AA755</f>
        <v>400678.33225</v>
      </c>
      <c r="AC755" s="18" t="n">
        <v>409782.53</v>
      </c>
      <c r="AD755" s="17" t="n">
        <f aca="false">AC755-AB755</f>
        <v>9104.19775000005</v>
      </c>
      <c r="AE755" s="17" t="n">
        <f aca="false">AA755+AD755</f>
        <v>18876.8400000001</v>
      </c>
      <c r="AF755" s="19" t="n">
        <f aca="false">IF(Z755&gt;0,AE755/Z755,0)</f>
        <v>0.0482900108207687</v>
      </c>
      <c r="AG755" s="16" t="n">
        <f aca="false">(U755-W755)*INDEX(Parametros!$H$2:$H$9,MATCH($E755,Parametros!$A$2:$A$9,0))+W755*INDEX(Parametros!$H$2:$H$9,MATCH($E755,Parametros!$A$2:$A$9,0))*Parametros!$N$3</f>
        <v>57821.4</v>
      </c>
      <c r="AH755" s="13" t="n">
        <v>32135</v>
      </c>
      <c r="AI755" s="16" t="n">
        <f aca="false">AH755*Parametros!$N$2</f>
        <v>2956.42</v>
      </c>
      <c r="AJ755" s="18" t="n">
        <v>10884</v>
      </c>
      <c r="AK755" s="18" t="n">
        <v>971</v>
      </c>
      <c r="AL755" s="17" t="n">
        <f aca="false">AG755+AI755+AJ755+AK755</f>
        <v>72632.82</v>
      </c>
      <c r="AM755" s="20" t="n">
        <f aca="false">IF(L755&gt;0,AL755/L755,0)</f>
        <v>0.113341967982098</v>
      </c>
      <c r="AN755" s="16" t="n">
        <f aca="false">L755*INDEX(Parametros!$G$2:$G$9,MATCH($E755,Parametros!$A$2:$A$9,0))</f>
        <v>615195.84</v>
      </c>
      <c r="AO755" s="17" t="n">
        <f aca="false">AN755-AC755-AL755</f>
        <v>132780.49</v>
      </c>
      <c r="AP755" s="15" t="n">
        <f aca="false">IF(AN755&gt;0,AO755/AN755,0)</f>
        <v>0.215834505642951</v>
      </c>
      <c r="AQ755" s="16" t="n">
        <f aca="false">INDEX(Parametros!$I$2:$I$9,MATCH($E755,Parametros!$A$2:$A$9,0))</f>
        <v>29700000</v>
      </c>
      <c r="AR755" s="19" t="n">
        <f aca="false">IF(AQ755&gt;0,AO755/AQ755,0)</f>
        <v>0.00447072356902357</v>
      </c>
    </row>
    <row r="756" customFormat="false" ht="15" hidden="false" customHeight="false" outlineLevel="0" collapsed="false">
      <c r="A756" s="5" t="s">
        <v>891</v>
      </c>
      <c r="B756" s="9" t="n">
        <v>46209</v>
      </c>
      <c r="C756" s="2" t="str">
        <f aca="false">TEXT(B756,"yyyy")</f>
        <v>2026</v>
      </c>
      <c r="D756" s="2" t="n">
        <f aca="false">WEEKNUM(B756,2)</f>
        <v>28</v>
      </c>
      <c r="E756" s="5" t="s">
        <v>134</v>
      </c>
      <c r="F756" s="6" t="str">
        <f aca="false">INDEX(Parametros!$B$2:$B$9,MATCH($E756,Parametros!$A$2:$A$9,0))</f>
        <v>Aderezos vertibles</v>
      </c>
      <c r="G756" s="10" t="n">
        <v>100.5</v>
      </c>
      <c r="H756" s="10" t="n">
        <v>6.4</v>
      </c>
      <c r="I756" s="11" t="n">
        <f aca="false">SUMIFS(Eventos_Paro!$J$2:$J$2186,Eventos_Paro!$D$2:$D$2186,$E756,Eventos_Paro!$B$2:$B$2186,$B756)</f>
        <v>4.65</v>
      </c>
      <c r="J756" s="12" t="n">
        <f aca="false">G756-H756-I756</f>
        <v>89.45</v>
      </c>
      <c r="K756" s="13" t="n">
        <v>407072</v>
      </c>
      <c r="L756" s="13" t="n">
        <v>375457</v>
      </c>
      <c r="M756" s="13" t="n">
        <v>16578</v>
      </c>
      <c r="N756" s="14" t="n">
        <f aca="false">L756+M756</f>
        <v>392035</v>
      </c>
      <c r="O756" s="11" t="n">
        <f aca="false">INDEX(Parametros!$D$2:$D$9,MATCH($E756,Parametros!$A$2:$A$9,0))</f>
        <v>5200</v>
      </c>
      <c r="P756" s="15" t="n">
        <f aca="false">IF((G756-H756)&gt;0,J756/(G756-H756),0)</f>
        <v>0.950584484590861</v>
      </c>
      <c r="Q756" s="15" t="n">
        <f aca="false">IF(J756*O756&gt;0,N756/(O756*J756),0)</f>
        <v>0.842832265554457</v>
      </c>
      <c r="R756" s="15" t="n">
        <f aca="false">IF(N756&gt;0,L756/N756,0)</f>
        <v>0.957712959302103</v>
      </c>
      <c r="S756" s="15" t="n">
        <f aca="false">P756*Q756*R756</f>
        <v>0.767303605002861</v>
      </c>
      <c r="T756" s="15" t="n">
        <f aca="false">IF(K756&gt;0,L756/K756,0)</f>
        <v>0.922335606477478</v>
      </c>
      <c r="U756" s="10" t="n">
        <v>1215.5</v>
      </c>
      <c r="V756" s="5" t="n">
        <v>11</v>
      </c>
      <c r="W756" s="10" t="n">
        <v>110</v>
      </c>
      <c r="X756" s="15" t="n">
        <f aca="false">IF(U756&gt;0,W756/U756,0)</f>
        <v>0.0904977375565611</v>
      </c>
      <c r="Y756" s="12" t="n">
        <f aca="false">IF(U756&gt;0,L756/U756,0)</f>
        <v>308.89099136158</v>
      </c>
      <c r="Z756" s="16" t="n">
        <f aca="false">L756*INDEX(Parametros!$E$2:$E$9,MATCH($E756,Parametros!$A$2:$A$9,0))</f>
        <v>206501.35</v>
      </c>
      <c r="AA756" s="16" t="n">
        <f aca="false">Z756*INDEX(Parametros!$F$2:$F$9,MATCH($E756,Parametros!$A$2:$A$9,0))</f>
        <v>6195.0405</v>
      </c>
      <c r="AB756" s="17" t="n">
        <f aca="false">Z756+AA756</f>
        <v>212696.3905</v>
      </c>
      <c r="AC756" s="18" t="n">
        <v>212693.84</v>
      </c>
      <c r="AD756" s="17" t="n">
        <f aca="false">AC756-AB756</f>
        <v>-2.55050000001211</v>
      </c>
      <c r="AE756" s="17" t="n">
        <f aca="false">AA756+AD756</f>
        <v>6192.48999999999</v>
      </c>
      <c r="AF756" s="19" t="n">
        <f aca="false">IF(Z756&gt;0,AE756/Z756,0)</f>
        <v>0.0299876489911567</v>
      </c>
      <c r="AG756" s="16" t="n">
        <f aca="false">(U756-W756)*INDEX(Parametros!$H$2:$H$9,MATCH($E756,Parametros!$A$2:$A$9,0))+W756*INDEX(Parametros!$H$2:$H$9,MATCH($E756,Parametros!$A$2:$A$9,0))*Parametros!$N$3</f>
        <v>40020.75</v>
      </c>
      <c r="AH756" s="13" t="n">
        <v>19455</v>
      </c>
      <c r="AI756" s="16" t="n">
        <f aca="false">AH756*Parametros!$N$2</f>
        <v>1789.86</v>
      </c>
      <c r="AJ756" s="18" t="n">
        <v>11371</v>
      </c>
      <c r="AK756" s="18" t="n">
        <v>6514</v>
      </c>
      <c r="AL756" s="17" t="n">
        <f aca="false">AG756+AI756+AJ756+AK756</f>
        <v>59695.61</v>
      </c>
      <c r="AM756" s="20" t="n">
        <f aca="false">IF(L756&gt;0,AL756/L756,0)</f>
        <v>0.158994531997006</v>
      </c>
      <c r="AN756" s="16" t="n">
        <f aca="false">L756*INDEX(Parametros!$G$2:$G$9,MATCH($E756,Parametros!$A$2:$A$9,0))</f>
        <v>382966.14</v>
      </c>
      <c r="AO756" s="17" t="n">
        <f aca="false">AN756-AC756-AL756</f>
        <v>110576.69</v>
      </c>
      <c r="AP756" s="15" t="n">
        <f aca="false">IF(AN756&gt;0,AO756/AN756,0)</f>
        <v>0.288737510841037</v>
      </c>
      <c r="AQ756" s="16" t="n">
        <f aca="false">INDEX(Parametros!$I$2:$I$9,MATCH($E756,Parametros!$A$2:$A$9,0))</f>
        <v>19300000</v>
      </c>
      <c r="AR756" s="19" t="n">
        <f aca="false">IF(AQ756&gt;0,AO756/AQ756,0)</f>
        <v>0.0057293621761658</v>
      </c>
    </row>
    <row r="757" customFormat="false" ht="15" hidden="false" customHeight="false" outlineLevel="0" collapsed="false">
      <c r="A757" s="5" t="s">
        <v>892</v>
      </c>
      <c r="B757" s="9" t="n">
        <v>46209</v>
      </c>
      <c r="C757" s="2" t="str">
        <f aca="false">TEXT(B757,"yyyy")</f>
        <v>2026</v>
      </c>
      <c r="D757" s="2" t="n">
        <f aca="false">WEEKNUM(B757,2)</f>
        <v>28</v>
      </c>
      <c r="E757" s="5" t="s">
        <v>136</v>
      </c>
      <c r="F757" s="6" t="str">
        <f aca="false">INDEX(Parametros!$B$2:$B$9,MATCH($E757,Parametros!$A$2:$A$9,0))</f>
        <v>Salsa BBQ</v>
      </c>
      <c r="G757" s="10" t="n">
        <v>89.3</v>
      </c>
      <c r="H757" s="10" t="n">
        <v>7.6</v>
      </c>
      <c r="I757" s="11" t="n">
        <f aca="false">SUMIFS(Eventos_Paro!$J$2:$J$2186,Eventos_Paro!$D$2:$D$2186,$E757,Eventos_Paro!$B$2:$B$2186,$B757)</f>
        <v>2.2</v>
      </c>
      <c r="J757" s="12" t="n">
        <f aca="false">G757-H757-I757</f>
        <v>79.5</v>
      </c>
      <c r="K757" s="13" t="n">
        <v>370048</v>
      </c>
      <c r="L757" s="13" t="n">
        <v>308061</v>
      </c>
      <c r="M757" s="13" t="n">
        <v>11513</v>
      </c>
      <c r="N757" s="14" t="n">
        <f aca="false">L757+M757</f>
        <v>319574</v>
      </c>
      <c r="O757" s="11" t="n">
        <f aca="false">INDEX(Parametros!$D$2:$D$9,MATCH($E757,Parametros!$A$2:$A$9,0))</f>
        <v>4800</v>
      </c>
      <c r="P757" s="15" t="n">
        <f aca="false">IF((G757-H757)&gt;0,J757/(G757-H757),0)</f>
        <v>0.973072215422277</v>
      </c>
      <c r="Q757" s="15" t="n">
        <f aca="false">IF(J757*O757&gt;0,N757/(O757*J757),0)</f>
        <v>0.837458071278826</v>
      </c>
      <c r="R757" s="15" t="n">
        <f aca="false">IF(N757&gt;0,L757/N757,0)</f>
        <v>0.963973915274709</v>
      </c>
      <c r="S757" s="15" t="n">
        <f aca="false">P757*Q757*R757</f>
        <v>0.785549265605875</v>
      </c>
      <c r="T757" s="15" t="n">
        <f aca="false">IF(K757&gt;0,L757/K757,0)</f>
        <v>0.832489298685576</v>
      </c>
      <c r="U757" s="10" t="n">
        <v>929.1</v>
      </c>
      <c r="V757" s="5" t="n">
        <v>10</v>
      </c>
      <c r="W757" s="10" t="n">
        <v>36.1</v>
      </c>
      <c r="X757" s="15" t="n">
        <f aca="false">IF(U757&gt;0,W757/U757,0)</f>
        <v>0.0388548057259714</v>
      </c>
      <c r="Y757" s="12" t="n">
        <f aca="false">IF(U757&gt;0,L757/U757,0)</f>
        <v>331.56926057475</v>
      </c>
      <c r="Z757" s="16" t="n">
        <f aca="false">L757*INDEX(Parametros!$E$2:$E$9,MATCH($E757,Parametros!$A$2:$A$9,0))</f>
        <v>178675.38</v>
      </c>
      <c r="AA757" s="16" t="n">
        <f aca="false">Z757*INDEX(Parametros!$F$2:$F$9,MATCH($E757,Parametros!$A$2:$A$9,0))</f>
        <v>5002.91064</v>
      </c>
      <c r="AB757" s="17" t="n">
        <f aca="false">Z757+AA757</f>
        <v>183678.29064</v>
      </c>
      <c r="AC757" s="18" t="n">
        <v>187439.89</v>
      </c>
      <c r="AD757" s="17" t="n">
        <f aca="false">AC757-AB757</f>
        <v>3761.59936000005</v>
      </c>
      <c r="AE757" s="17" t="n">
        <f aca="false">AA757+AD757</f>
        <v>8764.51000000005</v>
      </c>
      <c r="AF757" s="19" t="n">
        <f aca="false">IF(Z757&gt;0,AE757/Z757,0)</f>
        <v>0.0490527010492439</v>
      </c>
      <c r="AG757" s="16" t="n">
        <f aca="false">(U757-W757)*INDEX(Parametros!$H$2:$H$9,MATCH($E757,Parametros!$A$2:$A$9,0))+W757*INDEX(Parametros!$H$2:$H$9,MATCH($E757,Parametros!$A$2:$A$9,0))*Parametros!$N$3</f>
        <v>29835.225</v>
      </c>
      <c r="AH757" s="13" t="n">
        <v>16497</v>
      </c>
      <c r="AI757" s="16" t="n">
        <f aca="false">AH757*Parametros!$N$2</f>
        <v>1517.724</v>
      </c>
      <c r="AJ757" s="18" t="n">
        <v>10564</v>
      </c>
      <c r="AK757" s="18" t="n">
        <v>1205</v>
      </c>
      <c r="AL757" s="17" t="n">
        <f aca="false">AG757+AI757+AJ757+AK757</f>
        <v>43121.949</v>
      </c>
      <c r="AM757" s="20" t="n">
        <f aca="false">IF(L757&gt;0,AL757/L757,0)</f>
        <v>0.139978604886695</v>
      </c>
      <c r="AN757" s="16" t="n">
        <f aca="false">L757*INDEX(Parametros!$G$2:$G$9,MATCH($E757,Parametros!$A$2:$A$9,0))</f>
        <v>301899.78</v>
      </c>
      <c r="AO757" s="17" t="n">
        <f aca="false">AN757-AC757-AL757</f>
        <v>71337.941</v>
      </c>
      <c r="AP757" s="15" t="n">
        <f aca="false">IF(AN757&gt;0,AO757/AN757,0)</f>
        <v>0.236296763780351</v>
      </c>
      <c r="AQ757" s="16" t="n">
        <f aca="false">INDEX(Parametros!$I$2:$I$9,MATCH($E757,Parametros!$A$2:$A$9,0))</f>
        <v>17000000</v>
      </c>
      <c r="AR757" s="19" t="n">
        <f aca="false">IF(AQ757&gt;0,AO757/AQ757,0)</f>
        <v>0.00419634947058823</v>
      </c>
    </row>
    <row r="758" customFormat="false" ht="15" hidden="false" customHeight="false" outlineLevel="0" collapsed="false">
      <c r="A758" s="5" t="s">
        <v>893</v>
      </c>
      <c r="B758" s="9" t="n">
        <v>46209</v>
      </c>
      <c r="C758" s="2" t="str">
        <f aca="false">TEXT(B758,"yyyy")</f>
        <v>2026</v>
      </c>
      <c r="D758" s="2" t="n">
        <f aca="false">WEEKNUM(B758,2)</f>
        <v>28</v>
      </c>
      <c r="E758" s="5" t="s">
        <v>138</v>
      </c>
      <c r="F758" s="6" t="str">
        <f aca="false">INDEX(Parametros!$B$2:$B$9,MATCH($E758,Parametros!$A$2:$A$9,0))</f>
        <v>Queso crema</v>
      </c>
      <c r="G758" s="10" t="n">
        <v>138.3</v>
      </c>
      <c r="H758" s="10" t="n">
        <v>5.2</v>
      </c>
      <c r="I758" s="11" t="n">
        <f aca="false">SUMIFS(Eventos_Paro!$J$2:$J$2186,Eventos_Paro!$D$2:$D$2186,$E758,Eventos_Paro!$B$2:$B$2186,$B758)</f>
        <v>1.88333333333333</v>
      </c>
      <c r="J758" s="12" t="n">
        <f aca="false">G758-H758-I758</f>
        <v>131.216666666667</v>
      </c>
      <c r="K758" s="13" t="n">
        <v>420766</v>
      </c>
      <c r="L758" s="13" t="n">
        <v>364447</v>
      </c>
      <c r="M758" s="13" t="n">
        <v>15816</v>
      </c>
      <c r="N758" s="14" t="n">
        <f aca="false">L758+M758</f>
        <v>380263</v>
      </c>
      <c r="O758" s="11" t="n">
        <f aca="false">INDEX(Parametros!$D$2:$D$9,MATCH($E758,Parametros!$A$2:$A$9,0))</f>
        <v>3800</v>
      </c>
      <c r="P758" s="15" t="n">
        <f aca="false">IF((G758-H758)&gt;0,J758/(G758-H758),0)</f>
        <v>0.985850237916354</v>
      </c>
      <c r="Q758" s="15" t="n">
        <f aca="false">IF(J758*O758&gt;0,N758/(O758*J758),0)</f>
        <v>0.762625762933945</v>
      </c>
      <c r="R758" s="15" t="n">
        <f aca="false">IF(N758&gt;0,L758/N758,0)</f>
        <v>0.958407733594907</v>
      </c>
      <c r="S758" s="15" t="n">
        <f aca="false">P758*Q758*R758</f>
        <v>0.720564276958361</v>
      </c>
      <c r="T758" s="15" t="n">
        <f aca="false">IF(K758&gt;0,L758/K758,0)</f>
        <v>0.866151257468522</v>
      </c>
      <c r="U758" s="10" t="n">
        <v>2030.8</v>
      </c>
      <c r="V758" s="5" t="n">
        <v>14</v>
      </c>
      <c r="W758" s="10" t="n">
        <v>94.6</v>
      </c>
      <c r="X758" s="15" t="n">
        <f aca="false">IF(U758&gt;0,W758/U758,0)</f>
        <v>0.0465826275359464</v>
      </c>
      <c r="Y758" s="12" t="n">
        <f aca="false">IF(U758&gt;0,L758/U758,0)</f>
        <v>179.459818790624</v>
      </c>
      <c r="Z758" s="16" t="n">
        <f aca="false">L758*INDEX(Parametros!$E$2:$E$9,MATCH($E758,Parametros!$A$2:$A$9,0))</f>
        <v>408180.64</v>
      </c>
      <c r="AA758" s="16" t="n">
        <f aca="false">Z758*INDEX(Parametros!$F$2:$F$9,MATCH($E758,Parametros!$A$2:$A$9,0))</f>
        <v>14286.3224</v>
      </c>
      <c r="AB758" s="17" t="n">
        <f aca="false">Z758+AA758</f>
        <v>422466.9624</v>
      </c>
      <c r="AC758" s="18" t="n">
        <v>422847.36</v>
      </c>
      <c r="AD758" s="17" t="n">
        <f aca="false">AC758-AB758</f>
        <v>380.397599999968</v>
      </c>
      <c r="AE758" s="17" t="n">
        <f aca="false">AA758+AD758</f>
        <v>14666.72</v>
      </c>
      <c r="AF758" s="19" t="n">
        <f aca="false">IF(Z758&gt;0,AE758/Z758,0)</f>
        <v>0.0359319344494143</v>
      </c>
      <c r="AG758" s="16" t="n">
        <f aca="false">(U758-W758)*INDEX(Parametros!$H$2:$H$9,MATCH($E758,Parametros!$A$2:$A$9,0))+W758*INDEX(Parametros!$H$2:$H$9,MATCH($E758,Parametros!$A$2:$A$9,0))*Parametros!$N$3</f>
        <v>68577.3</v>
      </c>
      <c r="AH758" s="13" t="n">
        <v>20322</v>
      </c>
      <c r="AI758" s="16" t="n">
        <f aca="false">AH758*Parametros!$N$2</f>
        <v>1869.624</v>
      </c>
      <c r="AJ758" s="18" t="n">
        <v>19331</v>
      </c>
      <c r="AK758" s="18" t="n">
        <v>2004</v>
      </c>
      <c r="AL758" s="17" t="n">
        <f aca="false">AG758+AI758+AJ758+AK758</f>
        <v>91781.924</v>
      </c>
      <c r="AM758" s="20" t="n">
        <f aca="false">IF(L758&gt;0,AL758/L758,0)</f>
        <v>0.251838879178591</v>
      </c>
      <c r="AN758" s="16" t="n">
        <f aca="false">L758*INDEX(Parametros!$G$2:$G$9,MATCH($E758,Parametros!$A$2:$A$9,0))</f>
        <v>652360.13</v>
      </c>
      <c r="AO758" s="17" t="n">
        <f aca="false">AN758-AC758-AL758</f>
        <v>137730.846</v>
      </c>
      <c r="AP758" s="15" t="n">
        <f aca="false">IF(AN758&gt;0,AO758/AN758,0)</f>
        <v>0.211127013540818</v>
      </c>
      <c r="AQ758" s="16" t="n">
        <f aca="false">INDEX(Parametros!$I$2:$I$9,MATCH($E758,Parametros!$A$2:$A$9,0))</f>
        <v>33200000</v>
      </c>
      <c r="AR758" s="19" t="n">
        <f aca="false">IF(AQ758&gt;0,AO758/AQ758,0)</f>
        <v>0.00414851945783133</v>
      </c>
    </row>
    <row r="759" customFormat="false" ht="15" hidden="false" customHeight="false" outlineLevel="0" collapsed="false">
      <c r="A759" s="5" t="s">
        <v>894</v>
      </c>
      <c r="B759" s="9" t="n">
        <v>46209</v>
      </c>
      <c r="C759" s="2" t="str">
        <f aca="false">TEXT(B759,"yyyy")</f>
        <v>2026</v>
      </c>
      <c r="D759" s="2" t="n">
        <f aca="false">WEEKNUM(B759,2)</f>
        <v>28</v>
      </c>
      <c r="E759" s="5" t="s">
        <v>140</v>
      </c>
      <c r="F759" s="6" t="str">
        <f aca="false">INDEX(Parametros!$B$2:$B$9,MATCH($E759,Parametros!$A$2:$A$9,0))</f>
        <v>Crema de cacahuate</v>
      </c>
      <c r="G759" s="10" t="n">
        <v>116</v>
      </c>
      <c r="H759" s="10" t="n">
        <v>7.7</v>
      </c>
      <c r="I759" s="11" t="n">
        <f aca="false">SUMIFS(Eventos_Paro!$J$2:$J$2186,Eventos_Paro!$D$2:$D$2186,$E759,Eventos_Paro!$B$2:$B$2186,$B759)</f>
        <v>0</v>
      </c>
      <c r="J759" s="12" t="n">
        <f aca="false">G759-H759-I759</f>
        <v>108.3</v>
      </c>
      <c r="K759" s="13" t="n">
        <v>378405</v>
      </c>
      <c r="L759" s="13" t="n">
        <v>398964</v>
      </c>
      <c r="M759" s="13" t="n">
        <v>8864</v>
      </c>
      <c r="N759" s="14" t="n">
        <f aca="false">L759+M759</f>
        <v>407828</v>
      </c>
      <c r="O759" s="11" t="n">
        <f aca="false">INDEX(Parametros!$D$2:$D$9,MATCH($E759,Parametros!$A$2:$A$9,0))</f>
        <v>4200</v>
      </c>
      <c r="P759" s="15" t="n">
        <f aca="false">IF((G759-H759)&gt;0,J759/(G759-H759),0)</f>
        <v>1</v>
      </c>
      <c r="Q759" s="15" t="n">
        <f aca="false">IF(J759*O759&gt;0,N759/(O759*J759),0)</f>
        <v>0.896601152002814</v>
      </c>
      <c r="R759" s="15" t="n">
        <f aca="false">IF(N759&gt;0,L759/N759,0)</f>
        <v>0.978265347156154</v>
      </c>
      <c r="S759" s="15" t="n">
        <f aca="false">P759*Q759*R759</f>
        <v>0.877113837224641</v>
      </c>
      <c r="T759" s="15" t="n">
        <f aca="false">IF(K759&gt;0,L759/K759,0)</f>
        <v>1.05433067744877</v>
      </c>
      <c r="U759" s="10" t="n">
        <v>1416.7</v>
      </c>
      <c r="V759" s="5" t="n">
        <v>11</v>
      </c>
      <c r="W759" s="10" t="n">
        <v>140.7</v>
      </c>
      <c r="X759" s="15" t="n">
        <f aca="false">IF(U759&gt;0,W759/U759,0)</f>
        <v>0.0993153102279946</v>
      </c>
      <c r="Y759" s="12" t="n">
        <f aca="false">IF(U759&gt;0,L759/U759,0)</f>
        <v>281.615020823039</v>
      </c>
      <c r="Z759" s="16" t="n">
        <f aca="false">L759*INDEX(Parametros!$E$2:$E$9,MATCH($E759,Parametros!$A$2:$A$9,0))</f>
        <v>386995.08</v>
      </c>
      <c r="AA759" s="16" t="n">
        <f aca="false">Z759*INDEX(Parametros!$F$2:$F$9,MATCH($E759,Parametros!$A$2:$A$9,0))</f>
        <v>8513.89176</v>
      </c>
      <c r="AB759" s="17" t="n">
        <f aca="false">Z759+AA759</f>
        <v>395508.97176</v>
      </c>
      <c r="AC759" s="18" t="n">
        <v>396155.31</v>
      </c>
      <c r="AD759" s="17" t="n">
        <f aca="false">AC759-AB759</f>
        <v>646.338239999954</v>
      </c>
      <c r="AE759" s="17" t="n">
        <f aca="false">AA759+AD759</f>
        <v>9160.22999999995</v>
      </c>
      <c r="AF759" s="19" t="n">
        <f aca="false">IF(Z759&gt;0,AE759/Z759,0)</f>
        <v>0.0236701458840251</v>
      </c>
      <c r="AG759" s="16" t="n">
        <f aca="false">(U759-W759)*INDEX(Parametros!$H$2:$H$9,MATCH($E759,Parametros!$A$2:$A$9,0))+W759*INDEX(Parametros!$H$2:$H$9,MATCH($E759,Parametros!$A$2:$A$9,0))*Parametros!$N$3</f>
        <v>46842.075</v>
      </c>
      <c r="AH759" s="13" t="n">
        <v>20214</v>
      </c>
      <c r="AI759" s="16" t="n">
        <f aca="false">AH759*Parametros!$N$2</f>
        <v>1859.688</v>
      </c>
      <c r="AJ759" s="18" t="n">
        <v>13811</v>
      </c>
      <c r="AK759" s="18" t="n">
        <v>0</v>
      </c>
      <c r="AL759" s="17" t="n">
        <f aca="false">AG759+AI759+AJ759+AK759</f>
        <v>62512.763</v>
      </c>
      <c r="AM759" s="20" t="n">
        <f aca="false">IF(L759&gt;0,AL759/L759,0)</f>
        <v>0.156687728717378</v>
      </c>
      <c r="AN759" s="16" t="n">
        <f aca="false">L759*INDEX(Parametros!$G$2:$G$9,MATCH($E759,Parametros!$A$2:$A$9,0))</f>
        <v>646321.68</v>
      </c>
      <c r="AO759" s="17" t="n">
        <f aca="false">AN759-AC759-AL759</f>
        <v>187653.607</v>
      </c>
      <c r="AP759" s="15" t="n">
        <f aca="false">IF(AN759&gt;0,AO759/AN759,0)</f>
        <v>0.290340882577233</v>
      </c>
      <c r="AQ759" s="16" t="n">
        <f aca="false">INDEX(Parametros!$I$2:$I$9,MATCH($E759,Parametros!$A$2:$A$9,0))</f>
        <v>28000000</v>
      </c>
      <c r="AR759" s="19" t="n">
        <f aca="false">IF(AQ759&gt;0,AO759/AQ759,0)</f>
        <v>0.00670191453571429</v>
      </c>
    </row>
    <row r="760" customFormat="false" ht="15" hidden="false" customHeight="false" outlineLevel="0" collapsed="false">
      <c r="A760" s="5" t="s">
        <v>895</v>
      </c>
      <c r="B760" s="9" t="n">
        <v>46209</v>
      </c>
      <c r="C760" s="2" t="str">
        <f aca="false">TEXT(B760,"yyyy")</f>
        <v>2026</v>
      </c>
      <c r="D760" s="2" t="n">
        <f aca="false">WEEKNUM(B760,2)</f>
        <v>28</v>
      </c>
      <c r="E760" s="5" t="s">
        <v>142</v>
      </c>
      <c r="F760" s="6" t="str">
        <f aca="false">INDEX(Parametros!$B$2:$B$9,MATCH($E760,Parametros!$A$2:$A$9,0))</f>
        <v>Porciones single serve</v>
      </c>
      <c r="G760" s="10" t="n">
        <v>146.4</v>
      </c>
      <c r="H760" s="10" t="n">
        <v>6.8</v>
      </c>
      <c r="I760" s="11" t="n">
        <f aca="false">SUMIFS(Eventos_Paro!$J$2:$J$2186,Eventos_Paro!$D$2:$D$2186,$E760,Eventos_Paro!$B$2:$B$2186,$B760)</f>
        <v>3.2</v>
      </c>
      <c r="J760" s="12" t="n">
        <f aca="false">G760-H760-I760</f>
        <v>136.4</v>
      </c>
      <c r="K760" s="13" t="n">
        <v>301952</v>
      </c>
      <c r="L760" s="13" t="n">
        <v>266985</v>
      </c>
      <c r="M760" s="13" t="n">
        <v>14965</v>
      </c>
      <c r="N760" s="14" t="n">
        <f aca="false">L760+M760</f>
        <v>281950</v>
      </c>
      <c r="O760" s="11" t="n">
        <f aca="false">INDEX(Parametros!$D$2:$D$9,MATCH($E760,Parametros!$A$2:$A$9,0))</f>
        <v>2600</v>
      </c>
      <c r="P760" s="15" t="n">
        <f aca="false">IF((G760-H760)&gt;0,J760/(G760-H760),0)</f>
        <v>0.977077363896848</v>
      </c>
      <c r="Q760" s="15" t="n">
        <f aca="false">IF(J760*O760&gt;0,N760/(O760*J760),0)</f>
        <v>0.795031581321904</v>
      </c>
      <c r="R760" s="15" t="n">
        <f aca="false">IF(N760&gt;0,L760/N760,0)</f>
        <v>0.946923213335698</v>
      </c>
      <c r="S760" s="15" t="n">
        <f aca="false">P760*Q760*R760</f>
        <v>0.735576923076923</v>
      </c>
      <c r="T760" s="15" t="n">
        <f aca="false">IF(K760&gt;0,L760/K760,0)</f>
        <v>0.884196825985587</v>
      </c>
      <c r="U760" s="10" t="n">
        <v>2551.7</v>
      </c>
      <c r="V760" s="5" t="n">
        <v>16</v>
      </c>
      <c r="W760" s="10" t="n">
        <v>209.3</v>
      </c>
      <c r="X760" s="15" t="n">
        <f aca="false">IF(U760&gt;0,W760/U760,0)</f>
        <v>0.0820237488733002</v>
      </c>
      <c r="Y760" s="12" t="n">
        <f aca="false">IF(U760&gt;0,L760/U760,0)</f>
        <v>104.630246502332</v>
      </c>
      <c r="Z760" s="16" t="n">
        <f aca="false">L760*INDEX(Parametros!$E$2:$E$9,MATCH($E760,Parametros!$A$2:$A$9,0))</f>
        <v>197568.9</v>
      </c>
      <c r="AA760" s="16" t="n">
        <f aca="false">Z760*INDEX(Parametros!$F$2:$F$9,MATCH($E760,Parametros!$A$2:$A$9,0))</f>
        <v>8890.6005</v>
      </c>
      <c r="AB760" s="17" t="n">
        <f aca="false">Z760+AA760</f>
        <v>206459.5005</v>
      </c>
      <c r="AC760" s="18" t="n">
        <v>208573.68</v>
      </c>
      <c r="AD760" s="17" t="n">
        <f aca="false">AC760-AB760</f>
        <v>2114.1795</v>
      </c>
      <c r="AE760" s="17" t="n">
        <f aca="false">AA760+AD760</f>
        <v>11004.78</v>
      </c>
      <c r="AF760" s="19" t="n">
        <f aca="false">IF(Z760&gt;0,AE760/Z760,0)</f>
        <v>0.0557009731794832</v>
      </c>
      <c r="AG760" s="16" t="n">
        <f aca="false">(U760-W760)*INDEX(Parametros!$H$2:$H$9,MATCH($E760,Parametros!$A$2:$A$9,0))+W760*INDEX(Parametros!$H$2:$H$9,MATCH($E760,Parametros!$A$2:$A$9,0))*Parametros!$N$3</f>
        <v>79690.5</v>
      </c>
      <c r="AH760" s="13" t="n">
        <v>14611</v>
      </c>
      <c r="AI760" s="16" t="n">
        <f aca="false">AH760*Parametros!$N$2</f>
        <v>1344.212</v>
      </c>
      <c r="AJ760" s="18" t="n">
        <v>12273</v>
      </c>
      <c r="AK760" s="18" t="n">
        <v>3067</v>
      </c>
      <c r="AL760" s="17" t="n">
        <f aca="false">AG760+AI760+AJ760+AK760</f>
        <v>96374.712</v>
      </c>
      <c r="AM760" s="20" t="n">
        <f aca="false">IF(L760&gt;0,AL760/L760,0)</f>
        <v>0.360974256980729</v>
      </c>
      <c r="AN760" s="16" t="n">
        <f aca="false">L760*INDEX(Parametros!$G$2:$G$9,MATCH($E760,Parametros!$A$2:$A$9,0))</f>
        <v>459214.2</v>
      </c>
      <c r="AO760" s="17" t="n">
        <f aca="false">AN760-AC760-AL760</f>
        <v>154265.808</v>
      </c>
      <c r="AP760" s="15" t="n">
        <f aca="false">IF(AN760&gt;0,AO760/AN760,0)</f>
        <v>0.335934315620031</v>
      </c>
      <c r="AQ760" s="16" t="n">
        <f aca="false">INDEX(Parametros!$I$2:$I$9,MATCH($E760,Parametros!$A$2:$A$9,0))</f>
        <v>15900000</v>
      </c>
      <c r="AR760" s="19" t="n">
        <f aca="false">IF(AQ760&gt;0,AO760/AQ760,0)</f>
        <v>0.0097022520754717</v>
      </c>
    </row>
    <row r="761" customFormat="false" ht="15" hidden="false" customHeight="false" outlineLevel="0" collapsed="false">
      <c r="A761" s="5" t="s">
        <v>896</v>
      </c>
      <c r="B761" s="9" t="n">
        <v>46209</v>
      </c>
      <c r="C761" s="2" t="str">
        <f aca="false">TEXT(B761,"yyyy")</f>
        <v>2026</v>
      </c>
      <c r="D761" s="2" t="n">
        <f aca="false">WEEKNUM(B761,2)</f>
        <v>28</v>
      </c>
      <c r="E761" s="5" t="s">
        <v>144</v>
      </c>
      <c r="F761" s="6" t="str">
        <f aca="false">INDEX(Parametros!$B$2:$B$9,MATCH($E761,Parametros!$A$2:$A$9,0))</f>
        <v>Salsas picantes</v>
      </c>
      <c r="G761" s="10" t="n">
        <v>78.1</v>
      </c>
      <c r="H761" s="10" t="n">
        <v>8.1</v>
      </c>
      <c r="I761" s="11" t="n">
        <f aca="false">SUMIFS(Eventos_Paro!$J$2:$J$2186,Eventos_Paro!$D$2:$D$2186,$E761,Eventos_Paro!$B$2:$B$2186,$B761)</f>
        <v>1.33333333333333</v>
      </c>
      <c r="J761" s="12" t="n">
        <f aca="false">G761-H761-I761</f>
        <v>68.6666666666667</v>
      </c>
      <c r="K761" s="13" t="n">
        <v>163189</v>
      </c>
      <c r="L761" s="13" t="n">
        <v>191699</v>
      </c>
      <c r="M761" s="13" t="n">
        <v>7024</v>
      </c>
      <c r="N761" s="14" t="n">
        <f aca="false">L761+M761</f>
        <v>198723</v>
      </c>
      <c r="O761" s="11" t="n">
        <f aca="false">INDEX(Parametros!$D$2:$D$9,MATCH($E761,Parametros!$A$2:$A$9,0))</f>
        <v>3100</v>
      </c>
      <c r="P761" s="15" t="n">
        <f aca="false">IF((G761-H761)&gt;0,J761/(G761-H761),0)</f>
        <v>0.980952380952381</v>
      </c>
      <c r="Q761" s="15" t="n">
        <f aca="false">IF(J761*O761&gt;0,N761/(O761*J761),0)</f>
        <v>0.933556216724084</v>
      </c>
      <c r="R761" s="15" t="n">
        <f aca="false">IF(N761&gt;0,L761/N761,0)</f>
        <v>0.964654317819276</v>
      </c>
      <c r="S761" s="15" t="n">
        <f aca="false">P761*Q761*R761</f>
        <v>0.883405529953917</v>
      </c>
      <c r="T761" s="15" t="n">
        <f aca="false">IF(K761&gt;0,L761/K761,0)</f>
        <v>1.1747054029377</v>
      </c>
      <c r="U761" s="10" t="n">
        <v>865.5</v>
      </c>
      <c r="V761" s="5" t="n">
        <v>10</v>
      </c>
      <c r="W761" s="10" t="n">
        <v>84.5</v>
      </c>
      <c r="X761" s="15" t="n">
        <f aca="false">IF(U761&gt;0,W761/U761,0)</f>
        <v>0.097631426920855</v>
      </c>
      <c r="Y761" s="12" t="n">
        <f aca="false">IF(U761&gt;0,L761/U761,0)</f>
        <v>221.489312536106</v>
      </c>
      <c r="Z761" s="16" t="n">
        <f aca="false">L761*INDEX(Parametros!$E$2:$E$9,MATCH($E761,Parametros!$A$2:$A$9,0))</f>
        <v>126521.34</v>
      </c>
      <c r="AA761" s="16" t="n">
        <f aca="false">Z761*INDEX(Parametros!$F$2:$F$9,MATCH($E761,Parametros!$A$2:$A$9,0))</f>
        <v>3289.55484</v>
      </c>
      <c r="AB761" s="17" t="n">
        <f aca="false">Z761+AA761</f>
        <v>129810.89484</v>
      </c>
      <c r="AC761" s="18" t="n">
        <v>132748.31</v>
      </c>
      <c r="AD761" s="17" t="n">
        <f aca="false">AC761-AB761</f>
        <v>2937.41515999999</v>
      </c>
      <c r="AE761" s="17" t="n">
        <f aca="false">AA761+AD761</f>
        <v>6226.96999999999</v>
      </c>
      <c r="AF761" s="19" t="n">
        <f aca="false">IF(Z761&gt;0,AE761/Z761,0)</f>
        <v>0.0492167566356789</v>
      </c>
      <c r="AG761" s="16" t="n">
        <f aca="false">(U761-W761)*INDEX(Parametros!$H$2:$H$9,MATCH($E761,Parametros!$A$2:$A$9,0))+W761*INDEX(Parametros!$H$2:$H$9,MATCH($E761,Parametros!$A$2:$A$9,0))*Parametros!$N$3</f>
        <v>28594.125</v>
      </c>
      <c r="AH761" s="13" t="n">
        <v>10316</v>
      </c>
      <c r="AI761" s="16" t="n">
        <f aca="false">AH761*Parametros!$N$2</f>
        <v>949.072</v>
      </c>
      <c r="AJ761" s="18" t="n">
        <v>6935</v>
      </c>
      <c r="AK761" s="18" t="n">
        <v>1380</v>
      </c>
      <c r="AL761" s="17" t="n">
        <f aca="false">AG761+AI761+AJ761+AK761</f>
        <v>37858.197</v>
      </c>
      <c r="AM761" s="20" t="n">
        <f aca="false">IF(L761&gt;0,AL761/L761,0)</f>
        <v>0.197487712507629</v>
      </c>
      <c r="AN761" s="16" t="n">
        <f aca="false">L761*INDEX(Parametros!$G$2:$G$9,MATCH($E761,Parametros!$A$2:$A$9,0))</f>
        <v>239623.75</v>
      </c>
      <c r="AO761" s="17" t="n">
        <f aca="false">AN761-AC761-AL761</f>
        <v>69017.243</v>
      </c>
      <c r="AP761" s="15" t="n">
        <f aca="false">IF(AN761&gt;0,AO761/AN761,0)</f>
        <v>0.288023382490258</v>
      </c>
      <c r="AQ761" s="16" t="n">
        <f aca="false">INDEX(Parametros!$I$2:$I$9,MATCH($E761,Parametros!$A$2:$A$9,0))</f>
        <v>13300000</v>
      </c>
      <c r="AR761" s="19" t="n">
        <f aca="false">IF(AQ761&gt;0,AO761/AQ761,0)</f>
        <v>0.00518926639097744</v>
      </c>
    </row>
    <row r="762" customFormat="false" ht="15" hidden="false" customHeight="false" outlineLevel="0" collapsed="false">
      <c r="A762" s="5" t="s">
        <v>897</v>
      </c>
      <c r="B762" s="9" t="n">
        <v>46216</v>
      </c>
      <c r="C762" s="2" t="str">
        <f aca="false">TEXT(B762,"yyyy")</f>
        <v>2026</v>
      </c>
      <c r="D762" s="2" t="n">
        <f aca="false">WEEKNUM(B762,2)</f>
        <v>29</v>
      </c>
      <c r="E762" s="5" t="s">
        <v>130</v>
      </c>
      <c r="F762" s="6" t="str">
        <f aca="false">INDEX(Parametros!$B$2:$B$9,MATCH($E762,Parametros!$A$2:$A$9,0))</f>
        <v>Ketchup botella</v>
      </c>
      <c r="G762" s="10" t="n">
        <v>124.6</v>
      </c>
      <c r="H762" s="10" t="n">
        <v>5.3</v>
      </c>
      <c r="I762" s="11" t="n">
        <f aca="false">SUMIFS(Eventos_Paro!$J$2:$J$2186,Eventos_Paro!$D$2:$D$2186,$E762,Eventos_Paro!$B$2:$B$2186,$B762)</f>
        <v>3.91666666666667</v>
      </c>
      <c r="J762" s="12" t="n">
        <f aca="false">G762-H762-I762</f>
        <v>115.383333333333</v>
      </c>
      <c r="K762" s="13" t="n">
        <v>893280</v>
      </c>
      <c r="L762" s="13" t="n">
        <v>893357</v>
      </c>
      <c r="M762" s="13" t="n">
        <v>19555</v>
      </c>
      <c r="N762" s="14" t="n">
        <f aca="false">L762+M762</f>
        <v>912912</v>
      </c>
      <c r="O762" s="11" t="n">
        <f aca="false">INDEX(Parametros!$D$2:$D$9,MATCH($E762,Parametros!$A$2:$A$9,0))</f>
        <v>9000</v>
      </c>
      <c r="P762" s="15" t="n">
        <f aca="false">IF((G762-H762)&gt;0,J762/(G762-H762),0)</f>
        <v>0.967169600447052</v>
      </c>
      <c r="Q762" s="15" t="n">
        <f aca="false">IF(J762*O762&gt;0,N762/(O762*J762),0)</f>
        <v>0.879110212335693</v>
      </c>
      <c r="R762" s="15" t="n">
        <f aca="false">IF(N762&gt;0,L762/N762,0)</f>
        <v>0.978579534500587</v>
      </c>
      <c r="S762" s="15" t="n">
        <f aca="false">P762*Q762*R762</f>
        <v>0.832035950451709</v>
      </c>
      <c r="T762" s="15" t="n">
        <f aca="false">IF(K762&gt;0,L762/K762,0)</f>
        <v>1.00008619917607</v>
      </c>
      <c r="U762" s="10" t="n">
        <v>1791.1</v>
      </c>
      <c r="V762" s="5" t="n">
        <v>14</v>
      </c>
      <c r="W762" s="10" t="n">
        <v>46.7</v>
      </c>
      <c r="X762" s="15" t="n">
        <f aca="false">IF(U762&gt;0,W762/U762,0)</f>
        <v>0.0260733627379822</v>
      </c>
      <c r="Y762" s="12" t="n">
        <f aca="false">IF(U762&gt;0,L762/U762,0)</f>
        <v>498.77561275194</v>
      </c>
      <c r="Z762" s="16" t="n">
        <f aca="false">L762*INDEX(Parametros!$E$2:$E$9,MATCH($E762,Parametros!$A$2:$A$9,0))</f>
        <v>375209.94</v>
      </c>
      <c r="AA762" s="16" t="n">
        <f aca="false">Z762*INDEX(Parametros!$F$2:$F$9,MATCH($E762,Parametros!$A$2:$A$9,0))</f>
        <v>7504.1988</v>
      </c>
      <c r="AB762" s="17" t="n">
        <f aca="false">Z762+AA762</f>
        <v>382714.1388</v>
      </c>
      <c r="AC762" s="18" t="n">
        <v>388086.25</v>
      </c>
      <c r="AD762" s="17" t="n">
        <f aca="false">AC762-AB762</f>
        <v>5372.11119999999</v>
      </c>
      <c r="AE762" s="17" t="n">
        <f aca="false">AA762+AD762</f>
        <v>12876.31</v>
      </c>
      <c r="AF762" s="19" t="n">
        <f aca="false">IF(Z762&gt;0,AE762/Z762,0)</f>
        <v>0.0343176142934806</v>
      </c>
      <c r="AG762" s="16" t="n">
        <f aca="false">(U762-W762)*INDEX(Parametros!$H$2:$H$9,MATCH($E762,Parametros!$A$2:$A$9,0))+W762*INDEX(Parametros!$H$2:$H$9,MATCH($E762,Parametros!$A$2:$A$9,0))*Parametros!$N$3</f>
        <v>57155.175</v>
      </c>
      <c r="AH762" s="13" t="n">
        <v>46623</v>
      </c>
      <c r="AI762" s="16" t="n">
        <f aca="false">AH762*Parametros!$N$2</f>
        <v>4289.316</v>
      </c>
      <c r="AJ762" s="18" t="n">
        <v>16112</v>
      </c>
      <c r="AK762" s="18" t="n">
        <v>3521</v>
      </c>
      <c r="AL762" s="17" t="n">
        <f aca="false">AG762+AI762+AJ762+AK762</f>
        <v>81077.491</v>
      </c>
      <c r="AM762" s="20" t="n">
        <f aca="false">IF(L762&gt;0,AL762/L762,0)</f>
        <v>0.0907559810915457</v>
      </c>
      <c r="AN762" s="16" t="n">
        <f aca="false">L762*INDEX(Parametros!$G$2:$G$9,MATCH($E762,Parametros!$A$2:$A$9,0))</f>
        <v>634283.47</v>
      </c>
      <c r="AO762" s="17" t="n">
        <f aca="false">AN762-AC762-AL762</f>
        <v>165119.729</v>
      </c>
      <c r="AP762" s="15" t="n">
        <f aca="false">IF(AN762&gt;0,AO762/AN762,0)</f>
        <v>0.260324818176327</v>
      </c>
      <c r="AQ762" s="16" t="n">
        <f aca="false">INDEX(Parametros!$I$2:$I$9,MATCH($E762,Parametros!$A$2:$A$9,0))</f>
        <v>29300000</v>
      </c>
      <c r="AR762" s="19" t="n">
        <f aca="false">IF(AQ762&gt;0,AO762/AQ762,0)</f>
        <v>0.00563548563139932</v>
      </c>
    </row>
    <row r="763" customFormat="false" ht="15" hidden="false" customHeight="false" outlineLevel="0" collapsed="false">
      <c r="A763" s="5" t="s">
        <v>898</v>
      </c>
      <c r="B763" s="9" t="n">
        <v>46216</v>
      </c>
      <c r="C763" s="2" t="str">
        <f aca="false">TEXT(B763,"yyyy")</f>
        <v>2026</v>
      </c>
      <c r="D763" s="2" t="n">
        <f aca="false">WEEKNUM(B763,2)</f>
        <v>29</v>
      </c>
      <c r="E763" s="5" t="s">
        <v>132</v>
      </c>
      <c r="F763" s="6" t="str">
        <f aca="false">INDEX(Parametros!$B$2:$B$9,MATCH($E763,Parametros!$A$2:$A$9,0))</f>
        <v>Mayonesa frasco</v>
      </c>
      <c r="G763" s="10" t="n">
        <v>126.2</v>
      </c>
      <c r="H763" s="10" t="n">
        <v>8</v>
      </c>
      <c r="I763" s="11" t="n">
        <f aca="false">SUMIFS(Eventos_Paro!$J$2:$J$2186,Eventos_Paro!$D$2:$D$2186,$E763,Eventos_Paro!$B$2:$B$2186,$B763)</f>
        <v>1.73333333333333</v>
      </c>
      <c r="J763" s="12" t="n">
        <f aca="false">G763-H763-I763</f>
        <v>116.466666666667</v>
      </c>
      <c r="K763" s="13" t="n">
        <v>639198</v>
      </c>
      <c r="L763" s="13" t="n">
        <v>648056</v>
      </c>
      <c r="M763" s="13" t="n">
        <v>18137</v>
      </c>
      <c r="N763" s="14" t="n">
        <f aca="false">L763+M763</f>
        <v>666193</v>
      </c>
      <c r="O763" s="11" t="n">
        <f aca="false">INDEX(Parametros!$D$2:$D$9,MATCH($E763,Parametros!$A$2:$A$9,0))</f>
        <v>6500</v>
      </c>
      <c r="P763" s="15" t="n">
        <f aca="false">IF((G763-H763)&gt;0,J763/(G763-H763),0)</f>
        <v>0.985335589396503</v>
      </c>
      <c r="Q763" s="15" t="n">
        <f aca="false">IF(J763*O763&gt;0,N763/(O763*J763),0)</f>
        <v>0.880004843467923</v>
      </c>
      <c r="R763" s="15" t="n">
        <f aca="false">IF(N763&gt;0,L763/N763,0)</f>
        <v>0.97277515674887</v>
      </c>
      <c r="S763" s="15" t="n">
        <f aca="false">P763*Q763*R763</f>
        <v>0.843493427046727</v>
      </c>
      <c r="T763" s="15" t="n">
        <f aca="false">IF(K763&gt;0,L763/K763,0)</f>
        <v>1.01385799079471</v>
      </c>
      <c r="U763" s="10" t="n">
        <v>1660.7</v>
      </c>
      <c r="V763" s="5" t="n">
        <v>13</v>
      </c>
      <c r="W763" s="10" t="n">
        <v>20.1</v>
      </c>
      <c r="X763" s="15" t="n">
        <f aca="false">IF(U763&gt;0,W763/U763,0)</f>
        <v>0.0121033299211176</v>
      </c>
      <c r="Y763" s="12" t="n">
        <f aca="false">IF(U763&gt;0,L763/U763,0)</f>
        <v>390.23062563979</v>
      </c>
      <c r="Z763" s="16" t="n">
        <f aca="false">L763*INDEX(Parametros!$E$2:$E$9,MATCH($E763,Parametros!$A$2:$A$9,0))</f>
        <v>395314.16</v>
      </c>
      <c r="AA763" s="16" t="n">
        <f aca="false">Z763*INDEX(Parametros!$F$2:$F$9,MATCH($E763,Parametros!$A$2:$A$9,0))</f>
        <v>9882.854</v>
      </c>
      <c r="AB763" s="17" t="n">
        <f aca="false">Z763+AA763</f>
        <v>405197.014</v>
      </c>
      <c r="AC763" s="18" t="n">
        <v>410880.67</v>
      </c>
      <c r="AD763" s="17" t="n">
        <f aca="false">AC763-AB763</f>
        <v>5683.65600000002</v>
      </c>
      <c r="AE763" s="17" t="n">
        <f aca="false">AA763+AD763</f>
        <v>15566.51</v>
      </c>
      <c r="AF763" s="19" t="n">
        <f aca="false">IF(Z763&gt;0,AE763/Z763,0)</f>
        <v>0.0393775674516694</v>
      </c>
      <c r="AG763" s="16" t="n">
        <f aca="false">(U763-W763)*INDEX(Parametros!$H$2:$H$9,MATCH($E763,Parametros!$A$2:$A$9,0))+W763*INDEX(Parametros!$H$2:$H$9,MATCH($E763,Parametros!$A$2:$A$9,0))*Parametros!$N$3</f>
        <v>52628.625</v>
      </c>
      <c r="AH763" s="13" t="n">
        <v>32684</v>
      </c>
      <c r="AI763" s="16" t="n">
        <f aca="false">AH763*Parametros!$N$2</f>
        <v>3006.928</v>
      </c>
      <c r="AJ763" s="18" t="n">
        <v>13941</v>
      </c>
      <c r="AK763" s="18" t="n">
        <v>2073</v>
      </c>
      <c r="AL763" s="17" t="n">
        <f aca="false">AG763+AI763+AJ763+AK763</f>
        <v>71649.553</v>
      </c>
      <c r="AM763" s="20" t="n">
        <f aca="false">IF(L763&gt;0,AL763/L763,0)</f>
        <v>0.110560743207377</v>
      </c>
      <c r="AN763" s="16" t="n">
        <f aca="false">L763*INDEX(Parametros!$G$2:$G$9,MATCH($E763,Parametros!$A$2:$A$9,0))</f>
        <v>622133.76</v>
      </c>
      <c r="AO763" s="17" t="n">
        <f aca="false">AN763-AC763-AL763</f>
        <v>139603.537</v>
      </c>
      <c r="AP763" s="15" t="n">
        <f aca="false">IF(AN763&gt;0,AO763/AN763,0)</f>
        <v>0.224394729840734</v>
      </c>
      <c r="AQ763" s="16" t="n">
        <f aca="false">INDEX(Parametros!$I$2:$I$9,MATCH($E763,Parametros!$A$2:$A$9,0))</f>
        <v>29700000</v>
      </c>
      <c r="AR763" s="19" t="n">
        <f aca="false">IF(AQ763&gt;0,AO763/AQ763,0)</f>
        <v>0.00470045579124579</v>
      </c>
    </row>
    <row r="764" customFormat="false" ht="15" hidden="false" customHeight="false" outlineLevel="0" collapsed="false">
      <c r="A764" s="5" t="s">
        <v>899</v>
      </c>
      <c r="B764" s="9" t="n">
        <v>46216</v>
      </c>
      <c r="C764" s="2" t="str">
        <f aca="false">TEXT(B764,"yyyy")</f>
        <v>2026</v>
      </c>
      <c r="D764" s="2" t="n">
        <f aca="false">WEEKNUM(B764,2)</f>
        <v>29</v>
      </c>
      <c r="E764" s="5" t="s">
        <v>134</v>
      </c>
      <c r="F764" s="6" t="str">
        <f aca="false">INDEX(Parametros!$B$2:$B$9,MATCH($E764,Parametros!$A$2:$A$9,0))</f>
        <v>Aderezos vertibles</v>
      </c>
      <c r="G764" s="10" t="n">
        <v>108.9</v>
      </c>
      <c r="H764" s="10" t="n">
        <v>6.2</v>
      </c>
      <c r="I764" s="11" t="n">
        <f aca="false">SUMIFS(Eventos_Paro!$J$2:$J$2186,Eventos_Paro!$D$2:$D$2186,$E764,Eventos_Paro!$B$2:$B$2186,$B764)</f>
        <v>0.383333333333333</v>
      </c>
      <c r="J764" s="12" t="n">
        <f aca="false">G764-H764-I764</f>
        <v>102.316666666667</v>
      </c>
      <c r="K764" s="13" t="n">
        <v>444302</v>
      </c>
      <c r="L764" s="13" t="n">
        <v>383397</v>
      </c>
      <c r="M764" s="13" t="n">
        <v>13431</v>
      </c>
      <c r="N764" s="14" t="n">
        <f aca="false">L764+M764</f>
        <v>396828</v>
      </c>
      <c r="O764" s="11" t="n">
        <f aca="false">INDEX(Parametros!$D$2:$D$9,MATCH($E764,Parametros!$A$2:$A$9,0))</f>
        <v>5200</v>
      </c>
      <c r="P764" s="15" t="n">
        <f aca="false">IF((G764-H764)&gt;0,J764/(G764-H764),0)</f>
        <v>0.996267445634534</v>
      </c>
      <c r="Q764" s="15" t="n">
        <f aca="false">IF(J764*O764&gt;0,N764/(O764*J764),0)</f>
        <v>0.745851867630659</v>
      </c>
      <c r="R764" s="15" t="n">
        <f aca="false">IF(N764&gt;0,L764/N764,0)</f>
        <v>0.966154102029091</v>
      </c>
      <c r="S764" s="15" t="n">
        <f aca="false">P764*Q764*R764</f>
        <v>0.717918133473148</v>
      </c>
      <c r="T764" s="15" t="n">
        <f aca="false">IF(K764&gt;0,L764/K764,0)</f>
        <v>0.862919815800964</v>
      </c>
      <c r="U764" s="10" t="n">
        <v>1203.1</v>
      </c>
      <c r="V764" s="5" t="n">
        <v>11</v>
      </c>
      <c r="W764" s="10" t="n">
        <v>5.2</v>
      </c>
      <c r="X764" s="15" t="n">
        <f aca="false">IF(U764&gt;0,W764/U764,0)</f>
        <v>0.0043221677333555</v>
      </c>
      <c r="Y764" s="12" t="n">
        <f aca="false">IF(U764&gt;0,L764/U764,0)</f>
        <v>318.674258166404</v>
      </c>
      <c r="Z764" s="16" t="n">
        <f aca="false">L764*INDEX(Parametros!$E$2:$E$9,MATCH($E764,Parametros!$A$2:$A$9,0))</f>
        <v>210868.35</v>
      </c>
      <c r="AA764" s="16" t="n">
        <f aca="false">Z764*INDEX(Parametros!$F$2:$F$9,MATCH($E764,Parametros!$A$2:$A$9,0))</f>
        <v>6326.0505</v>
      </c>
      <c r="AB764" s="17" t="n">
        <f aca="false">Z764+AA764</f>
        <v>217194.4005</v>
      </c>
      <c r="AC764" s="18" t="n">
        <v>220380.23</v>
      </c>
      <c r="AD764" s="17" t="n">
        <f aca="false">AC764-AB764</f>
        <v>3185.82949999999</v>
      </c>
      <c r="AE764" s="17" t="n">
        <f aca="false">AA764+AD764</f>
        <v>9511.87999999999</v>
      </c>
      <c r="AF764" s="19" t="n">
        <f aca="false">IF(Z764&gt;0,AE764/Z764,0)</f>
        <v>0.0451081444892038</v>
      </c>
      <c r="AG764" s="16" t="n">
        <f aca="false">(U764-W764)*INDEX(Parametros!$H$2:$H$9,MATCH($E764,Parametros!$A$2:$A$9,0))+W764*INDEX(Parametros!$H$2:$H$9,MATCH($E764,Parametros!$A$2:$A$9,0))*Parametros!$N$3</f>
        <v>37979.55</v>
      </c>
      <c r="AH764" s="13" t="n">
        <v>21912</v>
      </c>
      <c r="AI764" s="16" t="n">
        <f aca="false">AH764*Parametros!$N$2</f>
        <v>2015.904</v>
      </c>
      <c r="AJ764" s="18" t="n">
        <v>11573</v>
      </c>
      <c r="AK764" s="18" t="n">
        <v>422</v>
      </c>
      <c r="AL764" s="17" t="n">
        <f aca="false">AG764+AI764+AJ764+AK764</f>
        <v>51990.454</v>
      </c>
      <c r="AM764" s="20" t="n">
        <f aca="false">IF(L764&gt;0,AL764/L764,0)</f>
        <v>0.135604749124276</v>
      </c>
      <c r="AN764" s="16" t="n">
        <f aca="false">L764*INDEX(Parametros!$G$2:$G$9,MATCH($E764,Parametros!$A$2:$A$9,0))</f>
        <v>391064.94</v>
      </c>
      <c r="AO764" s="17" t="n">
        <f aca="false">AN764-AC764-AL764</f>
        <v>118694.256</v>
      </c>
      <c r="AP764" s="15" t="n">
        <f aca="false">IF(AN764&gt;0,AO764/AN764,0)</f>
        <v>0.303515462163394</v>
      </c>
      <c r="AQ764" s="16" t="n">
        <f aca="false">INDEX(Parametros!$I$2:$I$9,MATCH($E764,Parametros!$A$2:$A$9,0))</f>
        <v>19300000</v>
      </c>
      <c r="AR764" s="19" t="n">
        <f aca="false">IF(AQ764&gt;0,AO764/AQ764,0)</f>
        <v>0.0061499614507772</v>
      </c>
    </row>
    <row r="765" customFormat="false" ht="15" hidden="false" customHeight="false" outlineLevel="0" collapsed="false">
      <c r="A765" s="5" t="s">
        <v>900</v>
      </c>
      <c r="B765" s="9" t="n">
        <v>46216</v>
      </c>
      <c r="C765" s="2" t="str">
        <f aca="false">TEXT(B765,"yyyy")</f>
        <v>2026</v>
      </c>
      <c r="D765" s="2" t="n">
        <f aca="false">WEEKNUM(B765,2)</f>
        <v>29</v>
      </c>
      <c r="E765" s="5" t="s">
        <v>136</v>
      </c>
      <c r="F765" s="6" t="str">
        <f aca="false">INDEX(Parametros!$B$2:$B$9,MATCH($E765,Parametros!$A$2:$A$9,0))</f>
        <v>Salsa BBQ</v>
      </c>
      <c r="G765" s="10" t="n">
        <v>125</v>
      </c>
      <c r="H765" s="10" t="n">
        <v>6.4</v>
      </c>
      <c r="I765" s="11" t="n">
        <f aca="false">SUMIFS(Eventos_Paro!$J$2:$J$2186,Eventos_Paro!$D$2:$D$2186,$E765,Eventos_Paro!$B$2:$B$2186,$B765)</f>
        <v>0.916666666666667</v>
      </c>
      <c r="J765" s="12" t="n">
        <f aca="false">G765-H765-I765</f>
        <v>117.683333333333</v>
      </c>
      <c r="K765" s="13" t="n">
        <v>537308</v>
      </c>
      <c r="L765" s="13" t="n">
        <v>441844</v>
      </c>
      <c r="M765" s="13" t="n">
        <v>16945</v>
      </c>
      <c r="N765" s="14" t="n">
        <f aca="false">L765+M765</f>
        <v>458789</v>
      </c>
      <c r="O765" s="11" t="n">
        <f aca="false">INDEX(Parametros!$D$2:$D$9,MATCH($E765,Parametros!$A$2:$A$9,0))</f>
        <v>4800</v>
      </c>
      <c r="P765" s="15" t="n">
        <f aca="false">IF((G765-H765)&gt;0,J765/(G765-H765),0)</f>
        <v>0.992270938729623</v>
      </c>
      <c r="Q765" s="15" t="n">
        <f aca="false">IF(J765*O765&gt;0,N765/(O765*J765),0)</f>
        <v>0.812188429400935</v>
      </c>
      <c r="R765" s="15" t="n">
        <f aca="false">IF(N765&gt;0,L765/N765,0)</f>
        <v>0.96306581020905</v>
      </c>
      <c r="S765" s="15" t="n">
        <f aca="false">P765*Q765*R765</f>
        <v>0.776145306351883</v>
      </c>
      <c r="T765" s="15" t="n">
        <f aca="false">IF(K765&gt;0,L765/K765,0)</f>
        <v>0.822329092438601</v>
      </c>
      <c r="U765" s="10" t="n">
        <v>1154.5</v>
      </c>
      <c r="V765" s="5" t="n">
        <v>9</v>
      </c>
      <c r="W765" s="10" t="n">
        <v>29.5</v>
      </c>
      <c r="X765" s="15" t="n">
        <f aca="false">IF(U765&gt;0,W765/U765,0)</f>
        <v>0.0255521870939801</v>
      </c>
      <c r="Y765" s="12" t="n">
        <f aca="false">IF(U765&gt;0,L765/U765,0)</f>
        <v>382.714595062798</v>
      </c>
      <c r="Z765" s="16" t="n">
        <f aca="false">L765*INDEX(Parametros!$E$2:$E$9,MATCH($E765,Parametros!$A$2:$A$9,0))</f>
        <v>256269.52</v>
      </c>
      <c r="AA765" s="16" t="n">
        <f aca="false">Z765*INDEX(Parametros!$F$2:$F$9,MATCH($E765,Parametros!$A$2:$A$9,0))</f>
        <v>7175.54656</v>
      </c>
      <c r="AB765" s="17" t="n">
        <f aca="false">Z765+AA765</f>
        <v>263445.06656</v>
      </c>
      <c r="AC765" s="18" t="n">
        <v>261826.36</v>
      </c>
      <c r="AD765" s="17" t="n">
        <f aca="false">AC765-AB765</f>
        <v>-1618.70656000002</v>
      </c>
      <c r="AE765" s="17" t="n">
        <f aca="false">AA765+AD765</f>
        <v>5556.83999999998</v>
      </c>
      <c r="AF765" s="19" t="n">
        <f aca="false">IF(Z765&gt;0,AE765/Z765,0)</f>
        <v>0.0216835775085542</v>
      </c>
      <c r="AG765" s="16" t="n">
        <f aca="false">(U765-W765)*INDEX(Parametros!$H$2:$H$9,MATCH($E765,Parametros!$A$2:$A$9,0))+W765*INDEX(Parametros!$H$2:$H$9,MATCH($E765,Parametros!$A$2:$A$9,0))*Parametros!$N$3</f>
        <v>36831.375</v>
      </c>
      <c r="AH765" s="13" t="n">
        <v>24040</v>
      </c>
      <c r="AI765" s="16" t="n">
        <f aca="false">AH765*Parametros!$N$2</f>
        <v>2211.68</v>
      </c>
      <c r="AJ765" s="18" t="n">
        <v>7684</v>
      </c>
      <c r="AK765" s="18" t="n">
        <v>663</v>
      </c>
      <c r="AL765" s="17" t="n">
        <f aca="false">AG765+AI765+AJ765+AK765</f>
        <v>47390.055</v>
      </c>
      <c r="AM765" s="20" t="n">
        <f aca="false">IF(L765&gt;0,AL765/L765,0)</f>
        <v>0.107255173771738</v>
      </c>
      <c r="AN765" s="16" t="n">
        <f aca="false">L765*INDEX(Parametros!$G$2:$G$9,MATCH($E765,Parametros!$A$2:$A$9,0))</f>
        <v>433007.12</v>
      </c>
      <c r="AO765" s="17" t="n">
        <f aca="false">AN765-AC765-AL765</f>
        <v>123790.705</v>
      </c>
      <c r="AP765" s="15" t="n">
        <f aca="false">IF(AN765&gt;0,AO765/AN765,0)</f>
        <v>0.285886072727857</v>
      </c>
      <c r="AQ765" s="16" t="n">
        <f aca="false">INDEX(Parametros!$I$2:$I$9,MATCH($E765,Parametros!$A$2:$A$9,0))</f>
        <v>17000000</v>
      </c>
      <c r="AR765" s="19" t="n">
        <f aca="false">IF(AQ765&gt;0,AO765/AQ765,0)</f>
        <v>0.00728180617647059</v>
      </c>
    </row>
    <row r="766" customFormat="false" ht="15" hidden="false" customHeight="false" outlineLevel="0" collapsed="false">
      <c r="A766" s="5" t="s">
        <v>901</v>
      </c>
      <c r="B766" s="9" t="n">
        <v>46216</v>
      </c>
      <c r="C766" s="2" t="str">
        <f aca="false">TEXT(B766,"yyyy")</f>
        <v>2026</v>
      </c>
      <c r="D766" s="2" t="n">
        <f aca="false">WEEKNUM(B766,2)</f>
        <v>29</v>
      </c>
      <c r="E766" s="5" t="s">
        <v>138</v>
      </c>
      <c r="F766" s="6" t="str">
        <f aca="false">INDEX(Parametros!$B$2:$B$9,MATCH($E766,Parametros!$A$2:$A$9,0))</f>
        <v>Queso crema</v>
      </c>
      <c r="G766" s="10" t="n">
        <v>120.4</v>
      </c>
      <c r="H766" s="10" t="n">
        <v>5.3</v>
      </c>
      <c r="I766" s="11" t="n">
        <f aca="false">SUMIFS(Eventos_Paro!$J$2:$J$2186,Eventos_Paro!$D$2:$D$2186,$E766,Eventos_Paro!$B$2:$B$2186,$B766)</f>
        <v>2.43333333333333</v>
      </c>
      <c r="J766" s="12" t="n">
        <f aca="false">G766-H766-I766</f>
        <v>112.666666666667</v>
      </c>
      <c r="K766" s="13" t="n">
        <v>363884</v>
      </c>
      <c r="L766" s="13" t="n">
        <v>320749</v>
      </c>
      <c r="M766" s="13" t="n">
        <v>10698</v>
      </c>
      <c r="N766" s="14" t="n">
        <f aca="false">L766+M766</f>
        <v>331447</v>
      </c>
      <c r="O766" s="11" t="n">
        <f aca="false">INDEX(Parametros!$D$2:$D$9,MATCH($E766,Parametros!$A$2:$A$9,0))</f>
        <v>3800</v>
      </c>
      <c r="P766" s="15" t="n">
        <f aca="false">IF((G766-H766)&gt;0,J766/(G766-H766),0)</f>
        <v>0.978858963220388</v>
      </c>
      <c r="Q766" s="15" t="n">
        <f aca="false">IF(J766*O766&gt;0,N766/(O766*J766),0)</f>
        <v>0.774167704764871</v>
      </c>
      <c r="R766" s="15" t="n">
        <f aca="false">IF(N766&gt;0,L766/N766,0)</f>
        <v>0.967723346417376</v>
      </c>
      <c r="S766" s="15" t="n">
        <f aca="false">P766*Q766*R766</f>
        <v>0.73334171658512</v>
      </c>
      <c r="T766" s="15" t="n">
        <f aca="false">IF(K766&gt;0,L766/K766,0)</f>
        <v>0.881459476096778</v>
      </c>
      <c r="U766" s="10" t="n">
        <v>1944.4</v>
      </c>
      <c r="V766" s="5" t="n">
        <v>15</v>
      </c>
      <c r="W766" s="10" t="n">
        <v>138.4</v>
      </c>
      <c r="X766" s="15" t="n">
        <f aca="false">IF(U766&gt;0,W766/U766,0)</f>
        <v>0.0711787698004526</v>
      </c>
      <c r="Y766" s="12" t="n">
        <f aca="false">IF(U766&gt;0,L766/U766,0)</f>
        <v>164.960399094836</v>
      </c>
      <c r="Z766" s="16" t="n">
        <f aca="false">L766*INDEX(Parametros!$E$2:$E$9,MATCH($E766,Parametros!$A$2:$A$9,0))</f>
        <v>359238.88</v>
      </c>
      <c r="AA766" s="16" t="n">
        <f aca="false">Z766*INDEX(Parametros!$F$2:$F$9,MATCH($E766,Parametros!$A$2:$A$9,0))</f>
        <v>12573.3608</v>
      </c>
      <c r="AB766" s="17" t="n">
        <f aca="false">Z766+AA766</f>
        <v>371812.2408</v>
      </c>
      <c r="AC766" s="18" t="n">
        <v>364100.31</v>
      </c>
      <c r="AD766" s="17" t="n">
        <f aca="false">AC766-AB766</f>
        <v>-7711.93080000009</v>
      </c>
      <c r="AE766" s="17" t="n">
        <f aca="false">AA766+AD766</f>
        <v>4861.42999999992</v>
      </c>
      <c r="AF766" s="19" t="n">
        <f aca="false">IF(Z766&gt;0,AE766/Z766,0)</f>
        <v>0.0135325831101575</v>
      </c>
      <c r="AG766" s="16" t="n">
        <f aca="false">(U766-W766)*INDEX(Parametros!$H$2:$H$9,MATCH($E766,Parametros!$A$2:$A$9,0))+W766*INDEX(Parametros!$H$2:$H$9,MATCH($E766,Parametros!$A$2:$A$9,0))*Parametros!$N$3</f>
        <v>66448.8</v>
      </c>
      <c r="AH766" s="13" t="n">
        <v>17721</v>
      </c>
      <c r="AI766" s="16" t="n">
        <f aca="false">AH766*Parametros!$N$2</f>
        <v>1630.332</v>
      </c>
      <c r="AJ766" s="18" t="n">
        <v>16997</v>
      </c>
      <c r="AK766" s="18" t="n">
        <v>3133</v>
      </c>
      <c r="AL766" s="17" t="n">
        <f aca="false">AG766+AI766+AJ766+AK766</f>
        <v>88209.132</v>
      </c>
      <c r="AM766" s="20" t="n">
        <f aca="false">IF(L766&gt;0,AL766/L766,0)</f>
        <v>0.275009842587194</v>
      </c>
      <c r="AN766" s="16" t="n">
        <f aca="false">L766*INDEX(Parametros!$G$2:$G$9,MATCH($E766,Parametros!$A$2:$A$9,0))</f>
        <v>574140.71</v>
      </c>
      <c r="AO766" s="17" t="n">
        <f aca="false">AN766-AC766-AL766</f>
        <v>121831.268</v>
      </c>
      <c r="AP766" s="15" t="n">
        <f aca="false">IF(AN766&gt;0,AO766/AN766,0)</f>
        <v>0.21219757783767</v>
      </c>
      <c r="AQ766" s="16" t="n">
        <f aca="false">INDEX(Parametros!$I$2:$I$9,MATCH($E766,Parametros!$A$2:$A$9,0))</f>
        <v>33200000</v>
      </c>
      <c r="AR766" s="19" t="n">
        <f aca="false">IF(AQ766&gt;0,AO766/AQ766,0)</f>
        <v>0.0036696165060241</v>
      </c>
    </row>
    <row r="767" customFormat="false" ht="15" hidden="false" customHeight="false" outlineLevel="0" collapsed="false">
      <c r="A767" s="5" t="s">
        <v>902</v>
      </c>
      <c r="B767" s="9" t="n">
        <v>46216</v>
      </c>
      <c r="C767" s="2" t="str">
        <f aca="false">TEXT(B767,"yyyy")</f>
        <v>2026</v>
      </c>
      <c r="D767" s="2" t="n">
        <f aca="false">WEEKNUM(B767,2)</f>
        <v>29</v>
      </c>
      <c r="E767" s="5" t="s">
        <v>140</v>
      </c>
      <c r="F767" s="6" t="str">
        <f aca="false">INDEX(Parametros!$B$2:$B$9,MATCH($E767,Parametros!$A$2:$A$9,0))</f>
        <v>Crema de cacahuate</v>
      </c>
      <c r="G767" s="10" t="n">
        <v>109.1</v>
      </c>
      <c r="H767" s="10" t="n">
        <v>5.5</v>
      </c>
      <c r="I767" s="11" t="n">
        <f aca="false">SUMIFS(Eventos_Paro!$J$2:$J$2186,Eventos_Paro!$D$2:$D$2186,$E767,Eventos_Paro!$B$2:$B$2186,$B767)</f>
        <v>0</v>
      </c>
      <c r="J767" s="12" t="n">
        <f aca="false">G767-H767-I767</f>
        <v>103.6</v>
      </c>
      <c r="K767" s="13" t="n">
        <v>362004</v>
      </c>
      <c r="L767" s="13" t="n">
        <v>367946</v>
      </c>
      <c r="M767" s="13" t="n">
        <v>6620</v>
      </c>
      <c r="N767" s="14" t="n">
        <f aca="false">L767+M767</f>
        <v>374566</v>
      </c>
      <c r="O767" s="11" t="n">
        <f aca="false">INDEX(Parametros!$D$2:$D$9,MATCH($E767,Parametros!$A$2:$A$9,0))</f>
        <v>4200</v>
      </c>
      <c r="P767" s="15" t="n">
        <f aca="false">IF((G767-H767)&gt;0,J767/(G767-H767),0)</f>
        <v>1</v>
      </c>
      <c r="Q767" s="15" t="n">
        <f aca="false">IF(J767*O767&gt;0,N767/(O767*J767),0)</f>
        <v>0.86083379297665</v>
      </c>
      <c r="R767" s="15" t="n">
        <f aca="false">IF(N767&gt;0,L767/N767,0)</f>
        <v>0.982326212202923</v>
      </c>
      <c r="S767" s="15" t="n">
        <f aca="false">P767*Q767*R767</f>
        <v>0.845619599191028</v>
      </c>
      <c r="T767" s="15" t="n">
        <f aca="false">IF(K767&gt;0,L767/K767,0)</f>
        <v>1.01641418326869</v>
      </c>
      <c r="U767" s="10" t="n">
        <v>1419.9</v>
      </c>
      <c r="V767" s="5" t="n">
        <v>12</v>
      </c>
      <c r="W767" s="10" t="n">
        <v>110.7</v>
      </c>
      <c r="X767" s="15" t="n">
        <f aca="false">IF(U767&gt;0,W767/U767,0)</f>
        <v>0.0779632368476653</v>
      </c>
      <c r="Y767" s="12" t="n">
        <f aca="false">IF(U767&gt;0,L767/U767,0)</f>
        <v>259.135150362702</v>
      </c>
      <c r="Z767" s="16" t="n">
        <f aca="false">L767*INDEX(Parametros!$E$2:$E$9,MATCH($E767,Parametros!$A$2:$A$9,0))</f>
        <v>356907.62</v>
      </c>
      <c r="AA767" s="16" t="n">
        <f aca="false">Z767*INDEX(Parametros!$F$2:$F$9,MATCH($E767,Parametros!$A$2:$A$9,0))</f>
        <v>7851.96764</v>
      </c>
      <c r="AB767" s="17" t="n">
        <f aca="false">Z767+AA767</f>
        <v>364759.58764</v>
      </c>
      <c r="AC767" s="18" t="n">
        <v>372081</v>
      </c>
      <c r="AD767" s="17" t="n">
        <f aca="false">AC767-AB767</f>
        <v>7321.41236000002</v>
      </c>
      <c r="AE767" s="17" t="n">
        <f aca="false">AA767+AD767</f>
        <v>15173.38</v>
      </c>
      <c r="AF767" s="19" t="n">
        <f aca="false">IF(Z767&gt;0,AE767/Z767,0)</f>
        <v>0.0425134660896285</v>
      </c>
      <c r="AG767" s="16" t="n">
        <f aca="false">(U767-W767)*INDEX(Parametros!$H$2:$H$9,MATCH($E767,Parametros!$A$2:$A$9,0))+W767*INDEX(Parametros!$H$2:$H$9,MATCH($E767,Parametros!$A$2:$A$9,0))*Parametros!$N$3</f>
        <v>46470.375</v>
      </c>
      <c r="AH767" s="13" t="n">
        <v>19960</v>
      </c>
      <c r="AI767" s="16" t="n">
        <f aca="false">AH767*Parametros!$N$2</f>
        <v>1836.32</v>
      </c>
      <c r="AJ767" s="18" t="n">
        <v>10518</v>
      </c>
      <c r="AK767" s="18" t="n">
        <v>0</v>
      </c>
      <c r="AL767" s="17" t="n">
        <f aca="false">AG767+AI767+AJ767+AK767</f>
        <v>58824.695</v>
      </c>
      <c r="AM767" s="20" t="n">
        <f aca="false">IF(L767&gt;0,AL767/L767,0)</f>
        <v>0.159873174324493</v>
      </c>
      <c r="AN767" s="16" t="n">
        <f aca="false">L767*INDEX(Parametros!$G$2:$G$9,MATCH($E767,Parametros!$A$2:$A$9,0))</f>
        <v>596072.52</v>
      </c>
      <c r="AO767" s="17" t="n">
        <f aca="false">AN767-AC767-AL767</f>
        <v>165166.825</v>
      </c>
      <c r="AP767" s="15" t="n">
        <f aca="false">IF(AN767&gt;0,AO767/AN767,0)</f>
        <v>0.277091829363313</v>
      </c>
      <c r="AQ767" s="16" t="n">
        <f aca="false">INDEX(Parametros!$I$2:$I$9,MATCH($E767,Parametros!$A$2:$A$9,0))</f>
        <v>28000000</v>
      </c>
      <c r="AR767" s="19" t="n">
        <f aca="false">IF(AQ767&gt;0,AO767/AQ767,0)</f>
        <v>0.00589881517857143</v>
      </c>
    </row>
    <row r="768" customFormat="false" ht="15" hidden="false" customHeight="false" outlineLevel="0" collapsed="false">
      <c r="A768" s="5" t="s">
        <v>903</v>
      </c>
      <c r="B768" s="9" t="n">
        <v>46216</v>
      </c>
      <c r="C768" s="2" t="str">
        <f aca="false">TEXT(B768,"yyyy")</f>
        <v>2026</v>
      </c>
      <c r="D768" s="2" t="n">
        <f aca="false">WEEKNUM(B768,2)</f>
        <v>29</v>
      </c>
      <c r="E768" s="5" t="s">
        <v>142</v>
      </c>
      <c r="F768" s="6" t="str">
        <f aca="false">INDEX(Parametros!$B$2:$B$9,MATCH($E768,Parametros!$A$2:$A$9,0))</f>
        <v>Porciones single serve</v>
      </c>
      <c r="G768" s="10" t="n">
        <v>132.1</v>
      </c>
      <c r="H768" s="10" t="n">
        <v>5.9</v>
      </c>
      <c r="I768" s="11" t="n">
        <f aca="false">SUMIFS(Eventos_Paro!$J$2:$J$2186,Eventos_Paro!$D$2:$D$2186,$E768,Eventos_Paro!$B$2:$B$2186,$B768)</f>
        <v>3.38333333333333</v>
      </c>
      <c r="J768" s="12" t="n">
        <f aca="false">G768-H768-I768</f>
        <v>122.816666666667</v>
      </c>
      <c r="K768" s="13" t="n">
        <v>272984</v>
      </c>
      <c r="L768" s="13" t="n">
        <v>246202</v>
      </c>
      <c r="M768" s="13" t="n">
        <v>15678</v>
      </c>
      <c r="N768" s="14" t="n">
        <f aca="false">L768+M768</f>
        <v>261880</v>
      </c>
      <c r="O768" s="11" t="n">
        <f aca="false">INDEX(Parametros!$D$2:$D$9,MATCH($E768,Parametros!$A$2:$A$9,0))</f>
        <v>2600</v>
      </c>
      <c r="P768" s="15" t="n">
        <f aca="false">IF((G768-H768)&gt;0,J768/(G768-H768),0)</f>
        <v>0.973190702588484</v>
      </c>
      <c r="Q768" s="15" t="n">
        <f aca="false">IF(J768*O768&gt;0,N768/(O768*J768),0)</f>
        <v>0.820109189223045</v>
      </c>
      <c r="R768" s="15" t="n">
        <f aca="false">IF(N768&gt;0,L768/N768,0)</f>
        <v>0.940132885290973</v>
      </c>
      <c r="S768" s="15" t="n">
        <f aca="false">P768*Q768*R768</f>
        <v>0.750341338534682</v>
      </c>
      <c r="T768" s="15" t="n">
        <f aca="false">IF(K768&gt;0,L768/K768,0)</f>
        <v>0.901891685959617</v>
      </c>
      <c r="U768" s="10" t="n">
        <v>2410.5</v>
      </c>
      <c r="V768" s="5" t="n">
        <v>17</v>
      </c>
      <c r="W768" s="10" t="n">
        <v>164.8</v>
      </c>
      <c r="X768" s="15" t="n">
        <f aca="false">IF(U768&gt;0,W768/U768,0)</f>
        <v>0.0683675585978013</v>
      </c>
      <c r="Y768" s="12" t="n">
        <f aca="false">IF(U768&gt;0,L768/U768,0)</f>
        <v>102.137315909562</v>
      </c>
      <c r="Z768" s="16" t="n">
        <f aca="false">L768*INDEX(Parametros!$E$2:$E$9,MATCH($E768,Parametros!$A$2:$A$9,0))</f>
        <v>182189.48</v>
      </c>
      <c r="AA768" s="16" t="n">
        <f aca="false">Z768*INDEX(Parametros!$F$2:$F$9,MATCH($E768,Parametros!$A$2:$A$9,0))</f>
        <v>8198.5266</v>
      </c>
      <c r="AB768" s="17" t="n">
        <f aca="false">Z768+AA768</f>
        <v>190388.0066</v>
      </c>
      <c r="AC768" s="18" t="n">
        <v>189557.88</v>
      </c>
      <c r="AD768" s="17" t="n">
        <f aca="false">AC768-AB768</f>
        <v>-830.126600000018</v>
      </c>
      <c r="AE768" s="17" t="n">
        <f aca="false">AA768+AD768</f>
        <v>7368.39999999998</v>
      </c>
      <c r="AF768" s="19" t="n">
        <f aca="false">IF(Z768&gt;0,AE768/Z768,0)</f>
        <v>0.0404436084893595</v>
      </c>
      <c r="AG768" s="16" t="n">
        <f aca="false">(U768-W768)*INDEX(Parametros!$H$2:$H$9,MATCH($E768,Parametros!$A$2:$A$9,0))+W768*INDEX(Parametros!$H$2:$H$9,MATCH($E768,Parametros!$A$2:$A$9,0))*Parametros!$N$3</f>
        <v>74787</v>
      </c>
      <c r="AH768" s="13" t="n">
        <v>13137</v>
      </c>
      <c r="AI768" s="16" t="n">
        <f aca="false">AH768*Parametros!$N$2</f>
        <v>1208.604</v>
      </c>
      <c r="AJ768" s="18" t="n">
        <v>14611</v>
      </c>
      <c r="AK768" s="18" t="n">
        <v>1850</v>
      </c>
      <c r="AL768" s="17" t="n">
        <f aca="false">AG768+AI768+AJ768+AK768</f>
        <v>92456.604</v>
      </c>
      <c r="AM768" s="20" t="n">
        <f aca="false">IF(L768&gt;0,AL768/L768,0)</f>
        <v>0.37553149040219</v>
      </c>
      <c r="AN768" s="16" t="n">
        <f aca="false">L768*INDEX(Parametros!$G$2:$G$9,MATCH($E768,Parametros!$A$2:$A$9,0))</f>
        <v>423467.44</v>
      </c>
      <c r="AO768" s="17" t="n">
        <f aca="false">AN768-AC768-AL768</f>
        <v>141452.956</v>
      </c>
      <c r="AP768" s="15" t="n">
        <f aca="false">IF(AN768&gt;0,AO768/AN768,0)</f>
        <v>0.334035022857956</v>
      </c>
      <c r="AQ768" s="16" t="n">
        <f aca="false">INDEX(Parametros!$I$2:$I$9,MATCH($E768,Parametros!$A$2:$A$9,0))</f>
        <v>15900000</v>
      </c>
      <c r="AR768" s="19" t="n">
        <f aca="false">IF(AQ768&gt;0,AO768/AQ768,0)</f>
        <v>0.00889641232704403</v>
      </c>
    </row>
    <row r="769" customFormat="false" ht="15" hidden="false" customHeight="false" outlineLevel="0" collapsed="false">
      <c r="A769" s="5" t="s">
        <v>904</v>
      </c>
      <c r="B769" s="9" t="n">
        <v>46216</v>
      </c>
      <c r="C769" s="2" t="str">
        <f aca="false">TEXT(B769,"yyyy")</f>
        <v>2026</v>
      </c>
      <c r="D769" s="2" t="n">
        <f aca="false">WEEKNUM(B769,2)</f>
        <v>29</v>
      </c>
      <c r="E769" s="5" t="s">
        <v>144</v>
      </c>
      <c r="F769" s="6" t="str">
        <f aca="false">INDEX(Parametros!$B$2:$B$9,MATCH($E769,Parametros!$A$2:$A$9,0))</f>
        <v>Salsas picantes</v>
      </c>
      <c r="G769" s="10" t="n">
        <v>94</v>
      </c>
      <c r="H769" s="10" t="n">
        <v>8.9</v>
      </c>
      <c r="I769" s="11" t="n">
        <f aca="false">SUMIFS(Eventos_Paro!$J$2:$J$2186,Eventos_Paro!$D$2:$D$2186,$E769,Eventos_Paro!$B$2:$B$2186,$B769)</f>
        <v>4.35</v>
      </c>
      <c r="J769" s="12" t="n">
        <f aca="false">G769-H769-I769</f>
        <v>80.75</v>
      </c>
      <c r="K769" s="13" t="n">
        <v>198437</v>
      </c>
      <c r="L769" s="13" t="n">
        <v>202325</v>
      </c>
      <c r="M769" s="13" t="n">
        <v>6068</v>
      </c>
      <c r="N769" s="14" t="n">
        <f aca="false">L769+M769</f>
        <v>208393</v>
      </c>
      <c r="O769" s="11" t="n">
        <f aca="false">INDEX(Parametros!$D$2:$D$9,MATCH($E769,Parametros!$A$2:$A$9,0))</f>
        <v>3100</v>
      </c>
      <c r="P769" s="15" t="n">
        <f aca="false">IF((G769-H769)&gt;0,J769/(G769-H769),0)</f>
        <v>0.948883666274971</v>
      </c>
      <c r="Q769" s="15" t="n">
        <f aca="false">IF(J769*O769&gt;0,N769/(O769*J769),0)</f>
        <v>0.8324897633077</v>
      </c>
      <c r="R769" s="15" t="n">
        <f aca="false">IF(N769&gt;0,L769/N769,0)</f>
        <v>0.970881939412552</v>
      </c>
      <c r="S769" s="15" t="n">
        <f aca="false">P769*Q769*R769</f>
        <v>0.766934536219249</v>
      </c>
      <c r="T769" s="15" t="n">
        <f aca="false">IF(K769&gt;0,L769/K769,0)</f>
        <v>1.01959312023463</v>
      </c>
      <c r="U769" s="10" t="n">
        <v>730.8</v>
      </c>
      <c r="V769" s="5" t="n">
        <v>7</v>
      </c>
      <c r="W769" s="10" t="n">
        <v>72.8</v>
      </c>
      <c r="X769" s="15" t="n">
        <f aca="false">IF(U769&gt;0,W769/U769,0)</f>
        <v>0.0996168582375479</v>
      </c>
      <c r="Y769" s="12" t="n">
        <f aca="false">IF(U769&gt;0,L769/U769,0)</f>
        <v>276.854132457581</v>
      </c>
      <c r="Z769" s="16" t="n">
        <f aca="false">L769*INDEX(Parametros!$E$2:$E$9,MATCH($E769,Parametros!$A$2:$A$9,0))</f>
        <v>133534.5</v>
      </c>
      <c r="AA769" s="16" t="n">
        <f aca="false">Z769*INDEX(Parametros!$F$2:$F$9,MATCH($E769,Parametros!$A$2:$A$9,0))</f>
        <v>3471.897</v>
      </c>
      <c r="AB769" s="17" t="n">
        <f aca="false">Z769+AA769</f>
        <v>137006.397</v>
      </c>
      <c r="AC769" s="18" t="n">
        <v>133470.36</v>
      </c>
      <c r="AD769" s="17" t="n">
        <f aca="false">AC769-AB769</f>
        <v>-3536.03700000001</v>
      </c>
      <c r="AE769" s="17" t="n">
        <f aca="false">AA769+AD769</f>
        <v>-64.1400000000112</v>
      </c>
      <c r="AF769" s="19" t="n">
        <f aca="false">IF(Z769&gt;0,AE769/Z769,0)</f>
        <v>-0.000480325309189844</v>
      </c>
      <c r="AG769" s="16" t="n">
        <f aca="false">(U769-W769)*INDEX(Parametros!$H$2:$H$9,MATCH($E769,Parametros!$A$2:$A$9,0))+W769*INDEX(Parametros!$H$2:$H$9,MATCH($E769,Parametros!$A$2:$A$9,0))*Parametros!$N$3</f>
        <v>24166.8</v>
      </c>
      <c r="AH769" s="13" t="n">
        <v>10707</v>
      </c>
      <c r="AI769" s="16" t="n">
        <f aca="false">AH769*Parametros!$N$2</f>
        <v>985.044</v>
      </c>
      <c r="AJ769" s="18" t="n">
        <v>6085</v>
      </c>
      <c r="AK769" s="18" t="n">
        <v>5367</v>
      </c>
      <c r="AL769" s="17" t="n">
        <f aca="false">AG769+AI769+AJ769+AK769</f>
        <v>36603.844</v>
      </c>
      <c r="AM769" s="20" t="n">
        <f aca="false">IF(L769&gt;0,AL769/L769,0)</f>
        <v>0.180916070678364</v>
      </c>
      <c r="AN769" s="16" t="n">
        <f aca="false">L769*INDEX(Parametros!$G$2:$G$9,MATCH($E769,Parametros!$A$2:$A$9,0))</f>
        <v>252906.25</v>
      </c>
      <c r="AO769" s="17" t="n">
        <f aca="false">AN769-AC769-AL769</f>
        <v>82832.046</v>
      </c>
      <c r="AP769" s="15" t="n">
        <f aca="false">IF(AN769&gt;0,AO769/AN769,0)</f>
        <v>0.327520755220561</v>
      </c>
      <c r="AQ769" s="16" t="n">
        <f aca="false">INDEX(Parametros!$I$2:$I$9,MATCH($E769,Parametros!$A$2:$A$9,0))</f>
        <v>13300000</v>
      </c>
      <c r="AR769" s="19" t="n">
        <f aca="false">IF(AQ769&gt;0,AO769/AQ769,0)</f>
        <v>0.00622797338345865</v>
      </c>
    </row>
    <row r="770" customFormat="false" ht="15" hidden="false" customHeight="false" outlineLevel="0" collapsed="false">
      <c r="A770" s="5" t="s">
        <v>905</v>
      </c>
      <c r="B770" s="9" t="n">
        <v>46223</v>
      </c>
      <c r="C770" s="2" t="str">
        <f aca="false">TEXT(B770,"yyyy")</f>
        <v>2026</v>
      </c>
      <c r="D770" s="2" t="n">
        <f aca="false">WEEKNUM(B770,2)</f>
        <v>30</v>
      </c>
      <c r="E770" s="5" t="s">
        <v>130</v>
      </c>
      <c r="F770" s="6" t="str">
        <f aca="false">INDEX(Parametros!$B$2:$B$9,MATCH($E770,Parametros!$A$2:$A$9,0))</f>
        <v>Ketchup botella</v>
      </c>
      <c r="G770" s="10" t="n">
        <v>128.6</v>
      </c>
      <c r="H770" s="10" t="n">
        <v>6.2</v>
      </c>
      <c r="I770" s="11" t="n">
        <f aca="false">SUMIFS(Eventos_Paro!$J$2:$J$2186,Eventos_Paro!$D$2:$D$2186,$E770,Eventos_Paro!$B$2:$B$2186,$B770)</f>
        <v>2.21666666666667</v>
      </c>
      <c r="J770" s="12" t="n">
        <f aca="false">G770-H770-I770</f>
        <v>120.183333333333</v>
      </c>
      <c r="K770" s="13" t="n">
        <v>916036</v>
      </c>
      <c r="L770" s="13" t="n">
        <v>946915</v>
      </c>
      <c r="M770" s="13" t="n">
        <v>14870</v>
      </c>
      <c r="N770" s="14" t="n">
        <f aca="false">L770+M770</f>
        <v>961785</v>
      </c>
      <c r="O770" s="11" t="n">
        <f aca="false">INDEX(Parametros!$D$2:$D$9,MATCH($E770,Parametros!$A$2:$A$9,0))</f>
        <v>9000</v>
      </c>
      <c r="P770" s="15" t="n">
        <f aca="false">IF((G770-H770)&gt;0,J770/(G770-H770),0)</f>
        <v>0.981889978213508</v>
      </c>
      <c r="Q770" s="15" t="n">
        <f aca="false">IF(J770*O770&gt;0,N770/(O770*J770),0)</f>
        <v>0.889183192345028</v>
      </c>
      <c r="R770" s="15" t="n">
        <f aca="false">IF(N770&gt;0,L770/N770,0)</f>
        <v>0.98453916415831</v>
      </c>
      <c r="S770" s="15" t="n">
        <f aca="false">P770*Q770*R770</f>
        <v>0.859581517792302</v>
      </c>
      <c r="T770" s="15" t="n">
        <f aca="false">IF(K770&gt;0,L770/K770,0)</f>
        <v>1.0337093738674</v>
      </c>
      <c r="U770" s="10" t="n">
        <v>1937</v>
      </c>
      <c r="V770" s="5" t="n">
        <v>14</v>
      </c>
      <c r="W770" s="10" t="n">
        <v>136.6</v>
      </c>
      <c r="X770" s="15" t="n">
        <f aca="false">IF(U770&gt;0,W770/U770,0)</f>
        <v>0.070521424883841</v>
      </c>
      <c r="Y770" s="12" t="n">
        <f aca="false">IF(U770&gt;0,L770/U770,0)</f>
        <v>488.856479091378</v>
      </c>
      <c r="Z770" s="16" t="n">
        <f aca="false">L770*INDEX(Parametros!$E$2:$E$9,MATCH($E770,Parametros!$A$2:$A$9,0))</f>
        <v>397704.3</v>
      </c>
      <c r="AA770" s="16" t="n">
        <f aca="false">Z770*INDEX(Parametros!$F$2:$F$9,MATCH($E770,Parametros!$A$2:$A$9,0))</f>
        <v>7954.086</v>
      </c>
      <c r="AB770" s="17" t="n">
        <f aca="false">Z770+AA770</f>
        <v>405658.386</v>
      </c>
      <c r="AC770" s="18" t="n">
        <v>413097.73</v>
      </c>
      <c r="AD770" s="17" t="n">
        <f aca="false">AC770-AB770</f>
        <v>7439.34399999998</v>
      </c>
      <c r="AE770" s="17" t="n">
        <f aca="false">AA770+AD770</f>
        <v>15393.43</v>
      </c>
      <c r="AF770" s="19" t="n">
        <f aca="false">IF(Z770&gt;0,AE770/Z770,0)</f>
        <v>0.0387057167850586</v>
      </c>
      <c r="AG770" s="16" t="n">
        <f aca="false">(U770-W770)*INDEX(Parametros!$H$2:$H$9,MATCH($E770,Parametros!$A$2:$A$9,0))+W770*INDEX(Parametros!$H$2:$H$9,MATCH($E770,Parametros!$A$2:$A$9,0))*Parametros!$N$3</f>
        <v>63166.95</v>
      </c>
      <c r="AH770" s="13" t="n">
        <v>45349</v>
      </c>
      <c r="AI770" s="16" t="n">
        <f aca="false">AH770*Parametros!$N$2</f>
        <v>4172.108</v>
      </c>
      <c r="AJ770" s="18" t="n">
        <v>19193</v>
      </c>
      <c r="AK770" s="18" t="n">
        <v>1256</v>
      </c>
      <c r="AL770" s="17" t="n">
        <f aca="false">AG770+AI770+AJ770+AK770</f>
        <v>87788.058</v>
      </c>
      <c r="AM770" s="20" t="n">
        <f aca="false">IF(L770&gt;0,AL770/L770,0)</f>
        <v>0.0927095441512702</v>
      </c>
      <c r="AN770" s="16" t="n">
        <f aca="false">L770*INDEX(Parametros!$G$2:$G$9,MATCH($E770,Parametros!$A$2:$A$9,0))</f>
        <v>672309.65</v>
      </c>
      <c r="AO770" s="17" t="n">
        <f aca="false">AN770-AC770-AL770</f>
        <v>171423.862</v>
      </c>
      <c r="AP770" s="15" t="n">
        <f aca="false">IF(AN770&gt;0,AO770/AN770,0)</f>
        <v>0.25497754197043</v>
      </c>
      <c r="AQ770" s="16" t="n">
        <f aca="false">INDEX(Parametros!$I$2:$I$9,MATCH($E770,Parametros!$A$2:$A$9,0))</f>
        <v>29300000</v>
      </c>
      <c r="AR770" s="19" t="n">
        <f aca="false">IF(AQ770&gt;0,AO770/AQ770,0)</f>
        <v>0.00585064375426621</v>
      </c>
    </row>
    <row r="771" customFormat="false" ht="15" hidden="false" customHeight="false" outlineLevel="0" collapsed="false">
      <c r="A771" s="5" t="s">
        <v>906</v>
      </c>
      <c r="B771" s="9" t="n">
        <v>46223</v>
      </c>
      <c r="C771" s="2" t="str">
        <f aca="false">TEXT(B771,"yyyy")</f>
        <v>2026</v>
      </c>
      <c r="D771" s="2" t="n">
        <f aca="false">WEEKNUM(B771,2)</f>
        <v>30</v>
      </c>
      <c r="E771" s="5" t="s">
        <v>132</v>
      </c>
      <c r="F771" s="6" t="str">
        <f aca="false">INDEX(Parametros!$B$2:$B$9,MATCH($E771,Parametros!$A$2:$A$9,0))</f>
        <v>Mayonesa frasco</v>
      </c>
      <c r="G771" s="10" t="n">
        <v>126.5</v>
      </c>
      <c r="H771" s="10" t="n">
        <v>5.5</v>
      </c>
      <c r="I771" s="11" t="n">
        <f aca="false">SUMIFS(Eventos_Paro!$J$2:$J$2186,Eventos_Paro!$D$2:$D$2186,$E771,Eventos_Paro!$B$2:$B$2186,$B771)</f>
        <v>1.08333333333333</v>
      </c>
      <c r="J771" s="12" t="n">
        <f aca="false">G771-H771-I771</f>
        <v>119.916666666667</v>
      </c>
      <c r="K771" s="13" t="n">
        <v>654014</v>
      </c>
      <c r="L771" s="13" t="n">
        <v>667185</v>
      </c>
      <c r="M771" s="13" t="n">
        <v>16172</v>
      </c>
      <c r="N771" s="14" t="n">
        <f aca="false">L771+M771</f>
        <v>683357</v>
      </c>
      <c r="O771" s="11" t="n">
        <f aca="false">INDEX(Parametros!$D$2:$D$9,MATCH($E771,Parametros!$A$2:$A$9,0))</f>
        <v>6500</v>
      </c>
      <c r="P771" s="15" t="n">
        <f aca="false">IF((G771-H771)&gt;0,J771/(G771-H771),0)</f>
        <v>0.991046831955923</v>
      </c>
      <c r="Q771" s="15" t="n">
        <f aca="false">IF(J771*O771&gt;0,N771/(O771*J771),0)</f>
        <v>0.876707542631101</v>
      </c>
      <c r="R771" s="15" t="n">
        <f aca="false">IF(N771&gt;0,L771/N771,0)</f>
        <v>0.976334478171732</v>
      </c>
      <c r="S771" s="15" t="n">
        <f aca="false">P771*Q771*R771</f>
        <v>0.84829624920534</v>
      </c>
      <c r="T771" s="15" t="n">
        <f aca="false">IF(K771&gt;0,L771/K771,0)</f>
        <v>1.02013871262695</v>
      </c>
      <c r="U771" s="10" t="n">
        <v>1730.8</v>
      </c>
      <c r="V771" s="5" t="n">
        <v>13</v>
      </c>
      <c r="W771" s="10" t="n">
        <v>86.3</v>
      </c>
      <c r="X771" s="15" t="n">
        <f aca="false">IF(U771&gt;0,W771/U771,0)</f>
        <v>0.0498613357984747</v>
      </c>
      <c r="Y771" s="12" t="n">
        <f aca="false">IF(U771&gt;0,L771/U771,0)</f>
        <v>385.477813727756</v>
      </c>
      <c r="Z771" s="16" t="n">
        <f aca="false">L771*INDEX(Parametros!$E$2:$E$9,MATCH($E771,Parametros!$A$2:$A$9,0))</f>
        <v>406982.85</v>
      </c>
      <c r="AA771" s="16" t="n">
        <f aca="false">Z771*INDEX(Parametros!$F$2:$F$9,MATCH($E771,Parametros!$A$2:$A$9,0))</f>
        <v>10174.57125</v>
      </c>
      <c r="AB771" s="17" t="n">
        <f aca="false">Z771+AA771</f>
        <v>417157.42125</v>
      </c>
      <c r="AC771" s="18" t="n">
        <v>415421.93</v>
      </c>
      <c r="AD771" s="17" t="n">
        <f aca="false">AC771-AB771</f>
        <v>-1735.49124999996</v>
      </c>
      <c r="AE771" s="17" t="n">
        <f aca="false">AA771+AD771</f>
        <v>8439.08000000004</v>
      </c>
      <c r="AF771" s="19" t="n">
        <f aca="false">IF(Z771&gt;0,AE771/Z771,0)</f>
        <v>0.0207357140479016</v>
      </c>
      <c r="AG771" s="16" t="n">
        <f aca="false">(U771-W771)*INDEX(Parametros!$H$2:$H$9,MATCH($E771,Parametros!$A$2:$A$9,0))+W771*INDEX(Parametros!$H$2:$H$9,MATCH($E771,Parametros!$A$2:$A$9,0))*Parametros!$N$3</f>
        <v>55879.425</v>
      </c>
      <c r="AH771" s="13" t="n">
        <v>33434</v>
      </c>
      <c r="AI771" s="16" t="n">
        <f aca="false">AH771*Parametros!$N$2</f>
        <v>3075.928</v>
      </c>
      <c r="AJ771" s="18" t="n">
        <v>16696</v>
      </c>
      <c r="AK771" s="18" t="n">
        <v>816</v>
      </c>
      <c r="AL771" s="17" t="n">
        <f aca="false">AG771+AI771+AJ771+AK771</f>
        <v>76467.353</v>
      </c>
      <c r="AM771" s="20" t="n">
        <f aca="false">IF(L771&gt;0,AL771/L771,0)</f>
        <v>0.114611918733185</v>
      </c>
      <c r="AN771" s="16" t="n">
        <f aca="false">L771*INDEX(Parametros!$G$2:$G$9,MATCH($E771,Parametros!$A$2:$A$9,0))</f>
        <v>640497.6</v>
      </c>
      <c r="AO771" s="17" t="n">
        <f aca="false">AN771-AC771-AL771</f>
        <v>148608.317</v>
      </c>
      <c r="AP771" s="15" t="n">
        <f aca="false">IF(AN771&gt;0,AO771/AN771,0)</f>
        <v>0.232020099684995</v>
      </c>
      <c r="AQ771" s="16" t="n">
        <f aca="false">INDEX(Parametros!$I$2:$I$9,MATCH($E771,Parametros!$A$2:$A$9,0))</f>
        <v>29700000</v>
      </c>
      <c r="AR771" s="19" t="n">
        <f aca="false">IF(AQ771&gt;0,AO771/AQ771,0)</f>
        <v>0.00500364703703704</v>
      </c>
    </row>
    <row r="772" customFormat="false" ht="15" hidden="false" customHeight="false" outlineLevel="0" collapsed="false">
      <c r="A772" s="5" t="s">
        <v>907</v>
      </c>
      <c r="B772" s="9" t="n">
        <v>46223</v>
      </c>
      <c r="C772" s="2" t="str">
        <f aca="false">TEXT(B772,"yyyy")</f>
        <v>2026</v>
      </c>
      <c r="D772" s="2" t="n">
        <f aca="false">WEEKNUM(B772,2)</f>
        <v>30</v>
      </c>
      <c r="E772" s="5" t="s">
        <v>134</v>
      </c>
      <c r="F772" s="6" t="str">
        <f aca="false">INDEX(Parametros!$B$2:$B$9,MATCH($E772,Parametros!$A$2:$A$9,0))</f>
        <v>Aderezos vertibles</v>
      </c>
      <c r="G772" s="10" t="n">
        <v>129.9</v>
      </c>
      <c r="H772" s="10" t="n">
        <v>5.5</v>
      </c>
      <c r="I772" s="11" t="n">
        <f aca="false">SUMIFS(Eventos_Paro!$J$2:$J$2186,Eventos_Paro!$D$2:$D$2186,$E772,Eventos_Paro!$B$2:$B$2186,$B772)</f>
        <v>1.28333333333333</v>
      </c>
      <c r="J772" s="12" t="n">
        <f aca="false">G772-H772-I772</f>
        <v>123.116666666667</v>
      </c>
      <c r="K772" s="13" t="n">
        <v>537913</v>
      </c>
      <c r="L772" s="13" t="n">
        <v>504429</v>
      </c>
      <c r="M772" s="13" t="n">
        <v>19185</v>
      </c>
      <c r="N772" s="14" t="n">
        <f aca="false">L772+M772</f>
        <v>523614</v>
      </c>
      <c r="O772" s="11" t="n">
        <f aca="false">INDEX(Parametros!$D$2:$D$9,MATCH($E772,Parametros!$A$2:$A$9,0))</f>
        <v>5200</v>
      </c>
      <c r="P772" s="15" t="n">
        <f aca="false">IF((G772-H772)&gt;0,J772/(G772-H772),0)</f>
        <v>0.989683815648446</v>
      </c>
      <c r="Q772" s="15" t="n">
        <f aca="false">IF(J772*O772&gt;0,N772/(O772*J772),0)</f>
        <v>0.817882767023149</v>
      </c>
      <c r="R772" s="15" t="n">
        <f aca="false">IF(N772&gt;0,L772/N772,0)</f>
        <v>0.96336041435103</v>
      </c>
      <c r="S772" s="15" t="n">
        <f aca="false">P772*Q772*R772</f>
        <v>0.77978759584467</v>
      </c>
      <c r="T772" s="15" t="n">
        <f aca="false">IF(K772&gt;0,L772/K772,0)</f>
        <v>0.937752015660525</v>
      </c>
      <c r="U772" s="10" t="n">
        <v>1667.2</v>
      </c>
      <c r="V772" s="5" t="n">
        <v>12</v>
      </c>
      <c r="W772" s="10" t="n">
        <v>108.4</v>
      </c>
      <c r="X772" s="15" t="n">
        <f aca="false">IF(U772&gt;0,W772/U772,0)</f>
        <v>0.0650191938579655</v>
      </c>
      <c r="Y772" s="12" t="n">
        <f aca="false">IF(U772&gt;0,L772/U772,0)</f>
        <v>302.560580614203</v>
      </c>
      <c r="Z772" s="16" t="n">
        <f aca="false">L772*INDEX(Parametros!$E$2:$E$9,MATCH($E772,Parametros!$A$2:$A$9,0))</f>
        <v>277435.95</v>
      </c>
      <c r="AA772" s="16" t="n">
        <f aca="false">Z772*INDEX(Parametros!$F$2:$F$9,MATCH($E772,Parametros!$A$2:$A$9,0))</f>
        <v>8323.0785</v>
      </c>
      <c r="AB772" s="17" t="n">
        <f aca="false">Z772+AA772</f>
        <v>285759.0285</v>
      </c>
      <c r="AC772" s="18" t="n">
        <v>290446.54</v>
      </c>
      <c r="AD772" s="17" t="n">
        <f aca="false">AC772-AB772</f>
        <v>4687.51149999996</v>
      </c>
      <c r="AE772" s="17" t="n">
        <f aca="false">AA772+AD772</f>
        <v>13010.59</v>
      </c>
      <c r="AF772" s="19" t="n">
        <f aca="false">IF(Z772&gt;0,AE772/Z772,0)</f>
        <v>0.0468958330742644</v>
      </c>
      <c r="AG772" s="16" t="n">
        <f aca="false">(U772-W772)*INDEX(Parametros!$H$2:$H$9,MATCH($E772,Parametros!$A$2:$A$9,0))+W772*INDEX(Parametros!$H$2:$H$9,MATCH($E772,Parametros!$A$2:$A$9,0))*Parametros!$N$3</f>
        <v>54224.1</v>
      </c>
      <c r="AH772" s="13" t="n">
        <v>25980</v>
      </c>
      <c r="AI772" s="16" t="n">
        <f aca="false">AH772*Parametros!$N$2</f>
        <v>2390.16</v>
      </c>
      <c r="AJ772" s="18" t="n">
        <v>11769</v>
      </c>
      <c r="AK772" s="18" t="n">
        <v>983</v>
      </c>
      <c r="AL772" s="17" t="n">
        <f aca="false">AG772+AI772+AJ772+AK772</f>
        <v>69366.26</v>
      </c>
      <c r="AM772" s="20" t="n">
        <f aca="false">IF(L772&gt;0,AL772/L772,0)</f>
        <v>0.137514417291631</v>
      </c>
      <c r="AN772" s="16" t="n">
        <f aca="false">L772*INDEX(Parametros!$G$2:$G$9,MATCH($E772,Parametros!$A$2:$A$9,0))</f>
        <v>514517.58</v>
      </c>
      <c r="AO772" s="17" t="n">
        <f aca="false">AN772-AC772-AL772</f>
        <v>154704.78</v>
      </c>
      <c r="AP772" s="15" t="n">
        <f aca="false">IF(AN772&gt;0,AO772/AN772,0)</f>
        <v>0.30067928874267</v>
      </c>
      <c r="AQ772" s="16" t="n">
        <f aca="false">INDEX(Parametros!$I$2:$I$9,MATCH($E772,Parametros!$A$2:$A$9,0))</f>
        <v>19300000</v>
      </c>
      <c r="AR772" s="19" t="n">
        <f aca="false">IF(AQ772&gt;0,AO772/AQ772,0)</f>
        <v>0.00801579170984456</v>
      </c>
    </row>
    <row r="773" customFormat="false" ht="15" hidden="false" customHeight="false" outlineLevel="0" collapsed="false">
      <c r="A773" s="5" t="s">
        <v>908</v>
      </c>
      <c r="B773" s="9" t="n">
        <v>46223</v>
      </c>
      <c r="C773" s="2" t="str">
        <f aca="false">TEXT(B773,"yyyy")</f>
        <v>2026</v>
      </c>
      <c r="D773" s="2" t="n">
        <f aca="false">WEEKNUM(B773,2)</f>
        <v>30</v>
      </c>
      <c r="E773" s="5" t="s">
        <v>136</v>
      </c>
      <c r="F773" s="6" t="str">
        <f aca="false">INDEX(Parametros!$B$2:$B$9,MATCH($E773,Parametros!$A$2:$A$9,0))</f>
        <v>Salsa BBQ</v>
      </c>
      <c r="G773" s="10" t="n">
        <v>120.4</v>
      </c>
      <c r="H773" s="10" t="n">
        <v>5.8</v>
      </c>
      <c r="I773" s="11" t="n">
        <f aca="false">SUMIFS(Eventos_Paro!$J$2:$J$2186,Eventos_Paro!$D$2:$D$2186,$E773,Eventos_Paro!$B$2:$B$2186,$B773)</f>
        <v>0.683333333333333</v>
      </c>
      <c r="J773" s="12" t="n">
        <f aca="false">G773-H773-I773</f>
        <v>113.916666666667</v>
      </c>
      <c r="K773" s="13" t="n">
        <v>518162</v>
      </c>
      <c r="L773" s="13" t="n">
        <v>434930</v>
      </c>
      <c r="M773" s="13" t="n">
        <v>15905</v>
      </c>
      <c r="N773" s="14" t="n">
        <f aca="false">L773+M773</f>
        <v>450835</v>
      </c>
      <c r="O773" s="11" t="n">
        <f aca="false">INDEX(Parametros!$D$2:$D$9,MATCH($E773,Parametros!$A$2:$A$9,0))</f>
        <v>4800</v>
      </c>
      <c r="P773" s="15" t="n">
        <f aca="false">IF((G773-H773)&gt;0,J773/(G773-H773),0)</f>
        <v>0.994037230948226</v>
      </c>
      <c r="Q773" s="15" t="n">
        <f aca="false">IF(J773*O773&gt;0,N773/(O773*J773),0)</f>
        <v>0.824497073884418</v>
      </c>
      <c r="R773" s="15" t="n">
        <f aca="false">IF(N773&gt;0,L773/N773,0)</f>
        <v>0.964721017667218</v>
      </c>
      <c r="S773" s="15" t="n">
        <f aca="false">P773*Q773*R773</f>
        <v>0.790666812100058</v>
      </c>
      <c r="T773" s="15" t="n">
        <f aca="false">IF(K773&gt;0,L773/K773,0)</f>
        <v>0.839370698739004</v>
      </c>
      <c r="U773" s="10" t="n">
        <v>1480.1</v>
      </c>
      <c r="V773" s="5" t="n">
        <v>11</v>
      </c>
      <c r="W773" s="10" t="n">
        <v>155.7</v>
      </c>
      <c r="X773" s="15" t="n">
        <f aca="false">IF(U773&gt;0,W773/U773,0)</f>
        <v>0.105195594892237</v>
      </c>
      <c r="Y773" s="12" t="n">
        <f aca="false">IF(U773&gt;0,L773/U773,0)</f>
        <v>293.851766772515</v>
      </c>
      <c r="Z773" s="16" t="n">
        <f aca="false">L773*INDEX(Parametros!$E$2:$E$9,MATCH($E773,Parametros!$A$2:$A$9,0))</f>
        <v>252259.4</v>
      </c>
      <c r="AA773" s="16" t="n">
        <f aca="false">Z773*INDEX(Parametros!$F$2:$F$9,MATCH($E773,Parametros!$A$2:$A$9,0))</f>
        <v>7063.2632</v>
      </c>
      <c r="AB773" s="17" t="n">
        <f aca="false">Z773+AA773</f>
        <v>259322.6632</v>
      </c>
      <c r="AC773" s="18" t="n">
        <v>254983.92</v>
      </c>
      <c r="AD773" s="17" t="n">
        <f aca="false">AC773-AB773</f>
        <v>-4338.74319999997</v>
      </c>
      <c r="AE773" s="17" t="n">
        <f aca="false">AA773+AD773</f>
        <v>2724.52000000003</v>
      </c>
      <c r="AF773" s="19" t="n">
        <f aca="false">IF(Z773&gt;0,AE773/Z773,0)</f>
        <v>0.010800469675263</v>
      </c>
      <c r="AG773" s="16" t="n">
        <f aca="false">(U773-W773)*INDEX(Parametros!$H$2:$H$9,MATCH($E773,Parametros!$A$2:$A$9,0))+W773*INDEX(Parametros!$H$2:$H$9,MATCH($E773,Parametros!$A$2:$A$9,0))*Parametros!$N$3</f>
        <v>49075.425</v>
      </c>
      <c r="AH773" s="13" t="n">
        <v>22693</v>
      </c>
      <c r="AI773" s="16" t="n">
        <f aca="false">AH773*Parametros!$N$2</f>
        <v>2087.756</v>
      </c>
      <c r="AJ773" s="18" t="n">
        <v>8805</v>
      </c>
      <c r="AK773" s="18" t="n">
        <v>686</v>
      </c>
      <c r="AL773" s="17" t="n">
        <f aca="false">AG773+AI773+AJ773+AK773</f>
        <v>60654.181</v>
      </c>
      <c r="AM773" s="20" t="n">
        <f aca="false">IF(L773&gt;0,AL773/L773,0)</f>
        <v>0.139457340261651</v>
      </c>
      <c r="AN773" s="16" t="n">
        <f aca="false">L773*INDEX(Parametros!$G$2:$G$9,MATCH($E773,Parametros!$A$2:$A$9,0))</f>
        <v>426231.4</v>
      </c>
      <c r="AO773" s="17" t="n">
        <f aca="false">AN773-AC773-AL773</f>
        <v>110593.299</v>
      </c>
      <c r="AP773" s="15" t="n">
        <f aca="false">IF(AN773&gt;0,AO773/AN773,0)</f>
        <v>0.259467742170098</v>
      </c>
      <c r="AQ773" s="16" t="n">
        <f aca="false">INDEX(Parametros!$I$2:$I$9,MATCH($E773,Parametros!$A$2:$A$9,0))</f>
        <v>17000000</v>
      </c>
      <c r="AR773" s="19" t="n">
        <f aca="false">IF(AQ773&gt;0,AO773/AQ773,0)</f>
        <v>0.00650548817647059</v>
      </c>
    </row>
    <row r="774" customFormat="false" ht="15" hidden="false" customHeight="false" outlineLevel="0" collapsed="false">
      <c r="A774" s="5" t="s">
        <v>909</v>
      </c>
      <c r="B774" s="9" t="n">
        <v>46223</v>
      </c>
      <c r="C774" s="2" t="str">
        <f aca="false">TEXT(B774,"yyyy")</f>
        <v>2026</v>
      </c>
      <c r="D774" s="2" t="n">
        <f aca="false">WEEKNUM(B774,2)</f>
        <v>30</v>
      </c>
      <c r="E774" s="5" t="s">
        <v>138</v>
      </c>
      <c r="F774" s="6" t="str">
        <f aca="false">INDEX(Parametros!$B$2:$B$9,MATCH($E774,Parametros!$A$2:$A$9,0))</f>
        <v>Queso crema</v>
      </c>
      <c r="G774" s="10" t="n">
        <v>118.9</v>
      </c>
      <c r="H774" s="10" t="n">
        <v>6.1</v>
      </c>
      <c r="I774" s="11" t="n">
        <f aca="false">SUMIFS(Eventos_Paro!$J$2:$J$2186,Eventos_Paro!$D$2:$D$2186,$E774,Eventos_Paro!$B$2:$B$2186,$B774)</f>
        <v>0.9</v>
      </c>
      <c r="J774" s="12" t="n">
        <f aca="false">G774-H774-I774</f>
        <v>111.9</v>
      </c>
      <c r="K774" s="13" t="n">
        <v>356436</v>
      </c>
      <c r="L774" s="13" t="n">
        <v>317573</v>
      </c>
      <c r="M774" s="13" t="n">
        <v>12097</v>
      </c>
      <c r="N774" s="14" t="n">
        <f aca="false">L774+M774</f>
        <v>329670</v>
      </c>
      <c r="O774" s="11" t="n">
        <f aca="false">INDEX(Parametros!$D$2:$D$9,MATCH($E774,Parametros!$A$2:$A$9,0))</f>
        <v>3800</v>
      </c>
      <c r="P774" s="15" t="n">
        <f aca="false">IF((G774-H774)&gt;0,J774/(G774-H774),0)</f>
        <v>0.992021276595745</v>
      </c>
      <c r="Q774" s="15" t="n">
        <f aca="false">IF(J774*O774&gt;0,N774/(O774*J774),0)</f>
        <v>0.775292789614788</v>
      </c>
      <c r="R774" s="15" t="n">
        <f aca="false">IF(N774&gt;0,L774/N774,0)</f>
        <v>0.963305729972397</v>
      </c>
      <c r="S774" s="15" t="n">
        <f aca="false">P774*Q774*R774</f>
        <v>0.740885125046659</v>
      </c>
      <c r="T774" s="15" t="n">
        <f aca="false">IF(K774&gt;0,L774/K774,0)</f>
        <v>0.890967803476641</v>
      </c>
      <c r="U774" s="10" t="n">
        <v>2168.1</v>
      </c>
      <c r="V774" s="5" t="n">
        <v>17</v>
      </c>
      <c r="W774" s="10" t="n">
        <v>146.8</v>
      </c>
      <c r="X774" s="15" t="n">
        <f aca="false">IF(U774&gt;0,W774/U774,0)</f>
        <v>0.0677090540104239</v>
      </c>
      <c r="Y774" s="12" t="n">
        <f aca="false">IF(U774&gt;0,L774/U774,0)</f>
        <v>146.475254831419</v>
      </c>
      <c r="Z774" s="16" t="n">
        <f aca="false">L774*INDEX(Parametros!$E$2:$E$9,MATCH($E774,Parametros!$A$2:$A$9,0))</f>
        <v>355681.76</v>
      </c>
      <c r="AA774" s="16" t="n">
        <f aca="false">Z774*INDEX(Parametros!$F$2:$F$9,MATCH($E774,Parametros!$A$2:$A$9,0))</f>
        <v>12448.8616</v>
      </c>
      <c r="AB774" s="17" t="n">
        <f aca="false">Z774+AA774</f>
        <v>368130.6216</v>
      </c>
      <c r="AC774" s="18" t="n">
        <v>373185.34</v>
      </c>
      <c r="AD774" s="17" t="n">
        <f aca="false">AC774-AB774</f>
        <v>5054.71840000001</v>
      </c>
      <c r="AE774" s="17" t="n">
        <f aca="false">AA774+AD774</f>
        <v>17503.58</v>
      </c>
      <c r="AF774" s="19" t="n">
        <f aca="false">IF(Z774&gt;0,AE774/Z774,0)</f>
        <v>0.0492113511808984</v>
      </c>
      <c r="AG774" s="16" t="n">
        <f aca="false">(U774-W774)*INDEX(Parametros!$H$2:$H$9,MATCH($E774,Parametros!$A$2:$A$9,0))+W774*INDEX(Parametros!$H$2:$H$9,MATCH($E774,Parametros!$A$2:$A$9,0))*Parametros!$N$3</f>
        <v>73969.5</v>
      </c>
      <c r="AH774" s="13" t="n">
        <v>17474</v>
      </c>
      <c r="AI774" s="16" t="n">
        <f aca="false">AH774*Parametros!$N$2</f>
        <v>1607.608</v>
      </c>
      <c r="AJ774" s="18" t="n">
        <v>18580</v>
      </c>
      <c r="AK774" s="18" t="n">
        <v>641</v>
      </c>
      <c r="AL774" s="17" t="n">
        <f aca="false">AG774+AI774+AJ774+AK774</f>
        <v>94798.108</v>
      </c>
      <c r="AM774" s="20" t="n">
        <f aca="false">IF(L774&gt;0,AL774/L774,0)</f>
        <v>0.298508084755316</v>
      </c>
      <c r="AN774" s="16" t="n">
        <f aca="false">L774*INDEX(Parametros!$G$2:$G$9,MATCH($E774,Parametros!$A$2:$A$9,0))</f>
        <v>568455.67</v>
      </c>
      <c r="AO774" s="17" t="n">
        <f aca="false">AN774-AC774-AL774</f>
        <v>100472.222</v>
      </c>
      <c r="AP774" s="15" t="n">
        <f aca="false">IF(AN774&gt;0,AO774/AN774,0)</f>
        <v>0.176745922861496</v>
      </c>
      <c r="AQ774" s="16" t="n">
        <f aca="false">INDEX(Parametros!$I$2:$I$9,MATCH($E774,Parametros!$A$2:$A$9,0))</f>
        <v>33200000</v>
      </c>
      <c r="AR774" s="19" t="n">
        <f aca="false">IF(AQ774&gt;0,AO774/AQ774,0)</f>
        <v>0.00302627174698795</v>
      </c>
    </row>
    <row r="775" customFormat="false" ht="15" hidden="false" customHeight="false" outlineLevel="0" collapsed="false">
      <c r="A775" s="5" t="s">
        <v>910</v>
      </c>
      <c r="B775" s="9" t="n">
        <v>46223</v>
      </c>
      <c r="C775" s="2" t="str">
        <f aca="false">TEXT(B775,"yyyy")</f>
        <v>2026</v>
      </c>
      <c r="D775" s="2" t="n">
        <f aca="false">WEEKNUM(B775,2)</f>
        <v>30</v>
      </c>
      <c r="E775" s="5" t="s">
        <v>140</v>
      </c>
      <c r="F775" s="6" t="str">
        <f aca="false">INDEX(Parametros!$B$2:$B$9,MATCH($E775,Parametros!$A$2:$A$9,0))</f>
        <v>Crema de cacahuate</v>
      </c>
      <c r="G775" s="10" t="n">
        <v>118.9</v>
      </c>
      <c r="H775" s="10" t="n">
        <v>7.7</v>
      </c>
      <c r="I775" s="11" t="n">
        <f aca="false">SUMIFS(Eventos_Paro!$J$2:$J$2186,Eventos_Paro!$D$2:$D$2186,$E775,Eventos_Paro!$B$2:$B$2186,$B775)</f>
        <v>3.08333333333333</v>
      </c>
      <c r="J775" s="12" t="n">
        <f aca="false">G775-H775-I775</f>
        <v>108.116666666667</v>
      </c>
      <c r="K775" s="13" t="n">
        <v>388367</v>
      </c>
      <c r="L775" s="13" t="n">
        <v>366358</v>
      </c>
      <c r="M775" s="13" t="n">
        <v>11667</v>
      </c>
      <c r="N775" s="14" t="n">
        <f aca="false">L775+M775</f>
        <v>378025</v>
      </c>
      <c r="O775" s="11" t="n">
        <f aca="false">INDEX(Parametros!$D$2:$D$9,MATCH($E775,Parametros!$A$2:$A$9,0))</f>
        <v>4200</v>
      </c>
      <c r="P775" s="15" t="n">
        <f aca="false">IF((G775-H775)&gt;0,J775/(G775-H775),0)</f>
        <v>0.972272182254197</v>
      </c>
      <c r="Q775" s="15" t="n">
        <f aca="false">IF(J775*O775&gt;0,N775/(O775*J775),0)</f>
        <v>0.832489154132441</v>
      </c>
      <c r="R775" s="15" t="n">
        <f aca="false">IF(N775&gt;0,L775/N775,0)</f>
        <v>0.969136961841148</v>
      </c>
      <c r="S775" s="15" t="n">
        <f aca="false">P775*Q775*R775</f>
        <v>0.784425316889346</v>
      </c>
      <c r="T775" s="15" t="n">
        <f aca="false">IF(K775&gt;0,L775/K775,0)</f>
        <v>0.943329376594819</v>
      </c>
      <c r="U775" s="10" t="n">
        <v>1509.3</v>
      </c>
      <c r="V775" s="5" t="n">
        <v>12</v>
      </c>
      <c r="W775" s="10" t="n">
        <v>82.5</v>
      </c>
      <c r="X775" s="15" t="n">
        <f aca="false">IF(U775&gt;0,W775/U775,0)</f>
        <v>0.0546611011727291</v>
      </c>
      <c r="Y775" s="12" t="n">
        <f aca="false">IF(U775&gt;0,L775/U775,0)</f>
        <v>242.733717617439</v>
      </c>
      <c r="Z775" s="16" t="n">
        <f aca="false">L775*INDEX(Parametros!$E$2:$E$9,MATCH($E775,Parametros!$A$2:$A$9,0))</f>
        <v>355367.26</v>
      </c>
      <c r="AA775" s="16" t="n">
        <f aca="false">Z775*INDEX(Parametros!$F$2:$F$9,MATCH($E775,Parametros!$A$2:$A$9,0))</f>
        <v>7818.07972</v>
      </c>
      <c r="AB775" s="17" t="n">
        <f aca="false">Z775+AA775</f>
        <v>363185.33972</v>
      </c>
      <c r="AC775" s="18" t="n">
        <v>365662.07</v>
      </c>
      <c r="AD775" s="17" t="n">
        <f aca="false">AC775-AB775</f>
        <v>2476.73028000002</v>
      </c>
      <c r="AE775" s="17" t="n">
        <f aca="false">AA775+AD775</f>
        <v>10294.81</v>
      </c>
      <c r="AF775" s="19" t="n">
        <f aca="false">IF(Z775&gt;0,AE775/Z775,0)</f>
        <v>0.028969494826282</v>
      </c>
      <c r="AG775" s="16" t="n">
        <f aca="false">(U775-W775)*INDEX(Parametros!$H$2:$H$9,MATCH($E775,Parametros!$A$2:$A$9,0))+W775*INDEX(Parametros!$H$2:$H$9,MATCH($E775,Parametros!$A$2:$A$9,0))*Parametros!$N$3</f>
        <v>48842.325</v>
      </c>
      <c r="AH775" s="13" t="n">
        <v>19375</v>
      </c>
      <c r="AI775" s="16" t="n">
        <f aca="false">AH775*Parametros!$N$2</f>
        <v>1782.5</v>
      </c>
      <c r="AJ775" s="18" t="n">
        <v>11791</v>
      </c>
      <c r="AK775" s="18" t="n">
        <v>1759</v>
      </c>
      <c r="AL775" s="17" t="n">
        <f aca="false">AG775+AI775+AJ775+AK775</f>
        <v>64174.825</v>
      </c>
      <c r="AM775" s="20" t="n">
        <f aca="false">IF(L775&gt;0,AL775/L775,0)</f>
        <v>0.175169711047664</v>
      </c>
      <c r="AN775" s="16" t="n">
        <f aca="false">L775*INDEX(Parametros!$G$2:$G$9,MATCH($E775,Parametros!$A$2:$A$9,0))</f>
        <v>593499.96</v>
      </c>
      <c r="AO775" s="17" t="n">
        <f aca="false">AN775-AC775-AL775</f>
        <v>163663.065</v>
      </c>
      <c r="AP775" s="15" t="n">
        <f aca="false">IF(AN775&gt;0,AO775/AN775,0)</f>
        <v>0.275759184549903</v>
      </c>
      <c r="AQ775" s="16" t="n">
        <f aca="false">INDEX(Parametros!$I$2:$I$9,MATCH($E775,Parametros!$A$2:$A$9,0))</f>
        <v>28000000</v>
      </c>
      <c r="AR775" s="19" t="n">
        <f aca="false">IF(AQ775&gt;0,AO775/AQ775,0)</f>
        <v>0.00584510946428572</v>
      </c>
    </row>
    <row r="776" customFormat="false" ht="15" hidden="false" customHeight="false" outlineLevel="0" collapsed="false">
      <c r="A776" s="5" t="s">
        <v>911</v>
      </c>
      <c r="B776" s="9" t="n">
        <v>46223</v>
      </c>
      <c r="C776" s="2" t="str">
        <f aca="false">TEXT(B776,"yyyy")</f>
        <v>2026</v>
      </c>
      <c r="D776" s="2" t="n">
        <f aca="false">WEEKNUM(B776,2)</f>
        <v>30</v>
      </c>
      <c r="E776" s="5" t="s">
        <v>142</v>
      </c>
      <c r="F776" s="6" t="str">
        <f aca="false">INDEX(Parametros!$B$2:$B$9,MATCH($E776,Parametros!$A$2:$A$9,0))</f>
        <v>Porciones single serve</v>
      </c>
      <c r="G776" s="10" t="n">
        <v>105.2</v>
      </c>
      <c r="H776" s="10" t="n">
        <v>7.5</v>
      </c>
      <c r="I776" s="11" t="n">
        <f aca="false">SUMIFS(Eventos_Paro!$J$2:$J$2186,Eventos_Paro!$D$2:$D$2186,$E776,Eventos_Paro!$B$2:$B$2186,$B776)</f>
        <v>5.21666666666667</v>
      </c>
      <c r="J776" s="12" t="n">
        <f aca="false">G776-H776-I776</f>
        <v>92.4833333333333</v>
      </c>
      <c r="K776" s="13" t="n">
        <v>211230</v>
      </c>
      <c r="L776" s="13" t="n">
        <v>196121</v>
      </c>
      <c r="M776" s="13" t="n">
        <v>10546</v>
      </c>
      <c r="N776" s="14" t="n">
        <f aca="false">L776+M776</f>
        <v>206667</v>
      </c>
      <c r="O776" s="11" t="n">
        <f aca="false">INDEX(Parametros!$D$2:$D$9,MATCH($E776,Parametros!$A$2:$A$9,0))</f>
        <v>2600</v>
      </c>
      <c r="P776" s="15" t="n">
        <f aca="false">IF((G776-H776)&gt;0,J776/(G776-H776),0)</f>
        <v>0.946605254179461</v>
      </c>
      <c r="Q776" s="15" t="n">
        <f aca="false">IF(J776*O776&gt;0,N776/(O776*J776),0)</f>
        <v>0.859477106062076</v>
      </c>
      <c r="R776" s="15" t="n">
        <f aca="false">IF(N776&gt;0,L776/N776,0)</f>
        <v>0.948971050046694</v>
      </c>
      <c r="S776" s="15" t="n">
        <f aca="false">P776*Q776*R776</f>
        <v>0.772069128415086</v>
      </c>
      <c r="T776" s="15" t="n">
        <f aca="false">IF(K776&gt;0,L776/K776,0)</f>
        <v>0.928471334564219</v>
      </c>
      <c r="U776" s="10" t="n">
        <v>1999.2</v>
      </c>
      <c r="V776" s="5" t="n">
        <v>17</v>
      </c>
      <c r="W776" s="10" t="n">
        <v>210.8</v>
      </c>
      <c r="X776" s="15" t="n">
        <f aca="false">IF(U776&gt;0,W776/U776,0)</f>
        <v>0.105442176870748</v>
      </c>
      <c r="Y776" s="12" t="n">
        <f aca="false">IF(U776&gt;0,L776/U776,0)</f>
        <v>98.0997398959584</v>
      </c>
      <c r="Z776" s="16" t="n">
        <f aca="false">L776*INDEX(Parametros!$E$2:$E$9,MATCH($E776,Parametros!$A$2:$A$9,0))</f>
        <v>145129.54</v>
      </c>
      <c r="AA776" s="16" t="n">
        <f aca="false">Z776*INDEX(Parametros!$F$2:$F$9,MATCH($E776,Parametros!$A$2:$A$9,0))</f>
        <v>6530.8293</v>
      </c>
      <c r="AB776" s="17" t="n">
        <f aca="false">Z776+AA776</f>
        <v>151660.3693</v>
      </c>
      <c r="AC776" s="18" t="n">
        <v>150925.65</v>
      </c>
      <c r="AD776" s="17" t="n">
        <f aca="false">AC776-AB776</f>
        <v>-734.719300000026</v>
      </c>
      <c r="AE776" s="17" t="n">
        <f aca="false">AA776+AD776</f>
        <v>5796.10999999997</v>
      </c>
      <c r="AF776" s="19" t="n">
        <f aca="false">IF(Z776&gt;0,AE776/Z776,0)</f>
        <v>0.0399374930837649</v>
      </c>
      <c r="AG776" s="16" t="n">
        <f aca="false">(U776-W776)*INDEX(Parametros!$H$2:$H$9,MATCH($E776,Parametros!$A$2:$A$9,0))+W776*INDEX(Parametros!$H$2:$H$9,MATCH($E776,Parametros!$A$2:$A$9,0))*Parametros!$N$3</f>
        <v>63138</v>
      </c>
      <c r="AH776" s="13" t="n">
        <v>10221</v>
      </c>
      <c r="AI776" s="16" t="n">
        <f aca="false">AH776*Parametros!$N$2</f>
        <v>940.332</v>
      </c>
      <c r="AJ776" s="18" t="n">
        <v>10245</v>
      </c>
      <c r="AK776" s="18" t="n">
        <v>4591</v>
      </c>
      <c r="AL776" s="17" t="n">
        <f aca="false">AG776+AI776+AJ776+AK776</f>
        <v>78914.332</v>
      </c>
      <c r="AM776" s="20" t="n">
        <f aca="false">IF(L776&gt;0,AL776/L776,0)</f>
        <v>0.402375737427405</v>
      </c>
      <c r="AN776" s="16" t="n">
        <f aca="false">L776*INDEX(Parametros!$G$2:$G$9,MATCH($E776,Parametros!$A$2:$A$9,0))</f>
        <v>337328.12</v>
      </c>
      <c r="AO776" s="17" t="n">
        <f aca="false">AN776-AC776-AL776</f>
        <v>107488.138</v>
      </c>
      <c r="AP776" s="15" t="n">
        <f aca="false">IF(AN776&gt;0,AO776/AN776,0)</f>
        <v>0.318645649820122</v>
      </c>
      <c r="AQ776" s="16" t="n">
        <f aca="false">INDEX(Parametros!$I$2:$I$9,MATCH($E776,Parametros!$A$2:$A$9,0))</f>
        <v>15900000</v>
      </c>
      <c r="AR776" s="19" t="n">
        <f aca="false">IF(AQ776&gt;0,AO776/AQ776,0)</f>
        <v>0.00676026025157233</v>
      </c>
    </row>
    <row r="777" customFormat="false" ht="15" hidden="false" customHeight="false" outlineLevel="0" collapsed="false">
      <c r="A777" s="5" t="s">
        <v>912</v>
      </c>
      <c r="B777" s="9" t="n">
        <v>46223</v>
      </c>
      <c r="C777" s="2" t="str">
        <f aca="false">TEXT(B777,"yyyy")</f>
        <v>2026</v>
      </c>
      <c r="D777" s="2" t="n">
        <f aca="false">WEEKNUM(B777,2)</f>
        <v>30</v>
      </c>
      <c r="E777" s="5" t="s">
        <v>144</v>
      </c>
      <c r="F777" s="6" t="str">
        <f aca="false">INDEX(Parametros!$B$2:$B$9,MATCH($E777,Parametros!$A$2:$A$9,0))</f>
        <v>Salsas picantes</v>
      </c>
      <c r="G777" s="10" t="n">
        <v>69.8</v>
      </c>
      <c r="H777" s="10" t="n">
        <v>8.6</v>
      </c>
      <c r="I777" s="11" t="n">
        <f aca="false">SUMIFS(Eventos_Paro!$J$2:$J$2186,Eventos_Paro!$D$2:$D$2186,$E777,Eventos_Paro!$B$2:$B$2186,$B777)</f>
        <v>5.06666666666667</v>
      </c>
      <c r="J777" s="12" t="n">
        <f aca="false">G777-H777-I777</f>
        <v>56.1333333333333</v>
      </c>
      <c r="K777" s="13" t="n">
        <v>142871</v>
      </c>
      <c r="L777" s="13" t="n">
        <v>138891</v>
      </c>
      <c r="M777" s="13" t="n">
        <v>2727</v>
      </c>
      <c r="N777" s="14" t="n">
        <f aca="false">L777+M777</f>
        <v>141618</v>
      </c>
      <c r="O777" s="11" t="n">
        <f aca="false">INDEX(Parametros!$D$2:$D$9,MATCH($E777,Parametros!$A$2:$A$9,0))</f>
        <v>3100</v>
      </c>
      <c r="P777" s="15" t="n">
        <f aca="false">IF((G777-H777)&gt;0,J777/(G777-H777),0)</f>
        <v>0.917211328976035</v>
      </c>
      <c r="Q777" s="15" t="n">
        <f aca="false">IF(J777*O777&gt;0,N777/(O777*J777),0)</f>
        <v>0.813834188951038</v>
      </c>
      <c r="R777" s="15" t="n">
        <f aca="false">IF(N777&gt;0,L777/N777,0)</f>
        <v>0.980743973223743</v>
      </c>
      <c r="S777" s="15" t="n">
        <f aca="false">P777*Q777*R777</f>
        <v>0.73208412397217</v>
      </c>
      <c r="T777" s="15" t="n">
        <f aca="false">IF(K777&gt;0,L777/K777,0)</f>
        <v>0.972142702157891</v>
      </c>
      <c r="U777" s="10" t="n">
        <v>661.4</v>
      </c>
      <c r="V777" s="5" t="n">
        <v>9</v>
      </c>
      <c r="W777" s="10" t="n">
        <v>33.2</v>
      </c>
      <c r="X777" s="15" t="n">
        <f aca="false">IF(U777&gt;0,W777/U777,0)</f>
        <v>0.0501965527668582</v>
      </c>
      <c r="Y777" s="12" t="n">
        <f aca="false">IF(U777&gt;0,L777/U777,0)</f>
        <v>209.995464166919</v>
      </c>
      <c r="Z777" s="16" t="n">
        <f aca="false">L777*INDEX(Parametros!$E$2:$E$9,MATCH($E777,Parametros!$A$2:$A$9,0))</f>
        <v>91668.06</v>
      </c>
      <c r="AA777" s="16" t="n">
        <f aca="false">Z777*INDEX(Parametros!$F$2:$F$9,MATCH($E777,Parametros!$A$2:$A$9,0))</f>
        <v>2383.36956</v>
      </c>
      <c r="AB777" s="17" t="n">
        <f aca="false">Z777+AA777</f>
        <v>94051.42956</v>
      </c>
      <c r="AC777" s="18" t="n">
        <v>92918.52</v>
      </c>
      <c r="AD777" s="17" t="n">
        <f aca="false">AC777-AB777</f>
        <v>-1132.90956</v>
      </c>
      <c r="AE777" s="17" t="n">
        <f aca="false">AA777+AD777</f>
        <v>1250.46</v>
      </c>
      <c r="AF777" s="19" t="n">
        <f aca="false">IF(Z777&gt;0,AE777/Z777,0)</f>
        <v>0.0136411744723298</v>
      </c>
      <c r="AG777" s="16" t="n">
        <f aca="false">(U777-W777)*INDEX(Parametros!$H$2:$H$9,MATCH($E777,Parametros!$A$2:$A$9,0))+W777*INDEX(Parametros!$H$2:$H$9,MATCH($E777,Parametros!$A$2:$A$9,0))*Parametros!$N$3</f>
        <v>21357</v>
      </c>
      <c r="AH777" s="13" t="n">
        <v>7360</v>
      </c>
      <c r="AI777" s="16" t="n">
        <f aca="false">AH777*Parametros!$N$2</f>
        <v>677.12</v>
      </c>
      <c r="AJ777" s="18" t="n">
        <v>6910</v>
      </c>
      <c r="AK777" s="18" t="n">
        <v>3553</v>
      </c>
      <c r="AL777" s="17" t="n">
        <f aca="false">AG777+AI777+AJ777+AK777</f>
        <v>32497.12</v>
      </c>
      <c r="AM777" s="20" t="n">
        <f aca="false">IF(L777&gt;0,AL777/L777,0)</f>
        <v>0.233975707569245</v>
      </c>
      <c r="AN777" s="16" t="n">
        <f aca="false">L777*INDEX(Parametros!$G$2:$G$9,MATCH($E777,Parametros!$A$2:$A$9,0))</f>
        <v>173613.75</v>
      </c>
      <c r="AO777" s="17" t="n">
        <f aca="false">AN777-AC777-AL777</f>
        <v>48198.11</v>
      </c>
      <c r="AP777" s="15" t="n">
        <f aca="false">IF(AN777&gt;0,AO777/AN777,0)</f>
        <v>0.277616893823214</v>
      </c>
      <c r="AQ777" s="16" t="n">
        <f aca="false">INDEX(Parametros!$I$2:$I$9,MATCH($E777,Parametros!$A$2:$A$9,0))</f>
        <v>13300000</v>
      </c>
      <c r="AR777" s="19" t="n">
        <f aca="false">IF(AQ777&gt;0,AO777/AQ777,0)</f>
        <v>0.00362391804511278</v>
      </c>
    </row>
    <row r="778" customFormat="false" ht="15" hidden="false" customHeight="false" outlineLevel="0" collapsed="false">
      <c r="A778" s="5" t="s">
        <v>913</v>
      </c>
      <c r="B778" s="9" t="n">
        <v>46230</v>
      </c>
      <c r="C778" s="2" t="str">
        <f aca="false">TEXT(B778,"yyyy")</f>
        <v>2026</v>
      </c>
      <c r="D778" s="2" t="n">
        <f aca="false">WEEKNUM(B778,2)</f>
        <v>31</v>
      </c>
      <c r="E778" s="5" t="s">
        <v>130</v>
      </c>
      <c r="F778" s="6" t="str">
        <f aca="false">INDEX(Parametros!$B$2:$B$9,MATCH($E778,Parametros!$A$2:$A$9,0))</f>
        <v>Ketchup botella</v>
      </c>
      <c r="G778" s="10" t="n">
        <v>129.5</v>
      </c>
      <c r="H778" s="10" t="n">
        <v>8.7</v>
      </c>
      <c r="I778" s="11" t="n">
        <f aca="false">SUMIFS(Eventos_Paro!$J$2:$J$2186,Eventos_Paro!$D$2:$D$2186,$E778,Eventos_Paro!$B$2:$B$2186,$B778)</f>
        <v>0</v>
      </c>
      <c r="J778" s="12" t="n">
        <f aca="false">G778-H778-I778</f>
        <v>120.8</v>
      </c>
      <c r="K778" s="13" t="n">
        <v>903114</v>
      </c>
      <c r="L778" s="13" t="n">
        <v>894858</v>
      </c>
      <c r="M778" s="13" t="n">
        <v>25375</v>
      </c>
      <c r="N778" s="14" t="n">
        <f aca="false">L778+M778</f>
        <v>920233</v>
      </c>
      <c r="O778" s="11" t="n">
        <f aca="false">INDEX(Parametros!$D$2:$D$9,MATCH($E778,Parametros!$A$2:$A$9,0))</f>
        <v>9000</v>
      </c>
      <c r="P778" s="15" t="n">
        <f aca="false">IF((G778-H778)&gt;0,J778/(G778-H778),0)</f>
        <v>1</v>
      </c>
      <c r="Q778" s="15" t="n">
        <f aca="false">IF(J778*O778&gt;0,N778/(O778*J778),0)</f>
        <v>0.846424760853569</v>
      </c>
      <c r="R778" s="15" t="n">
        <f aca="false">IF(N778&gt;0,L778/N778,0)</f>
        <v>0.972425461812389</v>
      </c>
      <c r="S778" s="15" t="n">
        <f aca="false">P778*Q778*R778</f>
        <v>0.823084988962472</v>
      </c>
      <c r="T778" s="15" t="n">
        <f aca="false">IF(K778&gt;0,L778/K778,0)</f>
        <v>0.990858296959188</v>
      </c>
      <c r="U778" s="10" t="n">
        <v>1871.6</v>
      </c>
      <c r="V778" s="5" t="n">
        <v>14</v>
      </c>
      <c r="W778" s="10" t="n">
        <v>58.6</v>
      </c>
      <c r="X778" s="15" t="n">
        <f aca="false">IF(U778&gt;0,W778/U778,0)</f>
        <v>0.0313101089976491</v>
      </c>
      <c r="Y778" s="12" t="n">
        <f aca="false">IF(U778&gt;0,L778/U778,0)</f>
        <v>478.124599273349</v>
      </c>
      <c r="Z778" s="16" t="n">
        <f aca="false">L778*INDEX(Parametros!$E$2:$E$9,MATCH($E778,Parametros!$A$2:$A$9,0))</f>
        <v>375840.36</v>
      </c>
      <c r="AA778" s="16" t="n">
        <f aca="false">Z778*INDEX(Parametros!$F$2:$F$9,MATCH($E778,Parametros!$A$2:$A$9,0))</f>
        <v>7516.8072</v>
      </c>
      <c r="AB778" s="17" t="n">
        <f aca="false">Z778+AA778</f>
        <v>383357.1672</v>
      </c>
      <c r="AC778" s="18" t="n">
        <v>382625.7</v>
      </c>
      <c r="AD778" s="17" t="n">
        <f aca="false">AC778-AB778</f>
        <v>-731.467199999956</v>
      </c>
      <c r="AE778" s="17" t="n">
        <f aca="false">AA778+AD778</f>
        <v>6785.34000000005</v>
      </c>
      <c r="AF778" s="19" t="n">
        <f aca="false">IF(Z778&gt;0,AE778/Z778,0)</f>
        <v>0.0180537821962496</v>
      </c>
      <c r="AG778" s="16" t="n">
        <f aca="false">(U778-W778)*INDEX(Parametros!$H$2:$H$9,MATCH($E778,Parametros!$A$2:$A$9,0))+W778*INDEX(Parametros!$H$2:$H$9,MATCH($E778,Parametros!$A$2:$A$9,0))*Parametros!$N$3</f>
        <v>59878.35</v>
      </c>
      <c r="AH778" s="13" t="n">
        <v>49574</v>
      </c>
      <c r="AI778" s="16" t="n">
        <f aca="false">AH778*Parametros!$N$2</f>
        <v>4560.808</v>
      </c>
      <c r="AJ778" s="18" t="n">
        <v>16404</v>
      </c>
      <c r="AK778" s="18" t="n">
        <v>0</v>
      </c>
      <c r="AL778" s="17" t="n">
        <f aca="false">AG778+AI778+AJ778+AK778</f>
        <v>80843.158</v>
      </c>
      <c r="AM778" s="20" t="n">
        <f aca="false">IF(L778&gt;0,AL778/L778,0)</f>
        <v>0.090341884410711</v>
      </c>
      <c r="AN778" s="16" t="n">
        <f aca="false">L778*INDEX(Parametros!$G$2:$G$9,MATCH($E778,Parametros!$A$2:$A$9,0))</f>
        <v>635349.18</v>
      </c>
      <c r="AO778" s="17" t="n">
        <f aca="false">AN778-AC778-AL778</f>
        <v>171880.322</v>
      </c>
      <c r="AP778" s="15" t="n">
        <f aca="false">IF(AN778&gt;0,AO778/AN778,0)</f>
        <v>0.270528911361781</v>
      </c>
      <c r="AQ778" s="16" t="n">
        <f aca="false">INDEX(Parametros!$I$2:$I$9,MATCH($E778,Parametros!$A$2:$A$9,0))</f>
        <v>29300000</v>
      </c>
      <c r="AR778" s="19" t="n">
        <f aca="false">IF(AQ778&gt;0,AO778/AQ778,0)</f>
        <v>0.00586622259385665</v>
      </c>
    </row>
    <row r="779" customFormat="false" ht="15" hidden="false" customHeight="false" outlineLevel="0" collapsed="false">
      <c r="A779" s="5" t="s">
        <v>914</v>
      </c>
      <c r="B779" s="9" t="n">
        <v>46230</v>
      </c>
      <c r="C779" s="2" t="str">
        <f aca="false">TEXT(B779,"yyyy")</f>
        <v>2026</v>
      </c>
      <c r="D779" s="2" t="n">
        <f aca="false">WEEKNUM(B779,2)</f>
        <v>31</v>
      </c>
      <c r="E779" s="5" t="s">
        <v>132</v>
      </c>
      <c r="F779" s="6" t="str">
        <f aca="false">INDEX(Parametros!$B$2:$B$9,MATCH($E779,Parametros!$A$2:$A$9,0))</f>
        <v>Mayonesa frasco</v>
      </c>
      <c r="G779" s="10" t="n">
        <v>128.5</v>
      </c>
      <c r="H779" s="10" t="n">
        <v>8.3</v>
      </c>
      <c r="I779" s="11" t="n">
        <f aca="false">SUMIFS(Eventos_Paro!$J$2:$J$2186,Eventos_Paro!$D$2:$D$2186,$E779,Eventos_Paro!$B$2:$B$2186,$B779)</f>
        <v>3.16666666666667</v>
      </c>
      <c r="J779" s="12" t="n">
        <f aca="false">G779-H779-I779</f>
        <v>117.033333333333</v>
      </c>
      <c r="K779" s="13" t="n">
        <v>649009</v>
      </c>
      <c r="L779" s="13" t="n">
        <v>667895</v>
      </c>
      <c r="M779" s="13" t="n">
        <v>19181</v>
      </c>
      <c r="N779" s="14" t="n">
        <f aca="false">L779+M779</f>
        <v>687076</v>
      </c>
      <c r="O779" s="11" t="n">
        <f aca="false">INDEX(Parametros!$D$2:$D$9,MATCH($E779,Parametros!$A$2:$A$9,0))</f>
        <v>6500</v>
      </c>
      <c r="P779" s="15" t="n">
        <f aca="false">IF((G779-H779)&gt;0,J779/(G779-H779),0)</f>
        <v>0.973655019412091</v>
      </c>
      <c r="Q779" s="15" t="n">
        <f aca="false">IF(J779*O779&gt;0,N779/(O779*J779),0)</f>
        <v>0.903195670749074</v>
      </c>
      <c r="R779" s="15" t="n">
        <f aca="false">IF(N779&gt;0,L779/N779,0)</f>
        <v>0.972083146551473</v>
      </c>
      <c r="S779" s="15" t="n">
        <f aca="false">P779*Q779*R779</f>
        <v>0.854850889543069</v>
      </c>
      <c r="T779" s="15" t="n">
        <f aca="false">IF(K779&gt;0,L779/K779,0)</f>
        <v>1.02909975054275</v>
      </c>
      <c r="U779" s="10" t="n">
        <v>1805.2</v>
      </c>
      <c r="V779" s="5" t="n">
        <v>13</v>
      </c>
      <c r="W779" s="10" t="n">
        <v>134.7</v>
      </c>
      <c r="X779" s="15" t="n">
        <f aca="false">IF(U779&gt;0,W779/U779,0)</f>
        <v>0.0746177708841126</v>
      </c>
      <c r="Y779" s="12" t="n">
        <f aca="false">IF(U779&gt;0,L779/U779,0)</f>
        <v>369.983935298028</v>
      </c>
      <c r="Z779" s="16" t="n">
        <f aca="false">L779*INDEX(Parametros!$E$2:$E$9,MATCH($E779,Parametros!$A$2:$A$9,0))</f>
        <v>407415.95</v>
      </c>
      <c r="AA779" s="16" t="n">
        <f aca="false">Z779*INDEX(Parametros!$F$2:$F$9,MATCH($E779,Parametros!$A$2:$A$9,0))</f>
        <v>10185.39875</v>
      </c>
      <c r="AB779" s="17" t="n">
        <f aca="false">Z779+AA779</f>
        <v>417601.34875</v>
      </c>
      <c r="AC779" s="18" t="n">
        <v>416010.44</v>
      </c>
      <c r="AD779" s="17" t="n">
        <f aca="false">AC779-AB779</f>
        <v>-1590.90875</v>
      </c>
      <c r="AE779" s="17" t="n">
        <f aca="false">AA779+AD779</f>
        <v>8594.49</v>
      </c>
      <c r="AF779" s="19" t="n">
        <f aca="false">IF(Z779&gt;0,AE779/Z779,0)</f>
        <v>0.0210951240372401</v>
      </c>
      <c r="AG779" s="16" t="n">
        <f aca="false">(U779-W779)*INDEX(Parametros!$H$2:$H$9,MATCH($E779,Parametros!$A$2:$A$9,0))+W779*INDEX(Parametros!$H$2:$H$9,MATCH($E779,Parametros!$A$2:$A$9,0))*Parametros!$N$3</f>
        <v>58985.325</v>
      </c>
      <c r="AH779" s="13" t="n">
        <v>34574</v>
      </c>
      <c r="AI779" s="16" t="n">
        <f aca="false">AH779*Parametros!$N$2</f>
        <v>3180.808</v>
      </c>
      <c r="AJ779" s="18" t="n">
        <v>15802</v>
      </c>
      <c r="AK779" s="18" t="n">
        <v>3083</v>
      </c>
      <c r="AL779" s="17" t="n">
        <f aca="false">AG779+AI779+AJ779+AK779</f>
        <v>81051.133</v>
      </c>
      <c r="AM779" s="20" t="n">
        <f aca="false">IF(L779&gt;0,AL779/L779,0)</f>
        <v>0.121353106401455</v>
      </c>
      <c r="AN779" s="16" t="n">
        <f aca="false">L779*INDEX(Parametros!$G$2:$G$9,MATCH($E779,Parametros!$A$2:$A$9,0))</f>
        <v>641179.2</v>
      </c>
      <c r="AO779" s="17" t="n">
        <f aca="false">AN779-AC779-AL779</f>
        <v>144117.627</v>
      </c>
      <c r="AP779" s="15" t="n">
        <f aca="false">IF(AN779&gt;0,AO779/AN779,0)</f>
        <v>0.224769654099821</v>
      </c>
      <c r="AQ779" s="16" t="n">
        <f aca="false">INDEX(Parametros!$I$2:$I$9,MATCH($E779,Parametros!$A$2:$A$9,0))</f>
        <v>29700000</v>
      </c>
      <c r="AR779" s="19" t="n">
        <f aca="false">IF(AQ779&gt;0,AO779/AQ779,0)</f>
        <v>0.00485244535353535</v>
      </c>
    </row>
    <row r="780" customFormat="false" ht="15" hidden="false" customHeight="false" outlineLevel="0" collapsed="false">
      <c r="A780" s="5" t="s">
        <v>915</v>
      </c>
      <c r="B780" s="9" t="n">
        <v>46230</v>
      </c>
      <c r="C780" s="2" t="str">
        <f aca="false">TEXT(B780,"yyyy")</f>
        <v>2026</v>
      </c>
      <c r="D780" s="2" t="n">
        <f aca="false">WEEKNUM(B780,2)</f>
        <v>31</v>
      </c>
      <c r="E780" s="5" t="s">
        <v>134</v>
      </c>
      <c r="F780" s="6" t="str">
        <f aca="false">INDEX(Parametros!$B$2:$B$9,MATCH($E780,Parametros!$A$2:$A$9,0))</f>
        <v>Aderezos vertibles</v>
      </c>
      <c r="G780" s="10" t="n">
        <v>129.9</v>
      </c>
      <c r="H780" s="10" t="n">
        <v>7.3</v>
      </c>
      <c r="I780" s="11" t="n">
        <f aca="false">SUMIFS(Eventos_Paro!$J$2:$J$2186,Eventos_Paro!$D$2:$D$2186,$E780,Eventos_Paro!$B$2:$B$2186,$B780)</f>
        <v>1.1</v>
      </c>
      <c r="J780" s="12" t="n">
        <f aca="false">G780-H780-I780</f>
        <v>121.5</v>
      </c>
      <c r="K780" s="13" t="n">
        <v>529574</v>
      </c>
      <c r="L780" s="13" t="n">
        <v>500444</v>
      </c>
      <c r="M780" s="13" t="n">
        <v>16892</v>
      </c>
      <c r="N780" s="14" t="n">
        <f aca="false">L780+M780</f>
        <v>517336</v>
      </c>
      <c r="O780" s="11" t="n">
        <f aca="false">INDEX(Parametros!$D$2:$D$9,MATCH($E780,Parametros!$A$2:$A$9,0))</f>
        <v>5200</v>
      </c>
      <c r="P780" s="15" t="n">
        <f aca="false">IF((G780-H780)&gt;0,J780/(G780-H780),0)</f>
        <v>0.991027732463295</v>
      </c>
      <c r="Q780" s="15" t="n">
        <f aca="false">IF(J780*O780&gt;0,N780/(O780*J780),0)</f>
        <v>0.818828743273188</v>
      </c>
      <c r="R780" s="15" t="n">
        <f aca="false">IF(N780&gt;0,L780/N780,0)</f>
        <v>0.96734810645306</v>
      </c>
      <c r="S780" s="15" t="n">
        <f aca="false">P780*Q780*R780</f>
        <v>0.784985569080186</v>
      </c>
      <c r="T780" s="15" t="n">
        <f aca="false">IF(K780&gt;0,L780/K780,0)</f>
        <v>0.944993523095922</v>
      </c>
      <c r="U780" s="10" t="n">
        <v>1625.8</v>
      </c>
      <c r="V780" s="5" t="n">
        <v>12</v>
      </c>
      <c r="W780" s="10" t="n">
        <v>67</v>
      </c>
      <c r="X780" s="15" t="n">
        <f aca="false">IF(U780&gt;0,W780/U780,0)</f>
        <v>0.0412104809939722</v>
      </c>
      <c r="Y780" s="12" t="n">
        <f aca="false">IF(U780&gt;0,L780/U780,0)</f>
        <v>307.813999261902</v>
      </c>
      <c r="Z780" s="16" t="n">
        <f aca="false">L780*INDEX(Parametros!$E$2:$E$9,MATCH($E780,Parametros!$A$2:$A$9,0))</f>
        <v>275244.2</v>
      </c>
      <c r="AA780" s="16" t="n">
        <f aca="false">Z780*INDEX(Parametros!$F$2:$F$9,MATCH($E780,Parametros!$A$2:$A$9,0))</f>
        <v>8257.326</v>
      </c>
      <c r="AB780" s="17" t="n">
        <f aca="false">Z780+AA780</f>
        <v>283501.526</v>
      </c>
      <c r="AC780" s="18" t="n">
        <v>281813.56</v>
      </c>
      <c r="AD780" s="17" t="n">
        <f aca="false">AC780-AB780</f>
        <v>-1687.96600000002</v>
      </c>
      <c r="AE780" s="17" t="n">
        <f aca="false">AA780+AD780</f>
        <v>6569.35999999999</v>
      </c>
      <c r="AF780" s="19" t="n">
        <f aca="false">IF(Z780&gt;0,AE780/Z780,0)</f>
        <v>0.0238673875780125</v>
      </c>
      <c r="AG780" s="16" t="n">
        <f aca="false">(U780-W780)*INDEX(Parametros!$H$2:$H$9,MATCH($E780,Parametros!$A$2:$A$9,0))+W780*INDEX(Parametros!$H$2:$H$9,MATCH($E780,Parametros!$A$2:$A$9,0))*Parametros!$N$3</f>
        <v>52267.95</v>
      </c>
      <c r="AH780" s="13" t="n">
        <v>25743</v>
      </c>
      <c r="AI780" s="16" t="n">
        <f aca="false">AH780*Parametros!$N$2</f>
        <v>2368.356</v>
      </c>
      <c r="AJ780" s="18" t="n">
        <v>10812</v>
      </c>
      <c r="AK780" s="18" t="n">
        <v>918</v>
      </c>
      <c r="AL780" s="17" t="n">
        <f aca="false">AG780+AI780+AJ780+AK780</f>
        <v>66366.306</v>
      </c>
      <c r="AM780" s="20" t="n">
        <f aca="false">IF(L780&gt;0,AL780/L780,0)</f>
        <v>0.132614850013188</v>
      </c>
      <c r="AN780" s="16" t="n">
        <f aca="false">L780*INDEX(Parametros!$G$2:$G$9,MATCH($E780,Parametros!$A$2:$A$9,0))</f>
        <v>510452.88</v>
      </c>
      <c r="AO780" s="17" t="n">
        <f aca="false">AN780-AC780-AL780</f>
        <v>162273.014</v>
      </c>
      <c r="AP780" s="15" t="n">
        <f aca="false">IF(AN780&gt;0,AO780/AN780,0)</f>
        <v>0.317900085116573</v>
      </c>
      <c r="AQ780" s="16" t="n">
        <f aca="false">INDEX(Parametros!$I$2:$I$9,MATCH($E780,Parametros!$A$2:$A$9,0))</f>
        <v>19300000</v>
      </c>
      <c r="AR780" s="19" t="n">
        <f aca="false">IF(AQ780&gt;0,AO780/AQ780,0)</f>
        <v>0.0084079281865285</v>
      </c>
    </row>
    <row r="781" customFormat="false" ht="15" hidden="false" customHeight="false" outlineLevel="0" collapsed="false">
      <c r="A781" s="5" t="s">
        <v>916</v>
      </c>
      <c r="B781" s="9" t="n">
        <v>46230</v>
      </c>
      <c r="C781" s="2" t="str">
        <f aca="false">TEXT(B781,"yyyy")</f>
        <v>2026</v>
      </c>
      <c r="D781" s="2" t="n">
        <f aca="false">WEEKNUM(B781,2)</f>
        <v>31</v>
      </c>
      <c r="E781" s="5" t="s">
        <v>136</v>
      </c>
      <c r="F781" s="6" t="str">
        <f aca="false">INDEX(Parametros!$B$2:$B$9,MATCH($E781,Parametros!$A$2:$A$9,0))</f>
        <v>Salsa BBQ</v>
      </c>
      <c r="G781" s="10" t="n">
        <v>94.9</v>
      </c>
      <c r="H781" s="10" t="n">
        <v>7.5</v>
      </c>
      <c r="I781" s="11" t="n">
        <f aca="false">SUMIFS(Eventos_Paro!$J$2:$J$2186,Eventos_Paro!$D$2:$D$2186,$E781,Eventos_Paro!$B$2:$B$2186,$B781)</f>
        <v>2.35</v>
      </c>
      <c r="J781" s="12" t="n">
        <f aca="false">G781-H781-I781</f>
        <v>85.05</v>
      </c>
      <c r="K781" s="13" t="n">
        <v>393533</v>
      </c>
      <c r="L781" s="13" t="n">
        <v>334120</v>
      </c>
      <c r="M781" s="13" t="n">
        <v>11370</v>
      </c>
      <c r="N781" s="14" t="n">
        <f aca="false">L781+M781</f>
        <v>345490</v>
      </c>
      <c r="O781" s="11" t="n">
        <f aca="false">INDEX(Parametros!$D$2:$D$9,MATCH($E781,Parametros!$A$2:$A$9,0))</f>
        <v>4800</v>
      </c>
      <c r="P781" s="15" t="n">
        <f aca="false">IF((G781-H781)&gt;0,J781/(G781-H781),0)</f>
        <v>0.973112128146453</v>
      </c>
      <c r="Q781" s="15" t="n">
        <f aca="false">IF(J781*O781&gt;0,N781/(O781*J781),0)</f>
        <v>0.846291397217323</v>
      </c>
      <c r="R781" s="15" t="n">
        <f aca="false">IF(N781&gt;0,L781/N781,0)</f>
        <v>0.967090219687979</v>
      </c>
      <c r="S781" s="15" t="n">
        <f aca="false">P781*Q781*R781</f>
        <v>0.796434019832189</v>
      </c>
      <c r="T781" s="15" t="n">
        <f aca="false">IF(K781&gt;0,L781/K781,0)</f>
        <v>0.849026638172656</v>
      </c>
      <c r="U781" s="10" t="n">
        <v>1096.8</v>
      </c>
      <c r="V781" s="5" t="n">
        <v>11</v>
      </c>
      <c r="W781" s="10" t="n">
        <v>52.9</v>
      </c>
      <c r="X781" s="15" t="n">
        <f aca="false">IF(U781&gt;0,W781/U781,0)</f>
        <v>0.0482312180889861</v>
      </c>
      <c r="Y781" s="12" t="n">
        <f aca="false">IF(U781&gt;0,L781/U781,0)</f>
        <v>304.631655725748</v>
      </c>
      <c r="Z781" s="16" t="n">
        <f aca="false">L781*INDEX(Parametros!$E$2:$E$9,MATCH($E781,Parametros!$A$2:$A$9,0))</f>
        <v>193789.6</v>
      </c>
      <c r="AA781" s="16" t="n">
        <f aca="false">Z781*INDEX(Parametros!$F$2:$F$9,MATCH($E781,Parametros!$A$2:$A$9,0))</f>
        <v>5426.1088</v>
      </c>
      <c r="AB781" s="17" t="n">
        <f aca="false">Z781+AA781</f>
        <v>199215.7088</v>
      </c>
      <c r="AC781" s="18" t="n">
        <v>196351.06</v>
      </c>
      <c r="AD781" s="17" t="n">
        <f aca="false">AC781-AB781</f>
        <v>-2864.64879999997</v>
      </c>
      <c r="AE781" s="17" t="n">
        <f aca="false">AA781+AD781</f>
        <v>2561.46000000003</v>
      </c>
      <c r="AF781" s="19" t="n">
        <f aca="false">IF(Z781&gt;0,AE781/Z781,0)</f>
        <v>0.0132177371747505</v>
      </c>
      <c r="AG781" s="16" t="n">
        <f aca="false">(U781-W781)*INDEX(Parametros!$H$2:$H$9,MATCH($E781,Parametros!$A$2:$A$9,0))+W781*INDEX(Parametros!$H$2:$H$9,MATCH($E781,Parametros!$A$2:$A$9,0))*Parametros!$N$3</f>
        <v>35382.375</v>
      </c>
      <c r="AH781" s="13" t="n">
        <v>17476</v>
      </c>
      <c r="AI781" s="16" t="n">
        <f aca="false">AH781*Parametros!$N$2</f>
        <v>1607.792</v>
      </c>
      <c r="AJ781" s="18" t="n">
        <v>9546</v>
      </c>
      <c r="AK781" s="18" t="n">
        <v>1754</v>
      </c>
      <c r="AL781" s="17" t="n">
        <f aca="false">AG781+AI781+AJ781+AK781</f>
        <v>48290.167</v>
      </c>
      <c r="AM781" s="20" t="n">
        <f aca="false">IF(L781&gt;0,AL781/L781,0)</f>
        <v>0.144529411588651</v>
      </c>
      <c r="AN781" s="16" t="n">
        <f aca="false">L781*INDEX(Parametros!$G$2:$G$9,MATCH($E781,Parametros!$A$2:$A$9,0))</f>
        <v>327437.6</v>
      </c>
      <c r="AO781" s="17" t="n">
        <f aca="false">AN781-AC781-AL781</f>
        <v>82796.373</v>
      </c>
      <c r="AP781" s="15" t="n">
        <f aca="false">IF(AN781&gt;0,AO781/AN781,0)</f>
        <v>0.252861531479586</v>
      </c>
      <c r="AQ781" s="16" t="n">
        <f aca="false">INDEX(Parametros!$I$2:$I$9,MATCH($E781,Parametros!$A$2:$A$9,0))</f>
        <v>17000000</v>
      </c>
      <c r="AR781" s="19" t="n">
        <f aca="false">IF(AQ781&gt;0,AO781/AQ781,0)</f>
        <v>0.00487037488235294</v>
      </c>
    </row>
    <row r="782" customFormat="false" ht="15" hidden="false" customHeight="false" outlineLevel="0" collapsed="false">
      <c r="A782" s="5" t="s">
        <v>917</v>
      </c>
      <c r="B782" s="9" t="n">
        <v>46230</v>
      </c>
      <c r="C782" s="2" t="str">
        <f aca="false">TEXT(B782,"yyyy")</f>
        <v>2026</v>
      </c>
      <c r="D782" s="2" t="n">
        <f aca="false">WEEKNUM(B782,2)</f>
        <v>31</v>
      </c>
      <c r="E782" s="5" t="s">
        <v>138</v>
      </c>
      <c r="F782" s="6" t="str">
        <f aca="false">INDEX(Parametros!$B$2:$B$9,MATCH($E782,Parametros!$A$2:$A$9,0))</f>
        <v>Queso crema</v>
      </c>
      <c r="G782" s="10" t="n">
        <v>123.6</v>
      </c>
      <c r="H782" s="10" t="n">
        <v>5.1</v>
      </c>
      <c r="I782" s="11" t="n">
        <f aca="false">SUMIFS(Eventos_Paro!$J$2:$J$2186,Eventos_Paro!$D$2:$D$2186,$E782,Eventos_Paro!$B$2:$B$2186,$B782)</f>
        <v>7.15</v>
      </c>
      <c r="J782" s="12" t="n">
        <f aca="false">G782-H782-I782</f>
        <v>111.35</v>
      </c>
      <c r="K782" s="13" t="n">
        <v>374055</v>
      </c>
      <c r="L782" s="13" t="n">
        <v>302247</v>
      </c>
      <c r="M782" s="13" t="n">
        <v>14076</v>
      </c>
      <c r="N782" s="14" t="n">
        <f aca="false">L782+M782</f>
        <v>316323</v>
      </c>
      <c r="O782" s="11" t="n">
        <f aca="false">INDEX(Parametros!$D$2:$D$9,MATCH($E782,Parametros!$A$2:$A$9,0))</f>
        <v>3800</v>
      </c>
      <c r="P782" s="15" t="n">
        <f aca="false">IF((G782-H782)&gt;0,J782/(G782-H782),0)</f>
        <v>0.939662447257384</v>
      </c>
      <c r="Q782" s="15" t="n">
        <f aca="false">IF(J782*O782&gt;0,N782/(O782*J782),0)</f>
        <v>0.747578758301231</v>
      </c>
      <c r="R782" s="15" t="n">
        <f aca="false">IF(N782&gt;0,L782/N782,0)</f>
        <v>0.955501180755114</v>
      </c>
      <c r="S782" s="15" t="n">
        <f aca="false">P782*Q782*R782</f>
        <v>0.671212524983345</v>
      </c>
      <c r="T782" s="15" t="n">
        <f aca="false">IF(K782&gt;0,L782/K782,0)</f>
        <v>0.808028231142479</v>
      </c>
      <c r="U782" s="10" t="n">
        <v>1951.4</v>
      </c>
      <c r="V782" s="5" t="n">
        <v>15</v>
      </c>
      <c r="W782" s="10" t="n">
        <v>97.4</v>
      </c>
      <c r="X782" s="15" t="n">
        <f aca="false">IF(U782&gt;0,W782/U782,0)</f>
        <v>0.0499128830583171</v>
      </c>
      <c r="Y782" s="12" t="n">
        <f aca="false">IF(U782&gt;0,L782/U782,0)</f>
        <v>154.88726042841</v>
      </c>
      <c r="Z782" s="16" t="n">
        <f aca="false">L782*INDEX(Parametros!$E$2:$E$9,MATCH($E782,Parametros!$A$2:$A$9,0))</f>
        <v>338516.64</v>
      </c>
      <c r="AA782" s="16" t="n">
        <f aca="false">Z782*INDEX(Parametros!$F$2:$F$9,MATCH($E782,Parametros!$A$2:$A$9,0))</f>
        <v>11848.0824</v>
      </c>
      <c r="AB782" s="17" t="n">
        <f aca="false">Z782+AA782</f>
        <v>350364.7224</v>
      </c>
      <c r="AC782" s="18" t="n">
        <v>348305.93</v>
      </c>
      <c r="AD782" s="17" t="n">
        <f aca="false">AC782-AB782</f>
        <v>-2058.79240000004</v>
      </c>
      <c r="AE782" s="17" t="n">
        <f aca="false">AA782+AD782</f>
        <v>9789.28999999997</v>
      </c>
      <c r="AF782" s="19" t="n">
        <f aca="false">IF(Z782&gt;0,AE782/Z782,0)</f>
        <v>0.0289181943906804</v>
      </c>
      <c r="AG782" s="16" t="n">
        <f aca="false">(U782-W782)*INDEX(Parametros!$H$2:$H$9,MATCH($E782,Parametros!$A$2:$A$9,0))+W782*INDEX(Parametros!$H$2:$H$9,MATCH($E782,Parametros!$A$2:$A$9,0))*Parametros!$N$3</f>
        <v>66003.3</v>
      </c>
      <c r="AH782" s="13" t="n">
        <v>16891</v>
      </c>
      <c r="AI782" s="16" t="n">
        <f aca="false">AH782*Parametros!$N$2</f>
        <v>1553.972</v>
      </c>
      <c r="AJ782" s="18" t="n">
        <v>19008</v>
      </c>
      <c r="AK782" s="18" t="n">
        <v>9639</v>
      </c>
      <c r="AL782" s="17" t="n">
        <f aca="false">AG782+AI782+AJ782+AK782</f>
        <v>96204.272</v>
      </c>
      <c r="AM782" s="20" t="n">
        <f aca="false">IF(L782&gt;0,AL782/L782,0)</f>
        <v>0.318296863161586</v>
      </c>
      <c r="AN782" s="16" t="n">
        <f aca="false">L782*INDEX(Parametros!$G$2:$G$9,MATCH($E782,Parametros!$A$2:$A$9,0))</f>
        <v>541022.13</v>
      </c>
      <c r="AO782" s="17" t="n">
        <f aca="false">AN782-AC782-AL782</f>
        <v>96511.928</v>
      </c>
      <c r="AP782" s="15" t="n">
        <f aca="false">IF(AN782&gt;0,AO782/AN782,0)</f>
        <v>0.178388133587068</v>
      </c>
      <c r="AQ782" s="16" t="n">
        <f aca="false">INDEX(Parametros!$I$2:$I$9,MATCH($E782,Parametros!$A$2:$A$9,0))</f>
        <v>33200000</v>
      </c>
      <c r="AR782" s="19" t="n">
        <f aca="false">IF(AQ782&gt;0,AO782/AQ782,0)</f>
        <v>0.00290698578313253</v>
      </c>
    </row>
    <row r="783" customFormat="false" ht="15" hidden="false" customHeight="false" outlineLevel="0" collapsed="false">
      <c r="A783" s="5" t="s">
        <v>918</v>
      </c>
      <c r="B783" s="9" t="n">
        <v>46230</v>
      </c>
      <c r="C783" s="2" t="str">
        <f aca="false">TEXT(B783,"yyyy")</f>
        <v>2026</v>
      </c>
      <c r="D783" s="2" t="n">
        <f aca="false">WEEKNUM(B783,2)</f>
        <v>31</v>
      </c>
      <c r="E783" s="5" t="s">
        <v>140</v>
      </c>
      <c r="F783" s="6" t="str">
        <f aca="false">INDEX(Parametros!$B$2:$B$9,MATCH($E783,Parametros!$A$2:$A$9,0))</f>
        <v>Crema de cacahuate</v>
      </c>
      <c r="G783" s="10" t="n">
        <v>112.5</v>
      </c>
      <c r="H783" s="10" t="n">
        <v>7.8</v>
      </c>
      <c r="I783" s="11" t="n">
        <f aca="false">SUMIFS(Eventos_Paro!$J$2:$J$2186,Eventos_Paro!$D$2:$D$2186,$E783,Eventos_Paro!$B$2:$B$2186,$B783)</f>
        <v>5.43333333333333</v>
      </c>
      <c r="J783" s="12" t="n">
        <f aca="false">G783-H783-I783</f>
        <v>99.2666666666667</v>
      </c>
      <c r="K783" s="13" t="n">
        <v>365283</v>
      </c>
      <c r="L783" s="13" t="n">
        <v>342557</v>
      </c>
      <c r="M783" s="13" t="n">
        <v>5284</v>
      </c>
      <c r="N783" s="14" t="n">
        <f aca="false">L783+M783</f>
        <v>347841</v>
      </c>
      <c r="O783" s="11" t="n">
        <f aca="false">INDEX(Parametros!$D$2:$D$9,MATCH($E783,Parametros!$A$2:$A$9,0))</f>
        <v>4200</v>
      </c>
      <c r="P783" s="15" t="n">
        <f aca="false">IF((G783-H783)&gt;0,J783/(G783-H783),0)</f>
        <v>0.948105698822031</v>
      </c>
      <c r="Q783" s="15" t="n">
        <f aca="false">IF(J783*O783&gt;0,N783/(O783*J783),0)</f>
        <v>0.834311138827593</v>
      </c>
      <c r="R783" s="15" t="n">
        <f aca="false">IF(N783&gt;0,L783/N783,0)</f>
        <v>0.984809151307638</v>
      </c>
      <c r="S783" s="15" t="n">
        <f aca="false">P783*Q783*R783</f>
        <v>0.778998953927321</v>
      </c>
      <c r="T783" s="15" t="n">
        <f aca="false">IF(K783&gt;0,L783/K783,0)</f>
        <v>0.937785224059154</v>
      </c>
      <c r="U783" s="10" t="n">
        <v>1429.4</v>
      </c>
      <c r="V783" s="5" t="n">
        <v>12</v>
      </c>
      <c r="W783" s="10" t="n">
        <v>79.4</v>
      </c>
      <c r="X783" s="15" t="n">
        <f aca="false">IF(U783&gt;0,W783/U783,0)</f>
        <v>0.055547782286274</v>
      </c>
      <c r="Y783" s="12" t="n">
        <f aca="false">IF(U783&gt;0,L783/U783,0)</f>
        <v>239.650902476564</v>
      </c>
      <c r="Z783" s="16" t="n">
        <f aca="false">L783*INDEX(Parametros!$E$2:$E$9,MATCH($E783,Parametros!$A$2:$A$9,0))</f>
        <v>332280.29</v>
      </c>
      <c r="AA783" s="16" t="n">
        <f aca="false">Z783*INDEX(Parametros!$F$2:$F$9,MATCH($E783,Parametros!$A$2:$A$9,0))</f>
        <v>7310.16638</v>
      </c>
      <c r="AB783" s="17" t="n">
        <f aca="false">Z783+AA783</f>
        <v>339590.45638</v>
      </c>
      <c r="AC783" s="18" t="n">
        <v>336832.4</v>
      </c>
      <c r="AD783" s="17" t="n">
        <f aca="false">AC783-AB783</f>
        <v>-2758.05637999997</v>
      </c>
      <c r="AE783" s="17" t="n">
        <f aca="false">AA783+AD783</f>
        <v>4552.11000000003</v>
      </c>
      <c r="AF783" s="19" t="n">
        <f aca="false">IF(Z783&gt;0,AE783/Z783,0)</f>
        <v>0.0136996088452915</v>
      </c>
      <c r="AG783" s="16" t="n">
        <f aca="false">(U783-W783)*INDEX(Parametros!$H$2:$H$9,MATCH($E783,Parametros!$A$2:$A$9,0))+W783*INDEX(Parametros!$H$2:$H$9,MATCH($E783,Parametros!$A$2:$A$9,0))*Parametros!$N$3</f>
        <v>46276.65</v>
      </c>
      <c r="AH783" s="13" t="n">
        <v>19469</v>
      </c>
      <c r="AI783" s="16" t="n">
        <f aca="false">AH783*Parametros!$N$2</f>
        <v>1791.148</v>
      </c>
      <c r="AJ783" s="18" t="n">
        <v>10759</v>
      </c>
      <c r="AK783" s="18" t="n">
        <v>2793</v>
      </c>
      <c r="AL783" s="17" t="n">
        <f aca="false">AG783+AI783+AJ783+AK783</f>
        <v>61619.798</v>
      </c>
      <c r="AM783" s="20" t="n">
        <f aca="false">IF(L783&gt;0,AL783/L783,0)</f>
        <v>0.179881882431245</v>
      </c>
      <c r="AN783" s="16" t="n">
        <f aca="false">L783*INDEX(Parametros!$G$2:$G$9,MATCH($E783,Parametros!$A$2:$A$9,0))</f>
        <v>554942.34</v>
      </c>
      <c r="AO783" s="17" t="n">
        <f aca="false">AN783-AC783-AL783</f>
        <v>156490.142</v>
      </c>
      <c r="AP783" s="15" t="n">
        <f aca="false">IF(AN783&gt;0,AO783/AN783,0)</f>
        <v>0.281993516659767</v>
      </c>
      <c r="AQ783" s="16" t="n">
        <f aca="false">INDEX(Parametros!$I$2:$I$9,MATCH($E783,Parametros!$A$2:$A$9,0))</f>
        <v>28000000</v>
      </c>
      <c r="AR783" s="19" t="n">
        <f aca="false">IF(AQ783&gt;0,AO783/AQ783,0)</f>
        <v>0.00558893364285715</v>
      </c>
    </row>
    <row r="784" customFormat="false" ht="15" hidden="false" customHeight="false" outlineLevel="0" collapsed="false">
      <c r="A784" s="5" t="s">
        <v>919</v>
      </c>
      <c r="B784" s="9" t="n">
        <v>46230</v>
      </c>
      <c r="C784" s="2" t="str">
        <f aca="false">TEXT(B784,"yyyy")</f>
        <v>2026</v>
      </c>
      <c r="D784" s="2" t="n">
        <f aca="false">WEEKNUM(B784,2)</f>
        <v>31</v>
      </c>
      <c r="E784" s="5" t="s">
        <v>142</v>
      </c>
      <c r="F784" s="6" t="str">
        <f aca="false">INDEX(Parametros!$B$2:$B$9,MATCH($E784,Parametros!$A$2:$A$9,0))</f>
        <v>Porciones single serve</v>
      </c>
      <c r="G784" s="10" t="n">
        <v>126.9</v>
      </c>
      <c r="H784" s="10" t="n">
        <v>8.6</v>
      </c>
      <c r="I784" s="11" t="n">
        <f aca="false">SUMIFS(Eventos_Paro!$J$2:$J$2186,Eventos_Paro!$D$2:$D$2186,$E784,Eventos_Paro!$B$2:$B$2186,$B784)</f>
        <v>1</v>
      </c>
      <c r="J784" s="12" t="n">
        <f aca="false">G784-H784-I784</f>
        <v>117.3</v>
      </c>
      <c r="K784" s="13" t="n">
        <v>255500</v>
      </c>
      <c r="L784" s="13" t="n">
        <v>223256</v>
      </c>
      <c r="M784" s="13" t="n">
        <v>10634</v>
      </c>
      <c r="N784" s="14" t="n">
        <f aca="false">L784+M784</f>
        <v>233890</v>
      </c>
      <c r="O784" s="11" t="n">
        <f aca="false">INDEX(Parametros!$D$2:$D$9,MATCH($E784,Parametros!$A$2:$A$9,0))</f>
        <v>2600</v>
      </c>
      <c r="P784" s="15" t="n">
        <f aca="false">IF((G784-H784)&gt;0,J784/(G784-H784),0)</f>
        <v>0.991546914623838</v>
      </c>
      <c r="Q784" s="15" t="n">
        <f aca="false">IF(J784*O784&gt;0,N784/(O784*J784),0)</f>
        <v>0.766902747721162</v>
      </c>
      <c r="R784" s="15" t="n">
        <f aca="false">IF(N784&gt;0,L784/N784,0)</f>
        <v>0.954534182735474</v>
      </c>
      <c r="S784" s="15" t="n">
        <f aca="false">P784*Q784*R784</f>
        <v>0.725846934130958</v>
      </c>
      <c r="T784" s="15" t="n">
        <f aca="false">IF(K784&gt;0,L784/K784,0)</f>
        <v>0.873800391389432</v>
      </c>
      <c r="U784" s="10" t="n">
        <v>2193.5</v>
      </c>
      <c r="V784" s="5" t="n">
        <v>16</v>
      </c>
      <c r="W784" s="10" t="n">
        <v>163.1</v>
      </c>
      <c r="X784" s="15" t="n">
        <f aca="false">IF(U784&gt;0,W784/U784,0)</f>
        <v>0.0743560519717347</v>
      </c>
      <c r="Y784" s="12" t="n">
        <f aca="false">IF(U784&gt;0,L784/U784,0)</f>
        <v>101.780715751083</v>
      </c>
      <c r="Z784" s="16" t="n">
        <f aca="false">L784*INDEX(Parametros!$E$2:$E$9,MATCH($E784,Parametros!$A$2:$A$9,0))</f>
        <v>165209.44</v>
      </c>
      <c r="AA784" s="16" t="n">
        <f aca="false">Z784*INDEX(Parametros!$F$2:$F$9,MATCH($E784,Parametros!$A$2:$A$9,0))</f>
        <v>7434.4248</v>
      </c>
      <c r="AB784" s="17" t="n">
        <f aca="false">Z784+AA784</f>
        <v>172643.8648</v>
      </c>
      <c r="AC784" s="18" t="n">
        <v>171119.75</v>
      </c>
      <c r="AD784" s="17" t="n">
        <f aca="false">AC784-AB784</f>
        <v>-1524.11480000001</v>
      </c>
      <c r="AE784" s="17" t="n">
        <f aca="false">AA784+AD784</f>
        <v>5910.30999999999</v>
      </c>
      <c r="AF784" s="19" t="n">
        <f aca="false">IF(Z784&gt;0,AE784/Z784,0)</f>
        <v>0.0357746506495028</v>
      </c>
      <c r="AG784" s="16" t="n">
        <f aca="false">(U784-W784)*INDEX(Parametros!$H$2:$H$9,MATCH($E784,Parametros!$A$2:$A$9,0))+W784*INDEX(Parametros!$H$2:$H$9,MATCH($E784,Parametros!$A$2:$A$9,0))*Parametros!$N$3</f>
        <v>68251.5</v>
      </c>
      <c r="AH784" s="13" t="n">
        <v>12008</v>
      </c>
      <c r="AI784" s="16" t="n">
        <f aca="false">AH784*Parametros!$N$2</f>
        <v>1104.736</v>
      </c>
      <c r="AJ784" s="18" t="n">
        <v>10943</v>
      </c>
      <c r="AK784" s="18" t="n">
        <v>1231</v>
      </c>
      <c r="AL784" s="17" t="n">
        <f aca="false">AG784+AI784+AJ784+AK784</f>
        <v>81530.236</v>
      </c>
      <c r="AM784" s="20" t="n">
        <f aca="false">IF(L784&gt;0,AL784/L784,0)</f>
        <v>0.365187211093991</v>
      </c>
      <c r="AN784" s="16" t="n">
        <f aca="false">L784*INDEX(Parametros!$G$2:$G$9,MATCH($E784,Parametros!$A$2:$A$9,0))</f>
        <v>384000.32</v>
      </c>
      <c r="AO784" s="17" t="n">
        <f aca="false">AN784-AC784-AL784</f>
        <v>131350.334</v>
      </c>
      <c r="AP784" s="15" t="n">
        <f aca="false">IF(AN784&gt;0,AO784/AN784,0)</f>
        <v>0.342057876410103</v>
      </c>
      <c r="AQ784" s="16" t="n">
        <f aca="false">INDEX(Parametros!$I$2:$I$9,MATCH($E784,Parametros!$A$2:$A$9,0))</f>
        <v>15900000</v>
      </c>
      <c r="AR784" s="19" t="n">
        <f aca="false">IF(AQ784&gt;0,AO784/AQ784,0)</f>
        <v>0.00826102729559749</v>
      </c>
    </row>
    <row r="785" customFormat="false" ht="15" hidden="false" customHeight="false" outlineLevel="0" collapsed="false">
      <c r="A785" s="5" t="s">
        <v>920</v>
      </c>
      <c r="B785" s="9" t="n">
        <v>46230</v>
      </c>
      <c r="C785" s="2" t="str">
        <f aca="false">TEXT(B785,"yyyy")</f>
        <v>2026</v>
      </c>
      <c r="D785" s="2" t="n">
        <f aca="false">WEEKNUM(B785,2)</f>
        <v>31</v>
      </c>
      <c r="E785" s="5" t="s">
        <v>144</v>
      </c>
      <c r="F785" s="6" t="str">
        <f aca="false">INDEX(Parametros!$B$2:$B$9,MATCH($E785,Parametros!$A$2:$A$9,0))</f>
        <v>Salsas picantes</v>
      </c>
      <c r="G785" s="10" t="n">
        <v>97</v>
      </c>
      <c r="H785" s="10" t="n">
        <v>8.4</v>
      </c>
      <c r="I785" s="11" t="n">
        <f aca="false">SUMIFS(Eventos_Paro!$J$2:$J$2186,Eventos_Paro!$D$2:$D$2186,$E785,Eventos_Paro!$B$2:$B$2186,$B785)</f>
        <v>2.51666666666667</v>
      </c>
      <c r="J785" s="12" t="n">
        <f aca="false">G785-H785-I785</f>
        <v>86.0833333333333</v>
      </c>
      <c r="K785" s="13" t="n">
        <v>207262</v>
      </c>
      <c r="L785" s="13" t="n">
        <v>231142</v>
      </c>
      <c r="M785" s="13" t="n">
        <v>6398</v>
      </c>
      <c r="N785" s="14" t="n">
        <f aca="false">L785+M785</f>
        <v>237540</v>
      </c>
      <c r="O785" s="11" t="n">
        <f aca="false">INDEX(Parametros!$D$2:$D$9,MATCH($E785,Parametros!$A$2:$A$9,0))</f>
        <v>3100</v>
      </c>
      <c r="P785" s="15" t="n">
        <f aca="false">IF((G785-H785)&gt;0,J785/(G785-H785),0)</f>
        <v>0.971595184349135</v>
      </c>
      <c r="Q785" s="15" t="n">
        <f aca="false">IF(J785*O785&gt;0,N785/(O785*J785),0)</f>
        <v>0.890135215313993</v>
      </c>
      <c r="R785" s="15" t="n">
        <f aca="false">IF(N785&gt;0,L785/N785,0)</f>
        <v>0.973065588953439</v>
      </c>
      <c r="S785" s="15" t="n">
        <f aca="false">P785*Q785*R785</f>
        <v>0.841556833903736</v>
      </c>
      <c r="T785" s="15" t="n">
        <f aca="false">IF(K785&gt;0,L785/K785,0)</f>
        <v>1.11521648927445</v>
      </c>
      <c r="U785" s="10" t="n">
        <v>1128.1</v>
      </c>
      <c r="V785" s="5" t="n">
        <v>11</v>
      </c>
      <c r="W785" s="10" t="n">
        <v>61.1</v>
      </c>
      <c r="X785" s="15" t="n">
        <f aca="false">IF(U785&gt;0,W785/U785,0)</f>
        <v>0.0541618650828827</v>
      </c>
      <c r="Y785" s="12" t="n">
        <f aca="false">IF(U785&gt;0,L785/U785,0)</f>
        <v>204.894956120911</v>
      </c>
      <c r="Z785" s="16" t="n">
        <f aca="false">L785*INDEX(Parametros!$E$2:$E$9,MATCH($E785,Parametros!$A$2:$A$9,0))</f>
        <v>152553.72</v>
      </c>
      <c r="AA785" s="16" t="n">
        <f aca="false">Z785*INDEX(Parametros!$F$2:$F$9,MATCH($E785,Parametros!$A$2:$A$9,0))</f>
        <v>3966.39672</v>
      </c>
      <c r="AB785" s="17" t="n">
        <f aca="false">Z785+AA785</f>
        <v>156520.11672</v>
      </c>
      <c r="AC785" s="18" t="n">
        <v>158283.06</v>
      </c>
      <c r="AD785" s="17" t="n">
        <f aca="false">AC785-AB785</f>
        <v>1762.94328000001</v>
      </c>
      <c r="AE785" s="17" t="n">
        <f aca="false">AA785+AD785</f>
        <v>5729.34000000001</v>
      </c>
      <c r="AF785" s="19" t="n">
        <f aca="false">IF(Z785&gt;0,AE785/Z785,0)</f>
        <v>0.0375562129851701</v>
      </c>
      <c r="AG785" s="16" t="n">
        <f aca="false">(U785-W785)*INDEX(Parametros!$H$2:$H$9,MATCH($E785,Parametros!$A$2:$A$9,0))+W785*INDEX(Parametros!$H$2:$H$9,MATCH($E785,Parametros!$A$2:$A$9,0))*Parametros!$N$3</f>
        <v>36497.475</v>
      </c>
      <c r="AH785" s="13" t="n">
        <v>11548</v>
      </c>
      <c r="AI785" s="16" t="n">
        <f aca="false">AH785*Parametros!$N$2</f>
        <v>1062.416</v>
      </c>
      <c r="AJ785" s="18" t="n">
        <v>7244</v>
      </c>
      <c r="AK785" s="18" t="n">
        <v>2372</v>
      </c>
      <c r="AL785" s="17" t="n">
        <f aca="false">AG785+AI785+AJ785+AK785</f>
        <v>47175.891</v>
      </c>
      <c r="AM785" s="20" t="n">
        <f aca="false">IF(L785&gt;0,AL785/L785,0)</f>
        <v>0.204099172802866</v>
      </c>
      <c r="AN785" s="16" t="n">
        <f aca="false">L785*INDEX(Parametros!$G$2:$G$9,MATCH($E785,Parametros!$A$2:$A$9,0))</f>
        <v>288927.5</v>
      </c>
      <c r="AO785" s="17" t="n">
        <f aca="false">AN785-AC785-AL785</f>
        <v>83468.549</v>
      </c>
      <c r="AP785" s="15" t="n">
        <f aca="false">IF(AN785&gt;0,AO785/AN785,0)</f>
        <v>0.288890981301538</v>
      </c>
      <c r="AQ785" s="16" t="n">
        <f aca="false">INDEX(Parametros!$I$2:$I$9,MATCH($E785,Parametros!$A$2:$A$9,0))</f>
        <v>13300000</v>
      </c>
      <c r="AR785" s="19" t="n">
        <f aca="false">IF(AQ785&gt;0,AO785/AQ785,0)</f>
        <v>0.0062758307518797</v>
      </c>
    </row>
    <row r="786" customFormat="false" ht="15" hidden="false" customHeight="false" outlineLevel="0" collapsed="false">
      <c r="A786" s="5" t="s">
        <v>921</v>
      </c>
      <c r="B786" s="9" t="n">
        <v>46237</v>
      </c>
      <c r="C786" s="2" t="str">
        <f aca="false">TEXT(B786,"yyyy")</f>
        <v>2026</v>
      </c>
      <c r="D786" s="2" t="n">
        <f aca="false">WEEKNUM(B786,2)</f>
        <v>32</v>
      </c>
      <c r="E786" s="5" t="s">
        <v>130</v>
      </c>
      <c r="F786" s="6" t="str">
        <f aca="false">INDEX(Parametros!$B$2:$B$9,MATCH($E786,Parametros!$A$2:$A$9,0))</f>
        <v>Ketchup botella</v>
      </c>
      <c r="G786" s="10" t="n">
        <v>136.3</v>
      </c>
      <c r="H786" s="10" t="n">
        <v>8.4</v>
      </c>
      <c r="I786" s="11" t="n">
        <f aca="false">SUMIFS(Eventos_Paro!$J$2:$J$2186,Eventos_Paro!$D$2:$D$2186,$E786,Eventos_Paro!$B$2:$B$2186,$B786)</f>
        <v>1.7</v>
      </c>
      <c r="J786" s="12" t="n">
        <f aca="false">G786-H786-I786</f>
        <v>126.2</v>
      </c>
      <c r="K786" s="13" t="n">
        <v>954679</v>
      </c>
      <c r="L786" s="13" t="n">
        <v>973259</v>
      </c>
      <c r="M786" s="13" t="n">
        <v>20309</v>
      </c>
      <c r="N786" s="14" t="n">
        <f aca="false">L786+M786</f>
        <v>993568</v>
      </c>
      <c r="O786" s="11" t="n">
        <f aca="false">INDEX(Parametros!$D$2:$D$9,MATCH($E786,Parametros!$A$2:$A$9,0))</f>
        <v>9000</v>
      </c>
      <c r="P786" s="15" t="n">
        <f aca="false">IF((G786-H786)&gt;0,J786/(G786-H786),0)</f>
        <v>0.986708365910868</v>
      </c>
      <c r="Q786" s="15" t="n">
        <f aca="false">IF(J786*O786&gt;0,N786/(O786*J786),0)</f>
        <v>0.874773727768973</v>
      </c>
      <c r="R786" s="15" t="n">
        <f aca="false">IF(N786&gt;0,L786/N786,0)</f>
        <v>0.979559526876872</v>
      </c>
      <c r="S786" s="15" t="n">
        <f aca="false">P786*Q786*R786</f>
        <v>0.845503431500304</v>
      </c>
      <c r="T786" s="15" t="n">
        <f aca="false">IF(K786&gt;0,L786/K786,0)</f>
        <v>1.01946203907282</v>
      </c>
      <c r="U786" s="10" t="n">
        <v>1884.2</v>
      </c>
      <c r="V786" s="5" t="n">
        <v>13</v>
      </c>
      <c r="W786" s="10" t="n">
        <v>112.3</v>
      </c>
      <c r="X786" s="15" t="n">
        <f aca="false">IF(U786&gt;0,W786/U786,0)</f>
        <v>0.0596008916250929</v>
      </c>
      <c r="Y786" s="12" t="n">
        <f aca="false">IF(U786&gt;0,L786/U786,0)</f>
        <v>516.53699182677</v>
      </c>
      <c r="Z786" s="16" t="n">
        <f aca="false">L786*INDEX(Parametros!$E$2:$E$9,MATCH($E786,Parametros!$A$2:$A$9,0))</f>
        <v>408768.78</v>
      </c>
      <c r="AA786" s="16" t="n">
        <f aca="false">Z786*INDEX(Parametros!$F$2:$F$9,MATCH($E786,Parametros!$A$2:$A$9,0))</f>
        <v>8175.3756</v>
      </c>
      <c r="AB786" s="17" t="n">
        <f aca="false">Z786+AA786</f>
        <v>416944.1556</v>
      </c>
      <c r="AC786" s="18" t="n">
        <v>419732.69</v>
      </c>
      <c r="AD786" s="17" t="n">
        <f aca="false">AC786-AB786</f>
        <v>2788.53440000006</v>
      </c>
      <c r="AE786" s="17" t="n">
        <f aca="false">AA786+AD786</f>
        <v>10963.9100000001</v>
      </c>
      <c r="AF786" s="19" t="n">
        <f aca="false">IF(Z786&gt;0,AE786/Z786,0)</f>
        <v>0.026821789080859</v>
      </c>
      <c r="AG786" s="16" t="n">
        <f aca="false">(U786-W786)*INDEX(Parametros!$H$2:$H$9,MATCH($E786,Parametros!$A$2:$A$9,0))+W786*INDEX(Parametros!$H$2:$H$9,MATCH($E786,Parametros!$A$2:$A$9,0))*Parametros!$N$3</f>
        <v>61121.025</v>
      </c>
      <c r="AH786" s="13" t="n">
        <v>49325</v>
      </c>
      <c r="AI786" s="16" t="n">
        <f aca="false">AH786*Parametros!$N$2</f>
        <v>4537.9</v>
      </c>
      <c r="AJ786" s="18" t="n">
        <v>16458</v>
      </c>
      <c r="AK786" s="18" t="n">
        <v>1129</v>
      </c>
      <c r="AL786" s="17" t="n">
        <f aca="false">AG786+AI786+AJ786+AK786</f>
        <v>83245.925</v>
      </c>
      <c r="AM786" s="20" t="n">
        <f aca="false">IF(L786&gt;0,AL786/L786,0)</f>
        <v>0.0855331674302524</v>
      </c>
      <c r="AN786" s="16" t="n">
        <f aca="false">L786*INDEX(Parametros!$G$2:$G$9,MATCH($E786,Parametros!$A$2:$A$9,0))</f>
        <v>691013.89</v>
      </c>
      <c r="AO786" s="17" t="n">
        <f aca="false">AN786-AC786-AL786</f>
        <v>188035.275</v>
      </c>
      <c r="AP786" s="15" t="n">
        <f aca="false">IF(AN786&gt;0,AO786/AN786,0)</f>
        <v>0.27211504388139</v>
      </c>
      <c r="AQ786" s="16" t="n">
        <f aca="false">INDEX(Parametros!$I$2:$I$9,MATCH($E786,Parametros!$A$2:$A$9,0))</f>
        <v>29300000</v>
      </c>
      <c r="AR786" s="19" t="n">
        <f aca="false">IF(AQ786&gt;0,AO786/AQ786,0)</f>
        <v>0.0064175861774744</v>
      </c>
    </row>
    <row r="787" customFormat="false" ht="15" hidden="false" customHeight="false" outlineLevel="0" collapsed="false">
      <c r="A787" s="5" t="s">
        <v>922</v>
      </c>
      <c r="B787" s="9" t="n">
        <v>46237</v>
      </c>
      <c r="C787" s="2" t="str">
        <f aca="false">TEXT(B787,"yyyy")</f>
        <v>2026</v>
      </c>
      <c r="D787" s="2" t="n">
        <f aca="false">WEEKNUM(B787,2)</f>
        <v>32</v>
      </c>
      <c r="E787" s="5" t="s">
        <v>132</v>
      </c>
      <c r="F787" s="6" t="str">
        <f aca="false">INDEX(Parametros!$B$2:$B$9,MATCH($E787,Parametros!$A$2:$A$9,0))</f>
        <v>Mayonesa frasco</v>
      </c>
      <c r="G787" s="10" t="n">
        <v>136.4</v>
      </c>
      <c r="H787" s="10" t="n">
        <v>5.7</v>
      </c>
      <c r="I787" s="11" t="n">
        <f aca="false">SUMIFS(Eventos_Paro!$J$2:$J$2186,Eventos_Paro!$D$2:$D$2186,$E787,Eventos_Paro!$B$2:$B$2186,$B787)</f>
        <v>8.26666666666667</v>
      </c>
      <c r="J787" s="12" t="n">
        <f aca="false">G787-H787-I787</f>
        <v>122.433333333333</v>
      </c>
      <c r="K787" s="13" t="n">
        <v>704585</v>
      </c>
      <c r="L787" s="13" t="n">
        <v>659553</v>
      </c>
      <c r="M787" s="13" t="n">
        <v>19213</v>
      </c>
      <c r="N787" s="14" t="n">
        <f aca="false">L787+M787</f>
        <v>678766</v>
      </c>
      <c r="O787" s="11" t="n">
        <f aca="false">INDEX(Parametros!$D$2:$D$9,MATCH($E787,Parametros!$A$2:$A$9,0))</f>
        <v>6500</v>
      </c>
      <c r="P787" s="15" t="n">
        <f aca="false">IF((G787-H787)&gt;0,J787/(G787-H787),0)</f>
        <v>0.936750828870186</v>
      </c>
      <c r="Q787" s="15" t="n">
        <f aca="false">IF(J787*O787&gt;0,N787/(O787*J787),0)</f>
        <v>0.852917548011477</v>
      </c>
      <c r="R787" s="15" t="n">
        <f aca="false">IF(N787&gt;0,L787/N787,0)</f>
        <v>0.971694221572678</v>
      </c>
      <c r="S787" s="15" t="n">
        <f aca="false">P787*Q787*R787</f>
        <v>0.776355717732917</v>
      </c>
      <c r="T787" s="15" t="n">
        <f aca="false">IF(K787&gt;0,L787/K787,0)</f>
        <v>0.936087200266824</v>
      </c>
      <c r="U787" s="10" t="n">
        <v>1854.4</v>
      </c>
      <c r="V787" s="5" t="n">
        <v>13</v>
      </c>
      <c r="W787" s="10" t="n">
        <v>81.2</v>
      </c>
      <c r="X787" s="15" t="n">
        <f aca="false">IF(U787&gt;0,W787/U787,0)</f>
        <v>0.0437877480586713</v>
      </c>
      <c r="Y787" s="12" t="n">
        <f aca="false">IF(U787&gt;0,L787/U787,0)</f>
        <v>355.669219154443</v>
      </c>
      <c r="Z787" s="16" t="n">
        <f aca="false">L787*INDEX(Parametros!$E$2:$E$9,MATCH($E787,Parametros!$A$2:$A$9,0))</f>
        <v>402327.33</v>
      </c>
      <c r="AA787" s="16" t="n">
        <f aca="false">Z787*INDEX(Parametros!$F$2:$F$9,MATCH($E787,Parametros!$A$2:$A$9,0))</f>
        <v>10058.18325</v>
      </c>
      <c r="AB787" s="17" t="n">
        <f aca="false">Z787+AA787</f>
        <v>412385.51325</v>
      </c>
      <c r="AC787" s="18" t="n">
        <v>405210.89</v>
      </c>
      <c r="AD787" s="17" t="n">
        <f aca="false">AC787-AB787</f>
        <v>-7174.62325</v>
      </c>
      <c r="AE787" s="17" t="n">
        <f aca="false">AA787+AD787</f>
        <v>2883.56</v>
      </c>
      <c r="AF787" s="19" t="n">
        <f aca="false">IF(Z787&gt;0,AE787/Z787,0)</f>
        <v>0.007167198907417</v>
      </c>
      <c r="AG787" s="16" t="n">
        <f aca="false">(U787-W787)*INDEX(Parametros!$H$2:$H$9,MATCH($E787,Parametros!$A$2:$A$9,0))+W787*INDEX(Parametros!$H$2:$H$9,MATCH($E787,Parametros!$A$2:$A$9,0))*Parametros!$N$3</f>
        <v>59692.5</v>
      </c>
      <c r="AH787" s="13" t="n">
        <v>33351</v>
      </c>
      <c r="AI787" s="16" t="n">
        <f aca="false">AH787*Parametros!$N$2</f>
        <v>3068.292</v>
      </c>
      <c r="AJ787" s="18" t="n">
        <v>14444</v>
      </c>
      <c r="AK787" s="18" t="n">
        <v>7878</v>
      </c>
      <c r="AL787" s="17" t="n">
        <f aca="false">AG787+AI787+AJ787+AK787</f>
        <v>85082.792</v>
      </c>
      <c r="AM787" s="20" t="n">
        <f aca="false">IF(L787&gt;0,AL787/L787,0)</f>
        <v>0.129000689861164</v>
      </c>
      <c r="AN787" s="16" t="n">
        <f aca="false">L787*INDEX(Parametros!$G$2:$G$9,MATCH($E787,Parametros!$A$2:$A$9,0))</f>
        <v>633170.88</v>
      </c>
      <c r="AO787" s="17" t="n">
        <f aca="false">AN787-AC787-AL787</f>
        <v>142877.198</v>
      </c>
      <c r="AP787" s="15" t="n">
        <f aca="false">IF(AN787&gt;0,AO787/AN787,0)</f>
        <v>0.225653457088867</v>
      </c>
      <c r="AQ787" s="16" t="n">
        <f aca="false">INDEX(Parametros!$I$2:$I$9,MATCH($E787,Parametros!$A$2:$A$9,0))</f>
        <v>29700000</v>
      </c>
      <c r="AR787" s="19" t="n">
        <f aca="false">IF(AQ787&gt;0,AO787/AQ787,0)</f>
        <v>0.00481068006734007</v>
      </c>
    </row>
    <row r="788" customFormat="false" ht="15" hidden="false" customHeight="false" outlineLevel="0" collapsed="false">
      <c r="A788" s="5" t="s">
        <v>923</v>
      </c>
      <c r="B788" s="9" t="n">
        <v>46237</v>
      </c>
      <c r="C788" s="2" t="str">
        <f aca="false">TEXT(B788,"yyyy")</f>
        <v>2026</v>
      </c>
      <c r="D788" s="2" t="n">
        <f aca="false">WEEKNUM(B788,2)</f>
        <v>32</v>
      </c>
      <c r="E788" s="5" t="s">
        <v>134</v>
      </c>
      <c r="F788" s="6" t="str">
        <f aca="false">INDEX(Parametros!$B$2:$B$9,MATCH($E788,Parametros!$A$2:$A$9,0))</f>
        <v>Aderezos vertibles</v>
      </c>
      <c r="G788" s="10" t="n">
        <v>114.5</v>
      </c>
      <c r="H788" s="10" t="n">
        <v>6.9</v>
      </c>
      <c r="I788" s="11" t="n">
        <f aca="false">SUMIFS(Eventos_Paro!$J$2:$J$2186,Eventos_Paro!$D$2:$D$2186,$E788,Eventos_Paro!$B$2:$B$2186,$B788)</f>
        <v>5.31666666666667</v>
      </c>
      <c r="J788" s="12" t="n">
        <f aca="false">G788-H788-I788</f>
        <v>102.283333333333</v>
      </c>
      <c r="K788" s="13" t="n">
        <v>464045</v>
      </c>
      <c r="L788" s="13" t="n">
        <v>426895</v>
      </c>
      <c r="M788" s="13" t="n">
        <v>16573</v>
      </c>
      <c r="N788" s="14" t="n">
        <f aca="false">L788+M788</f>
        <v>443468</v>
      </c>
      <c r="O788" s="11" t="n">
        <f aca="false">INDEX(Parametros!$D$2:$D$9,MATCH($E788,Parametros!$A$2:$A$9,0))</f>
        <v>5200</v>
      </c>
      <c r="P788" s="15" t="n">
        <f aca="false">IF((G788-H788)&gt;0,J788/(G788-H788),0)</f>
        <v>0.950588599752169</v>
      </c>
      <c r="Q788" s="15" t="n">
        <f aca="false">IF(J788*O788&gt;0,N788/(O788*J788),0)</f>
        <v>0.833784986400271</v>
      </c>
      <c r="R788" s="15" t="n">
        <f aca="false">IF(N788&gt;0,L788/N788,0)</f>
        <v>0.962628645133358</v>
      </c>
      <c r="S788" s="15" t="n">
        <f aca="false">P788*Q788*R788</f>
        <v>0.762966471261081</v>
      </c>
      <c r="T788" s="15" t="n">
        <f aca="false">IF(K788&gt;0,L788/K788,0)</f>
        <v>0.919943108965725</v>
      </c>
      <c r="U788" s="10" t="n">
        <v>1283.1</v>
      </c>
      <c r="V788" s="5" t="n">
        <v>10</v>
      </c>
      <c r="W788" s="10" t="n">
        <v>138.1</v>
      </c>
      <c r="X788" s="15" t="n">
        <f aca="false">IF(U788&gt;0,W788/U788,0)</f>
        <v>0.107629958693788</v>
      </c>
      <c r="Y788" s="12" t="n">
        <f aca="false">IF(U788&gt;0,L788/U788,0)</f>
        <v>332.705946535734</v>
      </c>
      <c r="Z788" s="16" t="n">
        <f aca="false">L788*INDEX(Parametros!$E$2:$E$9,MATCH($E788,Parametros!$A$2:$A$9,0))</f>
        <v>234792.25</v>
      </c>
      <c r="AA788" s="16" t="n">
        <f aca="false">Z788*INDEX(Parametros!$F$2:$F$9,MATCH($E788,Parametros!$A$2:$A$9,0))</f>
        <v>7043.7675</v>
      </c>
      <c r="AB788" s="17" t="n">
        <f aca="false">Z788+AA788</f>
        <v>241836.0175</v>
      </c>
      <c r="AC788" s="18" t="n">
        <v>244164.62</v>
      </c>
      <c r="AD788" s="17" t="n">
        <f aca="false">AC788-AB788</f>
        <v>2328.60249999998</v>
      </c>
      <c r="AE788" s="17" t="n">
        <f aca="false">AA788+AD788</f>
        <v>9372.36999999998</v>
      </c>
      <c r="AF788" s="19" t="n">
        <f aca="false">IF(Z788&gt;0,AE788/Z788,0)</f>
        <v>0.0399177144901503</v>
      </c>
      <c r="AG788" s="16" t="n">
        <f aca="false">(U788-W788)*INDEX(Parametros!$H$2:$H$9,MATCH($E788,Parametros!$A$2:$A$9,0))+W788*INDEX(Parametros!$H$2:$H$9,MATCH($E788,Parametros!$A$2:$A$9,0))*Parametros!$N$3</f>
        <v>42592.725</v>
      </c>
      <c r="AH788" s="13" t="n">
        <v>22923</v>
      </c>
      <c r="AI788" s="16" t="n">
        <f aca="false">AH788*Parametros!$N$2</f>
        <v>2108.916</v>
      </c>
      <c r="AJ788" s="18" t="n">
        <v>9507</v>
      </c>
      <c r="AK788" s="18" t="n">
        <v>5655</v>
      </c>
      <c r="AL788" s="17" t="n">
        <f aca="false">AG788+AI788+AJ788+AK788</f>
        <v>59863.641</v>
      </c>
      <c r="AM788" s="20" t="n">
        <f aca="false">IF(L788&gt;0,AL788/L788,0)</f>
        <v>0.140230363438316</v>
      </c>
      <c r="AN788" s="16" t="n">
        <f aca="false">L788*INDEX(Parametros!$G$2:$G$9,MATCH($E788,Parametros!$A$2:$A$9,0))</f>
        <v>435432.9</v>
      </c>
      <c r="AO788" s="17" t="n">
        <f aca="false">AN788-AC788-AL788</f>
        <v>131404.639</v>
      </c>
      <c r="AP788" s="15" t="n">
        <f aca="false">IF(AN788&gt;0,AO788/AN788,0)</f>
        <v>0.301779307443236</v>
      </c>
      <c r="AQ788" s="16" t="n">
        <f aca="false">INDEX(Parametros!$I$2:$I$9,MATCH($E788,Parametros!$A$2:$A$9,0))</f>
        <v>19300000</v>
      </c>
      <c r="AR788" s="19" t="n">
        <f aca="false">IF(AQ788&gt;0,AO788/AQ788,0)</f>
        <v>0.00680853051813472</v>
      </c>
    </row>
    <row r="789" customFormat="false" ht="15" hidden="false" customHeight="false" outlineLevel="0" collapsed="false">
      <c r="A789" s="5" t="s">
        <v>924</v>
      </c>
      <c r="B789" s="9" t="n">
        <v>46237</v>
      </c>
      <c r="C789" s="2" t="str">
        <f aca="false">TEXT(B789,"yyyy")</f>
        <v>2026</v>
      </c>
      <c r="D789" s="2" t="n">
        <f aca="false">WEEKNUM(B789,2)</f>
        <v>32</v>
      </c>
      <c r="E789" s="5" t="s">
        <v>136</v>
      </c>
      <c r="F789" s="6" t="str">
        <f aca="false">INDEX(Parametros!$B$2:$B$9,MATCH($E789,Parametros!$A$2:$A$9,0))</f>
        <v>Salsa BBQ</v>
      </c>
      <c r="G789" s="10" t="n">
        <v>125</v>
      </c>
      <c r="H789" s="10" t="n">
        <v>6.3</v>
      </c>
      <c r="I789" s="11" t="n">
        <f aca="false">SUMIFS(Eventos_Paro!$J$2:$J$2186,Eventos_Paro!$D$2:$D$2186,$E789,Eventos_Paro!$B$2:$B$2186,$B789)</f>
        <v>5.95</v>
      </c>
      <c r="J789" s="12" t="n">
        <f aca="false">G789-H789-I789</f>
        <v>112.75</v>
      </c>
      <c r="K789" s="13" t="n">
        <v>531092</v>
      </c>
      <c r="L789" s="13" t="n">
        <v>458340</v>
      </c>
      <c r="M789" s="13" t="n">
        <v>9949</v>
      </c>
      <c r="N789" s="14" t="n">
        <f aca="false">L789+M789</f>
        <v>468289</v>
      </c>
      <c r="O789" s="11" t="n">
        <f aca="false">INDEX(Parametros!$D$2:$D$9,MATCH($E789,Parametros!$A$2:$A$9,0))</f>
        <v>4800</v>
      </c>
      <c r="P789" s="15" t="n">
        <f aca="false">IF((G789-H789)&gt;0,J789/(G789-H789),0)</f>
        <v>0.949873631002527</v>
      </c>
      <c r="Q789" s="15" t="n">
        <f aca="false">IF(J789*O789&gt;0,N789/(O789*J789),0)</f>
        <v>0.865279009608278</v>
      </c>
      <c r="R789" s="15" t="n">
        <f aca="false">IF(N789&gt;0,L789/N789,0)</f>
        <v>0.978754572496898</v>
      </c>
      <c r="S789" s="15" t="n">
        <f aca="false">P789*Q789*R789</f>
        <v>0.80444397641112</v>
      </c>
      <c r="T789" s="15" t="n">
        <f aca="false">IF(K789&gt;0,L789/K789,0)</f>
        <v>0.863014317670008</v>
      </c>
      <c r="U789" s="10" t="n">
        <v>1462.7</v>
      </c>
      <c r="V789" s="5" t="n">
        <v>11</v>
      </c>
      <c r="W789" s="10" t="n">
        <v>87.7</v>
      </c>
      <c r="X789" s="15" t="n">
        <f aca="false">IF(U789&gt;0,W789/U789,0)</f>
        <v>0.0599576126341697</v>
      </c>
      <c r="Y789" s="12" t="n">
        <f aca="false">IF(U789&gt;0,L789/U789,0)</f>
        <v>313.352020236549</v>
      </c>
      <c r="Z789" s="16" t="n">
        <f aca="false">L789*INDEX(Parametros!$E$2:$E$9,MATCH($E789,Parametros!$A$2:$A$9,0))</f>
        <v>265837.2</v>
      </c>
      <c r="AA789" s="16" t="n">
        <f aca="false">Z789*INDEX(Parametros!$F$2:$F$9,MATCH($E789,Parametros!$A$2:$A$9,0))</f>
        <v>7443.4416</v>
      </c>
      <c r="AB789" s="17" t="n">
        <f aca="false">Z789+AA789</f>
        <v>273280.6416</v>
      </c>
      <c r="AC789" s="18" t="n">
        <v>269641.63</v>
      </c>
      <c r="AD789" s="17" t="n">
        <f aca="false">AC789-AB789</f>
        <v>-3639.01159999997</v>
      </c>
      <c r="AE789" s="17" t="n">
        <f aca="false">AA789+AD789</f>
        <v>3804.43000000003</v>
      </c>
      <c r="AF789" s="19" t="n">
        <f aca="false">IF(Z789&gt;0,AE789/Z789,0)</f>
        <v>0.0143111272613465</v>
      </c>
      <c r="AG789" s="16" t="n">
        <f aca="false">(U789-W789)*INDEX(Parametros!$H$2:$H$9,MATCH($E789,Parametros!$A$2:$A$9,0))+W789*INDEX(Parametros!$H$2:$H$9,MATCH($E789,Parametros!$A$2:$A$9,0))*Parametros!$N$3</f>
        <v>47456.325</v>
      </c>
      <c r="AH789" s="13" t="n">
        <v>23064</v>
      </c>
      <c r="AI789" s="16" t="n">
        <f aca="false">AH789*Parametros!$N$2</f>
        <v>2121.888</v>
      </c>
      <c r="AJ789" s="18" t="n">
        <v>8726</v>
      </c>
      <c r="AK789" s="18" t="n">
        <v>4452</v>
      </c>
      <c r="AL789" s="17" t="n">
        <f aca="false">AG789+AI789+AJ789+AK789</f>
        <v>62756.213</v>
      </c>
      <c r="AM789" s="20" t="n">
        <f aca="false">IF(L789&gt;0,AL789/L789,0)</f>
        <v>0.136920654972291</v>
      </c>
      <c r="AN789" s="16" t="n">
        <f aca="false">L789*INDEX(Parametros!$G$2:$G$9,MATCH($E789,Parametros!$A$2:$A$9,0))</f>
        <v>449173.2</v>
      </c>
      <c r="AO789" s="17" t="n">
        <f aca="false">AN789-AC789-AL789</f>
        <v>116775.357</v>
      </c>
      <c r="AP789" s="15" t="n">
        <f aca="false">IF(AN789&gt;0,AO789/AN789,0)</f>
        <v>0.25997846042462</v>
      </c>
      <c r="AQ789" s="16" t="n">
        <f aca="false">INDEX(Parametros!$I$2:$I$9,MATCH($E789,Parametros!$A$2:$A$9,0))</f>
        <v>17000000</v>
      </c>
      <c r="AR789" s="19" t="n">
        <f aca="false">IF(AQ789&gt;0,AO789/AQ789,0)</f>
        <v>0.00686913864705882</v>
      </c>
    </row>
    <row r="790" customFormat="false" ht="15" hidden="false" customHeight="false" outlineLevel="0" collapsed="false">
      <c r="A790" s="5" t="s">
        <v>925</v>
      </c>
      <c r="B790" s="9" t="n">
        <v>46237</v>
      </c>
      <c r="C790" s="2" t="str">
        <f aca="false">TEXT(B790,"yyyy")</f>
        <v>2026</v>
      </c>
      <c r="D790" s="2" t="n">
        <f aca="false">WEEKNUM(B790,2)</f>
        <v>32</v>
      </c>
      <c r="E790" s="5" t="s">
        <v>138</v>
      </c>
      <c r="F790" s="6" t="str">
        <f aca="false">INDEX(Parametros!$B$2:$B$9,MATCH($E790,Parametros!$A$2:$A$9,0))</f>
        <v>Queso crema</v>
      </c>
      <c r="G790" s="10" t="n">
        <v>127.7</v>
      </c>
      <c r="H790" s="10" t="n">
        <v>6.3</v>
      </c>
      <c r="I790" s="11" t="n">
        <f aca="false">SUMIFS(Eventos_Paro!$J$2:$J$2186,Eventos_Paro!$D$2:$D$2186,$E790,Eventos_Paro!$B$2:$B$2186,$B790)</f>
        <v>0</v>
      </c>
      <c r="J790" s="12" t="n">
        <f aca="false">G790-H790-I790</f>
        <v>121.4</v>
      </c>
      <c r="K790" s="13" t="n">
        <v>382602</v>
      </c>
      <c r="L790" s="13" t="n">
        <v>390794</v>
      </c>
      <c r="M790" s="13" t="n">
        <v>12205</v>
      </c>
      <c r="N790" s="14" t="n">
        <f aca="false">L790+M790</f>
        <v>402999</v>
      </c>
      <c r="O790" s="11" t="n">
        <f aca="false">INDEX(Parametros!$D$2:$D$9,MATCH($E790,Parametros!$A$2:$A$9,0))</f>
        <v>3800</v>
      </c>
      <c r="P790" s="15" t="n">
        <f aca="false">IF((G790-H790)&gt;0,J790/(G790-H790),0)</f>
        <v>1</v>
      </c>
      <c r="Q790" s="15" t="n">
        <f aca="false">IF(J790*O790&gt;0,N790/(O790*J790),0)</f>
        <v>0.87357799358363</v>
      </c>
      <c r="R790" s="15" t="n">
        <f aca="false">IF(N790&gt;0,L790/N790,0)</f>
        <v>0.969714565048549</v>
      </c>
      <c r="S790" s="15" t="n">
        <f aca="false">P790*Q790*R790</f>
        <v>0.847121304083933</v>
      </c>
      <c r="T790" s="15" t="n">
        <f aca="false">IF(K790&gt;0,L790/K790,0)</f>
        <v>1.02141128378838</v>
      </c>
      <c r="U790" s="10" t="n">
        <v>1844.9</v>
      </c>
      <c r="V790" s="5" t="n">
        <v>14</v>
      </c>
      <c r="W790" s="10" t="n">
        <v>57.1</v>
      </c>
      <c r="X790" s="15" t="n">
        <f aca="false">IF(U790&gt;0,W790/U790,0)</f>
        <v>0.0309501870020055</v>
      </c>
      <c r="Y790" s="12" t="n">
        <f aca="false">IF(U790&gt;0,L790/U790,0)</f>
        <v>211.823947097404</v>
      </c>
      <c r="Z790" s="16" t="n">
        <f aca="false">L790*INDEX(Parametros!$E$2:$E$9,MATCH($E790,Parametros!$A$2:$A$9,0))</f>
        <v>437689.28</v>
      </c>
      <c r="AA790" s="16" t="n">
        <f aca="false">Z790*INDEX(Parametros!$F$2:$F$9,MATCH($E790,Parametros!$A$2:$A$9,0))</f>
        <v>15319.1248</v>
      </c>
      <c r="AB790" s="17" t="n">
        <f aca="false">Z790+AA790</f>
        <v>453008.4048</v>
      </c>
      <c r="AC790" s="18" t="n">
        <v>450541.17</v>
      </c>
      <c r="AD790" s="17" t="n">
        <f aca="false">AC790-AB790</f>
        <v>-2467.23480000003</v>
      </c>
      <c r="AE790" s="17" t="n">
        <f aca="false">AA790+AD790</f>
        <v>12851.89</v>
      </c>
      <c r="AF790" s="19" t="n">
        <f aca="false">IF(Z790&gt;0,AE790/Z790,0)</f>
        <v>0.0293630449436641</v>
      </c>
      <c r="AG790" s="16" t="n">
        <f aca="false">(U790-W790)*INDEX(Parametros!$H$2:$H$9,MATCH($E790,Parametros!$A$2:$A$9,0))+W790*INDEX(Parametros!$H$2:$H$9,MATCH($E790,Parametros!$A$2:$A$9,0))*Parametros!$N$3</f>
        <v>61823.85</v>
      </c>
      <c r="AH790" s="13" t="n">
        <v>19344</v>
      </c>
      <c r="AI790" s="16" t="n">
        <f aca="false">AH790*Parametros!$N$2</f>
        <v>1779.648</v>
      </c>
      <c r="AJ790" s="18" t="n">
        <v>21700</v>
      </c>
      <c r="AK790" s="18" t="n">
        <v>0</v>
      </c>
      <c r="AL790" s="17" t="n">
        <f aca="false">AG790+AI790+AJ790+AK790</f>
        <v>85303.498</v>
      </c>
      <c r="AM790" s="20" t="n">
        <f aca="false">IF(L790&gt;0,AL790/L790,0)</f>
        <v>0.218282517131788</v>
      </c>
      <c r="AN790" s="16" t="n">
        <f aca="false">L790*INDEX(Parametros!$G$2:$G$9,MATCH($E790,Parametros!$A$2:$A$9,0))</f>
        <v>699521.26</v>
      </c>
      <c r="AO790" s="17" t="n">
        <f aca="false">AN790-AC790-AL790</f>
        <v>163676.592</v>
      </c>
      <c r="AP790" s="15" t="n">
        <f aca="false">IF(AN790&gt;0,AO790/AN790,0)</f>
        <v>0.233983727671122</v>
      </c>
      <c r="AQ790" s="16" t="n">
        <f aca="false">INDEX(Parametros!$I$2:$I$9,MATCH($E790,Parametros!$A$2:$A$9,0))</f>
        <v>33200000</v>
      </c>
      <c r="AR790" s="19" t="n">
        <f aca="false">IF(AQ790&gt;0,AO790/AQ790,0)</f>
        <v>0.0049300178313253</v>
      </c>
    </row>
    <row r="791" customFormat="false" ht="15" hidden="false" customHeight="false" outlineLevel="0" collapsed="false">
      <c r="A791" s="5" t="s">
        <v>926</v>
      </c>
      <c r="B791" s="9" t="n">
        <v>46237</v>
      </c>
      <c r="C791" s="2" t="str">
        <f aca="false">TEXT(B791,"yyyy")</f>
        <v>2026</v>
      </c>
      <c r="D791" s="2" t="n">
        <f aca="false">WEEKNUM(B791,2)</f>
        <v>32</v>
      </c>
      <c r="E791" s="5" t="s">
        <v>140</v>
      </c>
      <c r="F791" s="6" t="str">
        <f aca="false">INDEX(Parametros!$B$2:$B$9,MATCH($E791,Parametros!$A$2:$A$9,0))</f>
        <v>Crema de cacahuate</v>
      </c>
      <c r="G791" s="10" t="n">
        <v>112</v>
      </c>
      <c r="H791" s="10" t="n">
        <v>5.4</v>
      </c>
      <c r="I791" s="11" t="n">
        <f aca="false">SUMIFS(Eventos_Paro!$J$2:$J$2186,Eventos_Paro!$D$2:$D$2186,$E791,Eventos_Paro!$B$2:$B$2186,$B791)</f>
        <v>3.45</v>
      </c>
      <c r="J791" s="12" t="n">
        <f aca="false">G791-H791-I791</f>
        <v>103.15</v>
      </c>
      <c r="K791" s="13" t="n">
        <v>371322</v>
      </c>
      <c r="L791" s="13" t="n">
        <v>372495</v>
      </c>
      <c r="M791" s="13" t="n">
        <v>6828</v>
      </c>
      <c r="N791" s="14" t="n">
        <f aca="false">L791+M791</f>
        <v>379323</v>
      </c>
      <c r="O791" s="11" t="n">
        <f aca="false">INDEX(Parametros!$D$2:$D$9,MATCH($E791,Parametros!$A$2:$A$9,0))</f>
        <v>4200</v>
      </c>
      <c r="P791" s="15" t="n">
        <f aca="false">IF((G791-H791)&gt;0,J791/(G791-H791),0)</f>
        <v>0.967636022514071</v>
      </c>
      <c r="Q791" s="15" t="n">
        <f aca="false">IF(J791*O791&gt;0,N791/(O791*J791),0)</f>
        <v>0.875569558894814</v>
      </c>
      <c r="R791" s="15" t="n">
        <f aca="false">IF(N791&gt;0,L791/N791,0)</f>
        <v>0.981999509652723</v>
      </c>
      <c r="S791" s="15" t="n">
        <f aca="false">P791*Q791*R791</f>
        <v>0.831982042347896</v>
      </c>
      <c r="T791" s="15" t="n">
        <f aca="false">IF(K791&gt;0,L791/K791,0)</f>
        <v>1.00315898330829</v>
      </c>
      <c r="U791" s="10" t="n">
        <v>1386.9</v>
      </c>
      <c r="V791" s="5" t="n">
        <v>12</v>
      </c>
      <c r="W791" s="10" t="n">
        <v>42.9</v>
      </c>
      <c r="X791" s="15" t="n">
        <f aca="false">IF(U791&gt;0,W791/U791,0)</f>
        <v>0.0309322950465066</v>
      </c>
      <c r="Y791" s="12" t="n">
        <f aca="false">IF(U791&gt;0,L791/U791,0)</f>
        <v>268.581008003461</v>
      </c>
      <c r="Z791" s="16" t="n">
        <f aca="false">L791*INDEX(Parametros!$E$2:$E$9,MATCH($E791,Parametros!$A$2:$A$9,0))</f>
        <v>361320.15</v>
      </c>
      <c r="AA791" s="16" t="n">
        <f aca="false">Z791*INDEX(Parametros!$F$2:$F$9,MATCH($E791,Parametros!$A$2:$A$9,0))</f>
        <v>7949.0433</v>
      </c>
      <c r="AB791" s="17" t="n">
        <f aca="false">Z791+AA791</f>
        <v>369269.1933</v>
      </c>
      <c r="AC791" s="18" t="n">
        <v>370583.83</v>
      </c>
      <c r="AD791" s="17" t="n">
        <f aca="false">AC791-AB791</f>
        <v>1314.63670000003</v>
      </c>
      <c r="AE791" s="17" t="n">
        <f aca="false">AA791+AD791</f>
        <v>9263.68000000003</v>
      </c>
      <c r="AF791" s="19" t="n">
        <f aca="false">IF(Z791&gt;0,AE791/Z791,0)</f>
        <v>0.0256384261990371</v>
      </c>
      <c r="AG791" s="16" t="n">
        <f aca="false">(U791-W791)*INDEX(Parametros!$H$2:$H$9,MATCH($E791,Parametros!$A$2:$A$9,0))+W791*INDEX(Parametros!$H$2:$H$9,MATCH($E791,Parametros!$A$2:$A$9,0))*Parametros!$N$3</f>
        <v>44363.025</v>
      </c>
      <c r="AH791" s="13" t="n">
        <v>19007</v>
      </c>
      <c r="AI791" s="16" t="n">
        <f aca="false">AH791*Parametros!$N$2</f>
        <v>1748.644</v>
      </c>
      <c r="AJ791" s="18" t="n">
        <v>13167</v>
      </c>
      <c r="AK791" s="18" t="n">
        <v>1719</v>
      </c>
      <c r="AL791" s="17" t="n">
        <f aca="false">AG791+AI791+AJ791+AK791</f>
        <v>60997.669</v>
      </c>
      <c r="AM791" s="20" t="n">
        <f aca="false">IF(L791&gt;0,AL791/L791,0)</f>
        <v>0.163754329588317</v>
      </c>
      <c r="AN791" s="16" t="n">
        <f aca="false">L791*INDEX(Parametros!$G$2:$G$9,MATCH($E791,Parametros!$A$2:$A$9,0))</f>
        <v>603441.9</v>
      </c>
      <c r="AO791" s="17" t="n">
        <f aca="false">AN791-AC791-AL791</f>
        <v>171860.401</v>
      </c>
      <c r="AP791" s="15" t="n">
        <f aca="false">IF(AN791&gt;0,AO791/AN791,0)</f>
        <v>0.284800245060875</v>
      </c>
      <c r="AQ791" s="16" t="n">
        <f aca="false">INDEX(Parametros!$I$2:$I$9,MATCH($E791,Parametros!$A$2:$A$9,0))</f>
        <v>28000000</v>
      </c>
      <c r="AR791" s="19" t="n">
        <f aca="false">IF(AQ791&gt;0,AO791/AQ791,0)</f>
        <v>0.00613787146428571</v>
      </c>
    </row>
    <row r="792" customFormat="false" ht="15" hidden="false" customHeight="false" outlineLevel="0" collapsed="false">
      <c r="A792" s="5" t="s">
        <v>927</v>
      </c>
      <c r="B792" s="9" t="n">
        <v>46237</v>
      </c>
      <c r="C792" s="2" t="str">
        <f aca="false">TEXT(B792,"yyyy")</f>
        <v>2026</v>
      </c>
      <c r="D792" s="2" t="n">
        <f aca="false">WEEKNUM(B792,2)</f>
        <v>32</v>
      </c>
      <c r="E792" s="5" t="s">
        <v>142</v>
      </c>
      <c r="F792" s="6" t="str">
        <f aca="false">INDEX(Parametros!$B$2:$B$9,MATCH($E792,Parametros!$A$2:$A$9,0))</f>
        <v>Porciones single serve</v>
      </c>
      <c r="G792" s="10" t="n">
        <v>91</v>
      </c>
      <c r="H792" s="10" t="n">
        <v>7</v>
      </c>
      <c r="I792" s="11" t="n">
        <f aca="false">SUMIFS(Eventos_Paro!$J$2:$J$2186,Eventos_Paro!$D$2:$D$2186,$E792,Eventos_Paro!$B$2:$B$2186,$B792)</f>
        <v>4.88333333333333</v>
      </c>
      <c r="J792" s="12" t="n">
        <f aca="false">G792-H792-I792</f>
        <v>79.1166666666667</v>
      </c>
      <c r="K792" s="13" t="n">
        <v>181133</v>
      </c>
      <c r="L792" s="13" t="n">
        <v>149413</v>
      </c>
      <c r="M792" s="13" t="n">
        <v>8710</v>
      </c>
      <c r="N792" s="14" t="n">
        <f aca="false">L792+M792</f>
        <v>158123</v>
      </c>
      <c r="O792" s="11" t="n">
        <f aca="false">INDEX(Parametros!$D$2:$D$9,MATCH($E792,Parametros!$A$2:$A$9,0))</f>
        <v>2600</v>
      </c>
      <c r="P792" s="15" t="n">
        <f aca="false">IF((G792-H792)&gt;0,J792/(G792-H792),0)</f>
        <v>0.94186507936508</v>
      </c>
      <c r="Q792" s="15" t="n">
        <f aca="false">IF(J792*O792&gt;0,N792/(O792*J792),0)</f>
        <v>0.768694398081379</v>
      </c>
      <c r="R792" s="15" t="n">
        <f aca="false">IF(N792&gt;0,L792/N792,0)</f>
        <v>0.944916299336592</v>
      </c>
      <c r="S792" s="15" t="n">
        <f aca="false">P792*Q792*R792</f>
        <v>0.684125457875458</v>
      </c>
      <c r="T792" s="15" t="n">
        <f aca="false">IF(K792&gt;0,L792/K792,0)</f>
        <v>0.824880060508025</v>
      </c>
      <c r="U792" s="10" t="n">
        <v>1619.1</v>
      </c>
      <c r="V792" s="5" t="n">
        <v>16</v>
      </c>
      <c r="W792" s="10" t="n">
        <v>163.1</v>
      </c>
      <c r="X792" s="15" t="n">
        <f aca="false">IF(U792&gt;0,W792/U792,0)</f>
        <v>0.100734976221358</v>
      </c>
      <c r="Y792" s="12" t="n">
        <f aca="false">IF(U792&gt;0,L792/U792,0)</f>
        <v>92.2815144215923</v>
      </c>
      <c r="Z792" s="16" t="n">
        <f aca="false">L792*INDEX(Parametros!$E$2:$E$9,MATCH($E792,Parametros!$A$2:$A$9,0))</f>
        <v>110565.62</v>
      </c>
      <c r="AA792" s="16" t="n">
        <f aca="false">Z792*INDEX(Parametros!$F$2:$F$9,MATCH($E792,Parametros!$A$2:$A$9,0))</f>
        <v>4975.4529</v>
      </c>
      <c r="AB792" s="17" t="n">
        <f aca="false">Z792+AA792</f>
        <v>115541.0729</v>
      </c>
      <c r="AC792" s="18" t="n">
        <v>119051.86</v>
      </c>
      <c r="AD792" s="17" t="n">
        <f aca="false">AC792-AB792</f>
        <v>3510.7871</v>
      </c>
      <c r="AE792" s="17" t="n">
        <f aca="false">AA792+AD792</f>
        <v>8486.24</v>
      </c>
      <c r="AF792" s="19" t="n">
        <f aca="false">IF(Z792&gt;0,AE792/Z792,0)</f>
        <v>0.076752972578637</v>
      </c>
      <c r="AG792" s="16" t="n">
        <f aca="false">(U792-W792)*INDEX(Parametros!$H$2:$H$9,MATCH($E792,Parametros!$A$2:$A$9,0))+W792*INDEX(Parametros!$H$2:$H$9,MATCH($E792,Parametros!$A$2:$A$9,0))*Parametros!$N$3</f>
        <v>51019.5</v>
      </c>
      <c r="AH792" s="13" t="n">
        <v>8323</v>
      </c>
      <c r="AI792" s="16" t="n">
        <f aca="false">AH792*Parametros!$N$2</f>
        <v>765.716</v>
      </c>
      <c r="AJ792" s="18" t="n">
        <v>10844</v>
      </c>
      <c r="AK792" s="18" t="n">
        <v>5134</v>
      </c>
      <c r="AL792" s="17" t="n">
        <f aca="false">AG792+AI792+AJ792+AK792</f>
        <v>67763.216</v>
      </c>
      <c r="AM792" s="20" t="n">
        <f aca="false">IF(L792&gt;0,AL792/L792,0)</f>
        <v>0.453529585779015</v>
      </c>
      <c r="AN792" s="16" t="n">
        <f aca="false">L792*INDEX(Parametros!$G$2:$G$9,MATCH($E792,Parametros!$A$2:$A$9,0))</f>
        <v>256990.36</v>
      </c>
      <c r="AO792" s="17" t="n">
        <f aca="false">AN792-AC792-AL792</f>
        <v>70175.284</v>
      </c>
      <c r="AP792" s="15" t="n">
        <f aca="false">IF(AN792&gt;0,AO792/AN792,0)</f>
        <v>0.273065822391159</v>
      </c>
      <c r="AQ792" s="16" t="n">
        <f aca="false">INDEX(Parametros!$I$2:$I$9,MATCH($E792,Parametros!$A$2:$A$9,0))</f>
        <v>15900000</v>
      </c>
      <c r="AR792" s="19" t="n">
        <f aca="false">IF(AQ792&gt;0,AO792/AQ792,0)</f>
        <v>0.00441353987421384</v>
      </c>
    </row>
    <row r="793" customFormat="false" ht="15" hidden="false" customHeight="false" outlineLevel="0" collapsed="false">
      <c r="A793" s="5" t="s">
        <v>928</v>
      </c>
      <c r="B793" s="9" t="n">
        <v>46237</v>
      </c>
      <c r="C793" s="2" t="str">
        <f aca="false">TEXT(B793,"yyyy")</f>
        <v>2026</v>
      </c>
      <c r="D793" s="2" t="n">
        <f aca="false">WEEKNUM(B793,2)</f>
        <v>32</v>
      </c>
      <c r="E793" s="5" t="s">
        <v>144</v>
      </c>
      <c r="F793" s="6" t="str">
        <f aca="false">INDEX(Parametros!$B$2:$B$9,MATCH($E793,Parametros!$A$2:$A$9,0))</f>
        <v>Salsas picantes</v>
      </c>
      <c r="G793" s="10" t="n">
        <v>102.4</v>
      </c>
      <c r="H793" s="10" t="n">
        <v>7.5</v>
      </c>
      <c r="I793" s="11" t="n">
        <f aca="false">SUMIFS(Eventos_Paro!$J$2:$J$2186,Eventos_Paro!$D$2:$D$2186,$E793,Eventos_Paro!$B$2:$B$2186,$B793)</f>
        <v>1.53333333333333</v>
      </c>
      <c r="J793" s="12" t="n">
        <f aca="false">G793-H793-I793</f>
        <v>93.3666666666667</v>
      </c>
      <c r="K793" s="13" t="n">
        <v>222648</v>
      </c>
      <c r="L793" s="13" t="n">
        <v>232894</v>
      </c>
      <c r="M793" s="13" t="n">
        <v>7091</v>
      </c>
      <c r="N793" s="14" t="n">
        <f aca="false">L793+M793</f>
        <v>239985</v>
      </c>
      <c r="O793" s="11" t="n">
        <f aca="false">INDEX(Parametros!$D$2:$D$9,MATCH($E793,Parametros!$A$2:$A$9,0))</f>
        <v>3100</v>
      </c>
      <c r="P793" s="15" t="n">
        <f aca="false">IF((G793-H793)&gt;0,J793/(G793-H793),0)</f>
        <v>0.983842641376888</v>
      </c>
      <c r="Q793" s="15" t="n">
        <f aca="false">IF(J793*O793&gt;0,N793/(O793*J793),0)</f>
        <v>0.829145120982138</v>
      </c>
      <c r="R793" s="15" t="n">
        <f aca="false">IF(N793&gt;0,L793/N793,0)</f>
        <v>0.970452319936663</v>
      </c>
      <c r="S793" s="15" t="n">
        <f aca="false">P793*Q793*R793</f>
        <v>0.79164485536558</v>
      </c>
      <c r="T793" s="15" t="n">
        <f aca="false">IF(K793&gt;0,L793/K793,0)</f>
        <v>1.04601882792569</v>
      </c>
      <c r="U793" s="10" t="n">
        <v>1232.1</v>
      </c>
      <c r="V793" s="5" t="n">
        <v>11</v>
      </c>
      <c r="W793" s="10" t="n">
        <v>105.7</v>
      </c>
      <c r="X793" s="15" t="n">
        <f aca="false">IF(U793&gt;0,W793/U793,0)</f>
        <v>0.0857884911938966</v>
      </c>
      <c r="Y793" s="12" t="n">
        <f aca="false">IF(U793&gt;0,L793/U793,0)</f>
        <v>189.021994967941</v>
      </c>
      <c r="Z793" s="16" t="n">
        <f aca="false">L793*INDEX(Parametros!$E$2:$E$9,MATCH($E793,Parametros!$A$2:$A$9,0))</f>
        <v>153710.04</v>
      </c>
      <c r="AA793" s="16" t="n">
        <f aca="false">Z793*INDEX(Parametros!$F$2:$F$9,MATCH($E793,Parametros!$A$2:$A$9,0))</f>
        <v>3996.46104</v>
      </c>
      <c r="AB793" s="17" t="n">
        <f aca="false">Z793+AA793</f>
        <v>157706.50104</v>
      </c>
      <c r="AC793" s="18" t="n">
        <v>159862.62</v>
      </c>
      <c r="AD793" s="17" t="n">
        <f aca="false">AC793-AB793</f>
        <v>2156.11895999999</v>
      </c>
      <c r="AE793" s="17" t="n">
        <f aca="false">AA793+AD793</f>
        <v>6152.57999999999</v>
      </c>
      <c r="AF793" s="19" t="n">
        <f aca="false">IF(Z793&gt;0,AE793/Z793,0)</f>
        <v>0.0400271836504629</v>
      </c>
      <c r="AG793" s="16" t="n">
        <f aca="false">(U793-W793)*INDEX(Parametros!$H$2:$H$9,MATCH($E793,Parametros!$A$2:$A$9,0))+W793*INDEX(Parametros!$H$2:$H$9,MATCH($E793,Parametros!$A$2:$A$9,0))*Parametros!$N$3</f>
        <v>40475.925</v>
      </c>
      <c r="AH793" s="13" t="n">
        <v>12424</v>
      </c>
      <c r="AI793" s="16" t="n">
        <f aca="false">AH793*Parametros!$N$2</f>
        <v>1143.008</v>
      </c>
      <c r="AJ793" s="18" t="n">
        <v>5926</v>
      </c>
      <c r="AK793" s="18" t="n">
        <v>830</v>
      </c>
      <c r="AL793" s="17" t="n">
        <f aca="false">AG793+AI793+AJ793+AK793</f>
        <v>48374.933</v>
      </c>
      <c r="AM793" s="20" t="n">
        <f aca="false">IF(L793&gt;0,AL793/L793,0)</f>
        <v>0.207712233891813</v>
      </c>
      <c r="AN793" s="16" t="n">
        <f aca="false">L793*INDEX(Parametros!$G$2:$G$9,MATCH($E793,Parametros!$A$2:$A$9,0))</f>
        <v>291117.5</v>
      </c>
      <c r="AO793" s="17" t="n">
        <f aca="false">AN793-AC793-AL793</f>
        <v>82879.947</v>
      </c>
      <c r="AP793" s="15" t="n">
        <f aca="false">IF(AN793&gt;0,AO793/AN793,0)</f>
        <v>0.284695859919105</v>
      </c>
      <c r="AQ793" s="16" t="n">
        <f aca="false">INDEX(Parametros!$I$2:$I$9,MATCH($E793,Parametros!$A$2:$A$9,0))</f>
        <v>13300000</v>
      </c>
      <c r="AR793" s="19" t="n">
        <f aca="false">IF(AQ793&gt;0,AO793/AQ793,0)</f>
        <v>0.00623157496240602</v>
      </c>
    </row>
    <row r="794" customFormat="false" ht="15" hidden="false" customHeight="false" outlineLevel="0" collapsed="false">
      <c r="A794" s="5" t="s">
        <v>929</v>
      </c>
      <c r="B794" s="9" t="n">
        <v>46244</v>
      </c>
      <c r="C794" s="2" t="str">
        <f aca="false">TEXT(B794,"yyyy")</f>
        <v>2026</v>
      </c>
      <c r="D794" s="2" t="n">
        <f aca="false">WEEKNUM(B794,2)</f>
        <v>33</v>
      </c>
      <c r="E794" s="5" t="s">
        <v>130</v>
      </c>
      <c r="F794" s="6" t="str">
        <f aca="false">INDEX(Parametros!$B$2:$B$9,MATCH($E794,Parametros!$A$2:$A$9,0))</f>
        <v>Ketchup botella</v>
      </c>
      <c r="G794" s="10" t="n">
        <v>122.3</v>
      </c>
      <c r="H794" s="10" t="n">
        <v>6.3</v>
      </c>
      <c r="I794" s="11" t="n">
        <f aca="false">SUMIFS(Eventos_Paro!$J$2:$J$2186,Eventos_Paro!$D$2:$D$2186,$E794,Eventos_Paro!$B$2:$B$2186,$B794)</f>
        <v>5.16666666666667</v>
      </c>
      <c r="J794" s="12" t="n">
        <f aca="false">G794-H794-I794</f>
        <v>110.833333333333</v>
      </c>
      <c r="K794" s="13" t="n">
        <v>864036</v>
      </c>
      <c r="L794" s="13" t="n">
        <v>865517</v>
      </c>
      <c r="M794" s="13" t="n">
        <v>19506</v>
      </c>
      <c r="N794" s="14" t="n">
        <f aca="false">L794+M794</f>
        <v>885023</v>
      </c>
      <c r="O794" s="11" t="n">
        <f aca="false">INDEX(Parametros!$D$2:$D$9,MATCH($E794,Parametros!$A$2:$A$9,0))</f>
        <v>9000</v>
      </c>
      <c r="P794" s="15" t="n">
        <f aca="false">IF((G794-H794)&gt;0,J794/(G794-H794),0)</f>
        <v>0.955459770114943</v>
      </c>
      <c r="Q794" s="15" t="n">
        <f aca="false">IF(J794*O794&gt;0,N794/(O794*J794),0)</f>
        <v>0.887241102756892</v>
      </c>
      <c r="R794" s="15" t="n">
        <f aca="false">IF(N794&gt;0,L794/N794,0)</f>
        <v>0.977959894827592</v>
      </c>
      <c r="S794" s="15" t="n">
        <f aca="false">P794*Q794*R794</f>
        <v>0.829039272030651</v>
      </c>
      <c r="T794" s="15" t="n">
        <f aca="false">IF(K794&gt;0,L794/K794,0)</f>
        <v>1.00171404895166</v>
      </c>
      <c r="U794" s="10" t="n">
        <v>1661.9</v>
      </c>
      <c r="V794" s="5" t="n">
        <v>13</v>
      </c>
      <c r="W794" s="10" t="n">
        <v>72</v>
      </c>
      <c r="X794" s="15" t="n">
        <f aca="false">IF(U794&gt;0,W794/U794,0)</f>
        <v>0.0433239063722246</v>
      </c>
      <c r="Y794" s="12" t="n">
        <f aca="false">IF(U794&gt;0,L794/U794,0)</f>
        <v>520.799687105121</v>
      </c>
      <c r="Z794" s="16" t="n">
        <f aca="false">L794*INDEX(Parametros!$E$2:$E$9,MATCH($E794,Parametros!$A$2:$A$9,0))</f>
        <v>363517.14</v>
      </c>
      <c r="AA794" s="16" t="n">
        <f aca="false">Z794*INDEX(Parametros!$F$2:$F$9,MATCH($E794,Parametros!$A$2:$A$9,0))</f>
        <v>7270.3428</v>
      </c>
      <c r="AB794" s="17" t="n">
        <f aca="false">Z794+AA794</f>
        <v>370787.4828</v>
      </c>
      <c r="AC794" s="18" t="n">
        <v>364239.23</v>
      </c>
      <c r="AD794" s="17" t="n">
        <f aca="false">AC794-AB794</f>
        <v>-6548.25280000002</v>
      </c>
      <c r="AE794" s="17" t="n">
        <f aca="false">AA794+AD794</f>
        <v>722.089999999984</v>
      </c>
      <c r="AF794" s="19" t="n">
        <f aca="false">IF(Z794&gt;0,AE794/Z794,0)</f>
        <v>0.00198639877063289</v>
      </c>
      <c r="AG794" s="16" t="n">
        <f aca="false">(U794-W794)*INDEX(Parametros!$H$2:$H$9,MATCH($E794,Parametros!$A$2:$A$9,0))+W794*INDEX(Parametros!$H$2:$H$9,MATCH($E794,Parametros!$A$2:$A$9,0))*Parametros!$N$3</f>
        <v>53483.85</v>
      </c>
      <c r="AH794" s="13" t="n">
        <v>43734</v>
      </c>
      <c r="AI794" s="16" t="n">
        <f aca="false">AH794*Parametros!$N$2</f>
        <v>4023.528</v>
      </c>
      <c r="AJ794" s="18" t="n">
        <v>16583</v>
      </c>
      <c r="AK794" s="18" t="n">
        <v>3242</v>
      </c>
      <c r="AL794" s="17" t="n">
        <f aca="false">AG794+AI794+AJ794+AK794</f>
        <v>77332.378</v>
      </c>
      <c r="AM794" s="20" t="n">
        <f aca="false">IF(L794&gt;0,AL794/L794,0)</f>
        <v>0.0893481907345552</v>
      </c>
      <c r="AN794" s="16" t="n">
        <f aca="false">L794*INDEX(Parametros!$G$2:$G$9,MATCH($E794,Parametros!$A$2:$A$9,0))</f>
        <v>614517.07</v>
      </c>
      <c r="AO794" s="17" t="n">
        <f aca="false">AN794-AC794-AL794</f>
        <v>172945.462</v>
      </c>
      <c r="AP794" s="15" t="n">
        <f aca="false">IF(AN794&gt;0,AO794/AN794,0)</f>
        <v>0.281433129270111</v>
      </c>
      <c r="AQ794" s="16" t="n">
        <f aca="false">INDEX(Parametros!$I$2:$I$9,MATCH($E794,Parametros!$A$2:$A$9,0))</f>
        <v>29300000</v>
      </c>
      <c r="AR794" s="19" t="n">
        <f aca="false">IF(AQ794&gt;0,AO794/AQ794,0)</f>
        <v>0.00590257549488055</v>
      </c>
    </row>
    <row r="795" customFormat="false" ht="15" hidden="false" customHeight="false" outlineLevel="0" collapsed="false">
      <c r="A795" s="5" t="s">
        <v>930</v>
      </c>
      <c r="B795" s="9" t="n">
        <v>46244</v>
      </c>
      <c r="C795" s="2" t="str">
        <f aca="false">TEXT(B795,"yyyy")</f>
        <v>2026</v>
      </c>
      <c r="D795" s="2" t="n">
        <f aca="false">WEEKNUM(B795,2)</f>
        <v>33</v>
      </c>
      <c r="E795" s="5" t="s">
        <v>132</v>
      </c>
      <c r="F795" s="6" t="str">
        <f aca="false">INDEX(Parametros!$B$2:$B$9,MATCH($E795,Parametros!$A$2:$A$9,0))</f>
        <v>Mayonesa frasco</v>
      </c>
      <c r="G795" s="10" t="n">
        <v>117.6</v>
      </c>
      <c r="H795" s="10" t="n">
        <v>6.4</v>
      </c>
      <c r="I795" s="11" t="n">
        <f aca="false">SUMIFS(Eventos_Paro!$J$2:$J$2186,Eventos_Paro!$D$2:$D$2186,$E795,Eventos_Paro!$B$2:$B$2186,$B795)</f>
        <v>2.85</v>
      </c>
      <c r="J795" s="12" t="n">
        <f aca="false">G795-H795-I795</f>
        <v>108.35</v>
      </c>
      <c r="K795" s="13" t="n">
        <v>598204</v>
      </c>
      <c r="L795" s="13" t="n">
        <v>556981</v>
      </c>
      <c r="M795" s="13" t="n">
        <v>18874</v>
      </c>
      <c r="N795" s="14" t="n">
        <f aca="false">L795+M795</f>
        <v>575855</v>
      </c>
      <c r="O795" s="11" t="n">
        <f aca="false">INDEX(Parametros!$D$2:$D$9,MATCH($E795,Parametros!$A$2:$A$9,0))</f>
        <v>6500</v>
      </c>
      <c r="P795" s="15" t="n">
        <f aca="false">IF((G795-H795)&gt;0,J795/(G795-H795),0)</f>
        <v>0.974370503597122</v>
      </c>
      <c r="Q795" s="15" t="n">
        <f aca="false">IF(J795*O795&gt;0,N795/(O795*J795),0)</f>
        <v>0.817656455219907</v>
      </c>
      <c r="R795" s="15" t="n">
        <f aca="false">IF(N795&gt;0,L795/N795,0)</f>
        <v>0.967224388083806</v>
      </c>
      <c r="S795" s="15" t="n">
        <f aca="false">P795*Q795*R795</f>
        <v>0.770587991145545</v>
      </c>
      <c r="T795" s="15" t="n">
        <f aca="false">IF(K795&gt;0,L795/K795,0)</f>
        <v>0.931088725585252</v>
      </c>
      <c r="U795" s="10" t="n">
        <v>1846.1</v>
      </c>
      <c r="V795" s="5" t="n">
        <v>14</v>
      </c>
      <c r="W795" s="10" t="n">
        <v>199.7</v>
      </c>
      <c r="X795" s="15" t="n">
        <f aca="false">IF(U795&gt;0,W795/U795,0)</f>
        <v>0.108173988407995</v>
      </c>
      <c r="Y795" s="12" t="n">
        <f aca="false">IF(U795&gt;0,L795/U795,0)</f>
        <v>301.706841449542</v>
      </c>
      <c r="Z795" s="16" t="n">
        <f aca="false">L795*INDEX(Parametros!$E$2:$E$9,MATCH($E795,Parametros!$A$2:$A$9,0))</f>
        <v>339758.41</v>
      </c>
      <c r="AA795" s="16" t="n">
        <f aca="false">Z795*INDEX(Parametros!$F$2:$F$9,MATCH($E795,Parametros!$A$2:$A$9,0))</f>
        <v>8493.96025</v>
      </c>
      <c r="AB795" s="17" t="n">
        <f aca="false">Z795+AA795</f>
        <v>348252.37025</v>
      </c>
      <c r="AC795" s="18" t="n">
        <v>345605.55</v>
      </c>
      <c r="AD795" s="17" t="n">
        <f aca="false">AC795-AB795</f>
        <v>-2646.82024999999</v>
      </c>
      <c r="AE795" s="17" t="n">
        <f aca="false">AA795+AD795</f>
        <v>5847.14000000001</v>
      </c>
      <c r="AF795" s="19" t="n">
        <f aca="false">IF(Z795&gt;0,AE795/Z795,0)</f>
        <v>0.0172096990917753</v>
      </c>
      <c r="AG795" s="16" t="n">
        <f aca="false">(U795-W795)*INDEX(Parametros!$H$2:$H$9,MATCH($E795,Parametros!$A$2:$A$9,0))+W795*INDEX(Parametros!$H$2:$H$9,MATCH($E795,Parametros!$A$2:$A$9,0))*Parametros!$N$3</f>
        <v>61297.425</v>
      </c>
      <c r="AH795" s="13" t="n">
        <v>30043</v>
      </c>
      <c r="AI795" s="16" t="n">
        <f aca="false">AH795*Parametros!$N$2</f>
        <v>2763.956</v>
      </c>
      <c r="AJ795" s="18" t="n">
        <v>14675</v>
      </c>
      <c r="AK795" s="18" t="n">
        <v>2432</v>
      </c>
      <c r="AL795" s="17" t="n">
        <f aca="false">AG795+AI795+AJ795+AK795</f>
        <v>81168.381</v>
      </c>
      <c r="AM795" s="20" t="n">
        <f aca="false">IF(L795&gt;0,AL795/L795,0)</f>
        <v>0.145729173885644</v>
      </c>
      <c r="AN795" s="16" t="n">
        <f aca="false">L795*INDEX(Parametros!$G$2:$G$9,MATCH($E795,Parametros!$A$2:$A$9,0))</f>
        <v>534701.76</v>
      </c>
      <c r="AO795" s="17" t="n">
        <f aca="false">AN795-AC795-AL795</f>
        <v>107927.829</v>
      </c>
      <c r="AP795" s="15" t="n">
        <f aca="false">IF(AN795&gt;0,AO795/AN795,0)</f>
        <v>0.201846780904555</v>
      </c>
      <c r="AQ795" s="16" t="n">
        <f aca="false">INDEX(Parametros!$I$2:$I$9,MATCH($E795,Parametros!$A$2:$A$9,0))</f>
        <v>29700000</v>
      </c>
      <c r="AR795" s="19" t="n">
        <f aca="false">IF(AQ795&gt;0,AO795/AQ795,0)</f>
        <v>0.00363393363636364</v>
      </c>
    </row>
    <row r="796" customFormat="false" ht="15" hidden="false" customHeight="false" outlineLevel="0" collapsed="false">
      <c r="A796" s="5" t="s">
        <v>931</v>
      </c>
      <c r="B796" s="9" t="n">
        <v>46244</v>
      </c>
      <c r="C796" s="2" t="str">
        <f aca="false">TEXT(B796,"yyyy")</f>
        <v>2026</v>
      </c>
      <c r="D796" s="2" t="n">
        <f aca="false">WEEKNUM(B796,2)</f>
        <v>33</v>
      </c>
      <c r="E796" s="5" t="s">
        <v>134</v>
      </c>
      <c r="F796" s="6" t="str">
        <f aca="false">INDEX(Parametros!$B$2:$B$9,MATCH($E796,Parametros!$A$2:$A$9,0))</f>
        <v>Aderezos vertibles</v>
      </c>
      <c r="G796" s="10" t="n">
        <v>99.7</v>
      </c>
      <c r="H796" s="10" t="n">
        <v>7.7</v>
      </c>
      <c r="I796" s="11" t="n">
        <f aca="false">SUMIFS(Eventos_Paro!$J$2:$J$2186,Eventos_Paro!$D$2:$D$2186,$E796,Eventos_Paro!$B$2:$B$2186,$B796)</f>
        <v>6.05</v>
      </c>
      <c r="J796" s="12" t="n">
        <f aca="false">G796-H796-I796</f>
        <v>85.95</v>
      </c>
      <c r="K796" s="13" t="n">
        <v>395934</v>
      </c>
      <c r="L796" s="13" t="n">
        <v>348400</v>
      </c>
      <c r="M796" s="13" t="n">
        <v>10281</v>
      </c>
      <c r="N796" s="14" t="n">
        <f aca="false">L796+M796</f>
        <v>358681</v>
      </c>
      <c r="O796" s="11" t="n">
        <f aca="false">INDEX(Parametros!$D$2:$D$9,MATCH($E796,Parametros!$A$2:$A$9,0))</f>
        <v>5200</v>
      </c>
      <c r="P796" s="15" t="n">
        <f aca="false">IF((G796-H796)&gt;0,J796/(G796-H796),0)</f>
        <v>0.934239130434783</v>
      </c>
      <c r="Q796" s="15" t="n">
        <f aca="false">IF(J796*O796&gt;0,N796/(O796*J796),0)</f>
        <v>0.802526066138632</v>
      </c>
      <c r="R796" s="15" t="n">
        <f aca="false">IF(N796&gt;0,L796/N796,0)</f>
        <v>0.971336647327291</v>
      </c>
      <c r="S796" s="15" t="n">
        <f aca="false">P796*Q796*R796</f>
        <v>0.728260869565218</v>
      </c>
      <c r="T796" s="15" t="n">
        <f aca="false">IF(K796&gt;0,L796/K796,0)</f>
        <v>0.879944637237519</v>
      </c>
      <c r="U796" s="10" t="n">
        <v>1306.1</v>
      </c>
      <c r="V796" s="5" t="n">
        <v>12</v>
      </c>
      <c r="W796" s="10" t="n">
        <v>109.7</v>
      </c>
      <c r="X796" s="15" t="n">
        <f aca="false">IF(U796&gt;0,W796/U796,0)</f>
        <v>0.0839905060868234</v>
      </c>
      <c r="Y796" s="12" t="n">
        <f aca="false">IF(U796&gt;0,L796/U796,0)</f>
        <v>266.748334737003</v>
      </c>
      <c r="Z796" s="16" t="n">
        <f aca="false">L796*INDEX(Parametros!$E$2:$E$9,MATCH($E796,Parametros!$A$2:$A$9,0))</f>
        <v>191620</v>
      </c>
      <c r="AA796" s="16" t="n">
        <f aca="false">Z796*INDEX(Parametros!$F$2:$F$9,MATCH($E796,Parametros!$A$2:$A$9,0))</f>
        <v>5748.6</v>
      </c>
      <c r="AB796" s="17" t="n">
        <f aca="false">Z796+AA796</f>
        <v>197368.6</v>
      </c>
      <c r="AC796" s="18" t="n">
        <v>200067.35</v>
      </c>
      <c r="AD796" s="17" t="n">
        <f aca="false">AC796-AB796</f>
        <v>2698.74999999997</v>
      </c>
      <c r="AE796" s="17" t="n">
        <f aca="false">AA796+AD796</f>
        <v>8447.34999999997</v>
      </c>
      <c r="AF796" s="19" t="n">
        <f aca="false">IF(Z796&gt;0,AE796/Z796,0)</f>
        <v>0.0440838638972966</v>
      </c>
      <c r="AG796" s="16" t="n">
        <f aca="false">(U796-W796)*INDEX(Parametros!$H$2:$H$9,MATCH($E796,Parametros!$A$2:$A$9,0))+W796*INDEX(Parametros!$H$2:$H$9,MATCH($E796,Parametros!$A$2:$A$9,0))*Parametros!$N$3</f>
        <v>42869.925</v>
      </c>
      <c r="AH796" s="13" t="n">
        <v>19531</v>
      </c>
      <c r="AI796" s="16" t="n">
        <f aca="false">AH796*Parametros!$N$2</f>
        <v>1796.852</v>
      </c>
      <c r="AJ796" s="18" t="n">
        <v>10437</v>
      </c>
      <c r="AK796" s="18" t="n">
        <v>5781</v>
      </c>
      <c r="AL796" s="17" t="n">
        <f aca="false">AG796+AI796+AJ796+AK796</f>
        <v>60884.777</v>
      </c>
      <c r="AM796" s="20" t="n">
        <f aca="false">IF(L796&gt;0,AL796/L796,0)</f>
        <v>0.174755387485649</v>
      </c>
      <c r="AN796" s="16" t="n">
        <f aca="false">L796*INDEX(Parametros!$G$2:$G$9,MATCH($E796,Parametros!$A$2:$A$9,0))</f>
        <v>355368</v>
      </c>
      <c r="AO796" s="17" t="n">
        <f aca="false">AN796-AC796-AL796</f>
        <v>94415.873</v>
      </c>
      <c r="AP796" s="15" t="n">
        <f aca="false">IF(AN796&gt;0,AO796/AN796,0)</f>
        <v>0.265684791540037</v>
      </c>
      <c r="AQ796" s="16" t="n">
        <f aca="false">INDEX(Parametros!$I$2:$I$9,MATCH($E796,Parametros!$A$2:$A$9,0))</f>
        <v>19300000</v>
      </c>
      <c r="AR796" s="19" t="n">
        <f aca="false">IF(AQ796&gt;0,AO796/AQ796,0)</f>
        <v>0.00489201414507772</v>
      </c>
    </row>
    <row r="797" customFormat="false" ht="15" hidden="false" customHeight="false" outlineLevel="0" collapsed="false">
      <c r="A797" s="5" t="s">
        <v>932</v>
      </c>
      <c r="B797" s="9" t="n">
        <v>46244</v>
      </c>
      <c r="C797" s="2" t="str">
        <f aca="false">TEXT(B797,"yyyy")</f>
        <v>2026</v>
      </c>
      <c r="D797" s="2" t="n">
        <f aca="false">WEEKNUM(B797,2)</f>
        <v>33</v>
      </c>
      <c r="E797" s="5" t="s">
        <v>136</v>
      </c>
      <c r="F797" s="6" t="str">
        <f aca="false">INDEX(Parametros!$B$2:$B$9,MATCH($E797,Parametros!$A$2:$A$9,0))</f>
        <v>Salsa BBQ</v>
      </c>
      <c r="G797" s="10" t="n">
        <v>125</v>
      </c>
      <c r="H797" s="10" t="n">
        <v>5.3</v>
      </c>
      <c r="I797" s="11" t="n">
        <f aca="false">SUMIFS(Eventos_Paro!$J$2:$J$2186,Eventos_Paro!$D$2:$D$2186,$E797,Eventos_Paro!$B$2:$B$2186,$B797)</f>
        <v>17.5166666666667</v>
      </c>
      <c r="J797" s="12" t="n">
        <f aca="false">G797-H797-I797</f>
        <v>102.183333333333</v>
      </c>
      <c r="K797" s="13" t="n">
        <v>531061</v>
      </c>
      <c r="L797" s="13" t="n">
        <v>406814</v>
      </c>
      <c r="M797" s="13" t="n">
        <v>14898</v>
      </c>
      <c r="N797" s="14" t="n">
        <f aca="false">L797+M797</f>
        <v>421712</v>
      </c>
      <c r="O797" s="11" t="n">
        <f aca="false">INDEX(Parametros!$D$2:$D$9,MATCH($E797,Parametros!$A$2:$A$9,0))</f>
        <v>4800</v>
      </c>
      <c r="P797" s="15" t="n">
        <f aca="false">IF((G797-H797)&gt;0,J797/(G797-H797),0)</f>
        <v>0.853661932609301</v>
      </c>
      <c r="Q797" s="15" t="n">
        <f aca="false">IF(J797*O797&gt;0,N797/(O797*J797),0)</f>
        <v>0.859794487033111</v>
      </c>
      <c r="R797" s="15" t="n">
        <f aca="false">IF(N797&gt;0,L797/N797,0)</f>
        <v>0.964672572751072</v>
      </c>
      <c r="S797" s="15" t="n">
        <f aca="false">P797*Q797*R797</f>
        <v>0.708044416597048</v>
      </c>
      <c r="T797" s="15" t="n">
        <f aca="false">IF(K797&gt;0,L797/K797,0)</f>
        <v>0.766040059428201</v>
      </c>
      <c r="U797" s="10" t="n">
        <v>1493.1</v>
      </c>
      <c r="V797" s="5" t="n">
        <v>11</v>
      </c>
      <c r="W797" s="10" t="n">
        <v>118.1</v>
      </c>
      <c r="X797" s="15" t="n">
        <f aca="false">IF(U797&gt;0,W797/U797,0)</f>
        <v>0.0790971803630031</v>
      </c>
      <c r="Y797" s="12" t="n">
        <f aca="false">IF(U797&gt;0,L797/U797,0)</f>
        <v>272.462661576586</v>
      </c>
      <c r="Z797" s="16" t="n">
        <f aca="false">L797*INDEX(Parametros!$E$2:$E$9,MATCH($E797,Parametros!$A$2:$A$9,0))</f>
        <v>235952.12</v>
      </c>
      <c r="AA797" s="16" t="n">
        <f aca="false">Z797*INDEX(Parametros!$F$2:$F$9,MATCH($E797,Parametros!$A$2:$A$9,0))</f>
        <v>6606.65936</v>
      </c>
      <c r="AB797" s="17" t="n">
        <f aca="false">Z797+AA797</f>
        <v>242558.77936</v>
      </c>
      <c r="AC797" s="18" t="n">
        <v>236778.52</v>
      </c>
      <c r="AD797" s="17" t="n">
        <f aca="false">AC797-AB797</f>
        <v>-5780.25936</v>
      </c>
      <c r="AE797" s="17" t="n">
        <f aca="false">AA797+AD797</f>
        <v>826.400000000003</v>
      </c>
      <c r="AF797" s="19" t="n">
        <f aca="false">IF(Z797&gt;0,AE797/Z797,0)</f>
        <v>0.00350240548802869</v>
      </c>
      <c r="AG797" s="16" t="n">
        <f aca="false">(U797-W797)*INDEX(Parametros!$H$2:$H$9,MATCH($E797,Parametros!$A$2:$A$9,0))+W797*INDEX(Parametros!$H$2:$H$9,MATCH($E797,Parametros!$A$2:$A$9,0))*Parametros!$N$3</f>
        <v>48892.725</v>
      </c>
      <c r="AH797" s="13" t="n">
        <v>21943</v>
      </c>
      <c r="AI797" s="16" t="n">
        <f aca="false">AH797*Parametros!$N$2</f>
        <v>2018.756</v>
      </c>
      <c r="AJ797" s="18" t="n">
        <v>7742</v>
      </c>
      <c r="AK797" s="18" t="n">
        <v>15751</v>
      </c>
      <c r="AL797" s="17" t="n">
        <f aca="false">AG797+AI797+AJ797+AK797</f>
        <v>74404.481</v>
      </c>
      <c r="AM797" s="20" t="n">
        <f aca="false">IF(L797&gt;0,AL797/L797,0)</f>
        <v>0.182895576356763</v>
      </c>
      <c r="AN797" s="16" t="n">
        <f aca="false">L797*INDEX(Parametros!$G$2:$G$9,MATCH($E797,Parametros!$A$2:$A$9,0))</f>
        <v>398677.72</v>
      </c>
      <c r="AO797" s="17" t="n">
        <f aca="false">AN797-AC797-AL797</f>
        <v>87494.719</v>
      </c>
      <c r="AP797" s="15" t="n">
        <f aca="false">IF(AN797&gt;0,AO797/AN797,0)</f>
        <v>0.21946227393896</v>
      </c>
      <c r="AQ797" s="16" t="n">
        <f aca="false">INDEX(Parametros!$I$2:$I$9,MATCH($E797,Parametros!$A$2:$A$9,0))</f>
        <v>17000000</v>
      </c>
      <c r="AR797" s="19" t="n">
        <f aca="false">IF(AQ797&gt;0,AO797/AQ797,0)</f>
        <v>0.00514674817647059</v>
      </c>
    </row>
    <row r="798" customFormat="false" ht="15" hidden="false" customHeight="false" outlineLevel="0" collapsed="false">
      <c r="A798" s="5" t="s">
        <v>933</v>
      </c>
      <c r="B798" s="9" t="n">
        <v>46244</v>
      </c>
      <c r="C798" s="2" t="str">
        <f aca="false">TEXT(B798,"yyyy")</f>
        <v>2026</v>
      </c>
      <c r="D798" s="2" t="n">
        <f aca="false">WEEKNUM(B798,2)</f>
        <v>33</v>
      </c>
      <c r="E798" s="5" t="s">
        <v>138</v>
      </c>
      <c r="F798" s="6" t="str">
        <f aca="false">INDEX(Parametros!$B$2:$B$9,MATCH($E798,Parametros!$A$2:$A$9,0))</f>
        <v>Queso crema</v>
      </c>
      <c r="G798" s="10" t="n">
        <v>122.9</v>
      </c>
      <c r="H798" s="10" t="n">
        <v>7.7</v>
      </c>
      <c r="I798" s="11" t="n">
        <f aca="false">SUMIFS(Eventos_Paro!$J$2:$J$2186,Eventos_Paro!$D$2:$D$2186,$E798,Eventos_Paro!$B$2:$B$2186,$B798)</f>
        <v>4.43333333333333</v>
      </c>
      <c r="J798" s="12" t="n">
        <f aca="false">G798-H798-I798</f>
        <v>110.766666666667</v>
      </c>
      <c r="K798" s="13" t="n">
        <v>362299</v>
      </c>
      <c r="L798" s="13" t="n">
        <v>334960</v>
      </c>
      <c r="M798" s="13" t="n">
        <v>13572</v>
      </c>
      <c r="N798" s="14" t="n">
        <f aca="false">L798+M798</f>
        <v>348532</v>
      </c>
      <c r="O798" s="11" t="n">
        <f aca="false">INDEX(Parametros!$D$2:$D$9,MATCH($E798,Parametros!$A$2:$A$9,0))</f>
        <v>3800</v>
      </c>
      <c r="P798" s="15" t="n">
        <f aca="false">IF((G798-H798)&gt;0,J798/(G798-H798),0)</f>
        <v>0.961516203703704</v>
      </c>
      <c r="Q798" s="15" t="n">
        <f aca="false">IF(J798*O798&gt;0,N798/(O798*J798),0)</f>
        <v>0.82803744238719</v>
      </c>
      <c r="R798" s="15" t="n">
        <f aca="false">IF(N798&gt;0,L798/N798,0)</f>
        <v>0.961059529684505</v>
      </c>
      <c r="S798" s="15" t="n">
        <f aca="false">P798*Q798*R798</f>
        <v>0.765168128654971</v>
      </c>
      <c r="T798" s="15" t="n">
        <f aca="false">IF(K798&gt;0,L798/K798,0)</f>
        <v>0.924540227822876</v>
      </c>
      <c r="U798" s="10" t="n">
        <v>1843.5</v>
      </c>
      <c r="V798" s="5" t="n">
        <v>15</v>
      </c>
      <c r="W798" s="10" t="n">
        <v>0</v>
      </c>
      <c r="X798" s="15" t="n">
        <f aca="false">IF(U798&gt;0,W798/U798,0)</f>
        <v>0</v>
      </c>
      <c r="Y798" s="12" t="n">
        <f aca="false">IF(U798&gt;0,L798/U798,0)</f>
        <v>181.697857336588</v>
      </c>
      <c r="Z798" s="16" t="n">
        <f aca="false">L798*INDEX(Parametros!$E$2:$E$9,MATCH($E798,Parametros!$A$2:$A$9,0))</f>
        <v>375155.2</v>
      </c>
      <c r="AA798" s="16" t="n">
        <f aca="false">Z798*INDEX(Parametros!$F$2:$F$9,MATCH($E798,Parametros!$A$2:$A$9,0))</f>
        <v>13130.432</v>
      </c>
      <c r="AB798" s="17" t="n">
        <f aca="false">Z798+AA798</f>
        <v>388285.632</v>
      </c>
      <c r="AC798" s="18" t="n">
        <v>389234.53</v>
      </c>
      <c r="AD798" s="17" t="n">
        <f aca="false">AC798-AB798</f>
        <v>948.897999999987</v>
      </c>
      <c r="AE798" s="17" t="n">
        <f aca="false">AA798+AD798</f>
        <v>14079.33</v>
      </c>
      <c r="AF798" s="19" t="n">
        <f aca="false">IF(Z798&gt;0,AE798/Z798,0)</f>
        <v>0.0375293478539015</v>
      </c>
      <c r="AG798" s="16" t="n">
        <f aca="false">(U798-W798)*INDEX(Parametros!$H$2:$H$9,MATCH($E798,Parametros!$A$2:$A$9,0))+W798*INDEX(Parametros!$H$2:$H$9,MATCH($E798,Parametros!$A$2:$A$9,0))*Parametros!$N$3</f>
        <v>60835.5</v>
      </c>
      <c r="AH798" s="13" t="n">
        <v>18033</v>
      </c>
      <c r="AI798" s="16" t="n">
        <f aca="false">AH798*Parametros!$N$2</f>
        <v>1659.036</v>
      </c>
      <c r="AJ798" s="18" t="n">
        <v>19069</v>
      </c>
      <c r="AK798" s="18" t="n">
        <v>2721</v>
      </c>
      <c r="AL798" s="17" t="n">
        <f aca="false">AG798+AI798+AJ798+AK798</f>
        <v>84284.536</v>
      </c>
      <c r="AM798" s="20" t="n">
        <f aca="false">IF(L798&gt;0,AL798/L798,0)</f>
        <v>0.251625674707428</v>
      </c>
      <c r="AN798" s="16" t="n">
        <f aca="false">L798*INDEX(Parametros!$G$2:$G$9,MATCH($E798,Parametros!$A$2:$A$9,0))</f>
        <v>599578.4</v>
      </c>
      <c r="AO798" s="17" t="n">
        <f aca="false">AN798-AC798-AL798</f>
        <v>126059.334</v>
      </c>
      <c r="AP798" s="15" t="n">
        <f aca="false">IF(AN798&gt;0,AO798/AN798,0)</f>
        <v>0.210246623293968</v>
      </c>
      <c r="AQ798" s="16" t="n">
        <f aca="false">INDEX(Parametros!$I$2:$I$9,MATCH($E798,Parametros!$A$2:$A$9,0))</f>
        <v>33200000</v>
      </c>
      <c r="AR798" s="19" t="n">
        <f aca="false">IF(AQ798&gt;0,AO798/AQ798,0)</f>
        <v>0.00379696789156627</v>
      </c>
    </row>
    <row r="799" customFormat="false" ht="15" hidden="false" customHeight="false" outlineLevel="0" collapsed="false">
      <c r="A799" s="5" t="s">
        <v>934</v>
      </c>
      <c r="B799" s="9" t="n">
        <v>46244</v>
      </c>
      <c r="C799" s="2" t="str">
        <f aca="false">TEXT(B799,"yyyy")</f>
        <v>2026</v>
      </c>
      <c r="D799" s="2" t="n">
        <f aca="false">WEEKNUM(B799,2)</f>
        <v>33</v>
      </c>
      <c r="E799" s="5" t="s">
        <v>140</v>
      </c>
      <c r="F799" s="6" t="str">
        <f aca="false">INDEX(Parametros!$B$2:$B$9,MATCH($E799,Parametros!$A$2:$A$9,0))</f>
        <v>Crema de cacahuate</v>
      </c>
      <c r="G799" s="10" t="n">
        <v>117.6</v>
      </c>
      <c r="H799" s="10" t="n">
        <v>5.5</v>
      </c>
      <c r="I799" s="11" t="n">
        <f aca="false">SUMIFS(Eventos_Paro!$J$2:$J$2186,Eventos_Paro!$D$2:$D$2186,$E799,Eventos_Paro!$B$2:$B$2186,$B799)</f>
        <v>0.866666666666667</v>
      </c>
      <c r="J799" s="12" t="n">
        <f aca="false">G799-H799-I799</f>
        <v>111.233333333333</v>
      </c>
      <c r="K799" s="13" t="n">
        <v>389660</v>
      </c>
      <c r="L799" s="13" t="n">
        <v>384043</v>
      </c>
      <c r="M799" s="13" t="n">
        <v>9659</v>
      </c>
      <c r="N799" s="14" t="n">
        <f aca="false">L799+M799</f>
        <v>393702</v>
      </c>
      <c r="O799" s="11" t="n">
        <f aca="false">INDEX(Parametros!$D$2:$D$9,MATCH($E799,Parametros!$A$2:$A$9,0))</f>
        <v>4200</v>
      </c>
      <c r="P799" s="15" t="n">
        <f aca="false">IF((G799-H799)&gt;0,J799/(G799-H799),0)</f>
        <v>0.992268807612251</v>
      </c>
      <c r="Q799" s="15" t="n">
        <f aca="false">IF(J799*O799&gt;0,N799/(O799*J799),0)</f>
        <v>0.842720150691382</v>
      </c>
      <c r="R799" s="15" t="n">
        <f aca="false">IF(N799&gt;0,L799/N799,0)</f>
        <v>0.975466215564056</v>
      </c>
      <c r="S799" s="15" t="n">
        <f aca="false">P799*Q799*R799</f>
        <v>0.815689647848435</v>
      </c>
      <c r="T799" s="15" t="n">
        <f aca="false">IF(K799&gt;0,L799/K799,0)</f>
        <v>0.985584868860032</v>
      </c>
      <c r="U799" s="10" t="n">
        <v>1284.3</v>
      </c>
      <c r="V799" s="5" t="n">
        <v>10</v>
      </c>
      <c r="W799" s="10" t="n">
        <v>108.3</v>
      </c>
      <c r="X799" s="15" t="n">
        <f aca="false">IF(U799&gt;0,W799/U799,0)</f>
        <v>0.0843260920345714</v>
      </c>
      <c r="Y799" s="12" t="n">
        <f aca="false">IF(U799&gt;0,L799/U799,0)</f>
        <v>299.029043058475</v>
      </c>
      <c r="Z799" s="16" t="n">
        <f aca="false">L799*INDEX(Parametros!$E$2:$E$9,MATCH($E799,Parametros!$A$2:$A$9,0))</f>
        <v>372521.71</v>
      </c>
      <c r="AA799" s="16" t="n">
        <f aca="false">Z799*INDEX(Parametros!$F$2:$F$9,MATCH($E799,Parametros!$A$2:$A$9,0))</f>
        <v>8195.47762</v>
      </c>
      <c r="AB799" s="17" t="n">
        <f aca="false">Z799+AA799</f>
        <v>380717.18762</v>
      </c>
      <c r="AC799" s="18" t="n">
        <v>372817.1</v>
      </c>
      <c r="AD799" s="17" t="n">
        <f aca="false">AC799-AB799</f>
        <v>-7900.08762000001</v>
      </c>
      <c r="AE799" s="17" t="n">
        <f aca="false">AA799+AD799</f>
        <v>295.389999999992</v>
      </c>
      <c r="AF799" s="19" t="n">
        <f aca="false">IF(Z799&gt;0,AE799/Z799,0)</f>
        <v>0.000792947074145</v>
      </c>
      <c r="AG799" s="16" t="n">
        <f aca="false">(U799-W799)*INDEX(Parametros!$H$2:$H$9,MATCH($E799,Parametros!$A$2:$A$9,0))+W799*INDEX(Parametros!$H$2:$H$9,MATCH($E799,Parametros!$A$2:$A$9,0))*Parametros!$N$3</f>
        <v>42161.175</v>
      </c>
      <c r="AH799" s="13" t="n">
        <v>19455</v>
      </c>
      <c r="AI799" s="16" t="n">
        <f aca="false">AH799*Parametros!$N$2</f>
        <v>1789.86</v>
      </c>
      <c r="AJ799" s="18" t="n">
        <v>13798</v>
      </c>
      <c r="AK799" s="18" t="n">
        <v>737</v>
      </c>
      <c r="AL799" s="17" t="n">
        <f aca="false">AG799+AI799+AJ799+AK799</f>
        <v>58486.035</v>
      </c>
      <c r="AM799" s="20" t="n">
        <f aca="false">IF(L799&gt;0,AL799/L799,0)</f>
        <v>0.152290329468315</v>
      </c>
      <c r="AN799" s="16" t="n">
        <f aca="false">L799*INDEX(Parametros!$G$2:$G$9,MATCH($E799,Parametros!$A$2:$A$9,0))</f>
        <v>622149.66</v>
      </c>
      <c r="AO799" s="17" t="n">
        <f aca="false">AN799-AC799-AL799</f>
        <v>190846.525</v>
      </c>
      <c r="AP799" s="15" t="n">
        <f aca="false">IF(AN799&gt;0,AO799/AN799,0)</f>
        <v>0.306753402388744</v>
      </c>
      <c r="AQ799" s="16" t="n">
        <f aca="false">INDEX(Parametros!$I$2:$I$9,MATCH($E799,Parametros!$A$2:$A$9,0))</f>
        <v>28000000</v>
      </c>
      <c r="AR799" s="19" t="n">
        <f aca="false">IF(AQ799&gt;0,AO799/AQ799,0)</f>
        <v>0.00681594732142857</v>
      </c>
    </row>
    <row r="800" customFormat="false" ht="15" hidden="false" customHeight="false" outlineLevel="0" collapsed="false">
      <c r="A800" s="5" t="s">
        <v>935</v>
      </c>
      <c r="B800" s="9" t="n">
        <v>46244</v>
      </c>
      <c r="C800" s="2" t="str">
        <f aca="false">TEXT(B800,"yyyy")</f>
        <v>2026</v>
      </c>
      <c r="D800" s="2" t="n">
        <f aca="false">WEEKNUM(B800,2)</f>
        <v>33</v>
      </c>
      <c r="E800" s="5" t="s">
        <v>142</v>
      </c>
      <c r="F800" s="6" t="str">
        <f aca="false">INDEX(Parametros!$B$2:$B$9,MATCH($E800,Parametros!$A$2:$A$9,0))</f>
        <v>Porciones single serve</v>
      </c>
      <c r="G800" s="10" t="n">
        <v>130.9</v>
      </c>
      <c r="H800" s="10" t="n">
        <v>6.5</v>
      </c>
      <c r="I800" s="11" t="n">
        <f aca="false">SUMIFS(Eventos_Paro!$J$2:$J$2186,Eventos_Paro!$D$2:$D$2186,$E800,Eventos_Paro!$B$2:$B$2186,$B800)</f>
        <v>2.33333333333333</v>
      </c>
      <c r="J800" s="12" t="n">
        <f aca="false">G800-H800-I800</f>
        <v>122.066666666667</v>
      </c>
      <c r="K800" s="13" t="n">
        <v>267686</v>
      </c>
      <c r="L800" s="13" t="n">
        <v>232704</v>
      </c>
      <c r="M800" s="13" t="n">
        <v>14173</v>
      </c>
      <c r="N800" s="14" t="n">
        <f aca="false">L800+M800</f>
        <v>246877</v>
      </c>
      <c r="O800" s="11" t="n">
        <f aca="false">INDEX(Parametros!$D$2:$D$9,MATCH($E800,Parametros!$A$2:$A$9,0))</f>
        <v>2600</v>
      </c>
      <c r="P800" s="15" t="n">
        <f aca="false">IF((G800-H800)&gt;0,J800/(G800-H800),0)</f>
        <v>0.981243301178993</v>
      </c>
      <c r="Q800" s="15" t="n">
        <f aca="false">IF(J800*O800&gt;0,N800/(O800*J800),0)</f>
        <v>0.777875687938495</v>
      </c>
      <c r="R800" s="15" t="n">
        <f aca="false">IF(N800&gt;0,L800/N800,0)</f>
        <v>0.942590844833662</v>
      </c>
      <c r="S800" s="15" t="n">
        <f aca="false">P800*Q800*R800</f>
        <v>0.719465743259955</v>
      </c>
      <c r="T800" s="15" t="n">
        <f aca="false">IF(K800&gt;0,L800/K800,0)</f>
        <v>0.869317035631299</v>
      </c>
      <c r="U800" s="10" t="n">
        <v>2169.9</v>
      </c>
      <c r="V800" s="5" t="n">
        <v>16</v>
      </c>
      <c r="W800" s="10" t="n">
        <v>75.5</v>
      </c>
      <c r="X800" s="15" t="n">
        <f aca="false">IF(U800&gt;0,W800/U800,0)</f>
        <v>0.0347942301488548</v>
      </c>
      <c r="Y800" s="12" t="n">
        <f aca="false">IF(U800&gt;0,L800/U800,0)</f>
        <v>107.241808378266</v>
      </c>
      <c r="Z800" s="16" t="n">
        <f aca="false">L800*INDEX(Parametros!$E$2:$E$9,MATCH($E800,Parametros!$A$2:$A$9,0))</f>
        <v>172200.96</v>
      </c>
      <c r="AA800" s="16" t="n">
        <f aca="false">Z800*INDEX(Parametros!$F$2:$F$9,MATCH($E800,Parametros!$A$2:$A$9,0))</f>
        <v>7749.0432</v>
      </c>
      <c r="AB800" s="17" t="n">
        <f aca="false">Z800+AA800</f>
        <v>179950.0032</v>
      </c>
      <c r="AC800" s="18" t="n">
        <v>183216.71</v>
      </c>
      <c r="AD800" s="17" t="n">
        <f aca="false">AC800-AB800</f>
        <v>3266.70680000001</v>
      </c>
      <c r="AE800" s="17" t="n">
        <f aca="false">AA800+AD800</f>
        <v>11015.75</v>
      </c>
      <c r="AF800" s="19" t="n">
        <f aca="false">IF(Z800&gt;0,AE800/Z800,0)</f>
        <v>0.0639703170063629</v>
      </c>
      <c r="AG800" s="16" t="n">
        <f aca="false">(U800-W800)*INDEX(Parametros!$H$2:$H$9,MATCH($E800,Parametros!$A$2:$A$9,0))+W800*INDEX(Parametros!$H$2:$H$9,MATCH($E800,Parametros!$A$2:$A$9,0))*Parametros!$N$3</f>
        <v>66229.5</v>
      </c>
      <c r="AH800" s="13" t="n">
        <v>12612</v>
      </c>
      <c r="AI800" s="16" t="n">
        <f aca="false">AH800*Parametros!$N$2</f>
        <v>1160.304</v>
      </c>
      <c r="AJ800" s="18" t="n">
        <v>12021</v>
      </c>
      <c r="AK800" s="18" t="n">
        <v>2650</v>
      </c>
      <c r="AL800" s="17" t="n">
        <f aca="false">AG800+AI800+AJ800+AK800</f>
        <v>82060.804</v>
      </c>
      <c r="AM800" s="20" t="n">
        <f aca="false">IF(L800&gt;0,AL800/L800,0)</f>
        <v>0.352640281215622</v>
      </c>
      <c r="AN800" s="16" t="n">
        <f aca="false">L800*INDEX(Parametros!$G$2:$G$9,MATCH($E800,Parametros!$A$2:$A$9,0))</f>
        <v>400250.88</v>
      </c>
      <c r="AO800" s="17" t="n">
        <f aca="false">AN800-AC800-AL800</f>
        <v>134973.366</v>
      </c>
      <c r="AP800" s="15" t="n">
        <f aca="false">IF(AN800&gt;0,AO800/AN800,0)</f>
        <v>0.337221909418413</v>
      </c>
      <c r="AQ800" s="16" t="n">
        <f aca="false">INDEX(Parametros!$I$2:$I$9,MATCH($E800,Parametros!$A$2:$A$9,0))</f>
        <v>15900000</v>
      </c>
      <c r="AR800" s="19" t="n">
        <f aca="false">IF(AQ800&gt;0,AO800/AQ800,0)</f>
        <v>0.00848889094339623</v>
      </c>
    </row>
    <row r="801" customFormat="false" ht="15" hidden="false" customHeight="false" outlineLevel="0" collapsed="false">
      <c r="A801" s="5" t="s">
        <v>936</v>
      </c>
      <c r="B801" s="9" t="n">
        <v>46244</v>
      </c>
      <c r="C801" s="2" t="str">
        <f aca="false">TEXT(B801,"yyyy")</f>
        <v>2026</v>
      </c>
      <c r="D801" s="2" t="n">
        <f aca="false">WEEKNUM(B801,2)</f>
        <v>33</v>
      </c>
      <c r="E801" s="5" t="s">
        <v>144</v>
      </c>
      <c r="F801" s="6" t="str">
        <f aca="false">INDEX(Parametros!$B$2:$B$9,MATCH($E801,Parametros!$A$2:$A$9,0))</f>
        <v>Salsas picantes</v>
      </c>
      <c r="G801" s="10" t="n">
        <v>99.9</v>
      </c>
      <c r="H801" s="10" t="n">
        <v>6.9</v>
      </c>
      <c r="I801" s="11" t="n">
        <f aca="false">SUMIFS(Eventos_Paro!$J$2:$J$2186,Eventos_Paro!$D$2:$D$2186,$E801,Eventos_Paro!$B$2:$B$2186,$B801)</f>
        <v>3.31666666666667</v>
      </c>
      <c r="J801" s="12" t="n">
        <f aca="false">G801-H801-I801</f>
        <v>89.6833333333333</v>
      </c>
      <c r="K801" s="13" t="n">
        <v>219007</v>
      </c>
      <c r="L801" s="13" t="n">
        <v>218374</v>
      </c>
      <c r="M801" s="13" t="n">
        <v>7404</v>
      </c>
      <c r="N801" s="14" t="n">
        <f aca="false">L801+M801</f>
        <v>225778</v>
      </c>
      <c r="O801" s="11" t="n">
        <f aca="false">INDEX(Parametros!$D$2:$D$9,MATCH($E801,Parametros!$A$2:$A$9,0))</f>
        <v>3100</v>
      </c>
      <c r="P801" s="15" t="n">
        <f aca="false">IF((G801-H801)&gt;0,J801/(G801-H801),0)</f>
        <v>0.964336917562724</v>
      </c>
      <c r="Q801" s="15" t="n">
        <f aca="false">IF(J801*O801&gt;0,N801/(O801*J801),0)</f>
        <v>0.81209752354461</v>
      </c>
      <c r="R801" s="15" t="n">
        <f aca="false">IF(N801&gt;0,L801/N801,0)</f>
        <v>0.967206725190231</v>
      </c>
      <c r="S801" s="15" t="n">
        <f aca="false">P801*Q801*R801</f>
        <v>0.757454040929587</v>
      </c>
      <c r="T801" s="15" t="n">
        <f aca="false">IF(K801&gt;0,L801/K801,0)</f>
        <v>0.997109681425708</v>
      </c>
      <c r="U801" s="10" t="n">
        <v>933.5</v>
      </c>
      <c r="V801" s="5" t="n">
        <v>9</v>
      </c>
      <c r="W801" s="10" t="n">
        <v>34.4</v>
      </c>
      <c r="X801" s="15" t="n">
        <f aca="false">IF(U801&gt;0,W801/U801,0)</f>
        <v>0.0368505623995715</v>
      </c>
      <c r="Y801" s="12" t="n">
        <f aca="false">IF(U801&gt;0,L801/U801,0)</f>
        <v>233.930369576861</v>
      </c>
      <c r="Z801" s="16" t="n">
        <f aca="false">L801*INDEX(Parametros!$E$2:$E$9,MATCH($E801,Parametros!$A$2:$A$9,0))</f>
        <v>144126.84</v>
      </c>
      <c r="AA801" s="16" t="n">
        <f aca="false">Z801*INDEX(Parametros!$F$2:$F$9,MATCH($E801,Parametros!$A$2:$A$9,0))</f>
        <v>3747.29784</v>
      </c>
      <c r="AB801" s="17" t="n">
        <f aca="false">Z801+AA801</f>
        <v>147874.13784</v>
      </c>
      <c r="AC801" s="18" t="n">
        <v>147923.86</v>
      </c>
      <c r="AD801" s="17" t="n">
        <f aca="false">AC801-AB801</f>
        <v>49.7221599999757</v>
      </c>
      <c r="AE801" s="17" t="n">
        <f aca="false">AA801+AD801</f>
        <v>3797.01999999998</v>
      </c>
      <c r="AF801" s="19" t="n">
        <f aca="false">IF(Z801&gt;0,AE801/Z801,0)</f>
        <v>0.0263449889000548</v>
      </c>
      <c r="AG801" s="16" t="n">
        <f aca="false">(U801-W801)*INDEX(Parametros!$H$2:$H$9,MATCH($E801,Parametros!$A$2:$A$9,0))+W801*INDEX(Parametros!$H$2:$H$9,MATCH($E801,Parametros!$A$2:$A$9,0))*Parametros!$N$3</f>
        <v>29947.05</v>
      </c>
      <c r="AH801" s="13" t="n">
        <v>12064</v>
      </c>
      <c r="AI801" s="16" t="n">
        <f aca="false">AH801*Parametros!$N$2</f>
        <v>1109.888</v>
      </c>
      <c r="AJ801" s="18" t="n">
        <v>7370</v>
      </c>
      <c r="AK801" s="18" t="n">
        <v>2192</v>
      </c>
      <c r="AL801" s="17" t="n">
        <f aca="false">AG801+AI801+AJ801+AK801</f>
        <v>40618.938</v>
      </c>
      <c r="AM801" s="20" t="n">
        <f aca="false">IF(L801&gt;0,AL801/L801,0)</f>
        <v>0.186006291957834</v>
      </c>
      <c r="AN801" s="16" t="n">
        <f aca="false">L801*INDEX(Parametros!$G$2:$G$9,MATCH($E801,Parametros!$A$2:$A$9,0))</f>
        <v>272967.5</v>
      </c>
      <c r="AO801" s="17" t="n">
        <f aca="false">AN801-AC801-AL801</f>
        <v>84424.702</v>
      </c>
      <c r="AP801" s="15" t="n">
        <f aca="false">IF(AN801&gt;0,AO801/AN801,0)</f>
        <v>0.309284812294504</v>
      </c>
      <c r="AQ801" s="16" t="n">
        <f aca="false">INDEX(Parametros!$I$2:$I$9,MATCH($E801,Parametros!$A$2:$A$9,0))</f>
        <v>13300000</v>
      </c>
      <c r="AR801" s="19" t="n">
        <f aca="false">IF(AQ801&gt;0,AO801/AQ801,0)</f>
        <v>0.00634772195488722</v>
      </c>
    </row>
    <row r="802" customFormat="false" ht="15" hidden="false" customHeight="false" outlineLevel="0" collapsed="false">
      <c r="A802" s="5" t="s">
        <v>937</v>
      </c>
      <c r="B802" s="9" t="n">
        <v>46251</v>
      </c>
      <c r="C802" s="2" t="str">
        <f aca="false">TEXT(B802,"yyyy")</f>
        <v>2026</v>
      </c>
      <c r="D802" s="2" t="n">
        <f aca="false">WEEKNUM(B802,2)</f>
        <v>34</v>
      </c>
      <c r="E802" s="5" t="s">
        <v>130</v>
      </c>
      <c r="F802" s="6" t="str">
        <f aca="false">INDEX(Parametros!$B$2:$B$9,MATCH($E802,Parametros!$A$2:$A$9,0))</f>
        <v>Ketchup botella</v>
      </c>
      <c r="G802" s="10" t="n">
        <v>129.5</v>
      </c>
      <c r="H802" s="10" t="n">
        <v>8</v>
      </c>
      <c r="I802" s="11" t="n">
        <f aca="false">SUMIFS(Eventos_Paro!$J$2:$J$2186,Eventos_Paro!$D$2:$D$2186,$E802,Eventos_Paro!$B$2:$B$2186,$B802)</f>
        <v>0</v>
      </c>
      <c r="J802" s="12" t="n">
        <f aca="false">G802-H802-I802</f>
        <v>121.5</v>
      </c>
      <c r="K802" s="13" t="n">
        <v>902660</v>
      </c>
      <c r="L802" s="13" t="n">
        <v>952441</v>
      </c>
      <c r="M802" s="13" t="n">
        <v>20310</v>
      </c>
      <c r="N802" s="14" t="n">
        <f aca="false">L802+M802</f>
        <v>972751</v>
      </c>
      <c r="O802" s="11" t="n">
        <f aca="false">INDEX(Parametros!$D$2:$D$9,MATCH($E802,Parametros!$A$2:$A$9,0))</f>
        <v>9000</v>
      </c>
      <c r="P802" s="15" t="n">
        <f aca="false">IF((G802-H802)&gt;0,J802/(G802-H802),0)</f>
        <v>1</v>
      </c>
      <c r="Q802" s="15" t="n">
        <f aca="false">IF(J802*O802&gt;0,N802/(O802*J802),0)</f>
        <v>0.889575674439872</v>
      </c>
      <c r="R802" s="15" t="n">
        <f aca="false">IF(N802&gt;0,L802/N802,0)</f>
        <v>0.979121070037451</v>
      </c>
      <c r="S802" s="15" t="n">
        <f aca="false">P802*Q802*R802</f>
        <v>0.871002286236854</v>
      </c>
      <c r="T802" s="15" t="n">
        <f aca="false">IF(K802&gt;0,L802/K802,0)</f>
        <v>1.05514922562205</v>
      </c>
      <c r="U802" s="10" t="n">
        <v>1978.1</v>
      </c>
      <c r="V802" s="5" t="n">
        <v>14</v>
      </c>
      <c r="W802" s="10" t="n">
        <v>165.1</v>
      </c>
      <c r="X802" s="15" t="n">
        <f aca="false">IF(U802&gt;0,W802/U802,0)</f>
        <v>0.0834639300338709</v>
      </c>
      <c r="Y802" s="12" t="n">
        <f aca="false">IF(U802&gt;0,L802/U802,0)</f>
        <v>481.492846671048</v>
      </c>
      <c r="Z802" s="16" t="n">
        <f aca="false">L802*INDEX(Parametros!$E$2:$E$9,MATCH($E802,Parametros!$A$2:$A$9,0))</f>
        <v>400025.22</v>
      </c>
      <c r="AA802" s="16" t="n">
        <f aca="false">Z802*INDEX(Parametros!$F$2:$F$9,MATCH($E802,Parametros!$A$2:$A$9,0))</f>
        <v>8000.5044</v>
      </c>
      <c r="AB802" s="17" t="n">
        <f aca="false">Z802+AA802</f>
        <v>408025.7244</v>
      </c>
      <c r="AC802" s="18" t="n">
        <v>399385.46</v>
      </c>
      <c r="AD802" s="17" t="n">
        <f aca="false">AC802-AB802</f>
        <v>-8640.26439999993</v>
      </c>
      <c r="AE802" s="17" t="n">
        <f aca="false">AA802+AD802</f>
        <v>-639.759999999928</v>
      </c>
      <c r="AF802" s="19" t="n">
        <f aca="false">IF(Z802&gt;0,AE802/Z802,0)</f>
        <v>-0.00159929916418752</v>
      </c>
      <c r="AG802" s="16" t="n">
        <f aca="false">(U802-W802)*INDEX(Parametros!$H$2:$H$9,MATCH($E802,Parametros!$A$2:$A$9,0))+W802*INDEX(Parametros!$H$2:$H$9,MATCH($E802,Parametros!$A$2:$A$9,0))*Parametros!$N$3</f>
        <v>64910.475</v>
      </c>
      <c r="AH802" s="13" t="n">
        <v>48426</v>
      </c>
      <c r="AI802" s="16" t="n">
        <f aca="false">AH802*Parametros!$N$2</f>
        <v>4455.192</v>
      </c>
      <c r="AJ802" s="18" t="n">
        <v>13590</v>
      </c>
      <c r="AK802" s="18" t="n">
        <v>0</v>
      </c>
      <c r="AL802" s="17" t="n">
        <f aca="false">AG802+AI802+AJ802+AK802</f>
        <v>82955.667</v>
      </c>
      <c r="AM802" s="20" t="n">
        <f aca="false">IF(L802&gt;0,AL802/L802,0)</f>
        <v>0.0870979588236962</v>
      </c>
      <c r="AN802" s="16" t="n">
        <f aca="false">L802*INDEX(Parametros!$G$2:$G$9,MATCH($E802,Parametros!$A$2:$A$9,0))</f>
        <v>676233.11</v>
      </c>
      <c r="AO802" s="17" t="n">
        <f aca="false">AN802-AC802-AL802</f>
        <v>193891.983</v>
      </c>
      <c r="AP802" s="15" t="n">
        <f aca="false">IF(AN802&gt;0,AO802/AN802,0)</f>
        <v>0.286723587077835</v>
      </c>
      <c r="AQ802" s="16" t="n">
        <f aca="false">INDEX(Parametros!$I$2:$I$9,MATCH($E802,Parametros!$A$2:$A$9,0))</f>
        <v>29300000</v>
      </c>
      <c r="AR802" s="19" t="n">
        <f aca="false">IF(AQ802&gt;0,AO802/AQ802,0)</f>
        <v>0.0066174738225256</v>
      </c>
    </row>
    <row r="803" customFormat="false" ht="15" hidden="false" customHeight="false" outlineLevel="0" collapsed="false">
      <c r="A803" s="5" t="s">
        <v>938</v>
      </c>
      <c r="B803" s="9" t="n">
        <v>46251</v>
      </c>
      <c r="C803" s="2" t="str">
        <f aca="false">TEXT(B803,"yyyy")</f>
        <v>2026</v>
      </c>
      <c r="D803" s="2" t="n">
        <f aca="false">WEEKNUM(B803,2)</f>
        <v>34</v>
      </c>
      <c r="E803" s="5" t="s">
        <v>132</v>
      </c>
      <c r="F803" s="6" t="str">
        <f aca="false">INDEX(Parametros!$B$2:$B$9,MATCH($E803,Parametros!$A$2:$A$9,0))</f>
        <v>Mayonesa frasco</v>
      </c>
      <c r="G803" s="10" t="n">
        <v>124.2</v>
      </c>
      <c r="H803" s="10" t="n">
        <v>5.9</v>
      </c>
      <c r="I803" s="11" t="n">
        <f aca="false">SUMIFS(Eventos_Paro!$J$2:$J$2186,Eventos_Paro!$D$2:$D$2186,$E803,Eventos_Paro!$B$2:$B$2186,$B803)</f>
        <v>2.61666666666667</v>
      </c>
      <c r="J803" s="12" t="n">
        <f aca="false">G803-H803-I803</f>
        <v>115.683333333333</v>
      </c>
      <c r="K803" s="13" t="n">
        <v>634751</v>
      </c>
      <c r="L803" s="13" t="n">
        <v>651004</v>
      </c>
      <c r="M803" s="13" t="n">
        <v>15115</v>
      </c>
      <c r="N803" s="14" t="n">
        <f aca="false">L803+M803</f>
        <v>666119</v>
      </c>
      <c r="O803" s="11" t="n">
        <f aca="false">INDEX(Parametros!$D$2:$D$9,MATCH($E803,Parametros!$A$2:$A$9,0))</f>
        <v>6500</v>
      </c>
      <c r="P803" s="15" t="n">
        <f aca="false">IF((G803-H803)&gt;0,J803/(G803-H803),0)</f>
        <v>0.977881093265709</v>
      </c>
      <c r="Q803" s="15" t="n">
        <f aca="false">IF(J803*O803&gt;0,N803/(O803*J803),0)</f>
        <v>0.88586525993816</v>
      </c>
      <c r="R803" s="15" t="n">
        <f aca="false">IF(N803&gt;0,L803/N803,0)</f>
        <v>0.977308859227856</v>
      </c>
      <c r="S803" s="15" t="n">
        <f aca="false">P803*Q803*R803</f>
        <v>0.846614214188179</v>
      </c>
      <c r="T803" s="15" t="n">
        <f aca="false">IF(K803&gt;0,L803/K803,0)</f>
        <v>1.02560531610033</v>
      </c>
      <c r="U803" s="10" t="n">
        <v>1821.3</v>
      </c>
      <c r="V803" s="5" t="n">
        <v>14</v>
      </c>
      <c r="W803" s="10" t="n">
        <v>82.5</v>
      </c>
      <c r="X803" s="15" t="n">
        <f aca="false">IF(U803&gt;0,W803/U803,0)</f>
        <v>0.0452973151045956</v>
      </c>
      <c r="Y803" s="12" t="n">
        <f aca="false">IF(U803&gt;0,L803/U803,0)</f>
        <v>357.439191786087</v>
      </c>
      <c r="Z803" s="16" t="n">
        <f aca="false">L803*INDEX(Parametros!$E$2:$E$9,MATCH($E803,Parametros!$A$2:$A$9,0))</f>
        <v>397112.44</v>
      </c>
      <c r="AA803" s="16" t="n">
        <f aca="false">Z803*INDEX(Parametros!$F$2:$F$9,MATCH($E803,Parametros!$A$2:$A$9,0))</f>
        <v>9927.811</v>
      </c>
      <c r="AB803" s="17" t="n">
        <f aca="false">Z803+AA803</f>
        <v>407040.251</v>
      </c>
      <c r="AC803" s="18" t="n">
        <v>398166.99</v>
      </c>
      <c r="AD803" s="17" t="n">
        <f aca="false">AC803-AB803</f>
        <v>-8873.261</v>
      </c>
      <c r="AE803" s="17" t="n">
        <f aca="false">AA803+AD803</f>
        <v>1054.55</v>
      </c>
      <c r="AF803" s="19" t="n">
        <f aca="false">IF(Z803&gt;0,AE803/Z803,0)</f>
        <v>0.002655545114628</v>
      </c>
      <c r="AG803" s="16" t="n">
        <f aca="false">(U803-W803)*INDEX(Parametros!$H$2:$H$9,MATCH($E803,Parametros!$A$2:$A$9,0))+W803*INDEX(Parametros!$H$2:$H$9,MATCH($E803,Parametros!$A$2:$A$9,0))*Parametros!$N$3</f>
        <v>58670.325</v>
      </c>
      <c r="AH803" s="13" t="n">
        <v>33734</v>
      </c>
      <c r="AI803" s="16" t="n">
        <f aca="false">AH803*Parametros!$N$2</f>
        <v>3103.528</v>
      </c>
      <c r="AJ803" s="18" t="n">
        <v>13859</v>
      </c>
      <c r="AK803" s="18" t="n">
        <v>2908</v>
      </c>
      <c r="AL803" s="17" t="n">
        <f aca="false">AG803+AI803+AJ803+AK803</f>
        <v>78540.853</v>
      </c>
      <c r="AM803" s="20" t="n">
        <f aca="false">IF(L803&gt;0,AL803/L803,0)</f>
        <v>0.120645730287372</v>
      </c>
      <c r="AN803" s="16" t="n">
        <f aca="false">L803*INDEX(Parametros!$G$2:$G$9,MATCH($E803,Parametros!$A$2:$A$9,0))</f>
        <v>624963.84</v>
      </c>
      <c r="AO803" s="17" t="n">
        <f aca="false">AN803-AC803-AL803</f>
        <v>148255.997</v>
      </c>
      <c r="AP803" s="15" t="n">
        <f aca="false">IF(AN803&gt;0,AO803/AN803,0)</f>
        <v>0.237223319992401</v>
      </c>
      <c r="AQ803" s="16" t="n">
        <f aca="false">INDEX(Parametros!$I$2:$I$9,MATCH($E803,Parametros!$A$2:$A$9,0))</f>
        <v>29700000</v>
      </c>
      <c r="AR803" s="19" t="n">
        <f aca="false">IF(AQ803&gt;0,AO803/AQ803,0)</f>
        <v>0.00499178441077441</v>
      </c>
    </row>
    <row r="804" customFormat="false" ht="15" hidden="false" customHeight="false" outlineLevel="0" collapsed="false">
      <c r="A804" s="5" t="s">
        <v>939</v>
      </c>
      <c r="B804" s="9" t="n">
        <v>46251</v>
      </c>
      <c r="C804" s="2" t="str">
        <f aca="false">TEXT(B804,"yyyy")</f>
        <v>2026</v>
      </c>
      <c r="D804" s="2" t="n">
        <f aca="false">WEEKNUM(B804,2)</f>
        <v>34</v>
      </c>
      <c r="E804" s="5" t="s">
        <v>134</v>
      </c>
      <c r="F804" s="6" t="str">
        <f aca="false">INDEX(Parametros!$B$2:$B$9,MATCH($E804,Parametros!$A$2:$A$9,0))</f>
        <v>Aderezos vertibles</v>
      </c>
      <c r="G804" s="10" t="n">
        <v>115.2</v>
      </c>
      <c r="H804" s="10" t="n">
        <v>6.4</v>
      </c>
      <c r="I804" s="11" t="n">
        <f aca="false">SUMIFS(Eventos_Paro!$J$2:$J$2186,Eventos_Paro!$D$2:$D$2186,$E804,Eventos_Paro!$B$2:$B$2186,$B804)</f>
        <v>2.15</v>
      </c>
      <c r="J804" s="12" t="n">
        <f aca="false">G804-H804-I804</f>
        <v>106.65</v>
      </c>
      <c r="K804" s="13" t="n">
        <v>467022</v>
      </c>
      <c r="L804" s="13" t="n">
        <v>458517</v>
      </c>
      <c r="M804" s="13" t="n">
        <v>13090</v>
      </c>
      <c r="N804" s="14" t="n">
        <f aca="false">L804+M804</f>
        <v>471607</v>
      </c>
      <c r="O804" s="11" t="n">
        <f aca="false">INDEX(Parametros!$D$2:$D$9,MATCH($E804,Parametros!$A$2:$A$9,0))</f>
        <v>5200</v>
      </c>
      <c r="P804" s="15" t="n">
        <f aca="false">IF((G804-H804)&gt;0,J804/(G804-H804),0)</f>
        <v>0.980238970588235</v>
      </c>
      <c r="Q804" s="15" t="n">
        <f aca="false">IF(J804*O804&gt;0,N804/(O804*J804),0)</f>
        <v>0.850385877601067</v>
      </c>
      <c r="R804" s="15" t="n">
        <f aca="false">IF(N804&gt;0,L804/N804,0)</f>
        <v>0.972243838619868</v>
      </c>
      <c r="S804" s="15" t="n">
        <f aca="false">P804*Q804*R804</f>
        <v>0.810444358031674</v>
      </c>
      <c r="T804" s="15" t="n">
        <f aca="false">IF(K804&gt;0,L804/K804,0)</f>
        <v>0.981788866477382</v>
      </c>
      <c r="U804" s="10" t="n">
        <v>1439.9</v>
      </c>
      <c r="V804" s="5" t="n">
        <v>12</v>
      </c>
      <c r="W804" s="10" t="n">
        <v>57.5</v>
      </c>
      <c r="X804" s="15" t="n">
        <f aca="false">IF(U804&gt;0,W804/U804,0)</f>
        <v>0.0399333287033822</v>
      </c>
      <c r="Y804" s="12" t="n">
        <f aca="false">IF(U804&gt;0,L804/U804,0)</f>
        <v>318.436696992847</v>
      </c>
      <c r="Z804" s="16" t="n">
        <f aca="false">L804*INDEX(Parametros!$E$2:$E$9,MATCH($E804,Parametros!$A$2:$A$9,0))</f>
        <v>252184.35</v>
      </c>
      <c r="AA804" s="16" t="n">
        <f aca="false">Z804*INDEX(Parametros!$F$2:$F$9,MATCH($E804,Parametros!$A$2:$A$9,0))</f>
        <v>7565.5305</v>
      </c>
      <c r="AB804" s="17" t="n">
        <f aca="false">Z804+AA804</f>
        <v>259749.8805</v>
      </c>
      <c r="AC804" s="18" t="n">
        <v>257596.57</v>
      </c>
      <c r="AD804" s="17" t="n">
        <f aca="false">AC804-AB804</f>
        <v>-2153.31049999999</v>
      </c>
      <c r="AE804" s="17" t="n">
        <f aca="false">AA804+AD804</f>
        <v>5412.22000000001</v>
      </c>
      <c r="AF804" s="19" t="n">
        <f aca="false">IF(Z804&gt;0,AE804/Z804,0)</f>
        <v>0.0214613634827062</v>
      </c>
      <c r="AG804" s="16" t="n">
        <f aca="false">(U804-W804)*INDEX(Parametros!$H$2:$H$9,MATCH($E804,Parametros!$A$2:$A$9,0))+W804*INDEX(Parametros!$H$2:$H$9,MATCH($E804,Parametros!$A$2:$A$9,0))*Parametros!$N$3</f>
        <v>46262.475</v>
      </c>
      <c r="AH804" s="13" t="n">
        <v>22702</v>
      </c>
      <c r="AI804" s="16" t="n">
        <f aca="false">AH804*Parametros!$N$2</f>
        <v>2088.584</v>
      </c>
      <c r="AJ804" s="18" t="n">
        <v>9817</v>
      </c>
      <c r="AK804" s="18" t="n">
        <v>1671</v>
      </c>
      <c r="AL804" s="17" t="n">
        <f aca="false">AG804+AI804+AJ804+AK804</f>
        <v>59839.059</v>
      </c>
      <c r="AM804" s="20" t="n">
        <f aca="false">IF(L804&gt;0,AL804/L804,0)</f>
        <v>0.130505649735997</v>
      </c>
      <c r="AN804" s="16" t="n">
        <f aca="false">L804*INDEX(Parametros!$G$2:$G$9,MATCH($E804,Parametros!$A$2:$A$9,0))</f>
        <v>467687.34</v>
      </c>
      <c r="AO804" s="17" t="n">
        <f aca="false">AN804-AC804-AL804</f>
        <v>150251.711</v>
      </c>
      <c r="AP804" s="15" t="n">
        <f aca="false">IF(AN804&gt;0,AO804/AN804,0)</f>
        <v>0.321265294459328</v>
      </c>
      <c r="AQ804" s="16" t="n">
        <f aca="false">INDEX(Parametros!$I$2:$I$9,MATCH($E804,Parametros!$A$2:$A$9,0))</f>
        <v>19300000</v>
      </c>
      <c r="AR804" s="19" t="n">
        <f aca="false">IF(AQ804&gt;0,AO804/AQ804,0)</f>
        <v>0.00778506274611399</v>
      </c>
    </row>
    <row r="805" customFormat="false" ht="15" hidden="false" customHeight="false" outlineLevel="0" collapsed="false">
      <c r="A805" s="5" t="s">
        <v>940</v>
      </c>
      <c r="B805" s="9" t="n">
        <v>46251</v>
      </c>
      <c r="C805" s="2" t="str">
        <f aca="false">TEXT(B805,"yyyy")</f>
        <v>2026</v>
      </c>
      <c r="D805" s="2" t="n">
        <f aca="false">WEEKNUM(B805,2)</f>
        <v>34</v>
      </c>
      <c r="E805" s="5" t="s">
        <v>136</v>
      </c>
      <c r="F805" s="6" t="str">
        <f aca="false">INDEX(Parametros!$B$2:$B$9,MATCH($E805,Parametros!$A$2:$A$9,0))</f>
        <v>Salsa BBQ</v>
      </c>
      <c r="G805" s="10" t="n">
        <v>125</v>
      </c>
      <c r="H805" s="10" t="n">
        <v>8.9</v>
      </c>
      <c r="I805" s="11" t="n">
        <f aca="false">SUMIFS(Eventos_Paro!$J$2:$J$2186,Eventos_Paro!$D$2:$D$2186,$E805,Eventos_Paro!$B$2:$B$2186,$B805)</f>
        <v>1.48333333333333</v>
      </c>
      <c r="J805" s="12" t="n">
        <f aca="false">G805-H805-I805</f>
        <v>114.616666666667</v>
      </c>
      <c r="K805" s="13" t="n">
        <v>509716</v>
      </c>
      <c r="L805" s="13" t="n">
        <v>440647</v>
      </c>
      <c r="M805" s="13" t="n">
        <v>13216</v>
      </c>
      <c r="N805" s="14" t="n">
        <f aca="false">L805+M805</f>
        <v>453863</v>
      </c>
      <c r="O805" s="11" t="n">
        <f aca="false">INDEX(Parametros!$D$2:$D$9,MATCH($E805,Parametros!$A$2:$A$9,0))</f>
        <v>4800</v>
      </c>
      <c r="P805" s="15" t="n">
        <f aca="false">IF((G805-H805)&gt;0,J805/(G805-H805),0)</f>
        <v>0.987223657766293</v>
      </c>
      <c r="Q805" s="15" t="n">
        <f aca="false">IF(J805*O805&gt;0,N805/(O805*J805),0)</f>
        <v>0.824965464592119</v>
      </c>
      <c r="R805" s="15" t="n">
        <f aca="false">IF(N805&gt;0,L805/N805,0)</f>
        <v>0.970881080854795</v>
      </c>
      <c r="S805" s="15" t="n">
        <f aca="false">P805*Q805*R805</f>
        <v>0.790710235429228</v>
      </c>
      <c r="T805" s="15" t="n">
        <f aca="false">IF(K805&gt;0,L805/K805,0)</f>
        <v>0.864495130621758</v>
      </c>
      <c r="U805" s="10" t="n">
        <v>1250</v>
      </c>
      <c r="V805" s="5" t="n">
        <v>10</v>
      </c>
      <c r="W805" s="10" t="n">
        <v>0</v>
      </c>
      <c r="X805" s="15" t="n">
        <f aca="false">IF(U805&gt;0,W805/U805,0)</f>
        <v>0</v>
      </c>
      <c r="Y805" s="12" t="n">
        <f aca="false">IF(U805&gt;0,L805/U805,0)</f>
        <v>352.5176</v>
      </c>
      <c r="Z805" s="16" t="n">
        <f aca="false">L805*INDEX(Parametros!$E$2:$E$9,MATCH($E805,Parametros!$A$2:$A$9,0))</f>
        <v>255575.26</v>
      </c>
      <c r="AA805" s="16" t="n">
        <f aca="false">Z805*INDEX(Parametros!$F$2:$F$9,MATCH($E805,Parametros!$A$2:$A$9,0))</f>
        <v>7156.10728</v>
      </c>
      <c r="AB805" s="17" t="n">
        <f aca="false">Z805+AA805</f>
        <v>262731.36728</v>
      </c>
      <c r="AC805" s="18" t="n">
        <v>260972.46</v>
      </c>
      <c r="AD805" s="17" t="n">
        <f aca="false">AC805-AB805</f>
        <v>-1758.90728000001</v>
      </c>
      <c r="AE805" s="17" t="n">
        <f aca="false">AA805+AD805</f>
        <v>5397.19999999999</v>
      </c>
      <c r="AF805" s="19" t="n">
        <f aca="false">IF(Z805&gt;0,AE805/Z805,0)</f>
        <v>0.0211178499828191</v>
      </c>
      <c r="AG805" s="16" t="n">
        <f aca="false">(U805-W805)*INDEX(Parametros!$H$2:$H$9,MATCH($E805,Parametros!$A$2:$A$9,0))+W805*INDEX(Parametros!$H$2:$H$9,MATCH($E805,Parametros!$A$2:$A$9,0))*Parametros!$N$3</f>
        <v>39375</v>
      </c>
      <c r="AH805" s="13" t="n">
        <v>22982</v>
      </c>
      <c r="AI805" s="16" t="n">
        <f aca="false">AH805*Parametros!$N$2</f>
        <v>2114.344</v>
      </c>
      <c r="AJ805" s="18" t="n">
        <v>8973</v>
      </c>
      <c r="AK805" s="18" t="n">
        <v>1408</v>
      </c>
      <c r="AL805" s="17" t="n">
        <f aca="false">AG805+AI805+AJ805+AK805</f>
        <v>51870.344</v>
      </c>
      <c r="AM805" s="20" t="n">
        <f aca="false">IF(L805&gt;0,AL805/L805,0)</f>
        <v>0.11771405229129</v>
      </c>
      <c r="AN805" s="16" t="n">
        <f aca="false">L805*INDEX(Parametros!$G$2:$G$9,MATCH($E805,Parametros!$A$2:$A$9,0))</f>
        <v>431834.06</v>
      </c>
      <c r="AO805" s="17" t="n">
        <f aca="false">AN805-AC805-AL805</f>
        <v>118991.256</v>
      </c>
      <c r="AP805" s="15" t="n">
        <f aca="false">IF(AN805&gt;0,AO805/AN805,0)</f>
        <v>0.275548566039464</v>
      </c>
      <c r="AQ805" s="16" t="n">
        <f aca="false">INDEX(Parametros!$I$2:$I$9,MATCH($E805,Parametros!$A$2:$A$9,0))</f>
        <v>17000000</v>
      </c>
      <c r="AR805" s="19" t="n">
        <f aca="false">IF(AQ805&gt;0,AO805/AQ805,0)</f>
        <v>0.00699948564705882</v>
      </c>
    </row>
    <row r="806" customFormat="false" ht="15" hidden="false" customHeight="false" outlineLevel="0" collapsed="false">
      <c r="A806" s="5" t="s">
        <v>941</v>
      </c>
      <c r="B806" s="9" t="n">
        <v>46251</v>
      </c>
      <c r="C806" s="2" t="str">
        <f aca="false">TEXT(B806,"yyyy")</f>
        <v>2026</v>
      </c>
      <c r="D806" s="2" t="n">
        <f aca="false">WEEKNUM(B806,2)</f>
        <v>34</v>
      </c>
      <c r="E806" s="5" t="s">
        <v>138</v>
      </c>
      <c r="F806" s="6" t="str">
        <f aca="false">INDEX(Parametros!$B$2:$B$9,MATCH($E806,Parametros!$A$2:$A$9,0))</f>
        <v>Queso crema</v>
      </c>
      <c r="G806" s="10" t="n">
        <v>106.4</v>
      </c>
      <c r="H806" s="10" t="n">
        <v>7.3</v>
      </c>
      <c r="I806" s="11" t="n">
        <f aca="false">SUMIFS(Eventos_Paro!$J$2:$J$2186,Eventos_Paro!$D$2:$D$2186,$E806,Eventos_Paro!$B$2:$B$2186,$B806)</f>
        <v>2.93333333333333</v>
      </c>
      <c r="J806" s="12" t="n">
        <f aca="false">G806-H806-I806</f>
        <v>96.1666666666667</v>
      </c>
      <c r="K806" s="13" t="n">
        <v>310858</v>
      </c>
      <c r="L806" s="13" t="n">
        <v>299782</v>
      </c>
      <c r="M806" s="13" t="n">
        <v>14848</v>
      </c>
      <c r="N806" s="14" t="n">
        <f aca="false">L806+M806</f>
        <v>314630</v>
      </c>
      <c r="O806" s="11" t="n">
        <f aca="false">INDEX(Parametros!$D$2:$D$9,MATCH($E806,Parametros!$A$2:$A$9,0))</f>
        <v>3800</v>
      </c>
      <c r="P806" s="15" t="n">
        <f aca="false">IF((G806-H806)&gt;0,J806/(G806-H806),0)</f>
        <v>0.970400269088463</v>
      </c>
      <c r="Q806" s="15" t="n">
        <f aca="false">IF(J806*O806&gt;0,N806/(O806*J806),0)</f>
        <v>0.860977834534343</v>
      </c>
      <c r="R806" s="15" t="n">
        <f aca="false">IF(N806&gt;0,L806/N806,0)</f>
        <v>0.952808060261259</v>
      </c>
      <c r="S806" s="15" t="n">
        <f aca="false">P806*Q806*R806</f>
        <v>0.79606458123108</v>
      </c>
      <c r="T806" s="15" t="n">
        <f aca="false">IF(K806&gt;0,L806/K806,0)</f>
        <v>0.964369583539751</v>
      </c>
      <c r="U806" s="10" t="n">
        <v>1789.2</v>
      </c>
      <c r="V806" s="5" t="n">
        <v>16</v>
      </c>
      <c r="W806" s="10" t="n">
        <v>86.8</v>
      </c>
      <c r="X806" s="15" t="n">
        <f aca="false">IF(U806&gt;0,W806/U806,0)</f>
        <v>0.0485133020344288</v>
      </c>
      <c r="Y806" s="12" t="n">
        <f aca="false">IF(U806&gt;0,L806/U806,0)</f>
        <v>167.550860719875</v>
      </c>
      <c r="Z806" s="16" t="n">
        <f aca="false">L806*INDEX(Parametros!$E$2:$E$9,MATCH($E806,Parametros!$A$2:$A$9,0))</f>
        <v>335755.84</v>
      </c>
      <c r="AA806" s="16" t="n">
        <f aca="false">Z806*INDEX(Parametros!$F$2:$F$9,MATCH($E806,Parametros!$A$2:$A$9,0))</f>
        <v>11751.4544</v>
      </c>
      <c r="AB806" s="17" t="n">
        <f aca="false">Z806+AA806</f>
        <v>347507.2944</v>
      </c>
      <c r="AC806" s="18" t="n">
        <v>355904.09</v>
      </c>
      <c r="AD806" s="17" t="n">
        <f aca="false">AC806-AB806</f>
        <v>8396.79560000001</v>
      </c>
      <c r="AE806" s="17" t="n">
        <f aca="false">AA806+AD806</f>
        <v>20148.25</v>
      </c>
      <c r="AF806" s="19" t="n">
        <f aca="false">IF(Z806&gt;0,AE806/Z806,0)</f>
        <v>0.0600086360374253</v>
      </c>
      <c r="AG806" s="16" t="n">
        <f aca="false">(U806-W806)*INDEX(Parametros!$H$2:$H$9,MATCH($E806,Parametros!$A$2:$A$9,0))+W806*INDEX(Parametros!$H$2:$H$9,MATCH($E806,Parametros!$A$2:$A$9,0))*Parametros!$N$3</f>
        <v>60475.8</v>
      </c>
      <c r="AH806" s="13" t="n">
        <v>15860</v>
      </c>
      <c r="AI806" s="16" t="n">
        <f aca="false">AH806*Parametros!$N$2</f>
        <v>1459.12</v>
      </c>
      <c r="AJ806" s="18" t="n">
        <v>19011</v>
      </c>
      <c r="AK806" s="18" t="n">
        <v>2825</v>
      </c>
      <c r="AL806" s="17" t="n">
        <f aca="false">AG806+AI806+AJ806+AK806</f>
        <v>83770.92</v>
      </c>
      <c r="AM806" s="20" t="n">
        <f aca="false">IF(L806&gt;0,AL806/L806,0)</f>
        <v>0.279439459340454</v>
      </c>
      <c r="AN806" s="16" t="n">
        <f aca="false">L806*INDEX(Parametros!$G$2:$G$9,MATCH($E806,Parametros!$A$2:$A$9,0))</f>
        <v>536609.78</v>
      </c>
      <c r="AO806" s="17" t="n">
        <f aca="false">AN806-AC806-AL806</f>
        <v>96934.77</v>
      </c>
      <c r="AP806" s="15" t="n">
        <f aca="false">IF(AN806&gt;0,AO806/AN806,0)</f>
        <v>0.180642943183033</v>
      </c>
      <c r="AQ806" s="16" t="n">
        <f aca="false">INDEX(Parametros!$I$2:$I$9,MATCH($E806,Parametros!$A$2:$A$9,0))</f>
        <v>33200000</v>
      </c>
      <c r="AR806" s="19" t="n">
        <f aca="false">IF(AQ806&gt;0,AO806/AQ806,0)</f>
        <v>0.00291972198795181</v>
      </c>
    </row>
    <row r="807" customFormat="false" ht="15" hidden="false" customHeight="false" outlineLevel="0" collapsed="false">
      <c r="A807" s="5" t="s">
        <v>942</v>
      </c>
      <c r="B807" s="9" t="n">
        <v>46251</v>
      </c>
      <c r="C807" s="2" t="str">
        <f aca="false">TEXT(B807,"yyyy")</f>
        <v>2026</v>
      </c>
      <c r="D807" s="2" t="n">
        <f aca="false">WEEKNUM(B807,2)</f>
        <v>34</v>
      </c>
      <c r="E807" s="5" t="s">
        <v>140</v>
      </c>
      <c r="F807" s="6" t="str">
        <f aca="false">INDEX(Parametros!$B$2:$B$9,MATCH($E807,Parametros!$A$2:$A$9,0))</f>
        <v>Crema de cacahuate</v>
      </c>
      <c r="G807" s="10" t="n">
        <v>113.5</v>
      </c>
      <c r="H807" s="10" t="n">
        <v>7.3</v>
      </c>
      <c r="I807" s="11" t="n">
        <f aca="false">SUMIFS(Eventos_Paro!$J$2:$J$2186,Eventos_Paro!$D$2:$D$2186,$E807,Eventos_Paro!$B$2:$B$2186,$B807)</f>
        <v>0.6</v>
      </c>
      <c r="J807" s="12" t="n">
        <f aca="false">G807-H807-I807</f>
        <v>105.6</v>
      </c>
      <c r="K807" s="13" t="n">
        <v>368196</v>
      </c>
      <c r="L807" s="13" t="n">
        <v>366682</v>
      </c>
      <c r="M807" s="13" t="n">
        <v>8742</v>
      </c>
      <c r="N807" s="14" t="n">
        <f aca="false">L807+M807</f>
        <v>375424</v>
      </c>
      <c r="O807" s="11" t="n">
        <f aca="false">INDEX(Parametros!$D$2:$D$9,MATCH($E807,Parametros!$A$2:$A$9,0))</f>
        <v>4200</v>
      </c>
      <c r="P807" s="15" t="n">
        <f aca="false">IF((G807-H807)&gt;0,J807/(G807-H807),0)</f>
        <v>0.994350282485876</v>
      </c>
      <c r="Q807" s="15" t="n">
        <f aca="false">IF(J807*O807&gt;0,N807/(O807*J807),0)</f>
        <v>0.846464646464646</v>
      </c>
      <c r="R807" s="15" t="n">
        <f aca="false">IF(N807&gt;0,L807/N807,0)</f>
        <v>0.976714328332765</v>
      </c>
      <c r="S807" s="15" t="n">
        <f aca="false">P807*Q807*R807</f>
        <v>0.822083221235764</v>
      </c>
      <c r="T807" s="15" t="n">
        <f aca="false">IF(K807&gt;0,L807/K807,0)</f>
        <v>0.99588805962042</v>
      </c>
      <c r="U807" s="10" t="n">
        <v>1626.3</v>
      </c>
      <c r="V807" s="5" t="n">
        <v>13</v>
      </c>
      <c r="W807" s="10" t="n">
        <v>150.8</v>
      </c>
      <c r="X807" s="15" t="n">
        <f aca="false">IF(U807&gt;0,W807/U807,0)</f>
        <v>0.0927258193445244</v>
      </c>
      <c r="Y807" s="12" t="n">
        <f aca="false">IF(U807&gt;0,L807/U807,0)</f>
        <v>225.470085470085</v>
      </c>
      <c r="Z807" s="16" t="n">
        <f aca="false">L807*INDEX(Parametros!$E$2:$E$9,MATCH($E807,Parametros!$A$2:$A$9,0))</f>
        <v>355681.54</v>
      </c>
      <c r="AA807" s="16" t="n">
        <f aca="false">Z807*INDEX(Parametros!$F$2:$F$9,MATCH($E807,Parametros!$A$2:$A$9,0))</f>
        <v>7824.99388</v>
      </c>
      <c r="AB807" s="17" t="n">
        <f aca="false">Z807+AA807</f>
        <v>363506.53388</v>
      </c>
      <c r="AC807" s="18" t="n">
        <v>354415.89</v>
      </c>
      <c r="AD807" s="17" t="n">
        <f aca="false">AC807-AB807</f>
        <v>-9090.64387999999</v>
      </c>
      <c r="AE807" s="17" t="n">
        <f aca="false">AA807+AD807</f>
        <v>-1265.64999999999</v>
      </c>
      <c r="AF807" s="19" t="n">
        <f aca="false">IF(Z807&gt;0,AE807/Z807,0)</f>
        <v>-0.0035583797798446</v>
      </c>
      <c r="AG807" s="16" t="n">
        <f aca="false">(U807-W807)*INDEX(Parametros!$H$2:$H$9,MATCH($E807,Parametros!$A$2:$A$9,0))+W807*INDEX(Parametros!$H$2:$H$9,MATCH($E807,Parametros!$A$2:$A$9,0))*Parametros!$N$3</f>
        <v>53603.55</v>
      </c>
      <c r="AH807" s="13" t="n">
        <v>18825</v>
      </c>
      <c r="AI807" s="16" t="n">
        <f aca="false">AH807*Parametros!$N$2</f>
        <v>1731.9</v>
      </c>
      <c r="AJ807" s="18" t="n">
        <v>11389</v>
      </c>
      <c r="AK807" s="18" t="n">
        <v>289</v>
      </c>
      <c r="AL807" s="17" t="n">
        <f aca="false">AG807+AI807+AJ807+AK807</f>
        <v>67013.45</v>
      </c>
      <c r="AM807" s="20" t="n">
        <f aca="false">IF(L807&gt;0,AL807/L807,0)</f>
        <v>0.182756312008771</v>
      </c>
      <c r="AN807" s="16" t="n">
        <f aca="false">L807*INDEX(Parametros!$G$2:$G$9,MATCH($E807,Parametros!$A$2:$A$9,0))</f>
        <v>594024.84</v>
      </c>
      <c r="AO807" s="17" t="n">
        <f aca="false">AN807-AC807-AL807</f>
        <v>172595.5</v>
      </c>
      <c r="AP807" s="15" t="n">
        <f aca="false">IF(AN807&gt;0,AO807/AN807,0)</f>
        <v>0.290552664430666</v>
      </c>
      <c r="AQ807" s="16" t="n">
        <f aca="false">INDEX(Parametros!$I$2:$I$9,MATCH($E807,Parametros!$A$2:$A$9,0))</f>
        <v>28000000</v>
      </c>
      <c r="AR807" s="19" t="n">
        <f aca="false">IF(AQ807&gt;0,AO807/AQ807,0)</f>
        <v>0.006164125</v>
      </c>
    </row>
    <row r="808" customFormat="false" ht="15" hidden="false" customHeight="false" outlineLevel="0" collapsed="false">
      <c r="A808" s="5" t="s">
        <v>943</v>
      </c>
      <c r="B808" s="9" t="n">
        <v>46251</v>
      </c>
      <c r="C808" s="2" t="str">
        <f aca="false">TEXT(B808,"yyyy")</f>
        <v>2026</v>
      </c>
      <c r="D808" s="2" t="n">
        <f aca="false">WEEKNUM(B808,2)</f>
        <v>34</v>
      </c>
      <c r="E808" s="5" t="s">
        <v>142</v>
      </c>
      <c r="F808" s="6" t="str">
        <f aca="false">INDEX(Parametros!$B$2:$B$9,MATCH($E808,Parametros!$A$2:$A$9,0))</f>
        <v>Porciones single serve</v>
      </c>
      <c r="G808" s="10" t="n">
        <v>108.7</v>
      </c>
      <c r="H808" s="10" t="n">
        <v>5.2</v>
      </c>
      <c r="I808" s="11" t="n">
        <f aca="false">SUMIFS(Eventos_Paro!$J$2:$J$2186,Eventos_Paro!$D$2:$D$2186,$E808,Eventos_Paro!$B$2:$B$2186,$B808)</f>
        <v>4.05</v>
      </c>
      <c r="J808" s="12" t="n">
        <f aca="false">G808-H808-I808</f>
        <v>99.45</v>
      </c>
      <c r="K808" s="13" t="n">
        <v>222136</v>
      </c>
      <c r="L808" s="13" t="n">
        <v>192678</v>
      </c>
      <c r="M808" s="13" t="n">
        <v>9775</v>
      </c>
      <c r="N808" s="14" t="n">
        <f aca="false">L808+M808</f>
        <v>202453</v>
      </c>
      <c r="O808" s="11" t="n">
        <f aca="false">INDEX(Parametros!$D$2:$D$9,MATCH($E808,Parametros!$A$2:$A$9,0))</f>
        <v>2600</v>
      </c>
      <c r="P808" s="15" t="n">
        <f aca="false">IF((G808-H808)&gt;0,J808/(G808-H808),0)</f>
        <v>0.960869565217391</v>
      </c>
      <c r="Q808" s="15" t="n">
        <f aca="false">IF(J808*O808&gt;0,N808/(O808*J808),0)</f>
        <v>0.782971729125575</v>
      </c>
      <c r="R808" s="15" t="n">
        <f aca="false">IF(N808&gt;0,L808/N808,0)</f>
        <v>0.95171718868083</v>
      </c>
      <c r="S808" s="15" t="n">
        <f aca="false">P808*Q808*R808</f>
        <v>0.716008918617614</v>
      </c>
      <c r="T808" s="15" t="n">
        <f aca="false">IF(K808&gt;0,L808/K808,0)</f>
        <v>0.867387546367991</v>
      </c>
      <c r="U808" s="10" t="n">
        <v>1733.8</v>
      </c>
      <c r="V808" s="5" t="n">
        <v>15</v>
      </c>
      <c r="W808" s="10" t="n">
        <v>103.3</v>
      </c>
      <c r="X808" s="15" t="n">
        <f aca="false">IF(U808&gt;0,W808/U808,0)</f>
        <v>0.0595801130464875</v>
      </c>
      <c r="Y808" s="12" t="n">
        <f aca="false">IF(U808&gt;0,L808/U808,0)</f>
        <v>111.130464874841</v>
      </c>
      <c r="Z808" s="16" t="n">
        <f aca="false">L808*INDEX(Parametros!$E$2:$E$9,MATCH($E808,Parametros!$A$2:$A$9,0))</f>
        <v>142581.72</v>
      </c>
      <c r="AA808" s="16" t="n">
        <f aca="false">Z808*INDEX(Parametros!$F$2:$F$9,MATCH($E808,Parametros!$A$2:$A$9,0))</f>
        <v>6416.1774</v>
      </c>
      <c r="AB808" s="17" t="n">
        <f aca="false">Z808+AA808</f>
        <v>148997.8974</v>
      </c>
      <c r="AC808" s="18" t="n">
        <v>147664.43</v>
      </c>
      <c r="AD808" s="17" t="n">
        <f aca="false">AC808-AB808</f>
        <v>-1333.46739999999</v>
      </c>
      <c r="AE808" s="17" t="n">
        <f aca="false">AA808+AD808</f>
        <v>5082.71000000001</v>
      </c>
      <c r="AF808" s="19" t="n">
        <f aca="false">IF(Z808&gt;0,AE808/Z808,0)</f>
        <v>0.0356476973345532</v>
      </c>
      <c r="AG808" s="16" t="n">
        <f aca="false">(U808-W808)*INDEX(Parametros!$H$2:$H$9,MATCH($E808,Parametros!$A$2:$A$9,0))+W808*INDEX(Parametros!$H$2:$H$9,MATCH($E808,Parametros!$A$2:$A$9,0))*Parametros!$N$3</f>
        <v>53563.5</v>
      </c>
      <c r="AH808" s="13" t="n">
        <v>10005</v>
      </c>
      <c r="AI808" s="16" t="n">
        <f aca="false">AH808*Parametros!$N$2</f>
        <v>920.46</v>
      </c>
      <c r="AJ808" s="18" t="n">
        <v>9882</v>
      </c>
      <c r="AK808" s="18" t="n">
        <v>3212</v>
      </c>
      <c r="AL808" s="17" t="n">
        <f aca="false">AG808+AI808+AJ808+AK808</f>
        <v>67577.96</v>
      </c>
      <c r="AM808" s="20" t="n">
        <f aca="false">IF(L808&gt;0,AL808/L808,0)</f>
        <v>0.350730026261431</v>
      </c>
      <c r="AN808" s="16" t="n">
        <f aca="false">L808*INDEX(Parametros!$G$2:$G$9,MATCH($E808,Parametros!$A$2:$A$9,0))</f>
        <v>331406.16</v>
      </c>
      <c r="AO808" s="17" t="n">
        <f aca="false">AN808-AC808-AL808</f>
        <v>116163.77</v>
      </c>
      <c r="AP808" s="15" t="n">
        <f aca="false">IF(AN808&gt;0,AO808/AN808,0)</f>
        <v>0.350517835878488</v>
      </c>
      <c r="AQ808" s="16" t="n">
        <f aca="false">INDEX(Parametros!$I$2:$I$9,MATCH($E808,Parametros!$A$2:$A$9,0))</f>
        <v>15900000</v>
      </c>
      <c r="AR808" s="19" t="n">
        <f aca="false">IF(AQ808&gt;0,AO808/AQ808,0)</f>
        <v>0.00730589748427673</v>
      </c>
    </row>
    <row r="809" customFormat="false" ht="15" hidden="false" customHeight="false" outlineLevel="0" collapsed="false">
      <c r="A809" s="5" t="s">
        <v>944</v>
      </c>
      <c r="B809" s="9" t="n">
        <v>46251</v>
      </c>
      <c r="C809" s="2" t="str">
        <f aca="false">TEXT(B809,"yyyy")</f>
        <v>2026</v>
      </c>
      <c r="D809" s="2" t="n">
        <f aca="false">WEEKNUM(B809,2)</f>
        <v>34</v>
      </c>
      <c r="E809" s="5" t="s">
        <v>144</v>
      </c>
      <c r="F809" s="6" t="str">
        <f aca="false">INDEX(Parametros!$B$2:$B$9,MATCH($E809,Parametros!$A$2:$A$9,0))</f>
        <v>Salsas picantes</v>
      </c>
      <c r="G809" s="10" t="n">
        <v>103.3</v>
      </c>
      <c r="H809" s="10" t="n">
        <v>6.9</v>
      </c>
      <c r="I809" s="11" t="n">
        <f aca="false">SUMIFS(Eventos_Paro!$J$2:$J$2186,Eventos_Paro!$D$2:$D$2186,$E809,Eventos_Paro!$B$2:$B$2186,$B809)</f>
        <v>4.43333333333333</v>
      </c>
      <c r="J809" s="12" t="n">
        <f aca="false">G809-H809-I809</f>
        <v>91.9666666666667</v>
      </c>
      <c r="K809" s="13" t="n">
        <v>228035</v>
      </c>
      <c r="L809" s="13" t="n">
        <v>242404</v>
      </c>
      <c r="M809" s="13" t="n">
        <v>7824</v>
      </c>
      <c r="N809" s="14" t="n">
        <f aca="false">L809+M809</f>
        <v>250228</v>
      </c>
      <c r="O809" s="11" t="n">
        <f aca="false">INDEX(Parametros!$D$2:$D$9,MATCH($E809,Parametros!$A$2:$A$9,0))</f>
        <v>3100</v>
      </c>
      <c r="P809" s="15" t="n">
        <f aca="false">IF((G809-H809)&gt;0,J809/(G809-H809),0)</f>
        <v>0.954011065006916</v>
      </c>
      <c r="Q809" s="15" t="n">
        <f aca="false">IF(J809*O809&gt;0,N809/(O809*J809),0)</f>
        <v>0.877695284640298</v>
      </c>
      <c r="R809" s="15" t="n">
        <f aca="false">IF(N809&gt;0,L809/N809,0)</f>
        <v>0.968732515945458</v>
      </c>
      <c r="S809" s="15" t="n">
        <f aca="false">P809*Q809*R809</f>
        <v>0.811149779146031</v>
      </c>
      <c r="T809" s="15" t="n">
        <f aca="false">IF(K809&gt;0,L809/K809,0)</f>
        <v>1.06301225689039</v>
      </c>
      <c r="U809" s="10" t="n">
        <v>1036.8</v>
      </c>
      <c r="V809" s="5" t="n">
        <v>9</v>
      </c>
      <c r="W809" s="10" t="n">
        <v>107.1</v>
      </c>
      <c r="X809" s="15" t="n">
        <f aca="false">IF(U809&gt;0,W809/U809,0)</f>
        <v>0.103298611111111</v>
      </c>
      <c r="Y809" s="12" t="n">
        <f aca="false">IF(U809&gt;0,L809/U809,0)</f>
        <v>233.800154320988</v>
      </c>
      <c r="Z809" s="16" t="n">
        <f aca="false">L809*INDEX(Parametros!$E$2:$E$9,MATCH($E809,Parametros!$A$2:$A$9,0))</f>
        <v>159986.64</v>
      </c>
      <c r="AA809" s="16" t="n">
        <f aca="false">Z809*INDEX(Parametros!$F$2:$F$9,MATCH($E809,Parametros!$A$2:$A$9,0))</f>
        <v>4159.65264</v>
      </c>
      <c r="AB809" s="17" t="n">
        <f aca="false">Z809+AA809</f>
        <v>164146.29264</v>
      </c>
      <c r="AC809" s="18" t="n">
        <v>161051.94</v>
      </c>
      <c r="AD809" s="17" t="n">
        <f aca="false">AC809-AB809</f>
        <v>-3094.35264</v>
      </c>
      <c r="AE809" s="17" t="n">
        <f aca="false">AA809+AD809</f>
        <v>1065.3</v>
      </c>
      <c r="AF809" s="19" t="n">
        <f aca="false">IF(Z809&gt;0,AE809/Z809,0)</f>
        <v>0.00665868099986351</v>
      </c>
      <c r="AG809" s="16" t="n">
        <f aca="false">(U809-W809)*INDEX(Parametros!$H$2:$H$9,MATCH($E809,Parametros!$A$2:$A$9,0))+W809*INDEX(Parametros!$H$2:$H$9,MATCH($E809,Parametros!$A$2:$A$9,0))*Parametros!$N$3</f>
        <v>34346.025</v>
      </c>
      <c r="AH809" s="13" t="n">
        <v>12616</v>
      </c>
      <c r="AI809" s="16" t="n">
        <f aca="false">AH809*Parametros!$N$2</f>
        <v>1160.672</v>
      </c>
      <c r="AJ809" s="18" t="n">
        <v>7107</v>
      </c>
      <c r="AK809" s="18" t="n">
        <v>3278</v>
      </c>
      <c r="AL809" s="17" t="n">
        <f aca="false">AG809+AI809+AJ809+AK809</f>
        <v>45891.697</v>
      </c>
      <c r="AM809" s="20" t="n">
        <f aca="false">IF(L809&gt;0,AL809/L809,0)</f>
        <v>0.189319058266365</v>
      </c>
      <c r="AN809" s="16" t="n">
        <f aca="false">L809*INDEX(Parametros!$G$2:$G$9,MATCH($E809,Parametros!$A$2:$A$9,0))</f>
        <v>303005</v>
      </c>
      <c r="AO809" s="17" t="n">
        <f aca="false">AN809-AC809-AL809</f>
        <v>96061.363</v>
      </c>
      <c r="AP809" s="15" t="n">
        <f aca="false">IF(AN809&gt;0,AO809/AN809,0)</f>
        <v>0.31702896981898</v>
      </c>
      <c r="AQ809" s="16" t="n">
        <f aca="false">INDEX(Parametros!$I$2:$I$9,MATCH($E809,Parametros!$A$2:$A$9,0))</f>
        <v>13300000</v>
      </c>
      <c r="AR809" s="19" t="n">
        <f aca="false">IF(AQ809&gt;0,AO809/AQ809,0)</f>
        <v>0.00722265887218045</v>
      </c>
    </row>
    <row r="810" customFormat="false" ht="15" hidden="false" customHeight="false" outlineLevel="0" collapsed="false">
      <c r="A810" s="5" t="s">
        <v>945</v>
      </c>
      <c r="B810" s="9" t="n">
        <v>46258</v>
      </c>
      <c r="C810" s="2" t="str">
        <f aca="false">TEXT(B810,"yyyy")</f>
        <v>2026</v>
      </c>
      <c r="D810" s="2" t="n">
        <f aca="false">WEEKNUM(B810,2)</f>
        <v>35</v>
      </c>
      <c r="E810" s="5" t="s">
        <v>130</v>
      </c>
      <c r="F810" s="6" t="str">
        <f aca="false">INDEX(Parametros!$B$2:$B$9,MATCH($E810,Parametros!$A$2:$A$9,0))</f>
        <v>Ketchup botella</v>
      </c>
      <c r="G810" s="10" t="n">
        <v>123</v>
      </c>
      <c r="H810" s="10" t="n">
        <v>6.2</v>
      </c>
      <c r="I810" s="11" t="n">
        <f aca="false">SUMIFS(Eventos_Paro!$J$2:$J$2186,Eventos_Paro!$D$2:$D$2186,$E810,Eventos_Paro!$B$2:$B$2186,$B810)</f>
        <v>0</v>
      </c>
      <c r="J810" s="12" t="n">
        <f aca="false">G810-H810-I810</f>
        <v>116.8</v>
      </c>
      <c r="K810" s="13" t="n">
        <v>865102</v>
      </c>
      <c r="L810" s="13" t="n">
        <v>910482</v>
      </c>
      <c r="M810" s="13" t="n">
        <v>13075</v>
      </c>
      <c r="N810" s="14" t="n">
        <f aca="false">L810+M810</f>
        <v>923557</v>
      </c>
      <c r="O810" s="11" t="n">
        <f aca="false">INDEX(Parametros!$D$2:$D$9,MATCH($E810,Parametros!$A$2:$A$9,0))</f>
        <v>9000</v>
      </c>
      <c r="P810" s="15" t="n">
        <f aca="false">IF((G810-H810)&gt;0,J810/(G810-H810),0)</f>
        <v>1</v>
      </c>
      <c r="Q810" s="15" t="n">
        <f aca="false">IF(J810*O810&gt;0,N810/(O810*J810),0)</f>
        <v>0.87857401065449</v>
      </c>
      <c r="R810" s="15" t="n">
        <f aca="false">IF(N810&gt;0,L810/N810,0)</f>
        <v>0.985842779601043</v>
      </c>
      <c r="S810" s="15" t="n">
        <f aca="false">P810*Q810*R810</f>
        <v>0.866135844748859</v>
      </c>
      <c r="T810" s="15" t="n">
        <f aca="false">IF(K810&gt;0,L810/K810,0)</f>
        <v>1.0524562421541</v>
      </c>
      <c r="U810" s="10" t="n">
        <v>1863.1</v>
      </c>
      <c r="V810" s="5" t="n">
        <v>14</v>
      </c>
      <c r="W810" s="10" t="n">
        <v>141.1</v>
      </c>
      <c r="X810" s="15" t="n">
        <f aca="false">IF(U810&gt;0,W810/U810,0)</f>
        <v>0.0757339917342064</v>
      </c>
      <c r="Y810" s="12" t="n">
        <f aca="false">IF(U810&gt;0,L810/U810,0)</f>
        <v>488.691965004562</v>
      </c>
      <c r="Z810" s="16" t="n">
        <f aca="false">L810*INDEX(Parametros!$E$2:$E$9,MATCH($E810,Parametros!$A$2:$A$9,0))</f>
        <v>382402.44</v>
      </c>
      <c r="AA810" s="16" t="n">
        <f aca="false">Z810*INDEX(Parametros!$F$2:$F$9,MATCH($E810,Parametros!$A$2:$A$9,0))</f>
        <v>7648.0488</v>
      </c>
      <c r="AB810" s="17" t="n">
        <f aca="false">Z810+AA810</f>
        <v>390050.4888</v>
      </c>
      <c r="AC810" s="18" t="n">
        <v>390293.78</v>
      </c>
      <c r="AD810" s="17" t="n">
        <f aca="false">AC810-AB810</f>
        <v>243.291200000036</v>
      </c>
      <c r="AE810" s="17" t="n">
        <f aca="false">AA810+AD810</f>
        <v>7891.34000000004</v>
      </c>
      <c r="AF810" s="19" t="n">
        <f aca="false">IF(Z810&gt;0,AE810/Z810,0)</f>
        <v>0.0206362176977742</v>
      </c>
      <c r="AG810" s="16" t="n">
        <f aca="false">(U810-W810)*INDEX(Parametros!$H$2:$H$9,MATCH($E810,Parametros!$A$2:$A$9,0))+W810*INDEX(Parametros!$H$2:$H$9,MATCH($E810,Parametros!$A$2:$A$9,0))*Parametros!$N$3</f>
        <v>60909.975</v>
      </c>
      <c r="AH810" s="13" t="n">
        <v>46918</v>
      </c>
      <c r="AI810" s="16" t="n">
        <f aca="false">AH810*Parametros!$N$2</f>
        <v>4316.456</v>
      </c>
      <c r="AJ810" s="18" t="n">
        <v>16665</v>
      </c>
      <c r="AK810" s="18" t="n">
        <v>0</v>
      </c>
      <c r="AL810" s="17" t="n">
        <f aca="false">AG810+AI810+AJ810+AK810</f>
        <v>81891.431</v>
      </c>
      <c r="AM810" s="20" t="n">
        <f aca="false">IF(L810&gt;0,AL810/L810,0)</f>
        <v>0.0899429434079971</v>
      </c>
      <c r="AN810" s="16" t="n">
        <f aca="false">L810*INDEX(Parametros!$G$2:$G$9,MATCH($E810,Parametros!$A$2:$A$9,0))</f>
        <v>646442.22</v>
      </c>
      <c r="AO810" s="17" t="n">
        <f aca="false">AN810-AC810-AL810</f>
        <v>174257.009</v>
      </c>
      <c r="AP810" s="15" t="n">
        <f aca="false">IF(AN810&gt;0,AO810/AN810,0)</f>
        <v>0.269563162195687</v>
      </c>
      <c r="AQ810" s="16" t="n">
        <f aca="false">INDEX(Parametros!$I$2:$I$9,MATCH($E810,Parametros!$A$2:$A$9,0))</f>
        <v>29300000</v>
      </c>
      <c r="AR810" s="19" t="n">
        <f aca="false">IF(AQ810&gt;0,AO810/AQ810,0)</f>
        <v>0.00594733819112628</v>
      </c>
    </row>
    <row r="811" customFormat="false" ht="15" hidden="false" customHeight="false" outlineLevel="0" collapsed="false">
      <c r="A811" s="5" t="s">
        <v>946</v>
      </c>
      <c r="B811" s="9" t="n">
        <v>46258</v>
      </c>
      <c r="C811" s="2" t="str">
        <f aca="false">TEXT(B811,"yyyy")</f>
        <v>2026</v>
      </c>
      <c r="D811" s="2" t="n">
        <f aca="false">WEEKNUM(B811,2)</f>
        <v>35</v>
      </c>
      <c r="E811" s="5" t="s">
        <v>132</v>
      </c>
      <c r="F811" s="6" t="str">
        <f aca="false">INDEX(Parametros!$B$2:$B$9,MATCH($E811,Parametros!$A$2:$A$9,0))</f>
        <v>Mayonesa frasco</v>
      </c>
      <c r="G811" s="10" t="n">
        <v>113.9</v>
      </c>
      <c r="H811" s="10" t="n">
        <v>7.3</v>
      </c>
      <c r="I811" s="11" t="n">
        <f aca="false">SUMIFS(Eventos_Paro!$J$2:$J$2186,Eventos_Paro!$D$2:$D$2186,$E811,Eventos_Paro!$B$2:$B$2186,$B811)</f>
        <v>5.25</v>
      </c>
      <c r="J811" s="12" t="n">
        <f aca="false">G811-H811-I811</f>
        <v>101.35</v>
      </c>
      <c r="K811" s="13" t="n">
        <v>570233</v>
      </c>
      <c r="L811" s="13" t="n">
        <v>523292</v>
      </c>
      <c r="M811" s="13" t="n">
        <v>16213</v>
      </c>
      <c r="N811" s="14" t="n">
        <f aca="false">L811+M811</f>
        <v>539505</v>
      </c>
      <c r="O811" s="11" t="n">
        <f aca="false">INDEX(Parametros!$D$2:$D$9,MATCH($E811,Parametros!$A$2:$A$9,0))</f>
        <v>6500</v>
      </c>
      <c r="P811" s="15" t="n">
        <f aca="false">IF((G811-H811)&gt;0,J811/(G811-H811),0)</f>
        <v>0.950750469043152</v>
      </c>
      <c r="Q811" s="15" t="n">
        <f aca="false">IF(J811*O811&gt;0,N811/(O811*J811),0)</f>
        <v>0.818951842434822</v>
      </c>
      <c r="R811" s="15" t="n">
        <f aca="false">IF(N811&gt;0,L811/N811,0)</f>
        <v>0.969948378606315</v>
      </c>
      <c r="S811" s="15" t="n">
        <f aca="false">P811*Q811*R811</f>
        <v>0.755220089479001</v>
      </c>
      <c r="T811" s="15" t="n">
        <f aca="false">IF(K811&gt;0,L811/K811,0)</f>
        <v>0.917681018110141</v>
      </c>
      <c r="U811" s="10" t="n">
        <v>1602.8</v>
      </c>
      <c r="V811" s="5" t="n">
        <v>13</v>
      </c>
      <c r="W811" s="10" t="n">
        <v>122.1</v>
      </c>
      <c r="X811" s="15" t="n">
        <f aca="false">IF(U811&gt;0,W811/U811,0)</f>
        <v>0.0761791864237584</v>
      </c>
      <c r="Y811" s="12" t="n">
        <f aca="false">IF(U811&gt;0,L811/U811,0)</f>
        <v>326.486149238832</v>
      </c>
      <c r="Z811" s="16" t="n">
        <f aca="false">L811*INDEX(Parametros!$E$2:$E$9,MATCH($E811,Parametros!$A$2:$A$9,0))</f>
        <v>319208.12</v>
      </c>
      <c r="AA811" s="16" t="n">
        <f aca="false">Z811*INDEX(Parametros!$F$2:$F$9,MATCH($E811,Parametros!$A$2:$A$9,0))</f>
        <v>7980.203</v>
      </c>
      <c r="AB811" s="17" t="n">
        <f aca="false">Z811+AA811</f>
        <v>327188.323</v>
      </c>
      <c r="AC811" s="18" t="n">
        <v>331936.84</v>
      </c>
      <c r="AD811" s="17" t="n">
        <f aca="false">AC811-AB811</f>
        <v>4748.51700000005</v>
      </c>
      <c r="AE811" s="17" t="n">
        <f aca="false">AA811+AD811</f>
        <v>12728.7200000001</v>
      </c>
      <c r="AF811" s="19" t="n">
        <f aca="false">IF(Z811&gt;0,AE811/Z811,0)</f>
        <v>0.0398759279682486</v>
      </c>
      <c r="AG811" s="16" t="n">
        <f aca="false">(U811-W811)*INDEX(Parametros!$H$2:$H$9,MATCH($E811,Parametros!$A$2:$A$9,0))+W811*INDEX(Parametros!$H$2:$H$9,MATCH($E811,Parametros!$A$2:$A$9,0))*Parametros!$N$3</f>
        <v>52411.275</v>
      </c>
      <c r="AH811" s="13" t="n">
        <v>28523</v>
      </c>
      <c r="AI811" s="16" t="n">
        <f aca="false">AH811*Parametros!$N$2</f>
        <v>2624.116</v>
      </c>
      <c r="AJ811" s="18" t="n">
        <v>12491</v>
      </c>
      <c r="AK811" s="18" t="n">
        <v>3201</v>
      </c>
      <c r="AL811" s="17" t="n">
        <f aca="false">AG811+AI811+AJ811+AK811</f>
        <v>70727.391</v>
      </c>
      <c r="AM811" s="20" t="n">
        <f aca="false">IF(L811&gt;0,AL811/L811,0)</f>
        <v>0.135158555834983</v>
      </c>
      <c r="AN811" s="16" t="n">
        <f aca="false">L811*INDEX(Parametros!$G$2:$G$9,MATCH($E811,Parametros!$A$2:$A$9,0))</f>
        <v>502360.32</v>
      </c>
      <c r="AO811" s="17" t="n">
        <f aca="false">AN811-AC811-AL811</f>
        <v>99696.089</v>
      </c>
      <c r="AP811" s="15" t="n">
        <f aca="false">IF(AN811&gt;0,AO811/AN811,0)</f>
        <v>0.198455341775401</v>
      </c>
      <c r="AQ811" s="16" t="n">
        <f aca="false">INDEX(Parametros!$I$2:$I$9,MATCH($E811,Parametros!$A$2:$A$9,0))</f>
        <v>29700000</v>
      </c>
      <c r="AR811" s="19" t="n">
        <f aca="false">IF(AQ811&gt;0,AO811/AQ811,0)</f>
        <v>0.00335677067340067</v>
      </c>
    </row>
    <row r="812" customFormat="false" ht="15" hidden="false" customHeight="false" outlineLevel="0" collapsed="false">
      <c r="A812" s="5" t="s">
        <v>947</v>
      </c>
      <c r="B812" s="9" t="n">
        <v>46258</v>
      </c>
      <c r="C812" s="2" t="str">
        <f aca="false">TEXT(B812,"yyyy")</f>
        <v>2026</v>
      </c>
      <c r="D812" s="2" t="n">
        <f aca="false">WEEKNUM(B812,2)</f>
        <v>35</v>
      </c>
      <c r="E812" s="5" t="s">
        <v>134</v>
      </c>
      <c r="F812" s="6" t="str">
        <f aca="false">INDEX(Parametros!$B$2:$B$9,MATCH($E812,Parametros!$A$2:$A$9,0))</f>
        <v>Aderezos vertibles</v>
      </c>
      <c r="G812" s="10" t="n">
        <v>117.9</v>
      </c>
      <c r="H812" s="10" t="n">
        <v>8.4</v>
      </c>
      <c r="I812" s="11" t="n">
        <f aca="false">SUMIFS(Eventos_Paro!$J$2:$J$2186,Eventos_Paro!$D$2:$D$2186,$E812,Eventos_Paro!$B$2:$B$2186,$B812)</f>
        <v>0.983333333333333</v>
      </c>
      <c r="J812" s="12" t="n">
        <f aca="false">G812-H812-I812</f>
        <v>108.516666666667</v>
      </c>
      <c r="K812" s="13" t="n">
        <v>468597</v>
      </c>
      <c r="L812" s="13" t="n">
        <v>469008</v>
      </c>
      <c r="M812" s="13" t="n">
        <v>20219</v>
      </c>
      <c r="N812" s="14" t="n">
        <f aca="false">L812+M812</f>
        <v>489227</v>
      </c>
      <c r="O812" s="11" t="n">
        <f aca="false">INDEX(Parametros!$D$2:$D$9,MATCH($E812,Parametros!$A$2:$A$9,0))</f>
        <v>5200</v>
      </c>
      <c r="P812" s="15" t="n">
        <f aca="false">IF((G812-H812)&gt;0,J812/(G812-H812),0)</f>
        <v>0.991019786910198</v>
      </c>
      <c r="Q812" s="15" t="n">
        <f aca="false">IF(J812*O812&gt;0,N812/(O812*J812),0)</f>
        <v>0.86698309369942</v>
      </c>
      <c r="R812" s="15" t="n">
        <f aca="false">IF(N812&gt;0,L812/N812,0)</f>
        <v>0.958671536934797</v>
      </c>
      <c r="S812" s="15" t="n">
        <f aca="false">P812*Q812*R812</f>
        <v>0.823688092729189</v>
      </c>
      <c r="T812" s="15" t="n">
        <f aca="false">IF(K812&gt;0,L812/K812,0)</f>
        <v>1.00087708628096</v>
      </c>
      <c r="U812" s="10" t="n">
        <v>1599.3</v>
      </c>
      <c r="V812" s="5" t="n">
        <v>13</v>
      </c>
      <c r="W812" s="10" t="n">
        <v>66.6</v>
      </c>
      <c r="X812" s="15" t="n">
        <f aca="false">IF(U812&gt;0,W812/U812,0)</f>
        <v>0.0416432189082724</v>
      </c>
      <c r="Y812" s="12" t="n">
        <f aca="false">IF(U812&gt;0,L812/U812,0)</f>
        <v>293.258300506472</v>
      </c>
      <c r="Z812" s="16" t="n">
        <f aca="false">L812*INDEX(Parametros!$E$2:$E$9,MATCH($E812,Parametros!$A$2:$A$9,0))</f>
        <v>257954.4</v>
      </c>
      <c r="AA812" s="16" t="n">
        <f aca="false">Z812*INDEX(Parametros!$F$2:$F$9,MATCH($E812,Parametros!$A$2:$A$9,0))</f>
        <v>7738.632</v>
      </c>
      <c r="AB812" s="17" t="n">
        <f aca="false">Z812+AA812</f>
        <v>265693.032</v>
      </c>
      <c r="AC812" s="18" t="n">
        <v>260416.16</v>
      </c>
      <c r="AD812" s="17" t="n">
        <f aca="false">AC812-AB812</f>
        <v>-5276.872</v>
      </c>
      <c r="AE812" s="17" t="n">
        <f aca="false">AA812+AD812</f>
        <v>2461.76</v>
      </c>
      <c r="AF812" s="19" t="n">
        <f aca="false">IF(Z812&gt;0,AE812/Z812,0)</f>
        <v>0.00954339216543698</v>
      </c>
      <c r="AG812" s="16" t="n">
        <f aca="false">(U812-W812)*INDEX(Parametros!$H$2:$H$9,MATCH($E812,Parametros!$A$2:$A$9,0))+W812*INDEX(Parametros!$H$2:$H$9,MATCH($E812,Parametros!$A$2:$A$9,0))*Parametros!$N$3</f>
        <v>51426.9</v>
      </c>
      <c r="AH812" s="13" t="n">
        <v>24864</v>
      </c>
      <c r="AI812" s="16" t="n">
        <f aca="false">AH812*Parametros!$N$2</f>
        <v>2287.488</v>
      </c>
      <c r="AJ812" s="18" t="n">
        <v>10993</v>
      </c>
      <c r="AK812" s="18" t="n">
        <v>676</v>
      </c>
      <c r="AL812" s="17" t="n">
        <f aca="false">AG812+AI812+AJ812+AK812</f>
        <v>65383.388</v>
      </c>
      <c r="AM812" s="20" t="n">
        <f aca="false">IF(L812&gt;0,AL812/L812,0)</f>
        <v>0.139407830996486</v>
      </c>
      <c r="AN812" s="16" t="n">
        <f aca="false">L812*INDEX(Parametros!$G$2:$G$9,MATCH($E812,Parametros!$A$2:$A$9,0))</f>
        <v>478388.16</v>
      </c>
      <c r="AO812" s="17" t="n">
        <f aca="false">AN812-AC812-AL812</f>
        <v>152588.612</v>
      </c>
      <c r="AP812" s="15" t="n">
        <f aca="false">IF(AN812&gt;0,AO812/AN812,0)</f>
        <v>0.318964022855415</v>
      </c>
      <c r="AQ812" s="16" t="n">
        <f aca="false">INDEX(Parametros!$I$2:$I$9,MATCH($E812,Parametros!$A$2:$A$9,0))</f>
        <v>19300000</v>
      </c>
      <c r="AR812" s="19" t="n">
        <f aca="false">IF(AQ812&gt;0,AO812/AQ812,0)</f>
        <v>0.00790614569948187</v>
      </c>
    </row>
    <row r="813" customFormat="false" ht="15" hidden="false" customHeight="false" outlineLevel="0" collapsed="false">
      <c r="A813" s="5" t="s">
        <v>948</v>
      </c>
      <c r="B813" s="9" t="n">
        <v>46258</v>
      </c>
      <c r="C813" s="2" t="str">
        <f aca="false">TEXT(B813,"yyyy")</f>
        <v>2026</v>
      </c>
      <c r="D813" s="2" t="n">
        <f aca="false">WEEKNUM(B813,2)</f>
        <v>35</v>
      </c>
      <c r="E813" s="5" t="s">
        <v>136</v>
      </c>
      <c r="F813" s="6" t="str">
        <f aca="false">INDEX(Parametros!$B$2:$B$9,MATCH($E813,Parametros!$A$2:$A$9,0))</f>
        <v>Salsa BBQ</v>
      </c>
      <c r="G813" s="10" t="n">
        <v>125</v>
      </c>
      <c r="H813" s="10" t="n">
        <v>5.8</v>
      </c>
      <c r="I813" s="11" t="n">
        <f aca="false">SUMIFS(Eventos_Paro!$J$2:$J$2186,Eventos_Paro!$D$2:$D$2186,$E813,Eventos_Paro!$B$2:$B$2186,$B813)</f>
        <v>0.716666666666667</v>
      </c>
      <c r="J813" s="12" t="n">
        <f aca="false">G813-H813-I813</f>
        <v>118.483333333333</v>
      </c>
      <c r="K813" s="13" t="n">
        <v>516858</v>
      </c>
      <c r="L813" s="13" t="n">
        <v>457317</v>
      </c>
      <c r="M813" s="13" t="n">
        <v>15492</v>
      </c>
      <c r="N813" s="14" t="n">
        <f aca="false">L813+M813</f>
        <v>472809</v>
      </c>
      <c r="O813" s="11" t="n">
        <f aca="false">INDEX(Parametros!$D$2:$D$9,MATCH($E813,Parametros!$A$2:$A$9,0))</f>
        <v>4800</v>
      </c>
      <c r="P813" s="15" t="n">
        <f aca="false">IF((G813-H813)&gt;0,J813/(G813-H813),0)</f>
        <v>0.993987695749441</v>
      </c>
      <c r="Q813" s="15" t="n">
        <f aca="false">IF(J813*O813&gt;0,N813/(O813*J813),0)</f>
        <v>0.831356379237586</v>
      </c>
      <c r="R813" s="15" t="n">
        <f aca="false">IF(N813&gt;0,L813/N813,0)</f>
        <v>0.967234126253942</v>
      </c>
      <c r="S813" s="15" t="n">
        <f aca="false">P813*Q813*R813</f>
        <v>0.799281669463087</v>
      </c>
      <c r="T813" s="15" t="n">
        <f aca="false">IF(K813&gt;0,L813/K813,0)</f>
        <v>0.884802015253706</v>
      </c>
      <c r="U813" s="10" t="n">
        <v>1460.5</v>
      </c>
      <c r="V813" s="5" t="n">
        <v>11</v>
      </c>
      <c r="W813" s="10" t="n">
        <v>85.5</v>
      </c>
      <c r="X813" s="15" t="n">
        <f aca="false">IF(U813&gt;0,W813/U813,0)</f>
        <v>0.0585415953440603</v>
      </c>
      <c r="Y813" s="12" t="n">
        <f aca="false">IF(U813&gt;0,L813/U813,0)</f>
        <v>313.123587812393</v>
      </c>
      <c r="Z813" s="16" t="n">
        <f aca="false">L813*INDEX(Parametros!$E$2:$E$9,MATCH($E813,Parametros!$A$2:$A$9,0))</f>
        <v>265243.86</v>
      </c>
      <c r="AA813" s="16" t="n">
        <f aca="false">Z813*INDEX(Parametros!$F$2:$F$9,MATCH($E813,Parametros!$A$2:$A$9,0))</f>
        <v>7426.82808</v>
      </c>
      <c r="AB813" s="17" t="n">
        <f aca="false">Z813+AA813</f>
        <v>272670.68808</v>
      </c>
      <c r="AC813" s="18" t="n">
        <v>272311.76</v>
      </c>
      <c r="AD813" s="17" t="n">
        <f aca="false">AC813-AB813</f>
        <v>-358.928079999983</v>
      </c>
      <c r="AE813" s="17" t="n">
        <f aca="false">AA813+AD813</f>
        <v>7067.90000000002</v>
      </c>
      <c r="AF813" s="19" t="n">
        <f aca="false">IF(Z813&gt;0,AE813/Z813,0)</f>
        <v>0.0266467996657869</v>
      </c>
      <c r="AG813" s="16" t="n">
        <f aca="false">(U813-W813)*INDEX(Parametros!$H$2:$H$9,MATCH($E813,Parametros!$A$2:$A$9,0))+W813*INDEX(Parametros!$H$2:$H$9,MATCH($E813,Parametros!$A$2:$A$9,0))*Parametros!$N$3</f>
        <v>47352.375</v>
      </c>
      <c r="AH813" s="13" t="n">
        <v>25317</v>
      </c>
      <c r="AI813" s="16" t="n">
        <f aca="false">AH813*Parametros!$N$2</f>
        <v>2329.164</v>
      </c>
      <c r="AJ813" s="18" t="n">
        <v>8800</v>
      </c>
      <c r="AK813" s="18" t="n">
        <v>702</v>
      </c>
      <c r="AL813" s="17" t="n">
        <f aca="false">AG813+AI813+AJ813+AK813</f>
        <v>59183.539</v>
      </c>
      <c r="AM813" s="20" t="n">
        <f aca="false">IF(L813&gt;0,AL813/L813,0)</f>
        <v>0.129414692653017</v>
      </c>
      <c r="AN813" s="16" t="n">
        <f aca="false">L813*INDEX(Parametros!$G$2:$G$9,MATCH($E813,Parametros!$A$2:$A$9,0))</f>
        <v>448170.66</v>
      </c>
      <c r="AO813" s="17" t="n">
        <f aca="false">AN813-AC813-AL813</f>
        <v>116675.361</v>
      </c>
      <c r="AP813" s="15" t="n">
        <f aca="false">IF(AN813&gt;0,AO813/AN813,0)</f>
        <v>0.260336901572272</v>
      </c>
      <c r="AQ813" s="16" t="n">
        <f aca="false">INDEX(Parametros!$I$2:$I$9,MATCH($E813,Parametros!$A$2:$A$9,0))</f>
        <v>17000000</v>
      </c>
      <c r="AR813" s="19" t="n">
        <f aca="false">IF(AQ813&gt;0,AO813/AQ813,0)</f>
        <v>0.00686325652941176</v>
      </c>
    </row>
    <row r="814" customFormat="false" ht="15" hidden="false" customHeight="false" outlineLevel="0" collapsed="false">
      <c r="A814" s="5" t="s">
        <v>949</v>
      </c>
      <c r="B814" s="9" t="n">
        <v>46258</v>
      </c>
      <c r="C814" s="2" t="str">
        <f aca="false">TEXT(B814,"yyyy")</f>
        <v>2026</v>
      </c>
      <c r="D814" s="2" t="n">
        <f aca="false">WEEKNUM(B814,2)</f>
        <v>35</v>
      </c>
      <c r="E814" s="5" t="s">
        <v>138</v>
      </c>
      <c r="F814" s="6" t="str">
        <f aca="false">INDEX(Parametros!$B$2:$B$9,MATCH($E814,Parametros!$A$2:$A$9,0))</f>
        <v>Queso crema</v>
      </c>
      <c r="G814" s="10" t="n">
        <v>114.9</v>
      </c>
      <c r="H814" s="10" t="n">
        <v>7.2</v>
      </c>
      <c r="I814" s="11" t="n">
        <f aca="false">SUMIFS(Eventos_Paro!$J$2:$J$2186,Eventos_Paro!$D$2:$D$2186,$E814,Eventos_Paro!$B$2:$B$2186,$B814)</f>
        <v>1.95</v>
      </c>
      <c r="J814" s="12" t="n">
        <f aca="false">G814-H814-I814</f>
        <v>105.75</v>
      </c>
      <c r="K814" s="13" t="n">
        <v>336807</v>
      </c>
      <c r="L814" s="13" t="n">
        <v>303554</v>
      </c>
      <c r="M814" s="13" t="n">
        <v>17010</v>
      </c>
      <c r="N814" s="14" t="n">
        <f aca="false">L814+M814</f>
        <v>320564</v>
      </c>
      <c r="O814" s="11" t="n">
        <f aca="false">INDEX(Parametros!$D$2:$D$9,MATCH($E814,Parametros!$A$2:$A$9,0))</f>
        <v>3800</v>
      </c>
      <c r="P814" s="15" t="n">
        <f aca="false">IF((G814-H814)&gt;0,J814/(G814-H814),0)</f>
        <v>0.981894150417827</v>
      </c>
      <c r="Q814" s="15" t="n">
        <f aca="false">IF(J814*O814&gt;0,N814/(O814*J814),0)</f>
        <v>0.797720542490979</v>
      </c>
      <c r="R814" s="15" t="n">
        <f aca="false">IF(N814&gt;0,L814/N814,0)</f>
        <v>0.946937273056238</v>
      </c>
      <c r="S814" s="15" t="n">
        <f aca="false">P814*Q814*R814</f>
        <v>0.741714313639251</v>
      </c>
      <c r="T814" s="15" t="n">
        <f aca="false">IF(K814&gt;0,L814/K814,0)</f>
        <v>0.901269866718922</v>
      </c>
      <c r="U814" s="10" t="n">
        <v>1793.1</v>
      </c>
      <c r="V814" s="5" t="n">
        <v>15</v>
      </c>
      <c r="W814" s="10" t="n">
        <v>69.6</v>
      </c>
      <c r="X814" s="15" t="n">
        <f aca="false">IF(U814&gt;0,W814/U814,0)</f>
        <v>0.0388154592604986</v>
      </c>
      <c r="Y814" s="12" t="n">
        <f aca="false">IF(U814&gt;0,L814/U814,0)</f>
        <v>169.290056327031</v>
      </c>
      <c r="Z814" s="16" t="n">
        <f aca="false">L814*INDEX(Parametros!$E$2:$E$9,MATCH($E814,Parametros!$A$2:$A$9,0))</f>
        <v>339980.48</v>
      </c>
      <c r="AA814" s="16" t="n">
        <f aca="false">Z814*INDEX(Parametros!$F$2:$F$9,MATCH($E814,Parametros!$A$2:$A$9,0))</f>
        <v>11899.3168</v>
      </c>
      <c r="AB814" s="17" t="n">
        <f aca="false">Z814+AA814</f>
        <v>351879.7968</v>
      </c>
      <c r="AC814" s="18" t="n">
        <v>350858</v>
      </c>
      <c r="AD814" s="17" t="n">
        <f aca="false">AC814-AB814</f>
        <v>-1021.79680000007</v>
      </c>
      <c r="AE814" s="17" t="n">
        <f aca="false">AA814+AD814</f>
        <v>10877.5199999999</v>
      </c>
      <c r="AF814" s="19" t="n">
        <f aca="false">IF(Z814&gt;0,AE814/Z814,0)</f>
        <v>0.0319945427455127</v>
      </c>
      <c r="AG814" s="16" t="n">
        <f aca="false">(U814-W814)*INDEX(Parametros!$H$2:$H$9,MATCH($E814,Parametros!$A$2:$A$9,0))+W814*INDEX(Parametros!$H$2:$H$9,MATCH($E814,Parametros!$A$2:$A$9,0))*Parametros!$N$3</f>
        <v>60320.7</v>
      </c>
      <c r="AH814" s="13" t="n">
        <v>17024</v>
      </c>
      <c r="AI814" s="16" t="n">
        <f aca="false">AH814*Parametros!$N$2</f>
        <v>1566.208</v>
      </c>
      <c r="AJ814" s="18" t="n">
        <v>17009</v>
      </c>
      <c r="AK814" s="18" t="n">
        <v>1440</v>
      </c>
      <c r="AL814" s="17" t="n">
        <f aca="false">AG814+AI814+AJ814+AK814</f>
        <v>80335.908</v>
      </c>
      <c r="AM814" s="20" t="n">
        <f aca="false">IF(L814&gt;0,AL814/L814,0)</f>
        <v>0.264651126323488</v>
      </c>
      <c r="AN814" s="16" t="n">
        <f aca="false">L814*INDEX(Parametros!$G$2:$G$9,MATCH($E814,Parametros!$A$2:$A$9,0))</f>
        <v>543361.66</v>
      </c>
      <c r="AO814" s="17" t="n">
        <f aca="false">AN814-AC814-AL814</f>
        <v>112167.752</v>
      </c>
      <c r="AP814" s="15" t="n">
        <f aca="false">IF(AN814&gt;0,AO814/AN814,0)</f>
        <v>0.206432952961753</v>
      </c>
      <c r="AQ814" s="16" t="n">
        <f aca="false">INDEX(Parametros!$I$2:$I$9,MATCH($E814,Parametros!$A$2:$A$9,0))</f>
        <v>33200000</v>
      </c>
      <c r="AR814" s="19" t="n">
        <f aca="false">IF(AQ814&gt;0,AO814/AQ814,0)</f>
        <v>0.00337854674698795</v>
      </c>
    </row>
    <row r="815" customFormat="false" ht="15" hidden="false" customHeight="false" outlineLevel="0" collapsed="false">
      <c r="A815" s="5" t="s">
        <v>950</v>
      </c>
      <c r="B815" s="9" t="n">
        <v>46258</v>
      </c>
      <c r="C815" s="2" t="str">
        <f aca="false">TEXT(B815,"yyyy")</f>
        <v>2026</v>
      </c>
      <c r="D815" s="2" t="n">
        <f aca="false">WEEKNUM(B815,2)</f>
        <v>35</v>
      </c>
      <c r="E815" s="5" t="s">
        <v>140</v>
      </c>
      <c r="F815" s="6" t="str">
        <f aca="false">INDEX(Parametros!$B$2:$B$9,MATCH($E815,Parametros!$A$2:$A$9,0))</f>
        <v>Crema de cacahuate</v>
      </c>
      <c r="G815" s="10" t="n">
        <v>113.6</v>
      </c>
      <c r="H815" s="10" t="n">
        <v>8.2</v>
      </c>
      <c r="I815" s="11" t="n">
        <f aca="false">SUMIFS(Eventos_Paro!$J$2:$J$2186,Eventos_Paro!$D$2:$D$2186,$E815,Eventos_Paro!$B$2:$B$2186,$B815)</f>
        <v>1.18333333333333</v>
      </c>
      <c r="J815" s="12" t="n">
        <f aca="false">G815-H815-I815</f>
        <v>104.216666666667</v>
      </c>
      <c r="K815" s="13" t="n">
        <v>364310</v>
      </c>
      <c r="L815" s="13" t="n">
        <v>369920</v>
      </c>
      <c r="M815" s="13" t="n">
        <v>10370</v>
      </c>
      <c r="N815" s="14" t="n">
        <f aca="false">L815+M815</f>
        <v>380290</v>
      </c>
      <c r="O815" s="11" t="n">
        <f aca="false">INDEX(Parametros!$D$2:$D$9,MATCH($E815,Parametros!$A$2:$A$9,0))</f>
        <v>4200</v>
      </c>
      <c r="P815" s="15" t="n">
        <f aca="false">IF((G815-H815)&gt;0,J815/(G815-H815),0)</f>
        <v>0.988772928526249</v>
      </c>
      <c r="Q815" s="15" t="n">
        <f aca="false">IF(J815*O815&gt;0,N815/(O815*J815),0)</f>
        <v>0.868817253432638</v>
      </c>
      <c r="R815" s="15" t="n">
        <f aca="false">IF(N815&gt;0,L815/N815,0)</f>
        <v>0.972731336611533</v>
      </c>
      <c r="S815" s="15" t="n">
        <f aca="false">P815*Q815*R815</f>
        <v>0.835637480798771</v>
      </c>
      <c r="T815" s="15" t="n">
        <f aca="false">IF(K815&gt;0,L815/K815,0)</f>
        <v>1.01539897340177</v>
      </c>
      <c r="U815" s="10" t="n">
        <v>1363.2</v>
      </c>
      <c r="V815" s="5" t="n">
        <v>12</v>
      </c>
      <c r="W815" s="10" t="n">
        <v>0</v>
      </c>
      <c r="X815" s="15" t="n">
        <f aca="false">IF(U815&gt;0,W815/U815,0)</f>
        <v>0</v>
      </c>
      <c r="Y815" s="12" t="n">
        <f aca="false">IF(U815&gt;0,L815/U815,0)</f>
        <v>271.361502347418</v>
      </c>
      <c r="Z815" s="16" t="n">
        <f aca="false">L815*INDEX(Parametros!$E$2:$E$9,MATCH($E815,Parametros!$A$2:$A$9,0))</f>
        <v>358822.4</v>
      </c>
      <c r="AA815" s="16" t="n">
        <f aca="false">Z815*INDEX(Parametros!$F$2:$F$9,MATCH($E815,Parametros!$A$2:$A$9,0))</f>
        <v>7894.0928</v>
      </c>
      <c r="AB815" s="17" t="n">
        <f aca="false">Z815+AA815</f>
        <v>366716.4928</v>
      </c>
      <c r="AC815" s="18" t="n">
        <v>362084.55</v>
      </c>
      <c r="AD815" s="17" t="n">
        <f aca="false">AC815-AB815</f>
        <v>-4631.94279999996</v>
      </c>
      <c r="AE815" s="17" t="n">
        <f aca="false">AA815+AD815</f>
        <v>3262.15000000004</v>
      </c>
      <c r="AF815" s="19" t="n">
        <f aca="false">IF(Z815&gt;0,AE815/Z815,0)</f>
        <v>0.00909126632005147</v>
      </c>
      <c r="AG815" s="16" t="n">
        <f aca="false">(U815-W815)*INDEX(Parametros!$H$2:$H$9,MATCH($E815,Parametros!$A$2:$A$9,0))+W815*INDEX(Parametros!$H$2:$H$9,MATCH($E815,Parametros!$A$2:$A$9,0))*Parametros!$N$3</f>
        <v>42940.8</v>
      </c>
      <c r="AH815" s="13" t="n">
        <v>18731</v>
      </c>
      <c r="AI815" s="16" t="n">
        <f aca="false">AH815*Parametros!$N$2</f>
        <v>1723.252</v>
      </c>
      <c r="AJ815" s="18" t="n">
        <v>12585</v>
      </c>
      <c r="AK815" s="18" t="n">
        <v>1395</v>
      </c>
      <c r="AL815" s="17" t="n">
        <f aca="false">AG815+AI815+AJ815+AK815</f>
        <v>58644.052</v>
      </c>
      <c r="AM815" s="20" t="n">
        <f aca="false">IF(L815&gt;0,AL815/L815,0)</f>
        <v>0.158531714965398</v>
      </c>
      <c r="AN815" s="16" t="n">
        <f aca="false">L815*INDEX(Parametros!$G$2:$G$9,MATCH($E815,Parametros!$A$2:$A$9,0))</f>
        <v>599270.4</v>
      </c>
      <c r="AO815" s="17" t="n">
        <f aca="false">AN815-AC815-AL815</f>
        <v>178541.798</v>
      </c>
      <c r="AP815" s="15" t="n">
        <f aca="false">IF(AN815&gt;0,AO815/AN815,0)</f>
        <v>0.29793194858281</v>
      </c>
      <c r="AQ815" s="16" t="n">
        <f aca="false">INDEX(Parametros!$I$2:$I$9,MATCH($E815,Parametros!$A$2:$A$9,0))</f>
        <v>28000000</v>
      </c>
      <c r="AR815" s="19" t="n">
        <f aca="false">IF(AQ815&gt;0,AO815/AQ815,0)</f>
        <v>0.00637649278571429</v>
      </c>
    </row>
    <row r="816" customFormat="false" ht="15" hidden="false" customHeight="false" outlineLevel="0" collapsed="false">
      <c r="A816" s="5" t="s">
        <v>951</v>
      </c>
      <c r="B816" s="9" t="n">
        <v>46258</v>
      </c>
      <c r="C816" s="2" t="str">
        <f aca="false">TEXT(B816,"yyyy")</f>
        <v>2026</v>
      </c>
      <c r="D816" s="2" t="n">
        <f aca="false">WEEKNUM(B816,2)</f>
        <v>35</v>
      </c>
      <c r="E816" s="5" t="s">
        <v>142</v>
      </c>
      <c r="F816" s="6" t="str">
        <f aca="false">INDEX(Parametros!$B$2:$B$9,MATCH($E816,Parametros!$A$2:$A$9,0))</f>
        <v>Porciones single serve</v>
      </c>
      <c r="G816" s="10" t="n">
        <v>129.2</v>
      </c>
      <c r="H816" s="10" t="n">
        <v>7.8</v>
      </c>
      <c r="I816" s="11" t="n">
        <f aca="false">SUMIFS(Eventos_Paro!$J$2:$J$2186,Eventos_Paro!$D$2:$D$2186,$E816,Eventos_Paro!$B$2:$B$2186,$B816)</f>
        <v>4.61666666666667</v>
      </c>
      <c r="J816" s="12" t="n">
        <f aca="false">G816-H816-I816</f>
        <v>116.783333333333</v>
      </c>
      <c r="K816" s="13" t="n">
        <v>259761</v>
      </c>
      <c r="L816" s="13" t="n">
        <v>239660</v>
      </c>
      <c r="M816" s="13" t="n">
        <v>12902</v>
      </c>
      <c r="N816" s="14" t="n">
        <f aca="false">L816+M816</f>
        <v>252562</v>
      </c>
      <c r="O816" s="11" t="n">
        <f aca="false">INDEX(Parametros!$D$2:$D$9,MATCH($E816,Parametros!$A$2:$A$9,0))</f>
        <v>2600</v>
      </c>
      <c r="P816" s="15" t="n">
        <f aca="false">IF((G816-H816)&gt;0,J816/(G816-H816),0)</f>
        <v>0.961971444261395</v>
      </c>
      <c r="Q816" s="15" t="n">
        <f aca="false">IF(J816*O816&gt;0,N816/(O816*J816),0)</f>
        <v>0.831790187834144</v>
      </c>
      <c r="R816" s="15" t="n">
        <f aca="false">IF(N816&gt;0,L816/N816,0)</f>
        <v>0.94891551381443</v>
      </c>
      <c r="S816" s="15" t="n">
        <f aca="false">P816*Q816*R816</f>
        <v>0.759282727157521</v>
      </c>
      <c r="T816" s="15" t="n">
        <f aca="false">IF(K816&gt;0,L816/K816,0)</f>
        <v>0.922617329006279</v>
      </c>
      <c r="U816" s="10" t="n">
        <v>2259.5</v>
      </c>
      <c r="V816" s="5" t="n">
        <v>16</v>
      </c>
      <c r="W816" s="10" t="n">
        <v>192.3</v>
      </c>
      <c r="X816" s="15" t="n">
        <f aca="false">IF(U816&gt;0,W816/U816,0)</f>
        <v>0.0851073246293428</v>
      </c>
      <c r="Y816" s="12" t="n">
        <f aca="false">IF(U816&gt;0,L816/U816,0)</f>
        <v>106.067714096039</v>
      </c>
      <c r="Z816" s="16" t="n">
        <f aca="false">L816*INDEX(Parametros!$E$2:$E$9,MATCH($E816,Parametros!$A$2:$A$9,0))</f>
        <v>177348.4</v>
      </c>
      <c r="AA816" s="16" t="n">
        <f aca="false">Z816*INDEX(Parametros!$F$2:$F$9,MATCH($E816,Parametros!$A$2:$A$9,0))</f>
        <v>7980.678</v>
      </c>
      <c r="AB816" s="17" t="n">
        <f aca="false">Z816+AA816</f>
        <v>185329.078</v>
      </c>
      <c r="AC816" s="18" t="n">
        <v>186979.91</v>
      </c>
      <c r="AD816" s="17" t="n">
        <f aca="false">AC816-AB816</f>
        <v>1650.83200000002</v>
      </c>
      <c r="AE816" s="17" t="n">
        <f aca="false">AA816+AD816</f>
        <v>9631.51000000002</v>
      </c>
      <c r="AF816" s="19" t="n">
        <f aca="false">IF(Z816&gt;0,AE816/Z816,0)</f>
        <v>0.0543084121424271</v>
      </c>
      <c r="AG816" s="16" t="n">
        <f aca="false">(U816-W816)*INDEX(Parametros!$H$2:$H$9,MATCH($E816,Parametros!$A$2:$A$9,0))+W816*INDEX(Parametros!$H$2:$H$9,MATCH($E816,Parametros!$A$2:$A$9,0))*Parametros!$N$3</f>
        <v>70669.5</v>
      </c>
      <c r="AH816" s="13" t="n">
        <v>12508</v>
      </c>
      <c r="AI816" s="16" t="n">
        <f aca="false">AH816*Parametros!$N$2</f>
        <v>1150.736</v>
      </c>
      <c r="AJ816" s="18" t="n">
        <v>11991</v>
      </c>
      <c r="AK816" s="18" t="n">
        <v>3906</v>
      </c>
      <c r="AL816" s="17" t="n">
        <f aca="false">AG816+AI816+AJ816+AK816</f>
        <v>87717.236</v>
      </c>
      <c r="AM816" s="20" t="n">
        <f aca="false">IF(L816&gt;0,AL816/L816,0)</f>
        <v>0.366006993240424</v>
      </c>
      <c r="AN816" s="16" t="n">
        <f aca="false">L816*INDEX(Parametros!$G$2:$G$9,MATCH($E816,Parametros!$A$2:$A$9,0))</f>
        <v>412215.2</v>
      </c>
      <c r="AO816" s="17" t="n">
        <f aca="false">AN816-AC816-AL816</f>
        <v>137518.054</v>
      </c>
      <c r="AP816" s="15" t="n">
        <f aca="false">IF(AN816&gt;0,AO816/AN816,0)</f>
        <v>0.333607431264058</v>
      </c>
      <c r="AQ816" s="16" t="n">
        <f aca="false">INDEX(Parametros!$I$2:$I$9,MATCH($E816,Parametros!$A$2:$A$9,0))</f>
        <v>15900000</v>
      </c>
      <c r="AR816" s="19" t="n">
        <f aca="false">IF(AQ816&gt;0,AO816/AQ816,0)</f>
        <v>0.00864893421383648</v>
      </c>
    </row>
    <row r="817" customFormat="false" ht="15" hidden="false" customHeight="false" outlineLevel="0" collapsed="false">
      <c r="A817" s="5" t="s">
        <v>952</v>
      </c>
      <c r="B817" s="9" t="n">
        <v>46258</v>
      </c>
      <c r="C817" s="2" t="str">
        <f aca="false">TEXT(B817,"yyyy")</f>
        <v>2026</v>
      </c>
      <c r="D817" s="2" t="n">
        <f aca="false">WEEKNUM(B817,2)</f>
        <v>35</v>
      </c>
      <c r="E817" s="5" t="s">
        <v>144</v>
      </c>
      <c r="F817" s="6" t="str">
        <f aca="false">INDEX(Parametros!$B$2:$B$9,MATCH($E817,Parametros!$A$2:$A$9,0))</f>
        <v>Salsas picantes</v>
      </c>
      <c r="G817" s="10" t="n">
        <v>86.1</v>
      </c>
      <c r="H817" s="10" t="n">
        <v>5.3</v>
      </c>
      <c r="I817" s="11" t="n">
        <f aca="false">SUMIFS(Eventos_Paro!$J$2:$J$2186,Eventos_Paro!$D$2:$D$2186,$E817,Eventos_Paro!$B$2:$B$2186,$B817)</f>
        <v>0</v>
      </c>
      <c r="J817" s="12" t="n">
        <f aca="false">G817-H817-I817</f>
        <v>80.8</v>
      </c>
      <c r="K817" s="13" t="n">
        <v>192124</v>
      </c>
      <c r="L817" s="13" t="n">
        <v>211578</v>
      </c>
      <c r="M817" s="13" t="n">
        <v>4387</v>
      </c>
      <c r="N817" s="14" t="n">
        <f aca="false">L817+M817</f>
        <v>215965</v>
      </c>
      <c r="O817" s="11" t="n">
        <f aca="false">INDEX(Parametros!$D$2:$D$9,MATCH($E817,Parametros!$A$2:$A$9,0))</f>
        <v>3100</v>
      </c>
      <c r="P817" s="15" t="n">
        <f aca="false">IF((G817-H817)&gt;0,J817/(G817-H817),0)</f>
        <v>1</v>
      </c>
      <c r="Q817" s="15" t="n">
        <f aca="false">IF(J817*O817&gt;0,N817/(O817*J817),0)</f>
        <v>0.862204567230917</v>
      </c>
      <c r="R817" s="15" t="n">
        <f aca="false">IF(N817&gt;0,L817/N817,0)</f>
        <v>0.979686523279235</v>
      </c>
      <c r="S817" s="15" t="n">
        <f aca="false">P817*Q817*R817</f>
        <v>0.844690194825934</v>
      </c>
      <c r="T817" s="15" t="n">
        <f aca="false">IF(K817&gt;0,L817/K817,0)</f>
        <v>1.10125752118424</v>
      </c>
      <c r="U817" s="10" t="n">
        <v>805.6</v>
      </c>
      <c r="V817" s="5" t="n">
        <v>9</v>
      </c>
      <c r="W817" s="10" t="n">
        <v>30.7</v>
      </c>
      <c r="X817" s="15" t="n">
        <f aca="false">IF(U817&gt;0,W817/U817,0)</f>
        <v>0.0381082423038729</v>
      </c>
      <c r="Y817" s="12" t="n">
        <f aca="false">IF(U817&gt;0,L817/U817,0)</f>
        <v>262.634061569017</v>
      </c>
      <c r="Z817" s="16" t="n">
        <f aca="false">L817*INDEX(Parametros!$E$2:$E$9,MATCH($E817,Parametros!$A$2:$A$9,0))</f>
        <v>139641.48</v>
      </c>
      <c r="AA817" s="16" t="n">
        <f aca="false">Z817*INDEX(Parametros!$F$2:$F$9,MATCH($E817,Parametros!$A$2:$A$9,0))</f>
        <v>3630.67848</v>
      </c>
      <c r="AB817" s="17" t="n">
        <f aca="false">Z817+AA817</f>
        <v>143272.15848</v>
      </c>
      <c r="AC817" s="18" t="n">
        <v>144085.21</v>
      </c>
      <c r="AD817" s="17" t="n">
        <f aca="false">AC817-AB817</f>
        <v>813.051519999979</v>
      </c>
      <c r="AE817" s="17" t="n">
        <f aca="false">AA817+AD817</f>
        <v>4443.72999999998</v>
      </c>
      <c r="AF817" s="19" t="n">
        <f aca="false">IF(Z817&gt;0,AE817/Z817,0)</f>
        <v>0.0318224212461797</v>
      </c>
      <c r="AG817" s="16" t="n">
        <f aca="false">(U817-W817)*INDEX(Parametros!$H$2:$H$9,MATCH($E817,Parametros!$A$2:$A$9,0))+W817*INDEX(Parametros!$H$2:$H$9,MATCH($E817,Parametros!$A$2:$A$9,0))*Parametros!$N$3</f>
        <v>25859.925</v>
      </c>
      <c r="AH817" s="13" t="n">
        <v>10851</v>
      </c>
      <c r="AI817" s="16" t="n">
        <f aca="false">AH817*Parametros!$N$2</f>
        <v>998.292</v>
      </c>
      <c r="AJ817" s="18" t="n">
        <v>5955</v>
      </c>
      <c r="AK817" s="18" t="n">
        <v>0</v>
      </c>
      <c r="AL817" s="17" t="n">
        <f aca="false">AG817+AI817+AJ817+AK817</f>
        <v>32813.217</v>
      </c>
      <c r="AM817" s="20" t="n">
        <f aca="false">IF(L817&gt;0,AL817/L817,0)</f>
        <v>0.155088038453904</v>
      </c>
      <c r="AN817" s="16" t="n">
        <f aca="false">L817*INDEX(Parametros!$G$2:$G$9,MATCH($E817,Parametros!$A$2:$A$9,0))</f>
        <v>264472.5</v>
      </c>
      <c r="AO817" s="17" t="n">
        <f aca="false">AN817-AC817-AL817</f>
        <v>87574.073</v>
      </c>
      <c r="AP817" s="15" t="n">
        <f aca="false">IF(AN817&gt;0,AO817/AN817,0)</f>
        <v>0.331127330818894</v>
      </c>
      <c r="AQ817" s="16" t="n">
        <f aca="false">INDEX(Parametros!$I$2:$I$9,MATCH($E817,Parametros!$A$2:$A$9,0))</f>
        <v>13300000</v>
      </c>
      <c r="AR817" s="19" t="n">
        <f aca="false">IF(AQ817&gt;0,AO817/AQ817,0)</f>
        <v>0.00658451676691729</v>
      </c>
    </row>
    <row r="818" customFormat="false" ht="15" hidden="false" customHeight="false" outlineLevel="0" collapsed="false">
      <c r="A818" s="5" t="s">
        <v>953</v>
      </c>
      <c r="B818" s="9" t="n">
        <v>46265</v>
      </c>
      <c r="C818" s="2" t="str">
        <f aca="false">TEXT(B818,"yyyy")</f>
        <v>2026</v>
      </c>
      <c r="D818" s="2" t="n">
        <f aca="false">WEEKNUM(B818,2)</f>
        <v>36</v>
      </c>
      <c r="E818" s="5" t="s">
        <v>130</v>
      </c>
      <c r="F818" s="6" t="str">
        <f aca="false">INDEX(Parametros!$B$2:$B$9,MATCH($E818,Parametros!$A$2:$A$9,0))</f>
        <v>Ketchup botella</v>
      </c>
      <c r="G818" s="10" t="n">
        <v>130.8</v>
      </c>
      <c r="H818" s="10" t="n">
        <v>8.4</v>
      </c>
      <c r="I818" s="11" t="n">
        <f aca="false">SUMIFS(Eventos_Paro!$J$2:$J$2186,Eventos_Paro!$D$2:$D$2186,$E818,Eventos_Paro!$B$2:$B$2186,$B818)</f>
        <v>3.68333333333333</v>
      </c>
      <c r="J818" s="12" t="n">
        <f aca="false">G818-H818-I818</f>
        <v>118.716666666667</v>
      </c>
      <c r="K818" s="13" t="n">
        <v>903445</v>
      </c>
      <c r="L818" s="13" t="n">
        <v>944032</v>
      </c>
      <c r="M818" s="13" t="n">
        <v>17327</v>
      </c>
      <c r="N818" s="14" t="n">
        <f aca="false">L818+M818</f>
        <v>961359</v>
      </c>
      <c r="O818" s="11" t="n">
        <f aca="false">INDEX(Parametros!$D$2:$D$9,MATCH($E818,Parametros!$A$2:$A$9,0))</f>
        <v>9000</v>
      </c>
      <c r="P818" s="15" t="n">
        <f aca="false">IF((G818-H818)&gt;0,J818/(G818-H818),0)</f>
        <v>0.969907407407407</v>
      </c>
      <c r="Q818" s="15" t="n">
        <f aca="false">IF(J818*O818&gt;0,N818/(O818*J818),0)</f>
        <v>0.899769759932613</v>
      </c>
      <c r="R818" s="15" t="n">
        <f aca="false">IF(N818&gt;0,L818/N818,0)</f>
        <v>0.981976556104431</v>
      </c>
      <c r="S818" s="15" t="n">
        <f aca="false">P818*Q818*R818</f>
        <v>0.856964415395788</v>
      </c>
      <c r="T818" s="15" t="n">
        <f aca="false">IF(K818&gt;0,L818/K818,0)</f>
        <v>1.04492470487966</v>
      </c>
      <c r="U818" s="10" t="n">
        <v>2156</v>
      </c>
      <c r="V818" s="5" t="n">
        <v>15</v>
      </c>
      <c r="W818" s="10" t="n">
        <v>194</v>
      </c>
      <c r="X818" s="15" t="n">
        <f aca="false">IF(U818&gt;0,W818/U818,0)</f>
        <v>0.0899814471243043</v>
      </c>
      <c r="Y818" s="12" t="n">
        <f aca="false">IF(U818&gt;0,L818/U818,0)</f>
        <v>437.862708719852</v>
      </c>
      <c r="Z818" s="16" t="n">
        <f aca="false">L818*INDEX(Parametros!$E$2:$E$9,MATCH($E818,Parametros!$A$2:$A$9,0))</f>
        <v>396493.44</v>
      </c>
      <c r="AA818" s="16" t="n">
        <f aca="false">Z818*INDEX(Parametros!$F$2:$F$9,MATCH($E818,Parametros!$A$2:$A$9,0))</f>
        <v>7929.8688</v>
      </c>
      <c r="AB818" s="17" t="n">
        <f aca="false">Z818+AA818</f>
        <v>404423.3088</v>
      </c>
      <c r="AC818" s="18" t="n">
        <v>410361.81</v>
      </c>
      <c r="AD818" s="17" t="n">
        <f aca="false">AC818-AB818</f>
        <v>5938.5012</v>
      </c>
      <c r="AE818" s="17" t="n">
        <f aca="false">AA818+AD818</f>
        <v>13868.37</v>
      </c>
      <c r="AF818" s="19" t="n">
        <f aca="false">IF(Z818&gt;0,AE818/Z818,0)</f>
        <v>0.0349775522137264</v>
      </c>
      <c r="AG818" s="16" t="n">
        <f aca="false">(U818-W818)*INDEX(Parametros!$H$2:$H$9,MATCH($E818,Parametros!$A$2:$A$9,0))+W818*INDEX(Parametros!$H$2:$H$9,MATCH($E818,Parametros!$A$2:$A$9,0))*Parametros!$N$3</f>
        <v>70969.5</v>
      </c>
      <c r="AH818" s="13" t="n">
        <v>45029</v>
      </c>
      <c r="AI818" s="16" t="n">
        <f aca="false">AH818*Parametros!$N$2</f>
        <v>4142.668</v>
      </c>
      <c r="AJ818" s="18" t="n">
        <v>15350</v>
      </c>
      <c r="AK818" s="18" t="n">
        <v>3206</v>
      </c>
      <c r="AL818" s="17" t="n">
        <f aca="false">AG818+AI818+AJ818+AK818</f>
        <v>93668.168</v>
      </c>
      <c r="AM818" s="20" t="n">
        <f aca="false">IF(L818&gt;0,AL818/L818,0)</f>
        <v>0.0992213908003119</v>
      </c>
      <c r="AN818" s="16" t="n">
        <f aca="false">L818*INDEX(Parametros!$G$2:$G$9,MATCH($E818,Parametros!$A$2:$A$9,0))</f>
        <v>670262.72</v>
      </c>
      <c r="AO818" s="17" t="n">
        <f aca="false">AN818-AC818-AL818</f>
        <v>166232.742</v>
      </c>
      <c r="AP818" s="15" t="n">
        <f aca="false">IF(AN818&gt;0,AO818/AN818,0)</f>
        <v>0.248011320098483</v>
      </c>
      <c r="AQ818" s="16" t="n">
        <f aca="false">INDEX(Parametros!$I$2:$I$9,MATCH($E818,Parametros!$A$2:$A$9,0))</f>
        <v>29300000</v>
      </c>
      <c r="AR818" s="19" t="n">
        <f aca="false">IF(AQ818&gt;0,AO818/AQ818,0)</f>
        <v>0.00567347242320819</v>
      </c>
    </row>
    <row r="819" customFormat="false" ht="15" hidden="false" customHeight="false" outlineLevel="0" collapsed="false">
      <c r="A819" s="5" t="s">
        <v>954</v>
      </c>
      <c r="B819" s="9" t="n">
        <v>46265</v>
      </c>
      <c r="C819" s="2" t="str">
        <f aca="false">TEXT(B819,"yyyy")</f>
        <v>2026</v>
      </c>
      <c r="D819" s="2" t="n">
        <f aca="false">WEEKNUM(B819,2)</f>
        <v>36</v>
      </c>
      <c r="E819" s="5" t="s">
        <v>132</v>
      </c>
      <c r="F819" s="6" t="str">
        <f aca="false">INDEX(Parametros!$B$2:$B$9,MATCH($E819,Parametros!$A$2:$A$9,0))</f>
        <v>Mayonesa frasco</v>
      </c>
      <c r="G819" s="10" t="n">
        <v>131.1</v>
      </c>
      <c r="H819" s="10" t="n">
        <v>6.6</v>
      </c>
      <c r="I819" s="11" t="n">
        <f aca="false">SUMIFS(Eventos_Paro!$J$2:$J$2186,Eventos_Paro!$D$2:$D$2186,$E819,Eventos_Paro!$B$2:$B$2186,$B819)</f>
        <v>2.06666666666667</v>
      </c>
      <c r="J819" s="12" t="n">
        <f aca="false">G819-H819-I819</f>
        <v>122.433333333333</v>
      </c>
      <c r="K819" s="13" t="n">
        <v>663682</v>
      </c>
      <c r="L819" s="13" t="n">
        <v>672805</v>
      </c>
      <c r="M819" s="13" t="n">
        <v>20244</v>
      </c>
      <c r="N819" s="14" t="n">
        <f aca="false">L819+M819</f>
        <v>693049</v>
      </c>
      <c r="O819" s="11" t="n">
        <f aca="false">INDEX(Parametros!$D$2:$D$9,MATCH($E819,Parametros!$A$2:$A$9,0))</f>
        <v>6500</v>
      </c>
      <c r="P819" s="15" t="n">
        <f aca="false">IF((G819-H819)&gt;0,J819/(G819-H819),0)</f>
        <v>0.983400267737617</v>
      </c>
      <c r="Q819" s="15" t="n">
        <f aca="false">IF(J819*O819&gt;0,N819/(O819*J819),0)</f>
        <v>0.870865149008356</v>
      </c>
      <c r="R819" s="15" t="n">
        <f aca="false">IF(N819&gt;0,L819/N819,0)</f>
        <v>0.970789944145364</v>
      </c>
      <c r="S819" s="15" t="n">
        <f aca="false">P819*Q819*R819</f>
        <v>0.831393265369169</v>
      </c>
      <c r="T819" s="15" t="n">
        <f aca="false">IF(K819&gt;0,L819/K819,0)</f>
        <v>1.01374604102567</v>
      </c>
      <c r="U819" s="10" t="n">
        <v>1800.9</v>
      </c>
      <c r="V819" s="5" t="n">
        <v>13</v>
      </c>
      <c r="W819" s="10" t="n">
        <v>96.6</v>
      </c>
      <c r="X819" s="15" t="n">
        <f aca="false">IF(U819&gt;0,W819/U819,0)</f>
        <v>0.053639846743295</v>
      </c>
      <c r="Y819" s="12" t="n">
        <f aca="false">IF(U819&gt;0,L819/U819,0)</f>
        <v>373.593758676217</v>
      </c>
      <c r="Z819" s="16" t="n">
        <f aca="false">L819*INDEX(Parametros!$E$2:$E$9,MATCH($E819,Parametros!$A$2:$A$9,0))</f>
        <v>410411.05</v>
      </c>
      <c r="AA819" s="16" t="n">
        <f aca="false">Z819*INDEX(Parametros!$F$2:$F$9,MATCH($E819,Parametros!$A$2:$A$9,0))</f>
        <v>10260.27625</v>
      </c>
      <c r="AB819" s="17" t="n">
        <f aca="false">Z819+AA819</f>
        <v>420671.32625</v>
      </c>
      <c r="AC819" s="18" t="n">
        <v>416143.13</v>
      </c>
      <c r="AD819" s="17" t="n">
        <f aca="false">AC819-AB819</f>
        <v>-4528.19624999998</v>
      </c>
      <c r="AE819" s="17" t="n">
        <f aca="false">AA819+AD819</f>
        <v>5732.08000000002</v>
      </c>
      <c r="AF819" s="19" t="n">
        <f aca="false">IF(Z819&gt;0,AE819/Z819,0)</f>
        <v>0.0139666804780232</v>
      </c>
      <c r="AG819" s="16" t="n">
        <f aca="false">(U819-W819)*INDEX(Parametros!$H$2:$H$9,MATCH($E819,Parametros!$A$2:$A$9,0))+W819*INDEX(Parametros!$H$2:$H$9,MATCH($E819,Parametros!$A$2:$A$9,0))*Parametros!$N$3</f>
        <v>58249.8</v>
      </c>
      <c r="AH819" s="13" t="n">
        <v>35779</v>
      </c>
      <c r="AI819" s="16" t="n">
        <f aca="false">AH819*Parametros!$N$2</f>
        <v>3291.668</v>
      </c>
      <c r="AJ819" s="18" t="n">
        <v>13598</v>
      </c>
      <c r="AK819" s="18" t="n">
        <v>2151</v>
      </c>
      <c r="AL819" s="17" t="n">
        <f aca="false">AG819+AI819+AJ819+AK819</f>
        <v>77290.468</v>
      </c>
      <c r="AM819" s="20" t="n">
        <f aca="false">IF(L819&gt;0,AL819/L819,0)</f>
        <v>0.114877963154257</v>
      </c>
      <c r="AN819" s="16" t="n">
        <f aca="false">L819*INDEX(Parametros!$G$2:$G$9,MATCH($E819,Parametros!$A$2:$A$9,0))</f>
        <v>645892.8</v>
      </c>
      <c r="AO819" s="17" t="n">
        <f aca="false">AN819-AC819-AL819</f>
        <v>152459.202</v>
      </c>
      <c r="AP819" s="15" t="n">
        <f aca="false">IF(AN819&gt;0,AO819/AN819,0)</f>
        <v>0.236044126827238</v>
      </c>
      <c r="AQ819" s="16" t="n">
        <f aca="false">INDEX(Parametros!$I$2:$I$9,MATCH($E819,Parametros!$A$2:$A$9,0))</f>
        <v>29700000</v>
      </c>
      <c r="AR819" s="19" t="n">
        <f aca="false">IF(AQ819&gt;0,AO819/AQ819,0)</f>
        <v>0.00513330646464646</v>
      </c>
    </row>
    <row r="820" customFormat="false" ht="15" hidden="false" customHeight="false" outlineLevel="0" collapsed="false">
      <c r="A820" s="5" t="s">
        <v>955</v>
      </c>
      <c r="B820" s="9" t="n">
        <v>46265</v>
      </c>
      <c r="C820" s="2" t="str">
        <f aca="false">TEXT(B820,"yyyy")</f>
        <v>2026</v>
      </c>
      <c r="D820" s="2" t="n">
        <f aca="false">WEEKNUM(B820,2)</f>
        <v>36</v>
      </c>
      <c r="E820" s="5" t="s">
        <v>134</v>
      </c>
      <c r="F820" s="6" t="str">
        <f aca="false">INDEX(Parametros!$B$2:$B$9,MATCH($E820,Parametros!$A$2:$A$9,0))</f>
        <v>Aderezos vertibles</v>
      </c>
      <c r="G820" s="10" t="n">
        <v>121.9</v>
      </c>
      <c r="H820" s="10" t="n">
        <v>7.4</v>
      </c>
      <c r="I820" s="11" t="n">
        <f aca="false">SUMIFS(Eventos_Paro!$J$2:$J$2186,Eventos_Paro!$D$2:$D$2186,$E820,Eventos_Paro!$B$2:$B$2186,$B820)</f>
        <v>0.933333333333333</v>
      </c>
      <c r="J820" s="12" t="n">
        <f aca="false">G820-H820-I820</f>
        <v>113.566666666667</v>
      </c>
      <c r="K820" s="13" t="n">
        <v>488300</v>
      </c>
      <c r="L820" s="13" t="n">
        <v>483668</v>
      </c>
      <c r="M820" s="13" t="n">
        <v>16104</v>
      </c>
      <c r="N820" s="14" t="n">
        <f aca="false">L820+M820</f>
        <v>499772</v>
      </c>
      <c r="O820" s="11" t="n">
        <f aca="false">INDEX(Parametros!$D$2:$D$9,MATCH($E820,Parametros!$A$2:$A$9,0))</f>
        <v>5200</v>
      </c>
      <c r="P820" s="15" t="n">
        <f aca="false">IF((G820-H820)&gt;0,J820/(G820-H820),0)</f>
        <v>0.991848617176128</v>
      </c>
      <c r="Q820" s="15" t="n">
        <f aca="false">IF(J820*O820&gt;0,N820/(O820*J820),0)</f>
        <v>0.846287056061051</v>
      </c>
      <c r="R820" s="15" t="n">
        <f aca="false">IF(N820&gt;0,L820/N820,0)</f>
        <v>0.967777306451742</v>
      </c>
      <c r="S820" s="15" t="n">
        <f aca="false">P820*Q820*R820</f>
        <v>0.812341283170978</v>
      </c>
      <c r="T820" s="15" t="n">
        <f aca="false">IF(K820&gt;0,L820/K820,0)</f>
        <v>0.990514028261315</v>
      </c>
      <c r="U820" s="10" t="n">
        <v>1683.1</v>
      </c>
      <c r="V820" s="5" t="n">
        <v>13</v>
      </c>
      <c r="W820" s="10" t="n">
        <v>98.4</v>
      </c>
      <c r="X820" s="15" t="n">
        <f aca="false">IF(U820&gt;0,W820/U820,0)</f>
        <v>0.0584635494028875</v>
      </c>
      <c r="Y820" s="12" t="n">
        <f aca="false">IF(U820&gt;0,L820/U820,0)</f>
        <v>287.367357851583</v>
      </c>
      <c r="Z820" s="16" t="n">
        <f aca="false">L820*INDEX(Parametros!$E$2:$E$9,MATCH($E820,Parametros!$A$2:$A$9,0))</f>
        <v>266017.4</v>
      </c>
      <c r="AA820" s="16" t="n">
        <f aca="false">Z820*INDEX(Parametros!$F$2:$F$9,MATCH($E820,Parametros!$A$2:$A$9,0))</f>
        <v>7980.522</v>
      </c>
      <c r="AB820" s="17" t="n">
        <f aca="false">Z820+AA820</f>
        <v>273997.922</v>
      </c>
      <c r="AC820" s="18" t="n">
        <v>276535.85</v>
      </c>
      <c r="AD820" s="17" t="n">
        <f aca="false">AC820-AB820</f>
        <v>2537.92799999996</v>
      </c>
      <c r="AE820" s="17" t="n">
        <f aca="false">AA820+AD820</f>
        <v>10518.45</v>
      </c>
      <c r="AF820" s="19" t="n">
        <f aca="false">IF(Z820&gt;0,AE820/Z820,0)</f>
        <v>0.0395404586316533</v>
      </c>
      <c r="AG820" s="16" t="n">
        <f aca="false">(U820-W820)*INDEX(Parametros!$H$2:$H$9,MATCH($E820,Parametros!$A$2:$A$9,0))+W820*INDEX(Parametros!$H$2:$H$9,MATCH($E820,Parametros!$A$2:$A$9,0))*Parametros!$N$3</f>
        <v>54567.45</v>
      </c>
      <c r="AH820" s="13" t="n">
        <v>25519</v>
      </c>
      <c r="AI820" s="16" t="n">
        <f aca="false">AH820*Parametros!$N$2</f>
        <v>2347.748</v>
      </c>
      <c r="AJ820" s="18" t="n">
        <v>8730</v>
      </c>
      <c r="AK820" s="18" t="n">
        <v>906</v>
      </c>
      <c r="AL820" s="17" t="n">
        <f aca="false">AG820+AI820+AJ820+AK820</f>
        <v>66551.198</v>
      </c>
      <c r="AM820" s="20" t="n">
        <f aca="false">IF(L820&gt;0,AL820/L820,0)</f>
        <v>0.13759685982947</v>
      </c>
      <c r="AN820" s="16" t="n">
        <f aca="false">L820*INDEX(Parametros!$G$2:$G$9,MATCH($E820,Parametros!$A$2:$A$9,0))</f>
        <v>493341.36</v>
      </c>
      <c r="AO820" s="17" t="n">
        <f aca="false">AN820-AC820-AL820</f>
        <v>150254.312</v>
      </c>
      <c r="AP820" s="15" t="n">
        <f aca="false">IF(AN820&gt;0,AO820/AN820,0)</f>
        <v>0.30456459600306</v>
      </c>
      <c r="AQ820" s="16" t="n">
        <f aca="false">INDEX(Parametros!$I$2:$I$9,MATCH($E820,Parametros!$A$2:$A$9,0))</f>
        <v>19300000</v>
      </c>
      <c r="AR820" s="19" t="n">
        <f aca="false">IF(AQ820&gt;0,AO820/AQ820,0)</f>
        <v>0.00778519751295337</v>
      </c>
    </row>
    <row r="821" customFormat="false" ht="15" hidden="false" customHeight="false" outlineLevel="0" collapsed="false">
      <c r="A821" s="5" t="s">
        <v>956</v>
      </c>
      <c r="B821" s="9" t="n">
        <v>46265</v>
      </c>
      <c r="C821" s="2" t="str">
        <f aca="false">TEXT(B821,"yyyy")</f>
        <v>2026</v>
      </c>
      <c r="D821" s="2" t="n">
        <f aca="false">WEEKNUM(B821,2)</f>
        <v>36</v>
      </c>
      <c r="E821" s="5" t="s">
        <v>136</v>
      </c>
      <c r="F821" s="6" t="str">
        <f aca="false">INDEX(Parametros!$B$2:$B$9,MATCH($E821,Parametros!$A$2:$A$9,0))</f>
        <v>Salsa BBQ</v>
      </c>
      <c r="G821" s="10" t="n">
        <v>95.7</v>
      </c>
      <c r="H821" s="10" t="n">
        <v>5</v>
      </c>
      <c r="I821" s="11" t="n">
        <f aca="false">SUMIFS(Eventos_Paro!$J$2:$J$2186,Eventos_Paro!$D$2:$D$2186,$E821,Eventos_Paro!$B$2:$B$2186,$B821)</f>
        <v>0.666666666666667</v>
      </c>
      <c r="J821" s="12" t="n">
        <f aca="false">G821-H821-I821</f>
        <v>90.0333333333333</v>
      </c>
      <c r="K821" s="13" t="n">
        <v>387706</v>
      </c>
      <c r="L821" s="13" t="n">
        <v>336657</v>
      </c>
      <c r="M821" s="13" t="n">
        <v>10162</v>
      </c>
      <c r="N821" s="14" t="n">
        <f aca="false">L821+M821</f>
        <v>346819</v>
      </c>
      <c r="O821" s="11" t="n">
        <f aca="false">INDEX(Parametros!$D$2:$D$9,MATCH($E821,Parametros!$A$2:$A$9,0))</f>
        <v>4800</v>
      </c>
      <c r="P821" s="15" t="n">
        <f aca="false">IF((G821-H821)&gt;0,J821/(G821-H821),0)</f>
        <v>0.992649761117236</v>
      </c>
      <c r="Q821" s="15" t="n">
        <f aca="false">IF(J821*O821&gt;0,N821/(O821*J821),0)</f>
        <v>0.80252452795261</v>
      </c>
      <c r="R821" s="15" t="n">
        <f aca="false">IF(N821&gt;0,L821/N821,0)</f>
        <v>0.970699413815275</v>
      </c>
      <c r="S821" s="15" t="n">
        <f aca="false">P821*Q821*R821</f>
        <v>0.773284178610805</v>
      </c>
      <c r="T821" s="15" t="n">
        <f aca="false">IF(K821&gt;0,L821/K821,0)</f>
        <v>0.868330642290808</v>
      </c>
      <c r="U821" s="10" t="n">
        <v>1198.8</v>
      </c>
      <c r="V821" s="5" t="n">
        <v>11</v>
      </c>
      <c r="W821" s="10" t="n">
        <v>146.1</v>
      </c>
      <c r="X821" s="15" t="n">
        <f aca="false">IF(U821&gt;0,W821/U821,0)</f>
        <v>0.121871871871872</v>
      </c>
      <c r="Y821" s="12" t="n">
        <f aca="false">IF(U821&gt;0,L821/U821,0)</f>
        <v>280.828328328328</v>
      </c>
      <c r="Z821" s="16" t="n">
        <f aca="false">L821*INDEX(Parametros!$E$2:$E$9,MATCH($E821,Parametros!$A$2:$A$9,0))</f>
        <v>195261.06</v>
      </c>
      <c r="AA821" s="16" t="n">
        <f aca="false">Z821*INDEX(Parametros!$F$2:$F$9,MATCH($E821,Parametros!$A$2:$A$9,0))</f>
        <v>5467.30968</v>
      </c>
      <c r="AB821" s="17" t="n">
        <f aca="false">Z821+AA821</f>
        <v>200728.36968</v>
      </c>
      <c r="AC821" s="18" t="n">
        <v>200766.18</v>
      </c>
      <c r="AD821" s="17" t="n">
        <f aca="false">AC821-AB821</f>
        <v>37.8103199999896</v>
      </c>
      <c r="AE821" s="17" t="n">
        <f aca="false">AA821+AD821</f>
        <v>5505.11999999999</v>
      </c>
      <c r="AF821" s="19" t="n">
        <f aca="false">IF(Z821&gt;0,AE821/Z821,0)</f>
        <v>0.0281936398378662</v>
      </c>
      <c r="AG821" s="16" t="n">
        <f aca="false">(U821-W821)*INDEX(Parametros!$H$2:$H$9,MATCH($E821,Parametros!$A$2:$A$9,0))+W821*INDEX(Parametros!$H$2:$H$9,MATCH($E821,Parametros!$A$2:$A$9,0))*Parametros!$N$3</f>
        <v>40063.275</v>
      </c>
      <c r="AH821" s="13" t="n">
        <v>18157</v>
      </c>
      <c r="AI821" s="16" t="n">
        <f aca="false">AH821*Parametros!$N$2</f>
        <v>1670.444</v>
      </c>
      <c r="AJ821" s="18" t="n">
        <v>9583</v>
      </c>
      <c r="AK821" s="18" t="n">
        <v>701</v>
      </c>
      <c r="AL821" s="17" t="n">
        <f aca="false">AG821+AI821+AJ821+AK821</f>
        <v>52017.719</v>
      </c>
      <c r="AM821" s="20" t="n">
        <f aca="false">IF(L821&gt;0,AL821/L821,0)</f>
        <v>0.154512512735514</v>
      </c>
      <c r="AN821" s="16" t="n">
        <f aca="false">L821*INDEX(Parametros!$G$2:$G$9,MATCH($E821,Parametros!$A$2:$A$9,0))</f>
        <v>329923.86</v>
      </c>
      <c r="AO821" s="17" t="n">
        <f aca="false">AN821-AC821-AL821</f>
        <v>77139.961</v>
      </c>
      <c r="AP821" s="15" t="n">
        <f aca="false">IF(AN821&gt;0,AO821/AN821,0)</f>
        <v>0.233811404243391</v>
      </c>
      <c r="AQ821" s="16" t="n">
        <f aca="false">INDEX(Parametros!$I$2:$I$9,MATCH($E821,Parametros!$A$2:$A$9,0))</f>
        <v>17000000</v>
      </c>
      <c r="AR821" s="19" t="n">
        <f aca="false">IF(AQ821&gt;0,AO821/AQ821,0)</f>
        <v>0.00453764476470588</v>
      </c>
    </row>
    <row r="822" customFormat="false" ht="15" hidden="false" customHeight="false" outlineLevel="0" collapsed="false">
      <c r="A822" s="5" t="s">
        <v>957</v>
      </c>
      <c r="B822" s="9" t="n">
        <v>46265</v>
      </c>
      <c r="C822" s="2" t="str">
        <f aca="false">TEXT(B822,"yyyy")</f>
        <v>2026</v>
      </c>
      <c r="D822" s="2" t="n">
        <f aca="false">WEEKNUM(B822,2)</f>
        <v>36</v>
      </c>
      <c r="E822" s="5" t="s">
        <v>138</v>
      </c>
      <c r="F822" s="6" t="str">
        <f aca="false">INDEX(Parametros!$B$2:$B$9,MATCH($E822,Parametros!$A$2:$A$9,0))</f>
        <v>Queso crema</v>
      </c>
      <c r="G822" s="10" t="n">
        <v>121</v>
      </c>
      <c r="H822" s="10" t="n">
        <v>6.6</v>
      </c>
      <c r="I822" s="11" t="n">
        <f aca="false">SUMIFS(Eventos_Paro!$J$2:$J$2186,Eventos_Paro!$D$2:$D$2186,$E822,Eventos_Paro!$B$2:$B$2186,$B822)</f>
        <v>6.45</v>
      </c>
      <c r="J822" s="12" t="n">
        <f aca="false">G822-H822-I822</f>
        <v>107.95</v>
      </c>
      <c r="K822" s="13" t="n">
        <v>356523</v>
      </c>
      <c r="L822" s="13" t="n">
        <v>312585</v>
      </c>
      <c r="M822" s="13" t="n">
        <v>16462</v>
      </c>
      <c r="N822" s="14" t="n">
        <f aca="false">L822+M822</f>
        <v>329047</v>
      </c>
      <c r="O822" s="11" t="n">
        <f aca="false">INDEX(Parametros!$D$2:$D$9,MATCH($E822,Parametros!$A$2:$A$9,0))</f>
        <v>3800</v>
      </c>
      <c r="P822" s="15" t="n">
        <f aca="false">IF((G822-H822)&gt;0,J822/(G822-H822),0)</f>
        <v>0.943618881118881</v>
      </c>
      <c r="Q822" s="15" t="n">
        <f aca="false">IF(J822*O822&gt;0,N822/(O822*J822),0)</f>
        <v>0.802142804904805</v>
      </c>
      <c r="R822" s="15" t="n">
        <f aca="false">IF(N822&gt;0,L822/N822,0)</f>
        <v>0.949970672882597</v>
      </c>
      <c r="S822" s="15" t="n">
        <f aca="false">P822*Q822*R822</f>
        <v>0.719049043062201</v>
      </c>
      <c r="T822" s="15" t="n">
        <f aca="false">IF(K822&gt;0,L822/K822,0)</f>
        <v>0.87675970414251</v>
      </c>
      <c r="U822" s="10" t="n">
        <v>1728.2</v>
      </c>
      <c r="V822" s="5" t="n">
        <v>14</v>
      </c>
      <c r="W822" s="10" t="n">
        <v>34.2</v>
      </c>
      <c r="X822" s="15" t="n">
        <f aca="false">IF(U822&gt;0,W822/U822,0)</f>
        <v>0.0197893762296031</v>
      </c>
      <c r="Y822" s="12" t="n">
        <f aca="false">IF(U822&gt;0,L822/U822,0)</f>
        <v>180.873162828376</v>
      </c>
      <c r="Z822" s="16" t="n">
        <f aca="false">L822*INDEX(Parametros!$E$2:$E$9,MATCH($E822,Parametros!$A$2:$A$9,0))</f>
        <v>350095.2</v>
      </c>
      <c r="AA822" s="16" t="n">
        <f aca="false">Z822*INDEX(Parametros!$F$2:$F$9,MATCH($E822,Parametros!$A$2:$A$9,0))</f>
        <v>12253.332</v>
      </c>
      <c r="AB822" s="17" t="n">
        <f aca="false">Z822+AA822</f>
        <v>362348.532</v>
      </c>
      <c r="AC822" s="18" t="n">
        <v>354855.41</v>
      </c>
      <c r="AD822" s="17" t="n">
        <f aca="false">AC822-AB822</f>
        <v>-7493.12200000003</v>
      </c>
      <c r="AE822" s="17" t="n">
        <f aca="false">AA822+AD822</f>
        <v>4760.20999999997</v>
      </c>
      <c r="AF822" s="19" t="n">
        <f aca="false">IF(Z822&gt;0,AE822/Z822,0)</f>
        <v>0.0135969016427531</v>
      </c>
      <c r="AG822" s="16" t="n">
        <f aca="false">(U822-W822)*INDEX(Parametros!$H$2:$H$9,MATCH($E822,Parametros!$A$2:$A$9,0))+W822*INDEX(Parametros!$H$2:$H$9,MATCH($E822,Parametros!$A$2:$A$9,0))*Parametros!$N$3</f>
        <v>57594.9</v>
      </c>
      <c r="AH822" s="13" t="n">
        <v>17619</v>
      </c>
      <c r="AI822" s="16" t="n">
        <f aca="false">AH822*Parametros!$N$2</f>
        <v>1620.948</v>
      </c>
      <c r="AJ822" s="18" t="n">
        <v>14963</v>
      </c>
      <c r="AK822" s="18" t="n">
        <v>3601</v>
      </c>
      <c r="AL822" s="17" t="n">
        <f aca="false">AG822+AI822+AJ822+AK822</f>
        <v>77779.848</v>
      </c>
      <c r="AM822" s="20" t="n">
        <f aca="false">IF(L822&gt;0,AL822/L822,0)</f>
        <v>0.248827832429579</v>
      </c>
      <c r="AN822" s="16" t="n">
        <f aca="false">L822*INDEX(Parametros!$G$2:$G$9,MATCH($E822,Parametros!$A$2:$A$9,0))</f>
        <v>559527.15</v>
      </c>
      <c r="AO822" s="17" t="n">
        <f aca="false">AN822-AC822-AL822</f>
        <v>126891.892</v>
      </c>
      <c r="AP822" s="15" t="n">
        <f aca="false">IF(AN822&gt;0,AO822/AN822,0)</f>
        <v>0.226784155156725</v>
      </c>
      <c r="AQ822" s="16" t="n">
        <f aca="false">INDEX(Parametros!$I$2:$I$9,MATCH($E822,Parametros!$A$2:$A$9,0))</f>
        <v>33200000</v>
      </c>
      <c r="AR822" s="19" t="n">
        <f aca="false">IF(AQ822&gt;0,AO822/AQ822,0)</f>
        <v>0.00382204493975904</v>
      </c>
    </row>
    <row r="823" customFormat="false" ht="15" hidden="false" customHeight="false" outlineLevel="0" collapsed="false">
      <c r="A823" s="5" t="s">
        <v>958</v>
      </c>
      <c r="B823" s="9" t="n">
        <v>46265</v>
      </c>
      <c r="C823" s="2" t="str">
        <f aca="false">TEXT(B823,"yyyy")</f>
        <v>2026</v>
      </c>
      <c r="D823" s="2" t="n">
        <f aca="false">WEEKNUM(B823,2)</f>
        <v>36</v>
      </c>
      <c r="E823" s="5" t="s">
        <v>140</v>
      </c>
      <c r="F823" s="6" t="str">
        <f aca="false">INDEX(Parametros!$B$2:$B$9,MATCH($E823,Parametros!$A$2:$A$9,0))</f>
        <v>Crema de cacahuate</v>
      </c>
      <c r="G823" s="10" t="n">
        <v>113.4</v>
      </c>
      <c r="H823" s="10" t="n">
        <v>8.1</v>
      </c>
      <c r="I823" s="11" t="n">
        <f aca="false">SUMIFS(Eventos_Paro!$J$2:$J$2186,Eventos_Paro!$D$2:$D$2186,$E823,Eventos_Paro!$B$2:$B$2186,$B823)</f>
        <v>3.31666666666667</v>
      </c>
      <c r="J823" s="12" t="n">
        <f aca="false">G823-H823-I823</f>
        <v>101.983333333333</v>
      </c>
      <c r="K823" s="13" t="n">
        <v>362706</v>
      </c>
      <c r="L823" s="13" t="n">
        <v>366167</v>
      </c>
      <c r="M823" s="13" t="n">
        <v>10261</v>
      </c>
      <c r="N823" s="14" t="n">
        <f aca="false">L823+M823</f>
        <v>376428</v>
      </c>
      <c r="O823" s="11" t="n">
        <f aca="false">INDEX(Parametros!$D$2:$D$9,MATCH($E823,Parametros!$A$2:$A$9,0))</f>
        <v>4200</v>
      </c>
      <c r="P823" s="15" t="n">
        <f aca="false">IF((G823-H823)&gt;0,J823/(G823-H823),0)</f>
        <v>0.968502690724913</v>
      </c>
      <c r="Q823" s="15" t="n">
        <f aca="false">IF(J823*O823&gt;0,N823/(O823*J823),0)</f>
        <v>0.878827072584222</v>
      </c>
      <c r="R823" s="15" t="n">
        <f aca="false">IF(N823&gt;0,L823/N823,0)</f>
        <v>0.972741135090907</v>
      </c>
      <c r="S823" s="15" t="n">
        <f aca="false">P823*Q823*R823</f>
        <v>0.827945100167322</v>
      </c>
      <c r="T823" s="15" t="n">
        <f aca="false">IF(K823&gt;0,L823/K823,0)</f>
        <v>1.00954216362564</v>
      </c>
      <c r="U823" s="10" t="n">
        <v>1564.1</v>
      </c>
      <c r="V823" s="5" t="n">
        <v>13</v>
      </c>
      <c r="W823" s="10" t="n">
        <v>89.9</v>
      </c>
      <c r="X823" s="15" t="n">
        <f aca="false">IF(U823&gt;0,W823/U823,0)</f>
        <v>0.0574771434051531</v>
      </c>
      <c r="Y823" s="12" t="n">
        <f aca="false">IF(U823&gt;0,L823/U823,0)</f>
        <v>234.107154274023</v>
      </c>
      <c r="Z823" s="16" t="n">
        <f aca="false">L823*INDEX(Parametros!$E$2:$E$9,MATCH($E823,Parametros!$A$2:$A$9,0))</f>
        <v>355181.99</v>
      </c>
      <c r="AA823" s="16" t="n">
        <f aca="false">Z823*INDEX(Parametros!$F$2:$F$9,MATCH($E823,Parametros!$A$2:$A$9,0))</f>
        <v>7814.00378</v>
      </c>
      <c r="AB823" s="17" t="n">
        <f aca="false">Z823+AA823</f>
        <v>362995.99378</v>
      </c>
      <c r="AC823" s="18" t="n">
        <v>363175.72</v>
      </c>
      <c r="AD823" s="17" t="n">
        <f aca="false">AC823-AB823</f>
        <v>179.726219999953</v>
      </c>
      <c r="AE823" s="17" t="n">
        <f aca="false">AA823+AD823</f>
        <v>7993.72999999995</v>
      </c>
      <c r="AF823" s="19" t="n">
        <f aca="false">IF(Z823&gt;0,AE823/Z823,0)</f>
        <v>0.022506011636457</v>
      </c>
      <c r="AG823" s="16" t="n">
        <f aca="false">(U823-W823)*INDEX(Parametros!$H$2:$H$9,MATCH($E823,Parametros!$A$2:$A$9,0))+W823*INDEX(Parametros!$H$2:$H$9,MATCH($E823,Parametros!$A$2:$A$9,0))*Parametros!$N$3</f>
        <v>50685.075</v>
      </c>
      <c r="AH823" s="13" t="n">
        <v>20817</v>
      </c>
      <c r="AI823" s="16" t="n">
        <f aca="false">AH823*Parametros!$N$2</f>
        <v>1915.164</v>
      </c>
      <c r="AJ823" s="18" t="n">
        <v>11450</v>
      </c>
      <c r="AK823" s="18" t="n">
        <v>3442</v>
      </c>
      <c r="AL823" s="17" t="n">
        <f aca="false">AG823+AI823+AJ823+AK823</f>
        <v>67492.239</v>
      </c>
      <c r="AM823" s="20" t="n">
        <f aca="false">IF(L823&gt;0,AL823/L823,0)</f>
        <v>0.184320921874445</v>
      </c>
      <c r="AN823" s="16" t="n">
        <f aca="false">L823*INDEX(Parametros!$G$2:$G$9,MATCH($E823,Parametros!$A$2:$A$9,0))</f>
        <v>593190.54</v>
      </c>
      <c r="AO823" s="17" t="n">
        <f aca="false">AN823-AC823-AL823</f>
        <v>162522.581</v>
      </c>
      <c r="AP823" s="15" t="n">
        <f aca="false">IF(AN823&gt;0,AO823/AN823,0)</f>
        <v>0.273980399282834</v>
      </c>
      <c r="AQ823" s="16" t="n">
        <f aca="false">INDEX(Parametros!$I$2:$I$9,MATCH($E823,Parametros!$A$2:$A$9,0))</f>
        <v>28000000</v>
      </c>
      <c r="AR823" s="19" t="n">
        <f aca="false">IF(AQ823&gt;0,AO823/AQ823,0)</f>
        <v>0.00580437789285715</v>
      </c>
    </row>
    <row r="824" customFormat="false" ht="15" hidden="false" customHeight="false" outlineLevel="0" collapsed="false">
      <c r="A824" s="5" t="s">
        <v>959</v>
      </c>
      <c r="B824" s="9" t="n">
        <v>46265</v>
      </c>
      <c r="C824" s="2" t="str">
        <f aca="false">TEXT(B824,"yyyy")</f>
        <v>2026</v>
      </c>
      <c r="D824" s="2" t="n">
        <f aca="false">WEEKNUM(B824,2)</f>
        <v>36</v>
      </c>
      <c r="E824" s="5" t="s">
        <v>142</v>
      </c>
      <c r="F824" s="6" t="str">
        <f aca="false">INDEX(Parametros!$B$2:$B$9,MATCH($E824,Parametros!$A$2:$A$9,0))</f>
        <v>Porciones single serve</v>
      </c>
      <c r="G824" s="10" t="n">
        <v>127.7</v>
      </c>
      <c r="H824" s="10" t="n">
        <v>6.5</v>
      </c>
      <c r="I824" s="11" t="n">
        <f aca="false">SUMIFS(Eventos_Paro!$J$2:$J$2186,Eventos_Paro!$D$2:$D$2186,$E824,Eventos_Paro!$B$2:$B$2186,$B824)</f>
        <v>9.48333333333333</v>
      </c>
      <c r="J824" s="12" t="n">
        <f aca="false">G824-H824-I824</f>
        <v>111.716666666667</v>
      </c>
      <c r="K824" s="13" t="n">
        <v>258436</v>
      </c>
      <c r="L824" s="13" t="n">
        <v>220927</v>
      </c>
      <c r="M824" s="13" t="n">
        <v>10882</v>
      </c>
      <c r="N824" s="14" t="n">
        <f aca="false">L824+M824</f>
        <v>231809</v>
      </c>
      <c r="O824" s="11" t="n">
        <f aca="false">INDEX(Parametros!$D$2:$D$9,MATCH($E824,Parametros!$A$2:$A$9,0))</f>
        <v>2600</v>
      </c>
      <c r="P824" s="15" t="n">
        <f aca="false">IF((G824-H824)&gt;0,J824/(G824-H824),0)</f>
        <v>0.921754675467547</v>
      </c>
      <c r="Q824" s="15" t="n">
        <f aca="false">IF(J824*O824&gt;0,N824/(O824*J824),0)</f>
        <v>0.798066307852971</v>
      </c>
      <c r="R824" s="15" t="n">
        <f aca="false">IF(N824&gt;0,L824/N824,0)</f>
        <v>0.953056179872222</v>
      </c>
      <c r="S824" s="15" t="n">
        <f aca="false">P824*Q824*R824</f>
        <v>0.701088474232039</v>
      </c>
      <c r="T824" s="15" t="n">
        <f aca="false">IF(K824&gt;0,L824/K824,0)</f>
        <v>0.854861551796189</v>
      </c>
      <c r="U824" s="10" t="n">
        <v>2548.7</v>
      </c>
      <c r="V824" s="5" t="n">
        <v>18</v>
      </c>
      <c r="W824" s="10" t="n">
        <v>250.1</v>
      </c>
      <c r="X824" s="15" t="n">
        <f aca="false">IF(U824&gt;0,W824/U824,0)</f>
        <v>0.098128457645074</v>
      </c>
      <c r="Y824" s="12" t="n">
        <f aca="false">IF(U824&gt;0,L824/U824,0)</f>
        <v>86.6822301565504</v>
      </c>
      <c r="Z824" s="16" t="n">
        <f aca="false">L824*INDEX(Parametros!$E$2:$E$9,MATCH($E824,Parametros!$A$2:$A$9,0))</f>
        <v>163485.98</v>
      </c>
      <c r="AA824" s="16" t="n">
        <f aca="false">Z824*INDEX(Parametros!$F$2:$F$9,MATCH($E824,Parametros!$A$2:$A$9,0))</f>
        <v>7356.8691</v>
      </c>
      <c r="AB824" s="17" t="n">
        <f aca="false">Z824+AA824</f>
        <v>170842.8491</v>
      </c>
      <c r="AC824" s="18" t="n">
        <v>170284.62</v>
      </c>
      <c r="AD824" s="17" t="n">
        <f aca="false">AC824-AB824</f>
        <v>-558.229100000026</v>
      </c>
      <c r="AE824" s="17" t="n">
        <f aca="false">AA824+AD824</f>
        <v>6798.63999999997</v>
      </c>
      <c r="AF824" s="19" t="n">
        <f aca="false">IF(Z824&gt;0,AE824/Z824,0)</f>
        <v>0.0415854619460334</v>
      </c>
      <c r="AG824" s="16" t="n">
        <f aca="false">(U824-W824)*INDEX(Parametros!$H$2:$H$9,MATCH($E824,Parametros!$A$2:$A$9,0))+W824*INDEX(Parametros!$H$2:$H$9,MATCH($E824,Parametros!$A$2:$A$9,0))*Parametros!$N$3</f>
        <v>80212.5</v>
      </c>
      <c r="AH824" s="13" t="n">
        <v>11645</v>
      </c>
      <c r="AI824" s="16" t="n">
        <f aca="false">AH824*Parametros!$N$2</f>
        <v>1071.34</v>
      </c>
      <c r="AJ824" s="18" t="n">
        <v>11494</v>
      </c>
      <c r="AK824" s="18" t="n">
        <v>9096</v>
      </c>
      <c r="AL824" s="17" t="n">
        <f aca="false">AG824+AI824+AJ824+AK824</f>
        <v>101873.84</v>
      </c>
      <c r="AM824" s="20" t="n">
        <f aca="false">IF(L824&gt;0,AL824/L824,0)</f>
        <v>0.461119917438792</v>
      </c>
      <c r="AN824" s="16" t="n">
        <f aca="false">L824*INDEX(Parametros!$G$2:$G$9,MATCH($E824,Parametros!$A$2:$A$9,0))</f>
        <v>379994.44</v>
      </c>
      <c r="AO824" s="17" t="n">
        <f aca="false">AN824-AC824-AL824</f>
        <v>107835.98</v>
      </c>
      <c r="AP824" s="15" t="n">
        <f aca="false">IF(AN824&gt;0,AO824/AN824,0)</f>
        <v>0.283783046930897</v>
      </c>
      <c r="AQ824" s="16" t="n">
        <f aca="false">INDEX(Parametros!$I$2:$I$9,MATCH($E824,Parametros!$A$2:$A$9,0))</f>
        <v>15900000</v>
      </c>
      <c r="AR824" s="19" t="n">
        <f aca="false">IF(AQ824&gt;0,AO824/AQ824,0)</f>
        <v>0.00678213710691824</v>
      </c>
    </row>
    <row r="825" customFormat="false" ht="15" hidden="false" customHeight="false" outlineLevel="0" collapsed="false">
      <c r="A825" s="5" t="s">
        <v>960</v>
      </c>
      <c r="B825" s="9" t="n">
        <v>46265</v>
      </c>
      <c r="C825" s="2" t="str">
        <f aca="false">TEXT(B825,"yyyy")</f>
        <v>2026</v>
      </c>
      <c r="D825" s="2" t="n">
        <f aca="false">WEEKNUM(B825,2)</f>
        <v>36</v>
      </c>
      <c r="E825" s="5" t="s">
        <v>144</v>
      </c>
      <c r="F825" s="6" t="str">
        <f aca="false">INDEX(Parametros!$B$2:$B$9,MATCH($E825,Parametros!$A$2:$A$9,0))</f>
        <v>Salsas picantes</v>
      </c>
      <c r="G825" s="10" t="n">
        <v>94</v>
      </c>
      <c r="H825" s="10" t="n">
        <v>5.5</v>
      </c>
      <c r="I825" s="11" t="n">
        <f aca="false">SUMIFS(Eventos_Paro!$J$2:$J$2186,Eventos_Paro!$D$2:$D$2186,$E825,Eventos_Paro!$B$2:$B$2186,$B825)</f>
        <v>4.4</v>
      </c>
      <c r="J825" s="12" t="n">
        <f aca="false">G825-H825-I825</f>
        <v>84.1</v>
      </c>
      <c r="K825" s="13" t="n">
        <v>211648</v>
      </c>
      <c r="L825" s="13" t="n">
        <v>215152</v>
      </c>
      <c r="M825" s="13" t="n">
        <v>5341</v>
      </c>
      <c r="N825" s="14" t="n">
        <f aca="false">L825+M825</f>
        <v>220493</v>
      </c>
      <c r="O825" s="11" t="n">
        <f aca="false">INDEX(Parametros!$D$2:$D$9,MATCH($E825,Parametros!$A$2:$A$9,0))</f>
        <v>3100</v>
      </c>
      <c r="P825" s="15" t="n">
        <f aca="false">IF((G825-H825)&gt;0,J825/(G825-H825),0)</f>
        <v>0.950282485875706</v>
      </c>
      <c r="Q825" s="15" t="n">
        <f aca="false">IF(J825*O825&gt;0,N825/(O825*J825),0)</f>
        <v>0.845740477925665</v>
      </c>
      <c r="R825" s="15" t="n">
        <f aca="false">IF(N825&gt;0,L825/N825,0)</f>
        <v>0.97577700879393</v>
      </c>
      <c r="S825" s="15" t="n">
        <f aca="false">P825*Q825*R825</f>
        <v>0.784224530708949</v>
      </c>
      <c r="T825" s="15" t="n">
        <f aca="false">IF(K825&gt;0,L825/K825,0)</f>
        <v>1.0165557907469</v>
      </c>
      <c r="U825" s="10" t="n">
        <v>880.7</v>
      </c>
      <c r="V825" s="5" t="n">
        <v>9</v>
      </c>
      <c r="W825" s="10" t="n">
        <v>34.7</v>
      </c>
      <c r="X825" s="15" t="n">
        <f aca="false">IF(U825&gt;0,W825/U825,0)</f>
        <v>0.0394004768933803</v>
      </c>
      <c r="Y825" s="12" t="n">
        <f aca="false">IF(U825&gt;0,L825/U825,0)</f>
        <v>244.296582264108</v>
      </c>
      <c r="Z825" s="16" t="n">
        <f aca="false">L825*INDEX(Parametros!$E$2:$E$9,MATCH($E825,Parametros!$A$2:$A$9,0))</f>
        <v>142000.32</v>
      </c>
      <c r="AA825" s="16" t="n">
        <f aca="false">Z825*INDEX(Parametros!$F$2:$F$9,MATCH($E825,Parametros!$A$2:$A$9,0))</f>
        <v>3692.00832</v>
      </c>
      <c r="AB825" s="17" t="n">
        <f aca="false">Z825+AA825</f>
        <v>145692.32832</v>
      </c>
      <c r="AC825" s="18" t="n">
        <v>143649.78</v>
      </c>
      <c r="AD825" s="17" t="n">
        <f aca="false">AC825-AB825</f>
        <v>-2042.54832</v>
      </c>
      <c r="AE825" s="17" t="n">
        <f aca="false">AA825+AD825</f>
        <v>1649.46</v>
      </c>
      <c r="AF825" s="19" t="n">
        <f aca="false">IF(Z825&gt;0,AE825/Z825,0)</f>
        <v>0.0116158893163058</v>
      </c>
      <c r="AG825" s="16" t="n">
        <f aca="false">(U825-W825)*INDEX(Parametros!$H$2:$H$9,MATCH($E825,Parametros!$A$2:$A$9,0))+W825*INDEX(Parametros!$H$2:$H$9,MATCH($E825,Parametros!$A$2:$A$9,0))*Parametros!$N$3</f>
        <v>28288.575</v>
      </c>
      <c r="AH825" s="13" t="n">
        <v>11209</v>
      </c>
      <c r="AI825" s="16" t="n">
        <f aca="false">AH825*Parametros!$N$2</f>
        <v>1031.228</v>
      </c>
      <c r="AJ825" s="18" t="n">
        <v>5811</v>
      </c>
      <c r="AK825" s="18" t="n">
        <v>4167</v>
      </c>
      <c r="AL825" s="17" t="n">
        <f aca="false">AG825+AI825+AJ825+AK825</f>
        <v>39297.803</v>
      </c>
      <c r="AM825" s="20" t="n">
        <f aca="false">IF(L825&gt;0,AL825/L825,0)</f>
        <v>0.182651348813862</v>
      </c>
      <c r="AN825" s="16" t="n">
        <f aca="false">L825*INDEX(Parametros!$G$2:$G$9,MATCH($E825,Parametros!$A$2:$A$9,0))</f>
        <v>268940</v>
      </c>
      <c r="AO825" s="17" t="n">
        <f aca="false">AN825-AC825-AL825</f>
        <v>85992.417</v>
      </c>
      <c r="AP825" s="15" t="n">
        <f aca="false">IF(AN825&gt;0,AO825/AN825,0)</f>
        <v>0.319745731389901</v>
      </c>
      <c r="AQ825" s="16" t="n">
        <f aca="false">INDEX(Parametros!$I$2:$I$9,MATCH($E825,Parametros!$A$2:$A$9,0))</f>
        <v>13300000</v>
      </c>
      <c r="AR825" s="19" t="n">
        <f aca="false">IF(AQ825&gt;0,AO825/AQ825,0)</f>
        <v>0.0064655952631579</v>
      </c>
    </row>
    <row r="826" customFormat="false" ht="15" hidden="false" customHeight="false" outlineLevel="0" collapsed="false">
      <c r="A826" s="5" t="s">
        <v>961</v>
      </c>
      <c r="B826" s="9" t="n">
        <v>46272</v>
      </c>
      <c r="C826" s="2" t="str">
        <f aca="false">TEXT(B826,"yyyy")</f>
        <v>2026</v>
      </c>
      <c r="D826" s="2" t="n">
        <f aca="false">WEEKNUM(B826,2)</f>
        <v>37</v>
      </c>
      <c r="E826" s="5" t="s">
        <v>130</v>
      </c>
      <c r="F826" s="6" t="str">
        <f aca="false">INDEX(Parametros!$B$2:$B$9,MATCH($E826,Parametros!$A$2:$A$9,0))</f>
        <v>Ketchup botella</v>
      </c>
      <c r="G826" s="10" t="n">
        <v>119.1</v>
      </c>
      <c r="H826" s="10" t="n">
        <v>8.1</v>
      </c>
      <c r="I826" s="11" t="n">
        <f aca="false">SUMIFS(Eventos_Paro!$J$2:$J$2186,Eventos_Paro!$D$2:$D$2186,$E826,Eventos_Paro!$B$2:$B$2186,$B826)</f>
        <v>1.28333333333333</v>
      </c>
      <c r="J826" s="12" t="n">
        <f aca="false">G826-H826-I826</f>
        <v>109.716666666667</v>
      </c>
      <c r="K826" s="13" t="n">
        <v>816166</v>
      </c>
      <c r="L826" s="13" t="n">
        <v>853581</v>
      </c>
      <c r="M826" s="13" t="n">
        <v>22590</v>
      </c>
      <c r="N826" s="14" t="n">
        <f aca="false">L826+M826</f>
        <v>876171</v>
      </c>
      <c r="O826" s="11" t="n">
        <f aca="false">INDEX(Parametros!$D$2:$D$9,MATCH($E826,Parametros!$A$2:$A$9,0))</f>
        <v>9000</v>
      </c>
      <c r="P826" s="15" t="n">
        <f aca="false">IF((G826-H826)&gt;0,J826/(G826-H826),0)</f>
        <v>0.988438438438439</v>
      </c>
      <c r="Q826" s="15" t="n">
        <f aca="false">IF(J826*O826&gt;0,N826/(O826*J826),0)</f>
        <v>0.887306699073371</v>
      </c>
      <c r="R826" s="15" t="n">
        <f aca="false">IF(N826&gt;0,L826/N826,0)</f>
        <v>0.974217361679398</v>
      </c>
      <c r="S826" s="15" t="n">
        <f aca="false">P826*Q826*R826</f>
        <v>0.854435435435435</v>
      </c>
      <c r="T826" s="15" t="n">
        <f aca="false">IF(K826&gt;0,L826/K826,0)</f>
        <v>1.04584238990598</v>
      </c>
      <c r="U826" s="10" t="n">
        <v>1616.3</v>
      </c>
      <c r="V826" s="5" t="n">
        <v>12</v>
      </c>
      <c r="W826" s="10" t="n">
        <v>187.1</v>
      </c>
      <c r="X826" s="15" t="n">
        <f aca="false">IF(U826&gt;0,W826/U826,0)</f>
        <v>0.115758213202995</v>
      </c>
      <c r="Y826" s="12" t="n">
        <f aca="false">IF(U826&gt;0,L826/U826,0)</f>
        <v>528.108024500402</v>
      </c>
      <c r="Z826" s="16" t="n">
        <f aca="false">L826*INDEX(Parametros!$E$2:$E$9,MATCH($E826,Parametros!$A$2:$A$9,0))</f>
        <v>358504.02</v>
      </c>
      <c r="AA826" s="16" t="n">
        <f aca="false">Z826*INDEX(Parametros!$F$2:$F$9,MATCH($E826,Parametros!$A$2:$A$9,0))</f>
        <v>7170.0804</v>
      </c>
      <c r="AB826" s="17" t="n">
        <f aca="false">Z826+AA826</f>
        <v>365674.1004</v>
      </c>
      <c r="AC826" s="18" t="n">
        <v>357074.5</v>
      </c>
      <c r="AD826" s="17" t="n">
        <f aca="false">AC826-AB826</f>
        <v>-8599.60039999994</v>
      </c>
      <c r="AE826" s="17" t="n">
        <f aca="false">AA826+AD826</f>
        <v>-1429.51999999994</v>
      </c>
      <c r="AF826" s="19" t="n">
        <f aca="false">IF(Z826&gt;0,AE826/Z826,0)</f>
        <v>-0.00398745877382334</v>
      </c>
      <c r="AG826" s="16" t="n">
        <f aca="false">(U826-W826)*INDEX(Parametros!$H$2:$H$9,MATCH($E826,Parametros!$A$2:$A$9,0))+W826*INDEX(Parametros!$H$2:$H$9,MATCH($E826,Parametros!$A$2:$A$9,0))*Parametros!$N$3</f>
        <v>53860.275</v>
      </c>
      <c r="AH826" s="13" t="n">
        <v>44596</v>
      </c>
      <c r="AI826" s="16" t="n">
        <f aca="false">AH826*Parametros!$N$2</f>
        <v>4102.832</v>
      </c>
      <c r="AJ826" s="18" t="n">
        <v>16258</v>
      </c>
      <c r="AK826" s="18" t="n">
        <v>1010</v>
      </c>
      <c r="AL826" s="17" t="n">
        <f aca="false">AG826+AI826+AJ826+AK826</f>
        <v>75231.107</v>
      </c>
      <c r="AM826" s="20" t="n">
        <f aca="false">IF(L826&gt;0,AL826/L826,0)</f>
        <v>0.0881358734554776</v>
      </c>
      <c r="AN826" s="16" t="n">
        <f aca="false">L826*INDEX(Parametros!$G$2:$G$9,MATCH($E826,Parametros!$A$2:$A$9,0))</f>
        <v>606042.51</v>
      </c>
      <c r="AO826" s="17" t="n">
        <f aca="false">AN826-AC826-AL826</f>
        <v>173736.903</v>
      </c>
      <c r="AP826" s="15" t="n">
        <f aca="false">IF(AN826&gt;0,AO826/AN826,0)</f>
        <v>0.286674449619054</v>
      </c>
      <c r="AQ826" s="16" t="n">
        <f aca="false">INDEX(Parametros!$I$2:$I$9,MATCH($E826,Parametros!$A$2:$A$9,0))</f>
        <v>29300000</v>
      </c>
      <c r="AR826" s="19" t="n">
        <f aca="false">IF(AQ826&gt;0,AO826/AQ826,0)</f>
        <v>0.0059295871331058</v>
      </c>
    </row>
    <row r="827" customFormat="false" ht="15" hidden="false" customHeight="false" outlineLevel="0" collapsed="false">
      <c r="A827" s="5" t="s">
        <v>962</v>
      </c>
      <c r="B827" s="9" t="n">
        <v>46272</v>
      </c>
      <c r="C827" s="2" t="str">
        <f aca="false">TEXT(B827,"yyyy")</f>
        <v>2026</v>
      </c>
      <c r="D827" s="2" t="n">
        <f aca="false">WEEKNUM(B827,2)</f>
        <v>37</v>
      </c>
      <c r="E827" s="5" t="s">
        <v>132</v>
      </c>
      <c r="F827" s="6" t="str">
        <f aca="false">INDEX(Parametros!$B$2:$B$9,MATCH($E827,Parametros!$A$2:$A$9,0))</f>
        <v>Mayonesa frasco</v>
      </c>
      <c r="G827" s="10" t="n">
        <v>123</v>
      </c>
      <c r="H827" s="10" t="n">
        <v>8.4</v>
      </c>
      <c r="I827" s="11" t="n">
        <f aca="false">SUMIFS(Eventos_Paro!$J$2:$J$2186,Eventos_Paro!$D$2:$D$2186,$E827,Eventos_Paro!$B$2:$B$2186,$B827)</f>
        <v>1.31666666666667</v>
      </c>
      <c r="J827" s="12" t="n">
        <f aca="false">G827-H827-I827</f>
        <v>113.283333333333</v>
      </c>
      <c r="K827" s="13" t="n">
        <v>608571</v>
      </c>
      <c r="L827" s="13" t="n">
        <v>604119</v>
      </c>
      <c r="M827" s="13" t="n">
        <v>15926</v>
      </c>
      <c r="N827" s="14" t="n">
        <f aca="false">L827+M827</f>
        <v>620045</v>
      </c>
      <c r="O827" s="11" t="n">
        <f aca="false">INDEX(Parametros!$D$2:$D$9,MATCH($E827,Parametros!$A$2:$A$9,0))</f>
        <v>6500</v>
      </c>
      <c r="P827" s="15" t="n">
        <f aca="false">IF((G827-H827)&gt;0,J827/(G827-H827),0)</f>
        <v>0.988510762070972</v>
      </c>
      <c r="Q827" s="15" t="n">
        <f aca="false">IF(J827*O827&gt;0,N827/(O827*J827),0)</f>
        <v>0.842061542988423</v>
      </c>
      <c r="R827" s="15" t="n">
        <f aca="false">IF(N827&gt;0,L827/N827,0)</f>
        <v>0.974314767476554</v>
      </c>
      <c r="S827" s="15" t="n">
        <f aca="false">P827*Q827*R827</f>
        <v>0.811006846556585</v>
      </c>
      <c r="T827" s="15" t="n">
        <f aca="false">IF(K827&gt;0,L827/K827,0)</f>
        <v>0.992684501890494</v>
      </c>
      <c r="U827" s="10" t="n">
        <v>1707</v>
      </c>
      <c r="V827" s="5" t="n">
        <v>13</v>
      </c>
      <c r="W827" s="10" t="n">
        <v>108</v>
      </c>
      <c r="X827" s="15" t="n">
        <f aca="false">IF(U827&gt;0,W827/U827,0)</f>
        <v>0.0632688927943761</v>
      </c>
      <c r="Y827" s="12" t="n">
        <f aca="false">IF(U827&gt;0,L827/U827,0)</f>
        <v>353.906854130053</v>
      </c>
      <c r="Z827" s="16" t="n">
        <f aca="false">L827*INDEX(Parametros!$E$2:$E$9,MATCH($E827,Parametros!$A$2:$A$9,0))</f>
        <v>368512.59</v>
      </c>
      <c r="AA827" s="16" t="n">
        <f aca="false">Z827*INDEX(Parametros!$F$2:$F$9,MATCH($E827,Parametros!$A$2:$A$9,0))</f>
        <v>9212.81475</v>
      </c>
      <c r="AB827" s="17" t="n">
        <f aca="false">Z827+AA827</f>
        <v>377725.40475</v>
      </c>
      <c r="AC827" s="18" t="n">
        <v>373558</v>
      </c>
      <c r="AD827" s="17" t="n">
        <f aca="false">AC827-AB827</f>
        <v>-4167.40474999999</v>
      </c>
      <c r="AE827" s="17" t="n">
        <f aca="false">AA827+AD827</f>
        <v>5045.41000000001</v>
      </c>
      <c r="AF827" s="19" t="n">
        <f aca="false">IF(Z827&gt;0,AE827/Z827,0)</f>
        <v>0.0136912825692062</v>
      </c>
      <c r="AG827" s="16" t="n">
        <f aca="false">(U827-W827)*INDEX(Parametros!$H$2:$H$9,MATCH($E827,Parametros!$A$2:$A$9,0))+W827*INDEX(Parametros!$H$2:$H$9,MATCH($E827,Parametros!$A$2:$A$9,0))*Parametros!$N$3</f>
        <v>55471.5</v>
      </c>
      <c r="AH827" s="13" t="n">
        <v>35204</v>
      </c>
      <c r="AI827" s="16" t="n">
        <f aca="false">AH827*Parametros!$N$2</f>
        <v>3238.768</v>
      </c>
      <c r="AJ827" s="18" t="n">
        <v>18115</v>
      </c>
      <c r="AK827" s="18" t="n">
        <v>1409</v>
      </c>
      <c r="AL827" s="17" t="n">
        <f aca="false">AG827+AI827+AJ827+AK827</f>
        <v>78234.268</v>
      </c>
      <c r="AM827" s="20" t="n">
        <f aca="false">IF(L827&gt;0,AL827/L827,0)</f>
        <v>0.129501419422332</v>
      </c>
      <c r="AN827" s="16" t="n">
        <f aca="false">L827*INDEX(Parametros!$G$2:$G$9,MATCH($E827,Parametros!$A$2:$A$9,0))</f>
        <v>579954.24</v>
      </c>
      <c r="AO827" s="17" t="n">
        <f aca="false">AN827-AC827-AL827</f>
        <v>128161.972</v>
      </c>
      <c r="AP827" s="15" t="n">
        <f aca="false">IF(AN827&gt;0,AO827/AN827,0)</f>
        <v>0.220986352302554</v>
      </c>
      <c r="AQ827" s="16" t="n">
        <f aca="false">INDEX(Parametros!$I$2:$I$9,MATCH($E827,Parametros!$A$2:$A$9,0))</f>
        <v>29700000</v>
      </c>
      <c r="AR827" s="19" t="n">
        <f aca="false">IF(AQ827&gt;0,AO827/AQ827,0)</f>
        <v>0.00431521791245791</v>
      </c>
    </row>
    <row r="828" customFormat="false" ht="15" hidden="false" customHeight="false" outlineLevel="0" collapsed="false">
      <c r="A828" s="5" t="s">
        <v>963</v>
      </c>
      <c r="B828" s="9" t="n">
        <v>46272</v>
      </c>
      <c r="C828" s="2" t="str">
        <f aca="false">TEXT(B828,"yyyy")</f>
        <v>2026</v>
      </c>
      <c r="D828" s="2" t="n">
        <f aca="false">WEEKNUM(B828,2)</f>
        <v>37</v>
      </c>
      <c r="E828" s="5" t="s">
        <v>134</v>
      </c>
      <c r="F828" s="6" t="str">
        <f aca="false">INDEX(Parametros!$B$2:$B$9,MATCH($E828,Parametros!$A$2:$A$9,0))</f>
        <v>Aderezos vertibles</v>
      </c>
      <c r="G828" s="10" t="n">
        <v>119.5</v>
      </c>
      <c r="H828" s="10" t="n">
        <v>6.3</v>
      </c>
      <c r="I828" s="11" t="n">
        <f aca="false">SUMIFS(Eventos_Paro!$J$2:$J$2186,Eventos_Paro!$D$2:$D$2186,$E828,Eventos_Paro!$B$2:$B$2186,$B828)</f>
        <v>0</v>
      </c>
      <c r="J828" s="12" t="n">
        <f aca="false">G828-H828-I828</f>
        <v>113.2</v>
      </c>
      <c r="K828" s="13" t="n">
        <v>480909</v>
      </c>
      <c r="L828" s="13" t="n">
        <v>479790</v>
      </c>
      <c r="M828" s="13" t="n">
        <v>17455</v>
      </c>
      <c r="N828" s="14" t="n">
        <f aca="false">L828+M828</f>
        <v>497245</v>
      </c>
      <c r="O828" s="11" t="n">
        <f aca="false">INDEX(Parametros!$D$2:$D$9,MATCH($E828,Parametros!$A$2:$A$9,0))</f>
        <v>5200</v>
      </c>
      <c r="P828" s="15" t="n">
        <f aca="false">IF((G828-H828)&gt;0,J828/(G828-H828),0)</f>
        <v>1</v>
      </c>
      <c r="Q828" s="15" t="n">
        <f aca="false">IF(J828*O828&gt;0,N828/(O828*J828),0)</f>
        <v>0.844735322098396</v>
      </c>
      <c r="R828" s="15" t="n">
        <f aca="false">IF(N828&gt;0,L828/N828,0)</f>
        <v>0.964896580156663</v>
      </c>
      <c r="S828" s="15" t="n">
        <f aca="false">P828*Q828*R828</f>
        <v>0.81508222343028</v>
      </c>
      <c r="T828" s="15" t="n">
        <f aca="false">IF(K828&gt;0,L828/K828,0)</f>
        <v>0.997673156459954</v>
      </c>
      <c r="U828" s="10" t="n">
        <v>1351.8</v>
      </c>
      <c r="V828" s="5" t="n">
        <v>11</v>
      </c>
      <c r="W828" s="10" t="n">
        <v>37.3</v>
      </c>
      <c r="X828" s="15" t="n">
        <f aca="false">IF(U828&gt;0,W828/U828,0)</f>
        <v>0.0275928391773931</v>
      </c>
      <c r="Y828" s="12" t="n">
        <f aca="false">IF(U828&gt;0,L828/U828,0)</f>
        <v>354.926764314248</v>
      </c>
      <c r="Z828" s="16" t="n">
        <f aca="false">L828*INDEX(Parametros!$E$2:$E$9,MATCH($E828,Parametros!$A$2:$A$9,0))</f>
        <v>263884.5</v>
      </c>
      <c r="AA828" s="16" t="n">
        <f aca="false">Z828*INDEX(Parametros!$F$2:$F$9,MATCH($E828,Parametros!$A$2:$A$9,0))</f>
        <v>7916.535</v>
      </c>
      <c r="AB828" s="17" t="n">
        <f aca="false">Z828+AA828</f>
        <v>271801.035</v>
      </c>
      <c r="AC828" s="18" t="n">
        <v>267913.24</v>
      </c>
      <c r="AD828" s="17" t="n">
        <f aca="false">AC828-AB828</f>
        <v>-3887.79499999998</v>
      </c>
      <c r="AE828" s="17" t="n">
        <f aca="false">AA828+AD828</f>
        <v>4028.74000000002</v>
      </c>
      <c r="AF828" s="19" t="n">
        <f aca="false">IF(Z828&gt;0,AE828/Z828,0)</f>
        <v>0.0152670581258089</v>
      </c>
      <c r="AG828" s="16" t="n">
        <f aca="false">(U828-W828)*INDEX(Parametros!$H$2:$H$9,MATCH($E828,Parametros!$A$2:$A$9,0))+W828*INDEX(Parametros!$H$2:$H$9,MATCH($E828,Parametros!$A$2:$A$9,0))*Parametros!$N$3</f>
        <v>43169.175</v>
      </c>
      <c r="AH828" s="13" t="n">
        <v>24383</v>
      </c>
      <c r="AI828" s="16" t="n">
        <f aca="false">AH828*Parametros!$N$2</f>
        <v>2243.236</v>
      </c>
      <c r="AJ828" s="18" t="n">
        <v>9940</v>
      </c>
      <c r="AK828" s="18" t="n">
        <v>0</v>
      </c>
      <c r="AL828" s="17" t="n">
        <f aca="false">AG828+AI828+AJ828+AK828</f>
        <v>55352.411</v>
      </c>
      <c r="AM828" s="20" t="n">
        <f aca="false">IF(L828&gt;0,AL828/L828,0)</f>
        <v>0.115367996415098</v>
      </c>
      <c r="AN828" s="16" t="n">
        <f aca="false">L828*INDEX(Parametros!$G$2:$G$9,MATCH($E828,Parametros!$A$2:$A$9,0))</f>
        <v>489385.8</v>
      </c>
      <c r="AO828" s="17" t="n">
        <f aca="false">AN828-AC828-AL828</f>
        <v>166120.149</v>
      </c>
      <c r="AP828" s="15" t="n">
        <f aca="false">IF(AN828&gt;0,AO828/AN828,0)</f>
        <v>0.339446197662458</v>
      </c>
      <c r="AQ828" s="16" t="n">
        <f aca="false">INDEX(Parametros!$I$2:$I$9,MATCH($E828,Parametros!$A$2:$A$9,0))</f>
        <v>19300000</v>
      </c>
      <c r="AR828" s="19" t="n">
        <f aca="false">IF(AQ828&gt;0,AO828/AQ828,0)</f>
        <v>0.00860726160621762</v>
      </c>
    </row>
    <row r="829" customFormat="false" ht="15" hidden="false" customHeight="false" outlineLevel="0" collapsed="false">
      <c r="A829" s="5" t="s">
        <v>964</v>
      </c>
      <c r="B829" s="9" t="n">
        <v>46272</v>
      </c>
      <c r="C829" s="2" t="str">
        <f aca="false">TEXT(B829,"yyyy")</f>
        <v>2026</v>
      </c>
      <c r="D829" s="2" t="n">
        <f aca="false">WEEKNUM(B829,2)</f>
        <v>37</v>
      </c>
      <c r="E829" s="5" t="s">
        <v>136</v>
      </c>
      <c r="F829" s="6" t="str">
        <f aca="false">INDEX(Parametros!$B$2:$B$9,MATCH($E829,Parametros!$A$2:$A$9,0))</f>
        <v>Salsa BBQ</v>
      </c>
      <c r="G829" s="10" t="n">
        <v>98.2</v>
      </c>
      <c r="H829" s="10" t="n">
        <v>5.7</v>
      </c>
      <c r="I829" s="11" t="n">
        <f aca="false">SUMIFS(Eventos_Paro!$J$2:$J$2186,Eventos_Paro!$D$2:$D$2186,$E829,Eventos_Paro!$B$2:$B$2186,$B829)</f>
        <v>2.13333333333333</v>
      </c>
      <c r="J829" s="12" t="n">
        <f aca="false">G829-H829-I829</f>
        <v>90.3666666666667</v>
      </c>
      <c r="K829" s="13" t="n">
        <v>389133</v>
      </c>
      <c r="L829" s="13" t="n">
        <v>348170</v>
      </c>
      <c r="M829" s="13" t="n">
        <v>13335</v>
      </c>
      <c r="N829" s="14" t="n">
        <f aca="false">L829+M829</f>
        <v>361505</v>
      </c>
      <c r="O829" s="11" t="n">
        <f aca="false">INDEX(Parametros!$D$2:$D$9,MATCH($E829,Parametros!$A$2:$A$9,0))</f>
        <v>4800</v>
      </c>
      <c r="P829" s="15" t="n">
        <f aca="false">IF((G829-H829)&gt;0,J829/(G829-H829),0)</f>
        <v>0.976936936936937</v>
      </c>
      <c r="Q829" s="15" t="n">
        <f aca="false">IF(J829*O829&gt;0,N829/(O829*J829),0)</f>
        <v>0.83342170785688</v>
      </c>
      <c r="R829" s="15" t="n">
        <f aca="false">IF(N829&gt;0,L829/N829,0)</f>
        <v>0.963112543394974</v>
      </c>
      <c r="S829" s="15" t="n">
        <f aca="false">P829*Q829*R829</f>
        <v>0.784166666666667</v>
      </c>
      <c r="T829" s="15" t="n">
        <f aca="false">IF(K829&gt;0,L829/K829,0)</f>
        <v>0.894732649248458</v>
      </c>
      <c r="U829" s="10" t="n">
        <v>1091.1</v>
      </c>
      <c r="V829" s="5" t="n">
        <v>11</v>
      </c>
      <c r="W829" s="10" t="n">
        <v>10.9</v>
      </c>
      <c r="X829" s="15" t="n">
        <f aca="false">IF(U829&gt;0,W829/U829,0)</f>
        <v>0.00998991843094125</v>
      </c>
      <c r="Y829" s="12" t="n">
        <f aca="false">IF(U829&gt;0,L829/U829,0)</f>
        <v>319.099990834937</v>
      </c>
      <c r="Z829" s="16" t="n">
        <f aca="false">L829*INDEX(Parametros!$E$2:$E$9,MATCH($E829,Parametros!$A$2:$A$9,0))</f>
        <v>201938.6</v>
      </c>
      <c r="AA829" s="16" t="n">
        <f aca="false">Z829*INDEX(Parametros!$F$2:$F$9,MATCH($E829,Parametros!$A$2:$A$9,0))</f>
        <v>5654.2808</v>
      </c>
      <c r="AB829" s="17" t="n">
        <f aca="false">Z829+AA829</f>
        <v>207592.8808</v>
      </c>
      <c r="AC829" s="18" t="n">
        <v>208186.41</v>
      </c>
      <c r="AD829" s="17" t="n">
        <f aca="false">AC829-AB829</f>
        <v>593.529200000019</v>
      </c>
      <c r="AE829" s="17" t="n">
        <f aca="false">AA829+AD829</f>
        <v>6247.81000000002</v>
      </c>
      <c r="AF829" s="19" t="n">
        <f aca="false">IF(Z829&gt;0,AE829/Z829,0)</f>
        <v>0.0309391567535876</v>
      </c>
      <c r="AG829" s="16" t="n">
        <f aca="false">(U829-W829)*INDEX(Parametros!$H$2:$H$9,MATCH($E829,Parametros!$A$2:$A$9,0))+W829*INDEX(Parametros!$H$2:$H$9,MATCH($E829,Parametros!$A$2:$A$9,0))*Parametros!$N$3</f>
        <v>34541.325</v>
      </c>
      <c r="AH829" s="13" t="n">
        <v>18765</v>
      </c>
      <c r="AI829" s="16" t="n">
        <f aca="false">AH829*Parametros!$N$2</f>
        <v>1726.38</v>
      </c>
      <c r="AJ829" s="18" t="n">
        <v>9122</v>
      </c>
      <c r="AK829" s="18" t="n">
        <v>1476</v>
      </c>
      <c r="AL829" s="17" t="n">
        <f aca="false">AG829+AI829+AJ829+AK829</f>
        <v>46865.705</v>
      </c>
      <c r="AM829" s="20" t="n">
        <f aca="false">IF(L829&gt;0,AL829/L829,0)</f>
        <v>0.134605810379987</v>
      </c>
      <c r="AN829" s="16" t="n">
        <f aca="false">L829*INDEX(Parametros!$G$2:$G$9,MATCH($E829,Parametros!$A$2:$A$9,0))</f>
        <v>341206.6</v>
      </c>
      <c r="AO829" s="17" t="n">
        <f aca="false">AN829-AC829-AL829</f>
        <v>86154.485</v>
      </c>
      <c r="AP829" s="15" t="n">
        <f aca="false">IF(AN829&gt;0,AO829/AN829,0)</f>
        <v>0.252499468064217</v>
      </c>
      <c r="AQ829" s="16" t="n">
        <f aca="false">INDEX(Parametros!$I$2:$I$9,MATCH($E829,Parametros!$A$2:$A$9,0))</f>
        <v>17000000</v>
      </c>
      <c r="AR829" s="19" t="n">
        <f aca="false">IF(AQ829&gt;0,AO829/AQ829,0)</f>
        <v>0.00506791088235294</v>
      </c>
    </row>
    <row r="830" customFormat="false" ht="15" hidden="false" customHeight="false" outlineLevel="0" collapsed="false">
      <c r="A830" s="5" t="s">
        <v>965</v>
      </c>
      <c r="B830" s="9" t="n">
        <v>46272</v>
      </c>
      <c r="C830" s="2" t="str">
        <f aca="false">TEXT(B830,"yyyy")</f>
        <v>2026</v>
      </c>
      <c r="D830" s="2" t="n">
        <f aca="false">WEEKNUM(B830,2)</f>
        <v>37</v>
      </c>
      <c r="E830" s="5" t="s">
        <v>138</v>
      </c>
      <c r="F830" s="6" t="str">
        <f aca="false">INDEX(Parametros!$B$2:$B$9,MATCH($E830,Parametros!$A$2:$A$9,0))</f>
        <v>Queso crema</v>
      </c>
      <c r="G830" s="10" t="n">
        <v>140.6</v>
      </c>
      <c r="H830" s="10" t="n">
        <v>6</v>
      </c>
      <c r="I830" s="11" t="n">
        <f aca="false">SUMIFS(Eventos_Paro!$J$2:$J$2186,Eventos_Paro!$D$2:$D$2186,$E830,Eventos_Paro!$B$2:$B$2186,$B830)</f>
        <v>2.91666666666667</v>
      </c>
      <c r="J830" s="12" t="n">
        <f aca="false">G830-H830-I830</f>
        <v>131.683333333333</v>
      </c>
      <c r="K830" s="13" t="n">
        <v>417871</v>
      </c>
      <c r="L830" s="13" t="n">
        <v>426406</v>
      </c>
      <c r="M830" s="13" t="n">
        <v>16120</v>
      </c>
      <c r="N830" s="14" t="n">
        <f aca="false">L830+M830</f>
        <v>442526</v>
      </c>
      <c r="O830" s="11" t="n">
        <f aca="false">INDEX(Parametros!$D$2:$D$9,MATCH($E830,Parametros!$A$2:$A$9,0))</f>
        <v>3800</v>
      </c>
      <c r="P830" s="15" t="n">
        <f aca="false">IF((G830-H830)&gt;0,J830/(G830-H830),0)</f>
        <v>0.978330856859832</v>
      </c>
      <c r="Q830" s="15" t="n">
        <f aca="false">IF(J830*O830&gt;0,N830/(O830*J830),0)</f>
        <v>0.884350415337166</v>
      </c>
      <c r="R830" s="15" t="n">
        <f aca="false">IF(N830&gt;0,L830/N830,0)</f>
        <v>0.963572761826424</v>
      </c>
      <c r="S830" s="15" t="n">
        <f aca="false">P830*Q830*R830</f>
        <v>0.833670915773833</v>
      </c>
      <c r="T830" s="15" t="n">
        <f aca="false">IF(K830&gt;0,L830/K830,0)</f>
        <v>1.02042496368497</v>
      </c>
      <c r="U830" s="10" t="n">
        <v>2098.5</v>
      </c>
      <c r="V830" s="5" t="n">
        <v>14</v>
      </c>
      <c r="W830" s="10" t="n">
        <v>130.1</v>
      </c>
      <c r="X830" s="15" t="n">
        <f aca="false">IF(U830&gt;0,W830/U830,0)</f>
        <v>0.0619966642840124</v>
      </c>
      <c r="Y830" s="12" t="n">
        <f aca="false">IF(U830&gt;0,L830/U830,0)</f>
        <v>203.195615916131</v>
      </c>
      <c r="Z830" s="16" t="n">
        <f aca="false">L830*INDEX(Parametros!$E$2:$E$9,MATCH($E830,Parametros!$A$2:$A$9,0))</f>
        <v>477574.72</v>
      </c>
      <c r="AA830" s="16" t="n">
        <f aca="false">Z830*INDEX(Parametros!$F$2:$F$9,MATCH($E830,Parametros!$A$2:$A$9,0))</f>
        <v>16715.1152</v>
      </c>
      <c r="AB830" s="17" t="n">
        <f aca="false">Z830+AA830</f>
        <v>494289.8352</v>
      </c>
      <c r="AC830" s="18" t="n">
        <v>486222.97</v>
      </c>
      <c r="AD830" s="17" t="n">
        <f aca="false">AC830-AB830</f>
        <v>-8066.86520000006</v>
      </c>
      <c r="AE830" s="17" t="n">
        <f aca="false">AA830+AD830</f>
        <v>8648.24999999995</v>
      </c>
      <c r="AF830" s="19" t="n">
        <f aca="false">IF(Z830&gt;0,AE830/Z830,0)</f>
        <v>0.0181086846472944</v>
      </c>
      <c r="AG830" s="16" t="n">
        <f aca="false">(U830-W830)*INDEX(Parametros!$H$2:$H$9,MATCH($E830,Parametros!$A$2:$A$9,0))+W830*INDEX(Parametros!$H$2:$H$9,MATCH($E830,Parametros!$A$2:$A$9,0))*Parametros!$N$3</f>
        <v>71397.15</v>
      </c>
      <c r="AH830" s="13" t="n">
        <v>21836</v>
      </c>
      <c r="AI830" s="16" t="n">
        <f aca="false">AH830*Parametros!$N$2</f>
        <v>2008.912</v>
      </c>
      <c r="AJ830" s="18" t="n">
        <v>16921</v>
      </c>
      <c r="AK830" s="18" t="n">
        <v>1646</v>
      </c>
      <c r="AL830" s="17" t="n">
        <f aca="false">AG830+AI830+AJ830+AK830</f>
        <v>91973.062</v>
      </c>
      <c r="AM830" s="20" t="n">
        <f aca="false">IF(L830&gt;0,AL830/L830,0)</f>
        <v>0.215693639395318</v>
      </c>
      <c r="AN830" s="16" t="n">
        <f aca="false">L830*INDEX(Parametros!$G$2:$G$9,MATCH($E830,Parametros!$A$2:$A$9,0))</f>
        <v>763266.74</v>
      </c>
      <c r="AO830" s="17" t="n">
        <f aca="false">AN830-AC830-AL830</f>
        <v>185070.708</v>
      </c>
      <c r="AP830" s="15" t="n">
        <f aca="false">IF(AN830&gt;0,AO830/AN830,0)</f>
        <v>0.24247186245794</v>
      </c>
      <c r="AQ830" s="16" t="n">
        <f aca="false">INDEX(Parametros!$I$2:$I$9,MATCH($E830,Parametros!$A$2:$A$9,0))</f>
        <v>33200000</v>
      </c>
      <c r="AR830" s="19" t="n">
        <f aca="false">IF(AQ830&gt;0,AO830/AQ830,0)</f>
        <v>0.00557441891566265</v>
      </c>
    </row>
    <row r="831" customFormat="false" ht="15" hidden="false" customHeight="false" outlineLevel="0" collapsed="false">
      <c r="A831" s="5" t="s">
        <v>966</v>
      </c>
      <c r="B831" s="9" t="n">
        <v>46272</v>
      </c>
      <c r="C831" s="2" t="str">
        <f aca="false">TEXT(B831,"yyyy")</f>
        <v>2026</v>
      </c>
      <c r="D831" s="2" t="n">
        <f aca="false">WEEKNUM(B831,2)</f>
        <v>37</v>
      </c>
      <c r="E831" s="5" t="s">
        <v>140</v>
      </c>
      <c r="F831" s="6" t="str">
        <f aca="false">INDEX(Parametros!$B$2:$B$9,MATCH($E831,Parametros!$A$2:$A$9,0))</f>
        <v>Crema de cacahuate</v>
      </c>
      <c r="G831" s="10" t="n">
        <v>110.6</v>
      </c>
      <c r="H831" s="10" t="n">
        <v>7.9</v>
      </c>
      <c r="I831" s="11" t="n">
        <f aca="false">SUMIFS(Eventos_Paro!$J$2:$J$2186,Eventos_Paro!$D$2:$D$2186,$E831,Eventos_Paro!$B$2:$B$2186,$B831)</f>
        <v>0</v>
      </c>
      <c r="J831" s="12" t="n">
        <f aca="false">G831-H831-I831</f>
        <v>102.7</v>
      </c>
      <c r="K831" s="13" t="n">
        <v>352398</v>
      </c>
      <c r="L831" s="13" t="n">
        <v>363812</v>
      </c>
      <c r="M831" s="13" t="n">
        <v>5986</v>
      </c>
      <c r="N831" s="14" t="n">
        <f aca="false">L831+M831</f>
        <v>369798</v>
      </c>
      <c r="O831" s="11" t="n">
        <f aca="false">INDEX(Parametros!$D$2:$D$9,MATCH($E831,Parametros!$A$2:$A$9,0))</f>
        <v>4200</v>
      </c>
      <c r="P831" s="15" t="n">
        <f aca="false">IF((G831-H831)&gt;0,J831/(G831-H831),0)</f>
        <v>1</v>
      </c>
      <c r="Q831" s="15" t="n">
        <f aca="false">IF(J831*O831&gt;0,N831/(O831*J831),0)</f>
        <v>0.857323688969259</v>
      </c>
      <c r="R831" s="15" t="n">
        <f aca="false">IF(N831&gt;0,L831/N831,0)</f>
        <v>0.983812784276821</v>
      </c>
      <c r="S831" s="15" t="n">
        <f aca="false">P831*Q831*R831</f>
        <v>0.843446005471322</v>
      </c>
      <c r="T831" s="15" t="n">
        <f aca="false">IF(K831&gt;0,L831/K831,0)</f>
        <v>1.03238951412891</v>
      </c>
      <c r="U831" s="10" t="n">
        <v>1331.5</v>
      </c>
      <c r="V831" s="5" t="n">
        <v>11</v>
      </c>
      <c r="W831" s="10" t="n">
        <v>114.9</v>
      </c>
      <c r="X831" s="15" t="n">
        <f aca="false">IF(U831&gt;0,W831/U831,0)</f>
        <v>0.0862936537739392</v>
      </c>
      <c r="Y831" s="12" t="n">
        <f aca="false">IF(U831&gt;0,L831/U831,0)</f>
        <v>273.23469770935</v>
      </c>
      <c r="Z831" s="16" t="n">
        <f aca="false">L831*INDEX(Parametros!$E$2:$E$9,MATCH($E831,Parametros!$A$2:$A$9,0))</f>
        <v>352897.64</v>
      </c>
      <c r="AA831" s="16" t="n">
        <f aca="false">Z831*INDEX(Parametros!$F$2:$F$9,MATCH($E831,Parametros!$A$2:$A$9,0))</f>
        <v>7763.74808</v>
      </c>
      <c r="AB831" s="17" t="n">
        <f aca="false">Z831+AA831</f>
        <v>360661.38808</v>
      </c>
      <c r="AC831" s="18" t="n">
        <v>361365.2</v>
      </c>
      <c r="AD831" s="17" t="n">
        <f aca="false">AC831-AB831</f>
        <v>703.811920000007</v>
      </c>
      <c r="AE831" s="17" t="n">
        <f aca="false">AA831+AD831</f>
        <v>8467.56000000001</v>
      </c>
      <c r="AF831" s="19" t="n">
        <f aca="false">IF(Z831&gt;0,AE831/Z831,0)</f>
        <v>0.023994379786728</v>
      </c>
      <c r="AG831" s="16" t="n">
        <f aca="false">(U831-W831)*INDEX(Parametros!$H$2:$H$9,MATCH($E831,Parametros!$A$2:$A$9,0))+W831*INDEX(Parametros!$H$2:$H$9,MATCH($E831,Parametros!$A$2:$A$9,0))*Parametros!$N$3</f>
        <v>43751.925</v>
      </c>
      <c r="AH831" s="13" t="n">
        <v>17866</v>
      </c>
      <c r="AI831" s="16" t="n">
        <f aca="false">AH831*Parametros!$N$2</f>
        <v>1643.672</v>
      </c>
      <c r="AJ831" s="18" t="n">
        <v>13717</v>
      </c>
      <c r="AK831" s="18" t="n">
        <v>0</v>
      </c>
      <c r="AL831" s="17" t="n">
        <f aca="false">AG831+AI831+AJ831+AK831</f>
        <v>59112.597</v>
      </c>
      <c r="AM831" s="20" t="n">
        <f aca="false">IF(L831&gt;0,AL831/L831,0)</f>
        <v>0.162481163348103</v>
      </c>
      <c r="AN831" s="16" t="n">
        <f aca="false">L831*INDEX(Parametros!$G$2:$G$9,MATCH($E831,Parametros!$A$2:$A$9,0))</f>
        <v>589375.44</v>
      </c>
      <c r="AO831" s="17" t="n">
        <f aca="false">AN831-AC831-AL831</f>
        <v>168897.643</v>
      </c>
      <c r="AP831" s="15" t="n">
        <f aca="false">IF(AN831&gt;0,AO831/AN831,0)</f>
        <v>0.286570548307883</v>
      </c>
      <c r="AQ831" s="16" t="n">
        <f aca="false">INDEX(Parametros!$I$2:$I$9,MATCH($E831,Parametros!$A$2:$A$9,0))</f>
        <v>28000000</v>
      </c>
      <c r="AR831" s="19" t="n">
        <f aca="false">IF(AQ831&gt;0,AO831/AQ831,0)</f>
        <v>0.00603205867857143</v>
      </c>
    </row>
    <row r="832" customFormat="false" ht="15" hidden="false" customHeight="false" outlineLevel="0" collapsed="false">
      <c r="A832" s="5" t="s">
        <v>967</v>
      </c>
      <c r="B832" s="9" t="n">
        <v>46272</v>
      </c>
      <c r="C832" s="2" t="str">
        <f aca="false">TEXT(B832,"yyyy")</f>
        <v>2026</v>
      </c>
      <c r="D832" s="2" t="n">
        <f aca="false">WEEKNUM(B832,2)</f>
        <v>37</v>
      </c>
      <c r="E832" s="5" t="s">
        <v>142</v>
      </c>
      <c r="F832" s="6" t="str">
        <f aca="false">INDEX(Parametros!$B$2:$B$9,MATCH($E832,Parametros!$A$2:$A$9,0))</f>
        <v>Porciones single serve</v>
      </c>
      <c r="G832" s="10" t="n">
        <v>100.6</v>
      </c>
      <c r="H832" s="10" t="n">
        <v>6.6</v>
      </c>
      <c r="I832" s="11" t="n">
        <f aca="false">SUMIFS(Eventos_Paro!$J$2:$J$2186,Eventos_Paro!$D$2:$D$2186,$E832,Eventos_Paro!$B$2:$B$2186,$B832)</f>
        <v>9.65</v>
      </c>
      <c r="J832" s="12" t="n">
        <f aca="false">G832-H832-I832</f>
        <v>84.35</v>
      </c>
      <c r="K832" s="13" t="n">
        <v>199671</v>
      </c>
      <c r="L832" s="13" t="n">
        <v>176157</v>
      </c>
      <c r="M832" s="13" t="n">
        <v>8452</v>
      </c>
      <c r="N832" s="14" t="n">
        <f aca="false">L832+M832</f>
        <v>184609</v>
      </c>
      <c r="O832" s="11" t="n">
        <f aca="false">INDEX(Parametros!$D$2:$D$9,MATCH($E832,Parametros!$A$2:$A$9,0))</f>
        <v>2600</v>
      </c>
      <c r="P832" s="15" t="n">
        <f aca="false">IF((G832-H832)&gt;0,J832/(G832-H832),0)</f>
        <v>0.897340425531915</v>
      </c>
      <c r="Q832" s="15" t="n">
        <f aca="false">IF(J832*O832&gt;0,N832/(O832*J832),0)</f>
        <v>0.841771921025033</v>
      </c>
      <c r="R832" s="15" t="n">
        <f aca="false">IF(N832&gt;0,L832/N832,0)</f>
        <v>0.954216749995937</v>
      </c>
      <c r="S832" s="15" t="n">
        <f aca="false">P832*Q832*R832</f>
        <v>0.720773322422259</v>
      </c>
      <c r="T832" s="15" t="n">
        <f aca="false">IF(K832&gt;0,L832/K832,0)</f>
        <v>0.882236278678426</v>
      </c>
      <c r="U832" s="10" t="n">
        <v>1939.9</v>
      </c>
      <c r="V832" s="5" t="n">
        <v>18</v>
      </c>
      <c r="W832" s="10" t="n">
        <v>129.1</v>
      </c>
      <c r="X832" s="15" t="n">
        <f aca="false">IF(U832&gt;0,W832/U832,0)</f>
        <v>0.0665498221557812</v>
      </c>
      <c r="Y832" s="12" t="n">
        <f aca="false">IF(U832&gt;0,L832/U832,0)</f>
        <v>90.8072581060879</v>
      </c>
      <c r="Z832" s="16" t="n">
        <f aca="false">L832*INDEX(Parametros!$E$2:$E$9,MATCH($E832,Parametros!$A$2:$A$9,0))</f>
        <v>130356.18</v>
      </c>
      <c r="AA832" s="16" t="n">
        <f aca="false">Z832*INDEX(Parametros!$F$2:$F$9,MATCH($E832,Parametros!$A$2:$A$9,0))</f>
        <v>5866.0281</v>
      </c>
      <c r="AB832" s="17" t="n">
        <f aca="false">Z832+AA832</f>
        <v>136222.2081</v>
      </c>
      <c r="AC832" s="18" t="n">
        <v>133786.3</v>
      </c>
      <c r="AD832" s="17" t="n">
        <f aca="false">AC832-AB832</f>
        <v>-2435.9081</v>
      </c>
      <c r="AE832" s="17" t="n">
        <f aca="false">AA832+AD832</f>
        <v>3430.12</v>
      </c>
      <c r="AF832" s="19" t="n">
        <f aca="false">IF(Z832&gt;0,AE832/Z832,0)</f>
        <v>0.0263134436740935</v>
      </c>
      <c r="AG832" s="16" t="n">
        <f aca="false">(U832-W832)*INDEX(Parametros!$H$2:$H$9,MATCH($E832,Parametros!$A$2:$A$9,0))+W832*INDEX(Parametros!$H$2:$H$9,MATCH($E832,Parametros!$A$2:$A$9,0))*Parametros!$N$3</f>
        <v>60133.5</v>
      </c>
      <c r="AH832" s="13" t="n">
        <v>9522</v>
      </c>
      <c r="AI832" s="16" t="n">
        <f aca="false">AH832*Parametros!$N$2</f>
        <v>876.024</v>
      </c>
      <c r="AJ832" s="18" t="n">
        <v>11581</v>
      </c>
      <c r="AK832" s="18" t="n">
        <v>8105</v>
      </c>
      <c r="AL832" s="17" t="n">
        <f aca="false">AG832+AI832+AJ832+AK832</f>
        <v>80695.524</v>
      </c>
      <c r="AM832" s="20" t="n">
        <f aca="false">IF(L832&gt;0,AL832/L832,0)</f>
        <v>0.458088659548017</v>
      </c>
      <c r="AN832" s="16" t="n">
        <f aca="false">L832*INDEX(Parametros!$G$2:$G$9,MATCH($E832,Parametros!$A$2:$A$9,0))</f>
        <v>302990.04</v>
      </c>
      <c r="AO832" s="17" t="n">
        <f aca="false">AN832-AC832-AL832</f>
        <v>88508.216</v>
      </c>
      <c r="AP832" s="15" t="n">
        <f aca="false">IF(AN832&gt;0,AO832/AN832,0)</f>
        <v>0.29211592565881</v>
      </c>
      <c r="AQ832" s="16" t="n">
        <f aca="false">INDEX(Parametros!$I$2:$I$9,MATCH($E832,Parametros!$A$2:$A$9,0))</f>
        <v>15900000</v>
      </c>
      <c r="AR832" s="19" t="n">
        <f aca="false">IF(AQ832&gt;0,AO832/AQ832,0)</f>
        <v>0.0055665544654088</v>
      </c>
    </row>
    <row r="833" customFormat="false" ht="15" hidden="false" customHeight="false" outlineLevel="0" collapsed="false">
      <c r="A833" s="5" t="s">
        <v>968</v>
      </c>
      <c r="B833" s="9" t="n">
        <v>46272</v>
      </c>
      <c r="C833" s="2" t="str">
        <f aca="false">TEXT(B833,"yyyy")</f>
        <v>2026</v>
      </c>
      <c r="D833" s="2" t="n">
        <f aca="false">WEEKNUM(B833,2)</f>
        <v>37</v>
      </c>
      <c r="E833" s="5" t="s">
        <v>144</v>
      </c>
      <c r="F833" s="6" t="str">
        <f aca="false">INDEX(Parametros!$B$2:$B$9,MATCH($E833,Parametros!$A$2:$A$9,0))</f>
        <v>Salsas picantes</v>
      </c>
      <c r="G833" s="10" t="n">
        <v>83.5</v>
      </c>
      <c r="H833" s="10" t="n">
        <v>8.4</v>
      </c>
      <c r="I833" s="11" t="n">
        <f aca="false">SUMIFS(Eventos_Paro!$J$2:$J$2186,Eventos_Paro!$D$2:$D$2186,$E833,Eventos_Paro!$B$2:$B$2186,$B833)</f>
        <v>1.08333333333333</v>
      </c>
      <c r="J833" s="12" t="n">
        <f aca="false">G833-H833-I833</f>
        <v>74.0166666666667</v>
      </c>
      <c r="K833" s="13" t="n">
        <v>180730</v>
      </c>
      <c r="L833" s="13" t="n">
        <v>195934</v>
      </c>
      <c r="M833" s="13" t="n">
        <v>4593</v>
      </c>
      <c r="N833" s="14" t="n">
        <f aca="false">L833+M833</f>
        <v>200527</v>
      </c>
      <c r="O833" s="11" t="n">
        <f aca="false">INDEX(Parametros!$D$2:$D$9,MATCH($E833,Parametros!$A$2:$A$9,0))</f>
        <v>3100</v>
      </c>
      <c r="P833" s="15" t="n">
        <f aca="false">IF((G833-H833)&gt;0,J833/(G833-H833),0)</f>
        <v>0.985574789169996</v>
      </c>
      <c r="Q833" s="15" t="n">
        <f aca="false">IF(J833*O833&gt;0,N833/(O833*J833),0)</f>
        <v>0.873940045470724</v>
      </c>
      <c r="R833" s="15" t="n">
        <f aca="false">IF(N833&gt;0,L833/N833,0)</f>
        <v>0.977095353742888</v>
      </c>
      <c r="S833" s="15" t="n">
        <f aca="false">P833*Q833*R833</f>
        <v>0.841604742064344</v>
      </c>
      <c r="T833" s="15" t="n">
        <f aca="false">IF(K833&gt;0,L833/K833,0)</f>
        <v>1.08412549106402</v>
      </c>
      <c r="U833" s="10" t="n">
        <v>701.6</v>
      </c>
      <c r="V833" s="5" t="n">
        <v>8</v>
      </c>
      <c r="W833" s="10" t="n">
        <v>33.6</v>
      </c>
      <c r="X833" s="15" t="n">
        <f aca="false">IF(U833&gt;0,W833/U833,0)</f>
        <v>0.0478905359179019</v>
      </c>
      <c r="Y833" s="12" t="n">
        <f aca="false">IF(U833&gt;0,L833/U833,0)</f>
        <v>279.267388825542</v>
      </c>
      <c r="Z833" s="16" t="n">
        <f aca="false">L833*INDEX(Parametros!$E$2:$E$9,MATCH($E833,Parametros!$A$2:$A$9,0))</f>
        <v>129316.44</v>
      </c>
      <c r="AA833" s="16" t="n">
        <f aca="false">Z833*INDEX(Parametros!$F$2:$F$9,MATCH($E833,Parametros!$A$2:$A$9,0))</f>
        <v>3362.22744</v>
      </c>
      <c r="AB833" s="17" t="n">
        <f aca="false">Z833+AA833</f>
        <v>132678.66744</v>
      </c>
      <c r="AC833" s="18" t="n">
        <v>133587.14</v>
      </c>
      <c r="AD833" s="17" t="n">
        <f aca="false">AC833-AB833</f>
        <v>908.472560000024</v>
      </c>
      <c r="AE833" s="17" t="n">
        <f aca="false">AA833+AD833</f>
        <v>4270.70000000002</v>
      </c>
      <c r="AF833" s="19" t="n">
        <f aca="false">IF(Z833&gt;0,AE833/Z833,0)</f>
        <v>0.0330251899913114</v>
      </c>
      <c r="AG833" s="16" t="n">
        <f aca="false">(U833-W833)*INDEX(Parametros!$H$2:$H$9,MATCH($E833,Parametros!$A$2:$A$9,0))+W833*INDEX(Parametros!$H$2:$H$9,MATCH($E833,Parametros!$A$2:$A$9,0))*Parametros!$N$3</f>
        <v>22629.6</v>
      </c>
      <c r="AH833" s="13" t="n">
        <v>9562</v>
      </c>
      <c r="AI833" s="16" t="n">
        <f aca="false">AH833*Parametros!$N$2</f>
        <v>879.704</v>
      </c>
      <c r="AJ833" s="18" t="n">
        <v>6089</v>
      </c>
      <c r="AK833" s="18" t="n">
        <v>541</v>
      </c>
      <c r="AL833" s="17" t="n">
        <f aca="false">AG833+AI833+AJ833+AK833</f>
        <v>30139.304</v>
      </c>
      <c r="AM833" s="20" t="n">
        <f aca="false">IF(L833&gt;0,AL833/L833,0)</f>
        <v>0.153823756979391</v>
      </c>
      <c r="AN833" s="16" t="n">
        <f aca="false">L833*INDEX(Parametros!$G$2:$G$9,MATCH($E833,Parametros!$A$2:$A$9,0))</f>
        <v>244917.5</v>
      </c>
      <c r="AO833" s="17" t="n">
        <f aca="false">AN833-AC833-AL833</f>
        <v>81191.056</v>
      </c>
      <c r="AP833" s="15" t="n">
        <f aca="false">IF(AN833&gt;0,AO833/AN833,0)</f>
        <v>0.331503694101075</v>
      </c>
      <c r="AQ833" s="16" t="n">
        <f aca="false">INDEX(Parametros!$I$2:$I$9,MATCH($E833,Parametros!$A$2:$A$9,0))</f>
        <v>13300000</v>
      </c>
      <c r="AR833" s="19" t="n">
        <f aca="false">IF(AQ833&gt;0,AO833/AQ833,0)</f>
        <v>0.00610459067669173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3" style="0" width="24"/>
    <col collapsed="false" customWidth="true" hidden="false" outlineLevel="0" max="14" min="14" style="0" width="10"/>
    <col collapsed="false" customWidth="true" hidden="false" outlineLevel="0" max="15" min="15" style="0" width="60"/>
  </cols>
  <sheetData>
    <row r="1" customFormat="false" ht="42" hidden="false" customHeight="true" outlineLevel="0" collapsed="false">
      <c r="A1" s="8" t="s">
        <v>103</v>
      </c>
      <c r="B1" s="8" t="s">
        <v>104</v>
      </c>
      <c r="C1" s="8" t="s">
        <v>969</v>
      </c>
      <c r="D1" s="8" t="s">
        <v>112</v>
      </c>
      <c r="E1" s="8" t="s">
        <v>970</v>
      </c>
      <c r="F1" s="8" t="s">
        <v>971</v>
      </c>
      <c r="G1" s="8" t="s">
        <v>972</v>
      </c>
      <c r="H1" s="8" t="s">
        <v>973</v>
      </c>
      <c r="I1" s="8" t="s">
        <v>128</v>
      </c>
      <c r="J1" s="8" t="s">
        <v>974</v>
      </c>
      <c r="K1" s="8" t="s">
        <v>975</v>
      </c>
      <c r="M1" s="21" t="s">
        <v>976</v>
      </c>
      <c r="N1" s="21" t="s">
        <v>977</v>
      </c>
      <c r="O1" s="21" t="s">
        <v>978</v>
      </c>
    </row>
    <row r="2" customFormat="false" ht="15" hidden="false" customHeight="false" outlineLevel="0" collapsed="false">
      <c r="A2" s="5" t="s">
        <v>130</v>
      </c>
      <c r="B2" s="5" t="s">
        <v>979</v>
      </c>
      <c r="C2" s="5" t="s">
        <v>980</v>
      </c>
      <c r="D2" s="13" t="n">
        <v>9000</v>
      </c>
      <c r="E2" s="22" t="n">
        <v>0.42</v>
      </c>
      <c r="F2" s="23" t="n">
        <v>0.02</v>
      </c>
      <c r="G2" s="24" t="n">
        <v>0.71</v>
      </c>
      <c r="H2" s="24" t="n">
        <v>31.5</v>
      </c>
      <c r="I2" s="25" t="n">
        <v>29300000</v>
      </c>
      <c r="J2" s="5" t="n">
        <v>120</v>
      </c>
      <c r="K2" s="5" t="n">
        <v>14</v>
      </c>
      <c r="M2" s="2" t="s">
        <v>981</v>
      </c>
      <c r="N2" s="26" t="n">
        <v>0.092</v>
      </c>
      <c r="O2" s="2" t="s">
        <v>982</v>
      </c>
    </row>
    <row r="3" customFormat="false" ht="15" hidden="false" customHeight="false" outlineLevel="0" collapsed="false">
      <c r="A3" s="5" t="s">
        <v>132</v>
      </c>
      <c r="B3" s="5" t="s">
        <v>983</v>
      </c>
      <c r="C3" s="5" t="s">
        <v>980</v>
      </c>
      <c r="D3" s="13" t="n">
        <v>6500</v>
      </c>
      <c r="E3" s="22" t="n">
        <v>0.61</v>
      </c>
      <c r="F3" s="23" t="n">
        <v>0.025</v>
      </c>
      <c r="G3" s="24" t="n">
        <v>0.96</v>
      </c>
      <c r="H3" s="24" t="n">
        <v>31.5</v>
      </c>
      <c r="I3" s="25" t="n">
        <v>29700000</v>
      </c>
      <c r="J3" s="5" t="n">
        <v>120</v>
      </c>
      <c r="K3" s="5" t="n">
        <v>13</v>
      </c>
      <c r="M3" s="2" t="s">
        <v>984</v>
      </c>
      <c r="N3" s="27" t="n">
        <v>1.5</v>
      </c>
      <c r="O3" s="2" t="s">
        <v>985</v>
      </c>
    </row>
    <row r="4" customFormat="false" ht="15" hidden="false" customHeight="false" outlineLevel="0" collapsed="false">
      <c r="A4" s="5" t="s">
        <v>134</v>
      </c>
      <c r="B4" s="5" t="s">
        <v>986</v>
      </c>
      <c r="C4" s="5" t="s">
        <v>987</v>
      </c>
      <c r="D4" s="13" t="n">
        <v>5200</v>
      </c>
      <c r="E4" s="22" t="n">
        <v>0.55</v>
      </c>
      <c r="F4" s="23" t="n">
        <v>0.03</v>
      </c>
      <c r="G4" s="24" t="n">
        <v>1.02</v>
      </c>
      <c r="H4" s="24" t="n">
        <v>31.5</v>
      </c>
      <c r="I4" s="25" t="n">
        <v>19300000</v>
      </c>
      <c r="J4" s="5" t="n">
        <v>110</v>
      </c>
      <c r="K4" s="5" t="n">
        <v>12</v>
      </c>
      <c r="M4" s="2" t="s">
        <v>988</v>
      </c>
      <c r="N4" s="28" t="n">
        <v>850</v>
      </c>
      <c r="O4" s="2" t="s">
        <v>989</v>
      </c>
    </row>
    <row r="5" customFormat="false" ht="15" hidden="false" customHeight="false" outlineLevel="0" collapsed="false">
      <c r="A5" s="5" t="s">
        <v>136</v>
      </c>
      <c r="B5" s="5" t="s">
        <v>990</v>
      </c>
      <c r="C5" s="5" t="s">
        <v>991</v>
      </c>
      <c r="D5" s="13" t="n">
        <v>4800</v>
      </c>
      <c r="E5" s="22" t="n">
        <v>0.58</v>
      </c>
      <c r="F5" s="23" t="n">
        <v>0.028</v>
      </c>
      <c r="G5" s="24" t="n">
        <v>0.98</v>
      </c>
      <c r="H5" s="24" t="n">
        <v>31.5</v>
      </c>
      <c r="I5" s="25" t="n">
        <v>17000000</v>
      </c>
      <c r="J5" s="5" t="n">
        <v>100</v>
      </c>
      <c r="K5" s="5" t="n">
        <v>11</v>
      </c>
    </row>
    <row r="6" customFormat="false" ht="15" hidden="false" customHeight="false" outlineLevel="0" collapsed="false">
      <c r="A6" s="5" t="s">
        <v>138</v>
      </c>
      <c r="B6" s="5" t="s">
        <v>992</v>
      </c>
      <c r="C6" s="5" t="s">
        <v>993</v>
      </c>
      <c r="D6" s="13" t="n">
        <v>3800</v>
      </c>
      <c r="E6" s="22" t="n">
        <v>1.12</v>
      </c>
      <c r="F6" s="23" t="n">
        <v>0.035</v>
      </c>
      <c r="G6" s="24" t="n">
        <v>1.79</v>
      </c>
      <c r="H6" s="24" t="n">
        <v>33</v>
      </c>
      <c r="I6" s="25" t="n">
        <v>33200000</v>
      </c>
      <c r="J6" s="5" t="n">
        <v>120</v>
      </c>
      <c r="K6" s="5" t="n">
        <v>15</v>
      </c>
    </row>
    <row r="7" customFormat="false" ht="15" hidden="false" customHeight="false" outlineLevel="0" collapsed="false">
      <c r="A7" s="5" t="s">
        <v>140</v>
      </c>
      <c r="B7" s="5" t="s">
        <v>994</v>
      </c>
      <c r="C7" s="5" t="s">
        <v>995</v>
      </c>
      <c r="D7" s="13" t="n">
        <v>4200</v>
      </c>
      <c r="E7" s="22" t="n">
        <v>0.97</v>
      </c>
      <c r="F7" s="23" t="n">
        <v>0.022</v>
      </c>
      <c r="G7" s="24" t="n">
        <v>1.62</v>
      </c>
      <c r="H7" s="24" t="n">
        <v>31.5</v>
      </c>
      <c r="I7" s="25" t="n">
        <v>28000000</v>
      </c>
      <c r="J7" s="5" t="n">
        <v>110</v>
      </c>
      <c r="K7" s="5" t="n">
        <v>12</v>
      </c>
    </row>
    <row r="8" customFormat="false" ht="15" hidden="false" customHeight="false" outlineLevel="0" collapsed="false">
      <c r="A8" s="5" t="s">
        <v>142</v>
      </c>
      <c r="B8" s="5" t="s">
        <v>996</v>
      </c>
      <c r="C8" s="5" t="s">
        <v>997</v>
      </c>
      <c r="D8" s="13" t="n">
        <v>2600</v>
      </c>
      <c r="E8" s="22" t="n">
        <v>0.74</v>
      </c>
      <c r="F8" s="23" t="n">
        <v>0.045</v>
      </c>
      <c r="G8" s="24" t="n">
        <v>1.72</v>
      </c>
      <c r="H8" s="24" t="n">
        <v>30</v>
      </c>
      <c r="I8" s="25" t="n">
        <v>15900000</v>
      </c>
      <c r="J8" s="5" t="n">
        <v>120</v>
      </c>
      <c r="K8" s="5" t="n">
        <v>16</v>
      </c>
    </row>
    <row r="9" customFormat="false" ht="15" hidden="false" customHeight="false" outlineLevel="0" collapsed="false">
      <c r="A9" s="5" t="s">
        <v>144</v>
      </c>
      <c r="B9" s="5" t="s">
        <v>998</v>
      </c>
      <c r="C9" s="5" t="s">
        <v>991</v>
      </c>
      <c r="D9" s="13" t="n">
        <v>3100</v>
      </c>
      <c r="E9" s="22" t="n">
        <v>0.66</v>
      </c>
      <c r="F9" s="23" t="n">
        <v>0.026</v>
      </c>
      <c r="G9" s="24" t="n">
        <v>1.25</v>
      </c>
      <c r="H9" s="24" t="n">
        <v>31.5</v>
      </c>
      <c r="I9" s="25" t="n">
        <v>13300000</v>
      </c>
      <c r="J9" s="5" t="n">
        <v>96</v>
      </c>
      <c r="K9" s="5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2"/>
  </cols>
  <sheetData>
    <row r="1" customFormat="false" ht="42" hidden="false" customHeight="true" outlineLevel="0" collapsed="false">
      <c r="A1" s="8" t="s">
        <v>999</v>
      </c>
      <c r="B1" s="8" t="s">
        <v>1000</v>
      </c>
      <c r="C1" s="8" t="s">
        <v>1001</v>
      </c>
    </row>
    <row r="2" customFormat="false" ht="15" hidden="false" customHeight="false" outlineLevel="0" collapsed="false">
      <c r="A2" s="5" t="s">
        <v>1002</v>
      </c>
      <c r="B2" s="5" t="s">
        <v>1003</v>
      </c>
      <c r="C2" s="5" t="s">
        <v>1004</v>
      </c>
    </row>
    <row r="3" customFormat="false" ht="15" hidden="false" customHeight="false" outlineLevel="0" collapsed="false">
      <c r="A3" s="5" t="s">
        <v>1005</v>
      </c>
      <c r="B3" s="5" t="s">
        <v>1006</v>
      </c>
      <c r="C3" s="5" t="s">
        <v>1004</v>
      </c>
    </row>
    <row r="4" customFormat="false" ht="15" hidden="false" customHeight="false" outlineLevel="0" collapsed="false">
      <c r="A4" s="5" t="s">
        <v>1007</v>
      </c>
      <c r="B4" s="5" t="s">
        <v>1008</v>
      </c>
      <c r="C4" s="5" t="s">
        <v>1004</v>
      </c>
    </row>
    <row r="5" customFormat="false" ht="15" hidden="false" customHeight="false" outlineLevel="0" collapsed="false">
      <c r="A5" s="5" t="s">
        <v>1009</v>
      </c>
      <c r="B5" s="5" t="s">
        <v>1010</v>
      </c>
      <c r="C5" s="5" t="s">
        <v>1011</v>
      </c>
    </row>
    <row r="6" customFormat="false" ht="15" hidden="false" customHeight="false" outlineLevel="0" collapsed="false">
      <c r="A6" s="5" t="s">
        <v>1012</v>
      </c>
      <c r="B6" s="5" t="s">
        <v>1013</v>
      </c>
      <c r="C6" s="5" t="s">
        <v>1011</v>
      </c>
    </row>
    <row r="7" customFormat="false" ht="15" hidden="false" customHeight="false" outlineLevel="0" collapsed="false">
      <c r="A7" s="5" t="s">
        <v>1014</v>
      </c>
      <c r="B7" s="5" t="s">
        <v>1015</v>
      </c>
      <c r="C7" s="5" t="s">
        <v>52</v>
      </c>
    </row>
    <row r="8" customFormat="false" ht="15" hidden="false" customHeight="false" outlineLevel="0" collapsed="false">
      <c r="A8" s="5" t="s">
        <v>1016</v>
      </c>
      <c r="B8" s="5" t="s">
        <v>1017</v>
      </c>
      <c r="C8" s="5" t="s">
        <v>52</v>
      </c>
    </row>
    <row r="9" customFormat="false" ht="15" hidden="false" customHeight="false" outlineLevel="0" collapsed="false">
      <c r="A9" s="5" t="s">
        <v>1018</v>
      </c>
      <c r="B9" s="5" t="s">
        <v>1019</v>
      </c>
      <c r="C9" s="5" t="s">
        <v>1020</v>
      </c>
    </row>
    <row r="10" customFormat="false" ht="15" hidden="false" customHeight="false" outlineLevel="0" collapsed="false">
      <c r="A10" s="5" t="s">
        <v>1021</v>
      </c>
      <c r="B10" s="5" t="s">
        <v>1022</v>
      </c>
      <c r="C10" s="5" t="s">
        <v>1023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10" min="9" style="0" width="11"/>
  </cols>
  <sheetData>
    <row r="1" customFormat="false" ht="42" hidden="false" customHeight="true" outlineLevel="0" collapsed="false">
      <c r="A1" s="8" t="s">
        <v>1024</v>
      </c>
      <c r="B1" s="8" t="s">
        <v>100</v>
      </c>
      <c r="C1" s="8" t="s">
        <v>1025</v>
      </c>
      <c r="D1" s="8" t="s">
        <v>103</v>
      </c>
      <c r="E1" s="8" t="s">
        <v>1026</v>
      </c>
      <c r="F1" s="8" t="s">
        <v>999</v>
      </c>
      <c r="G1" s="8" t="s">
        <v>1000</v>
      </c>
      <c r="H1" s="8" t="s">
        <v>1001</v>
      </c>
      <c r="I1" s="8" t="s">
        <v>1027</v>
      </c>
      <c r="J1" s="8" t="s">
        <v>1028</v>
      </c>
    </row>
    <row r="2" customFormat="false" ht="15" hidden="false" customHeight="false" outlineLevel="0" collapsed="false">
      <c r="A2" s="5" t="s">
        <v>1029</v>
      </c>
      <c r="B2" s="9" t="n">
        <v>45551</v>
      </c>
      <c r="C2" s="9" t="n">
        <v>45551</v>
      </c>
      <c r="D2" s="5" t="s">
        <v>130</v>
      </c>
      <c r="E2" s="5" t="s">
        <v>1030</v>
      </c>
      <c r="F2" s="5" t="s">
        <v>1005</v>
      </c>
      <c r="G2" s="6" t="str">
        <f aca="false">INDEX(Catalogo_Causas!$B$2:$B$10,MATCH(F2,Catalogo_Causas!$A$2:$A$10,0))</f>
        <v>Falla eléctrica / control</v>
      </c>
      <c r="H2" s="6" t="str">
        <f aca="false">INDEX(Catalogo_Causas!$C$2:$C$10,MATCH(F2,Catalogo_Causas!$A$2:$A$10,0))</f>
        <v>Operacional</v>
      </c>
      <c r="I2" s="5" t="n">
        <v>123</v>
      </c>
      <c r="J2" s="29" t="n">
        <f aca="false">I2/60</f>
        <v>2.05</v>
      </c>
    </row>
    <row r="3" customFormat="false" ht="15" hidden="false" customHeight="false" outlineLevel="0" collapsed="false">
      <c r="A3" s="5" t="s">
        <v>1031</v>
      </c>
      <c r="B3" s="9" t="n">
        <v>45551</v>
      </c>
      <c r="C3" s="9" t="n">
        <v>45551</v>
      </c>
      <c r="D3" s="5" t="s">
        <v>134</v>
      </c>
      <c r="E3" s="5" t="s">
        <v>1032</v>
      </c>
      <c r="F3" s="5" t="s">
        <v>1009</v>
      </c>
      <c r="G3" s="6" t="str">
        <f aca="false">INDEX(Catalogo_Causas!$B$2:$B$10,MATCH(F3,Catalogo_Causas!$A$2:$A$10,0))</f>
        <v>Falta de material de empaque</v>
      </c>
      <c r="H3" s="6" t="str">
        <f aca="false">INDEX(Catalogo_Causas!$C$2:$C$10,MATCH(F3,Catalogo_Causas!$A$2:$A$10,0))</f>
        <v>Material / suministro</v>
      </c>
      <c r="I3" s="5" t="n">
        <v>48</v>
      </c>
      <c r="J3" s="29" t="n">
        <f aca="false">I3/60</f>
        <v>0.8</v>
      </c>
    </row>
    <row r="4" customFormat="false" ht="15" hidden="false" customHeight="false" outlineLevel="0" collapsed="false">
      <c r="A4" s="5" t="s">
        <v>1033</v>
      </c>
      <c r="B4" s="9" t="n">
        <v>45551</v>
      </c>
      <c r="C4" s="9" t="n">
        <v>45551</v>
      </c>
      <c r="D4" s="5" t="s">
        <v>138</v>
      </c>
      <c r="E4" s="5" t="s">
        <v>1034</v>
      </c>
      <c r="F4" s="5" t="s">
        <v>1002</v>
      </c>
      <c r="G4" s="6" t="str">
        <f aca="false">INDEX(Catalogo_Causas!$B$2:$B$10,MATCH(F4,Catalogo_Causas!$A$2:$A$10,0))</f>
        <v>Falla mecánica</v>
      </c>
      <c r="H4" s="6" t="str">
        <f aca="false">INDEX(Catalogo_Causas!$C$2:$C$10,MATCH(F4,Catalogo_Causas!$A$2:$A$10,0))</f>
        <v>Operacional</v>
      </c>
      <c r="I4" s="5" t="n">
        <v>26</v>
      </c>
      <c r="J4" s="29" t="n">
        <f aca="false">I4/60</f>
        <v>0.433333333333333</v>
      </c>
    </row>
    <row r="5" customFormat="false" ht="15" hidden="false" customHeight="false" outlineLevel="0" collapsed="false">
      <c r="A5" s="5" t="s">
        <v>1035</v>
      </c>
      <c r="B5" s="9" t="n">
        <v>45551</v>
      </c>
      <c r="C5" s="9" t="n">
        <v>45551</v>
      </c>
      <c r="D5" s="5" t="s">
        <v>140</v>
      </c>
      <c r="E5" s="5" t="s">
        <v>1036</v>
      </c>
      <c r="F5" s="5" t="s">
        <v>1005</v>
      </c>
      <c r="G5" s="6" t="str">
        <f aca="false">INDEX(Catalogo_Causas!$B$2:$B$10,MATCH(F5,Catalogo_Causas!$A$2:$A$10,0))</f>
        <v>Falla eléctrica / control</v>
      </c>
      <c r="H5" s="6" t="str">
        <f aca="false">INDEX(Catalogo_Causas!$C$2:$C$10,MATCH(F5,Catalogo_Causas!$A$2:$A$10,0))</f>
        <v>Operacional</v>
      </c>
      <c r="I5" s="5" t="n">
        <v>30</v>
      </c>
      <c r="J5" s="29" t="n">
        <f aca="false">I5/60</f>
        <v>0.5</v>
      </c>
    </row>
    <row r="6" customFormat="false" ht="15" hidden="false" customHeight="false" outlineLevel="0" collapsed="false">
      <c r="A6" s="5" t="s">
        <v>1037</v>
      </c>
      <c r="B6" s="9" t="n">
        <v>45551</v>
      </c>
      <c r="C6" s="9" t="n">
        <v>45551</v>
      </c>
      <c r="D6" s="5" t="s">
        <v>140</v>
      </c>
      <c r="E6" s="5" t="s">
        <v>1036</v>
      </c>
      <c r="F6" s="5" t="s">
        <v>1012</v>
      </c>
      <c r="G6" s="6" t="str">
        <f aca="false">INDEX(Catalogo_Causas!$B$2:$B$10,MATCH(F6,Catalogo_Causas!$A$2:$A$10,0))</f>
        <v>Falta de materia prima</v>
      </c>
      <c r="H6" s="6" t="str">
        <f aca="false">INDEX(Catalogo_Causas!$C$2:$C$10,MATCH(F6,Catalogo_Causas!$A$2:$A$10,0))</f>
        <v>Material / suministro</v>
      </c>
      <c r="I6" s="5" t="n">
        <v>113</v>
      </c>
      <c r="J6" s="29" t="n">
        <f aca="false">I6/60</f>
        <v>1.88333333333333</v>
      </c>
    </row>
    <row r="7" customFormat="false" ht="15" hidden="false" customHeight="false" outlineLevel="0" collapsed="false">
      <c r="A7" s="5" t="s">
        <v>1038</v>
      </c>
      <c r="B7" s="9" t="n">
        <v>45551</v>
      </c>
      <c r="C7" s="9" t="n">
        <v>45552</v>
      </c>
      <c r="D7" s="5" t="s">
        <v>138</v>
      </c>
      <c r="E7" s="5" t="s">
        <v>1039</v>
      </c>
      <c r="F7" s="5" t="s">
        <v>1007</v>
      </c>
      <c r="G7" s="6" t="str">
        <f aca="false">INDEX(Catalogo_Causas!$B$2:$B$10,MATCH(F7,Catalogo_Causas!$A$2:$A$10,0))</f>
        <v>Cambio de formato excedido</v>
      </c>
      <c r="H7" s="6" t="str">
        <f aca="false">INDEX(Catalogo_Causas!$C$2:$C$10,MATCH(F7,Catalogo_Causas!$A$2:$A$10,0))</f>
        <v>Operacional</v>
      </c>
      <c r="I7" s="5" t="n">
        <v>96</v>
      </c>
      <c r="J7" s="29" t="n">
        <f aca="false">I7/60</f>
        <v>1.6</v>
      </c>
    </row>
    <row r="8" customFormat="false" ht="15" hidden="false" customHeight="false" outlineLevel="0" collapsed="false">
      <c r="A8" s="5" t="s">
        <v>1040</v>
      </c>
      <c r="B8" s="9" t="n">
        <v>45551</v>
      </c>
      <c r="C8" s="9" t="n">
        <v>45552</v>
      </c>
      <c r="D8" s="5" t="s">
        <v>142</v>
      </c>
      <c r="E8" s="5" t="s">
        <v>1041</v>
      </c>
      <c r="F8" s="5" t="s">
        <v>1007</v>
      </c>
      <c r="G8" s="6" t="str">
        <f aca="false">INDEX(Catalogo_Causas!$B$2:$B$10,MATCH(F8,Catalogo_Causas!$A$2:$A$10,0))</f>
        <v>Cambio de formato excedido</v>
      </c>
      <c r="H8" s="6" t="str">
        <f aca="false">INDEX(Catalogo_Causas!$C$2:$C$10,MATCH(F8,Catalogo_Causas!$A$2:$A$10,0))</f>
        <v>Operacional</v>
      </c>
      <c r="I8" s="5" t="n">
        <v>92</v>
      </c>
      <c r="J8" s="29" t="n">
        <f aca="false">I8/60</f>
        <v>1.53333333333333</v>
      </c>
    </row>
    <row r="9" customFormat="false" ht="15" hidden="false" customHeight="false" outlineLevel="0" collapsed="false">
      <c r="A9" s="5" t="s">
        <v>1042</v>
      </c>
      <c r="B9" s="9" t="n">
        <v>45551</v>
      </c>
      <c r="C9" s="9" t="n">
        <v>45552</v>
      </c>
      <c r="D9" s="5" t="s">
        <v>144</v>
      </c>
      <c r="E9" s="5" t="s">
        <v>1043</v>
      </c>
      <c r="F9" s="5" t="s">
        <v>1005</v>
      </c>
      <c r="G9" s="6" t="str">
        <f aca="false">INDEX(Catalogo_Causas!$B$2:$B$10,MATCH(F9,Catalogo_Causas!$A$2:$A$10,0))</f>
        <v>Falla eléctrica / control</v>
      </c>
      <c r="H9" s="6" t="str">
        <f aca="false">INDEX(Catalogo_Causas!$C$2:$C$10,MATCH(F9,Catalogo_Causas!$A$2:$A$10,0))</f>
        <v>Operacional</v>
      </c>
      <c r="I9" s="5" t="n">
        <v>28</v>
      </c>
      <c r="J9" s="29" t="n">
        <f aca="false">I9/60</f>
        <v>0.466666666666667</v>
      </c>
    </row>
    <row r="10" customFormat="false" ht="15" hidden="false" customHeight="false" outlineLevel="0" collapsed="false">
      <c r="A10" s="5" t="s">
        <v>1044</v>
      </c>
      <c r="B10" s="9" t="n">
        <v>45551</v>
      </c>
      <c r="C10" s="9" t="n">
        <v>45553</v>
      </c>
      <c r="D10" s="5" t="s">
        <v>130</v>
      </c>
      <c r="E10" s="5" t="s">
        <v>1045</v>
      </c>
      <c r="F10" s="5" t="s">
        <v>1012</v>
      </c>
      <c r="G10" s="6" t="str">
        <f aca="false">INDEX(Catalogo_Causas!$B$2:$B$10,MATCH(F10,Catalogo_Causas!$A$2:$A$10,0))</f>
        <v>Falta de materia prima</v>
      </c>
      <c r="H10" s="6" t="str">
        <f aca="false">INDEX(Catalogo_Causas!$C$2:$C$10,MATCH(F10,Catalogo_Causas!$A$2:$A$10,0))</f>
        <v>Material / suministro</v>
      </c>
      <c r="I10" s="5" t="n">
        <v>137</v>
      </c>
      <c r="J10" s="29" t="n">
        <f aca="false">I10/60</f>
        <v>2.28333333333333</v>
      </c>
    </row>
    <row r="11" customFormat="false" ht="15" hidden="false" customHeight="false" outlineLevel="0" collapsed="false">
      <c r="A11" s="5" t="s">
        <v>1046</v>
      </c>
      <c r="B11" s="9" t="n">
        <v>45551</v>
      </c>
      <c r="C11" s="9" t="n">
        <v>45553</v>
      </c>
      <c r="D11" s="5" t="s">
        <v>130</v>
      </c>
      <c r="E11" s="5" t="s">
        <v>1030</v>
      </c>
      <c r="F11" s="5" t="s">
        <v>1005</v>
      </c>
      <c r="G11" s="6" t="str">
        <f aca="false">INDEX(Catalogo_Causas!$B$2:$B$10,MATCH(F11,Catalogo_Causas!$A$2:$A$10,0))</f>
        <v>Falla eléctrica / control</v>
      </c>
      <c r="H11" s="6" t="str">
        <f aca="false">INDEX(Catalogo_Causas!$C$2:$C$10,MATCH(F11,Catalogo_Causas!$A$2:$A$10,0))</f>
        <v>Operacional</v>
      </c>
      <c r="I11" s="5" t="n">
        <v>79</v>
      </c>
      <c r="J11" s="29" t="n">
        <f aca="false">I11/60</f>
        <v>1.31666666666667</v>
      </c>
    </row>
    <row r="12" customFormat="false" ht="15" hidden="false" customHeight="false" outlineLevel="0" collapsed="false">
      <c r="A12" s="5" t="s">
        <v>1047</v>
      </c>
      <c r="B12" s="9" t="n">
        <v>45551</v>
      </c>
      <c r="C12" s="9" t="n">
        <v>45553</v>
      </c>
      <c r="D12" s="5" t="s">
        <v>134</v>
      </c>
      <c r="E12" s="5" t="s">
        <v>1030</v>
      </c>
      <c r="F12" s="5" t="s">
        <v>1009</v>
      </c>
      <c r="G12" s="6" t="str">
        <f aca="false">INDEX(Catalogo_Causas!$B$2:$B$10,MATCH(F12,Catalogo_Causas!$A$2:$A$10,0))</f>
        <v>Falta de material de empaque</v>
      </c>
      <c r="H12" s="6" t="str">
        <f aca="false">INDEX(Catalogo_Causas!$C$2:$C$10,MATCH(F12,Catalogo_Causas!$A$2:$A$10,0))</f>
        <v>Material / suministro</v>
      </c>
      <c r="I12" s="5" t="n">
        <v>69</v>
      </c>
      <c r="J12" s="29" t="n">
        <f aca="false">I12/60</f>
        <v>1.15</v>
      </c>
    </row>
    <row r="13" customFormat="false" ht="15" hidden="false" customHeight="false" outlineLevel="0" collapsed="false">
      <c r="A13" s="5" t="s">
        <v>1048</v>
      </c>
      <c r="B13" s="9" t="n">
        <v>45551</v>
      </c>
      <c r="C13" s="9" t="n">
        <v>45553</v>
      </c>
      <c r="D13" s="5" t="s">
        <v>138</v>
      </c>
      <c r="E13" s="5" t="s">
        <v>1034</v>
      </c>
      <c r="F13" s="5" t="s">
        <v>1002</v>
      </c>
      <c r="G13" s="6" t="str">
        <f aca="false">INDEX(Catalogo_Causas!$B$2:$B$10,MATCH(F13,Catalogo_Causas!$A$2:$A$10,0))</f>
        <v>Falla mecánica</v>
      </c>
      <c r="H13" s="6" t="str">
        <f aca="false">INDEX(Catalogo_Causas!$C$2:$C$10,MATCH(F13,Catalogo_Causas!$A$2:$A$10,0))</f>
        <v>Operacional</v>
      </c>
      <c r="I13" s="5" t="n">
        <v>52</v>
      </c>
      <c r="J13" s="29" t="n">
        <f aca="false">I13/60</f>
        <v>0.866666666666667</v>
      </c>
    </row>
    <row r="14" customFormat="false" ht="15" hidden="false" customHeight="false" outlineLevel="0" collapsed="false">
      <c r="A14" s="5" t="s">
        <v>1049</v>
      </c>
      <c r="B14" s="9" t="n">
        <v>45551</v>
      </c>
      <c r="C14" s="9" t="n">
        <v>45553</v>
      </c>
      <c r="D14" s="5" t="s">
        <v>138</v>
      </c>
      <c r="E14" s="5" t="s">
        <v>1039</v>
      </c>
      <c r="F14" s="5" t="s">
        <v>1007</v>
      </c>
      <c r="G14" s="6" t="str">
        <f aca="false">INDEX(Catalogo_Causas!$B$2:$B$10,MATCH(F14,Catalogo_Causas!$A$2:$A$10,0))</f>
        <v>Cambio de formato excedido</v>
      </c>
      <c r="H14" s="6" t="str">
        <f aca="false">INDEX(Catalogo_Causas!$C$2:$C$10,MATCH(F14,Catalogo_Causas!$A$2:$A$10,0))</f>
        <v>Operacional</v>
      </c>
      <c r="I14" s="5" t="n">
        <v>47</v>
      </c>
      <c r="J14" s="29" t="n">
        <f aca="false">I14/60</f>
        <v>0.783333333333333</v>
      </c>
    </row>
    <row r="15" customFormat="false" ht="15" hidden="false" customHeight="false" outlineLevel="0" collapsed="false">
      <c r="A15" s="5" t="s">
        <v>1050</v>
      </c>
      <c r="B15" s="9" t="n">
        <v>45551</v>
      </c>
      <c r="C15" s="9" t="n">
        <v>45553</v>
      </c>
      <c r="D15" s="5" t="s">
        <v>142</v>
      </c>
      <c r="E15" s="5" t="s">
        <v>1051</v>
      </c>
      <c r="F15" s="5" t="s">
        <v>1007</v>
      </c>
      <c r="G15" s="6" t="str">
        <f aca="false">INDEX(Catalogo_Causas!$B$2:$B$10,MATCH(F15,Catalogo_Causas!$A$2:$A$10,0))</f>
        <v>Cambio de formato excedido</v>
      </c>
      <c r="H15" s="6" t="str">
        <f aca="false">INDEX(Catalogo_Causas!$C$2:$C$10,MATCH(F15,Catalogo_Causas!$A$2:$A$10,0))</f>
        <v>Operacional</v>
      </c>
      <c r="I15" s="5" t="n">
        <v>38</v>
      </c>
      <c r="J15" s="29" t="n">
        <f aca="false">I15/60</f>
        <v>0.633333333333333</v>
      </c>
    </row>
    <row r="16" customFormat="false" ht="15" hidden="false" customHeight="false" outlineLevel="0" collapsed="false">
      <c r="A16" s="5" t="s">
        <v>1052</v>
      </c>
      <c r="B16" s="9" t="n">
        <v>45551</v>
      </c>
      <c r="C16" s="9" t="n">
        <v>45553</v>
      </c>
      <c r="D16" s="5" t="s">
        <v>142</v>
      </c>
      <c r="E16" s="5" t="s">
        <v>1041</v>
      </c>
      <c r="F16" s="5" t="s">
        <v>1012</v>
      </c>
      <c r="G16" s="6" t="str">
        <f aca="false">INDEX(Catalogo_Causas!$B$2:$B$10,MATCH(F16,Catalogo_Causas!$A$2:$A$10,0))</f>
        <v>Falta de materia prima</v>
      </c>
      <c r="H16" s="6" t="str">
        <f aca="false">INDEX(Catalogo_Causas!$C$2:$C$10,MATCH(F16,Catalogo_Causas!$A$2:$A$10,0))</f>
        <v>Material / suministro</v>
      </c>
      <c r="I16" s="5" t="n">
        <v>30</v>
      </c>
      <c r="J16" s="29" t="n">
        <f aca="false">I16/60</f>
        <v>0.5</v>
      </c>
    </row>
    <row r="17" customFormat="false" ht="15" hidden="false" customHeight="false" outlineLevel="0" collapsed="false">
      <c r="A17" s="5" t="s">
        <v>1053</v>
      </c>
      <c r="B17" s="9" t="n">
        <v>45551</v>
      </c>
      <c r="C17" s="9" t="n">
        <v>45554</v>
      </c>
      <c r="D17" s="5" t="s">
        <v>134</v>
      </c>
      <c r="E17" s="5" t="s">
        <v>1054</v>
      </c>
      <c r="F17" s="5" t="s">
        <v>1021</v>
      </c>
      <c r="G17" s="6" t="str">
        <f aca="false">INDEX(Catalogo_Causas!$B$2:$B$10,MATCH(F17,Catalogo_Causas!$A$2:$A$10,0))</f>
        <v>Falla de servicios (vapor/amoniaco/aire)</v>
      </c>
      <c r="H17" s="6" t="str">
        <f aca="false">INDEX(Catalogo_Causas!$C$2:$C$10,MATCH(F17,Catalogo_Causas!$A$2:$A$10,0))</f>
        <v>Servicios</v>
      </c>
      <c r="I17" s="5" t="n">
        <v>20</v>
      </c>
      <c r="J17" s="29" t="n">
        <f aca="false">I17/60</f>
        <v>0.333333333333333</v>
      </c>
    </row>
    <row r="18" customFormat="false" ht="15" hidden="false" customHeight="false" outlineLevel="0" collapsed="false">
      <c r="A18" s="5" t="s">
        <v>1055</v>
      </c>
      <c r="B18" s="9" t="n">
        <v>45551</v>
      </c>
      <c r="C18" s="9" t="n">
        <v>45554</v>
      </c>
      <c r="D18" s="5" t="s">
        <v>138</v>
      </c>
      <c r="E18" s="5" t="s">
        <v>1056</v>
      </c>
      <c r="F18" s="5" t="s">
        <v>1014</v>
      </c>
      <c r="G18" s="6" t="str">
        <f aca="false">INDEX(Catalogo_Causas!$B$2:$B$10,MATCH(F18,Catalogo_Causas!$A$2:$A$10,0))</f>
        <v>Retención de calidad</v>
      </c>
      <c r="H18" s="6" t="str">
        <f aca="false">INDEX(Catalogo_Causas!$C$2:$C$10,MATCH(F18,Catalogo_Causas!$A$2:$A$10,0))</f>
        <v>Calidad</v>
      </c>
      <c r="I18" s="5" t="n">
        <v>110</v>
      </c>
      <c r="J18" s="29" t="n">
        <f aca="false">I18/60</f>
        <v>1.83333333333333</v>
      </c>
    </row>
    <row r="19" customFormat="false" ht="15" hidden="false" customHeight="false" outlineLevel="0" collapsed="false">
      <c r="A19" s="5" t="s">
        <v>1057</v>
      </c>
      <c r="B19" s="9" t="n">
        <v>45551</v>
      </c>
      <c r="C19" s="9" t="n">
        <v>45554</v>
      </c>
      <c r="D19" s="5" t="s">
        <v>138</v>
      </c>
      <c r="E19" s="5" t="s">
        <v>1056</v>
      </c>
      <c r="F19" s="5" t="s">
        <v>1012</v>
      </c>
      <c r="G19" s="6" t="str">
        <f aca="false">INDEX(Catalogo_Causas!$B$2:$B$10,MATCH(F19,Catalogo_Causas!$A$2:$A$10,0))</f>
        <v>Falta de materia prima</v>
      </c>
      <c r="H19" s="6" t="str">
        <f aca="false">INDEX(Catalogo_Causas!$C$2:$C$10,MATCH(F19,Catalogo_Causas!$A$2:$A$10,0))</f>
        <v>Material / suministro</v>
      </c>
      <c r="I19" s="5" t="n">
        <v>25</v>
      </c>
      <c r="J19" s="29" t="n">
        <f aca="false">I19/60</f>
        <v>0.416666666666667</v>
      </c>
    </row>
    <row r="20" customFormat="false" ht="15" hidden="false" customHeight="false" outlineLevel="0" collapsed="false">
      <c r="A20" s="5" t="s">
        <v>1058</v>
      </c>
      <c r="B20" s="9" t="n">
        <v>45551</v>
      </c>
      <c r="C20" s="9" t="n">
        <v>45554</v>
      </c>
      <c r="D20" s="5" t="s">
        <v>138</v>
      </c>
      <c r="E20" s="5" t="s">
        <v>1034</v>
      </c>
      <c r="F20" s="5" t="s">
        <v>1002</v>
      </c>
      <c r="G20" s="6" t="str">
        <f aca="false">INDEX(Catalogo_Causas!$B$2:$B$10,MATCH(F20,Catalogo_Causas!$A$2:$A$10,0))</f>
        <v>Falla mecánica</v>
      </c>
      <c r="H20" s="6" t="str">
        <f aca="false">INDEX(Catalogo_Causas!$C$2:$C$10,MATCH(F20,Catalogo_Causas!$A$2:$A$10,0))</f>
        <v>Operacional</v>
      </c>
      <c r="I20" s="5" t="n">
        <v>26</v>
      </c>
      <c r="J20" s="29" t="n">
        <f aca="false">I20/60</f>
        <v>0.433333333333333</v>
      </c>
    </row>
    <row r="21" customFormat="false" ht="15" hidden="false" customHeight="false" outlineLevel="0" collapsed="false">
      <c r="A21" s="5" t="s">
        <v>1059</v>
      </c>
      <c r="B21" s="9" t="n">
        <v>45551</v>
      </c>
      <c r="C21" s="9" t="n">
        <v>45554</v>
      </c>
      <c r="D21" s="5" t="s">
        <v>142</v>
      </c>
      <c r="E21" s="5" t="s">
        <v>1041</v>
      </c>
      <c r="F21" s="5" t="s">
        <v>1014</v>
      </c>
      <c r="G21" s="6" t="str">
        <f aca="false">INDEX(Catalogo_Causas!$B$2:$B$10,MATCH(F21,Catalogo_Causas!$A$2:$A$10,0))</f>
        <v>Retención de calidad</v>
      </c>
      <c r="H21" s="6" t="str">
        <f aca="false">INDEX(Catalogo_Causas!$C$2:$C$10,MATCH(F21,Catalogo_Causas!$A$2:$A$10,0))</f>
        <v>Calidad</v>
      </c>
      <c r="I21" s="5" t="n">
        <v>126</v>
      </c>
      <c r="J21" s="29" t="n">
        <f aca="false">I21/60</f>
        <v>2.1</v>
      </c>
    </row>
    <row r="22" customFormat="false" ht="15" hidden="false" customHeight="false" outlineLevel="0" collapsed="false">
      <c r="A22" s="5" t="s">
        <v>1060</v>
      </c>
      <c r="B22" s="9" t="n">
        <v>45551</v>
      </c>
      <c r="C22" s="9" t="n">
        <v>45555</v>
      </c>
      <c r="D22" s="5" t="s">
        <v>130</v>
      </c>
      <c r="E22" s="5" t="s">
        <v>1045</v>
      </c>
      <c r="F22" s="5" t="s">
        <v>1005</v>
      </c>
      <c r="G22" s="6" t="str">
        <f aca="false">INDEX(Catalogo_Causas!$B$2:$B$10,MATCH(F22,Catalogo_Causas!$A$2:$A$10,0))</f>
        <v>Falla eléctrica / control</v>
      </c>
      <c r="H22" s="6" t="str">
        <f aca="false">INDEX(Catalogo_Causas!$C$2:$C$10,MATCH(F22,Catalogo_Causas!$A$2:$A$10,0))</f>
        <v>Operacional</v>
      </c>
      <c r="I22" s="5" t="n">
        <v>84</v>
      </c>
      <c r="J22" s="29" t="n">
        <f aca="false">I22/60</f>
        <v>1.4</v>
      </c>
    </row>
    <row r="23" customFormat="false" ht="15" hidden="false" customHeight="false" outlineLevel="0" collapsed="false">
      <c r="A23" s="5" t="s">
        <v>1061</v>
      </c>
      <c r="B23" s="9" t="n">
        <v>45551</v>
      </c>
      <c r="C23" s="9" t="n">
        <v>45555</v>
      </c>
      <c r="D23" s="5" t="s">
        <v>136</v>
      </c>
      <c r="E23" s="5" t="s">
        <v>1051</v>
      </c>
      <c r="F23" s="5" t="s">
        <v>1005</v>
      </c>
      <c r="G23" s="6" t="str">
        <f aca="false">INDEX(Catalogo_Causas!$B$2:$B$10,MATCH(F23,Catalogo_Causas!$A$2:$A$10,0))</f>
        <v>Falla eléctrica / control</v>
      </c>
      <c r="H23" s="6" t="str">
        <f aca="false">INDEX(Catalogo_Causas!$C$2:$C$10,MATCH(F23,Catalogo_Causas!$A$2:$A$10,0))</f>
        <v>Operacional</v>
      </c>
      <c r="I23" s="5" t="n">
        <v>151</v>
      </c>
      <c r="J23" s="29" t="n">
        <f aca="false">I23/60</f>
        <v>2.51666666666667</v>
      </c>
    </row>
    <row r="24" customFormat="false" ht="15" hidden="false" customHeight="false" outlineLevel="0" collapsed="false">
      <c r="A24" s="5" t="s">
        <v>1062</v>
      </c>
      <c r="B24" s="9" t="n">
        <v>45551</v>
      </c>
      <c r="C24" s="9" t="n">
        <v>45555</v>
      </c>
      <c r="D24" s="5" t="s">
        <v>138</v>
      </c>
      <c r="E24" s="5" t="s">
        <v>1039</v>
      </c>
      <c r="F24" s="5" t="s">
        <v>1014</v>
      </c>
      <c r="G24" s="6" t="str">
        <f aca="false">INDEX(Catalogo_Causas!$B$2:$B$10,MATCH(F24,Catalogo_Causas!$A$2:$A$10,0))</f>
        <v>Retención de calidad</v>
      </c>
      <c r="H24" s="6" t="str">
        <f aca="false">INDEX(Catalogo_Causas!$C$2:$C$10,MATCH(F24,Catalogo_Causas!$A$2:$A$10,0))</f>
        <v>Calidad</v>
      </c>
      <c r="I24" s="5" t="n">
        <v>104</v>
      </c>
      <c r="J24" s="29" t="n">
        <f aca="false">I24/60</f>
        <v>1.73333333333333</v>
      </c>
    </row>
    <row r="25" customFormat="false" ht="15" hidden="false" customHeight="false" outlineLevel="0" collapsed="false">
      <c r="A25" s="5" t="s">
        <v>1063</v>
      </c>
      <c r="B25" s="9" t="n">
        <v>45551</v>
      </c>
      <c r="C25" s="9" t="n">
        <v>45555</v>
      </c>
      <c r="D25" s="5" t="s">
        <v>144</v>
      </c>
      <c r="E25" s="5" t="s">
        <v>1032</v>
      </c>
      <c r="F25" s="5" t="s">
        <v>1005</v>
      </c>
      <c r="G25" s="6" t="str">
        <f aca="false">INDEX(Catalogo_Causas!$B$2:$B$10,MATCH(F25,Catalogo_Causas!$A$2:$A$10,0))</f>
        <v>Falla eléctrica / control</v>
      </c>
      <c r="H25" s="6" t="str">
        <f aca="false">INDEX(Catalogo_Causas!$C$2:$C$10,MATCH(F25,Catalogo_Causas!$A$2:$A$10,0))</f>
        <v>Operacional</v>
      </c>
      <c r="I25" s="5" t="n">
        <v>11</v>
      </c>
      <c r="J25" s="29" t="n">
        <f aca="false">I25/60</f>
        <v>0.183333333333333</v>
      </c>
    </row>
    <row r="26" customFormat="false" ht="15" hidden="false" customHeight="false" outlineLevel="0" collapsed="false">
      <c r="A26" s="5" t="s">
        <v>1064</v>
      </c>
      <c r="B26" s="9" t="n">
        <v>45551</v>
      </c>
      <c r="C26" s="9" t="n">
        <v>45556</v>
      </c>
      <c r="D26" s="5" t="s">
        <v>130</v>
      </c>
      <c r="E26" s="5" t="s">
        <v>1045</v>
      </c>
      <c r="F26" s="5" t="s">
        <v>1005</v>
      </c>
      <c r="G26" s="6" t="str">
        <f aca="false">INDEX(Catalogo_Causas!$B$2:$B$10,MATCH(F26,Catalogo_Causas!$A$2:$A$10,0))</f>
        <v>Falla eléctrica / control</v>
      </c>
      <c r="H26" s="6" t="str">
        <f aca="false">INDEX(Catalogo_Causas!$C$2:$C$10,MATCH(F26,Catalogo_Causas!$A$2:$A$10,0))</f>
        <v>Operacional</v>
      </c>
      <c r="I26" s="5" t="n">
        <v>90</v>
      </c>
      <c r="J26" s="29" t="n">
        <f aca="false">I26/60</f>
        <v>1.5</v>
      </c>
    </row>
    <row r="27" customFormat="false" ht="15" hidden="false" customHeight="false" outlineLevel="0" collapsed="false">
      <c r="A27" s="5" t="s">
        <v>1065</v>
      </c>
      <c r="B27" s="9" t="n">
        <v>45551</v>
      </c>
      <c r="C27" s="9" t="n">
        <v>45556</v>
      </c>
      <c r="D27" s="5" t="s">
        <v>138</v>
      </c>
      <c r="E27" s="5" t="s">
        <v>1039</v>
      </c>
      <c r="F27" s="5" t="s">
        <v>1021</v>
      </c>
      <c r="G27" s="6" t="str">
        <f aca="false">INDEX(Catalogo_Causas!$B$2:$B$10,MATCH(F27,Catalogo_Causas!$A$2:$A$10,0))</f>
        <v>Falla de servicios (vapor/amoniaco/aire)</v>
      </c>
      <c r="H27" s="6" t="str">
        <f aca="false">INDEX(Catalogo_Causas!$C$2:$C$10,MATCH(F27,Catalogo_Causas!$A$2:$A$10,0))</f>
        <v>Servicios</v>
      </c>
      <c r="I27" s="5" t="n">
        <v>73</v>
      </c>
      <c r="J27" s="29" t="n">
        <f aca="false">I27/60</f>
        <v>1.21666666666667</v>
      </c>
    </row>
    <row r="28" customFormat="false" ht="15" hidden="false" customHeight="false" outlineLevel="0" collapsed="false">
      <c r="A28" s="5" t="s">
        <v>1066</v>
      </c>
      <c r="B28" s="9" t="n">
        <v>45551</v>
      </c>
      <c r="C28" s="9" t="n">
        <v>45556</v>
      </c>
      <c r="D28" s="5" t="s">
        <v>138</v>
      </c>
      <c r="E28" s="5" t="s">
        <v>1034</v>
      </c>
      <c r="F28" s="5" t="s">
        <v>1009</v>
      </c>
      <c r="G28" s="6" t="str">
        <f aca="false">INDEX(Catalogo_Causas!$B$2:$B$10,MATCH(F28,Catalogo_Causas!$A$2:$A$10,0))</f>
        <v>Falta de material de empaque</v>
      </c>
      <c r="H28" s="6" t="str">
        <f aca="false">INDEX(Catalogo_Causas!$C$2:$C$10,MATCH(F28,Catalogo_Causas!$A$2:$A$10,0))</f>
        <v>Material / suministro</v>
      </c>
      <c r="I28" s="5" t="n">
        <v>72</v>
      </c>
      <c r="J28" s="29" t="n">
        <f aca="false">I28/60</f>
        <v>1.2</v>
      </c>
    </row>
    <row r="29" customFormat="false" ht="15" hidden="false" customHeight="false" outlineLevel="0" collapsed="false">
      <c r="A29" s="5" t="s">
        <v>1067</v>
      </c>
      <c r="B29" s="9" t="n">
        <v>45551</v>
      </c>
      <c r="C29" s="9" t="n">
        <v>45556</v>
      </c>
      <c r="D29" s="5" t="s">
        <v>144</v>
      </c>
      <c r="E29" s="5" t="s">
        <v>1043</v>
      </c>
      <c r="F29" s="5" t="s">
        <v>1005</v>
      </c>
      <c r="G29" s="6" t="str">
        <f aca="false">INDEX(Catalogo_Causas!$B$2:$B$10,MATCH(F29,Catalogo_Causas!$A$2:$A$10,0))</f>
        <v>Falla eléctrica / control</v>
      </c>
      <c r="H29" s="6" t="str">
        <f aca="false">INDEX(Catalogo_Causas!$C$2:$C$10,MATCH(F29,Catalogo_Causas!$A$2:$A$10,0))</f>
        <v>Operacional</v>
      </c>
      <c r="I29" s="5" t="n">
        <v>20</v>
      </c>
      <c r="J29" s="29" t="n">
        <f aca="false">I29/60</f>
        <v>0.333333333333333</v>
      </c>
    </row>
    <row r="30" customFormat="false" ht="15" hidden="false" customHeight="false" outlineLevel="0" collapsed="false">
      <c r="A30" s="5" t="s">
        <v>1068</v>
      </c>
      <c r="B30" s="9" t="n">
        <v>45558</v>
      </c>
      <c r="C30" s="9" t="n">
        <v>45558</v>
      </c>
      <c r="D30" s="5" t="s">
        <v>130</v>
      </c>
      <c r="E30" s="5" t="s">
        <v>1045</v>
      </c>
      <c r="F30" s="5" t="s">
        <v>1014</v>
      </c>
      <c r="G30" s="6" t="str">
        <f aca="false">INDEX(Catalogo_Causas!$B$2:$B$10,MATCH(F30,Catalogo_Causas!$A$2:$A$10,0))</f>
        <v>Retención de calidad</v>
      </c>
      <c r="H30" s="6" t="str">
        <f aca="false">INDEX(Catalogo_Causas!$C$2:$C$10,MATCH(F30,Catalogo_Causas!$A$2:$A$10,0))</f>
        <v>Calidad</v>
      </c>
      <c r="I30" s="5" t="n">
        <v>61</v>
      </c>
      <c r="J30" s="29" t="n">
        <f aca="false">I30/60</f>
        <v>1.01666666666667</v>
      </c>
    </row>
    <row r="31" customFormat="false" ht="15" hidden="false" customHeight="false" outlineLevel="0" collapsed="false">
      <c r="A31" s="5" t="s">
        <v>1069</v>
      </c>
      <c r="B31" s="9" t="n">
        <v>45558</v>
      </c>
      <c r="C31" s="9" t="n">
        <v>45558</v>
      </c>
      <c r="D31" s="5" t="s">
        <v>132</v>
      </c>
      <c r="E31" s="5" t="s">
        <v>1032</v>
      </c>
      <c r="F31" s="5" t="s">
        <v>1016</v>
      </c>
      <c r="G31" s="6" t="str">
        <f aca="false">INDEX(Catalogo_Causas!$B$2:$B$10,MATCH(F31,Catalogo_Causas!$A$2:$A$10,0))</f>
        <v>Limpieza no programada (CIP)</v>
      </c>
      <c r="H31" s="6" t="str">
        <f aca="false">INDEX(Catalogo_Causas!$C$2:$C$10,MATCH(F31,Catalogo_Causas!$A$2:$A$10,0))</f>
        <v>Calidad</v>
      </c>
      <c r="I31" s="5" t="n">
        <v>62</v>
      </c>
      <c r="J31" s="29" t="n">
        <f aca="false">I31/60</f>
        <v>1.03333333333333</v>
      </c>
    </row>
    <row r="32" customFormat="false" ht="15" hidden="false" customHeight="false" outlineLevel="0" collapsed="false">
      <c r="A32" s="5" t="s">
        <v>1070</v>
      </c>
      <c r="B32" s="9" t="n">
        <v>45558</v>
      </c>
      <c r="C32" s="9" t="n">
        <v>45558</v>
      </c>
      <c r="D32" s="5" t="s">
        <v>138</v>
      </c>
      <c r="E32" s="5" t="s">
        <v>1056</v>
      </c>
      <c r="F32" s="5" t="s">
        <v>1016</v>
      </c>
      <c r="G32" s="6" t="str">
        <f aca="false">INDEX(Catalogo_Causas!$B$2:$B$10,MATCH(F32,Catalogo_Causas!$A$2:$A$10,0))</f>
        <v>Limpieza no programada (CIP)</v>
      </c>
      <c r="H32" s="6" t="str">
        <f aca="false">INDEX(Catalogo_Causas!$C$2:$C$10,MATCH(F32,Catalogo_Causas!$A$2:$A$10,0))</f>
        <v>Calidad</v>
      </c>
      <c r="I32" s="5" t="n">
        <v>31</v>
      </c>
      <c r="J32" s="29" t="n">
        <f aca="false">I32/60</f>
        <v>0.516666666666667</v>
      </c>
    </row>
    <row r="33" customFormat="false" ht="15" hidden="false" customHeight="false" outlineLevel="0" collapsed="false">
      <c r="A33" s="5" t="s">
        <v>1071</v>
      </c>
      <c r="B33" s="9" t="n">
        <v>45558</v>
      </c>
      <c r="C33" s="9" t="n">
        <v>45558</v>
      </c>
      <c r="D33" s="5" t="s">
        <v>138</v>
      </c>
      <c r="E33" s="5" t="s">
        <v>1034</v>
      </c>
      <c r="F33" s="5" t="s">
        <v>1014</v>
      </c>
      <c r="G33" s="6" t="str">
        <f aca="false">INDEX(Catalogo_Causas!$B$2:$B$10,MATCH(F33,Catalogo_Causas!$A$2:$A$10,0))</f>
        <v>Retención de calidad</v>
      </c>
      <c r="H33" s="6" t="str">
        <f aca="false">INDEX(Catalogo_Causas!$C$2:$C$10,MATCH(F33,Catalogo_Causas!$A$2:$A$10,0))</f>
        <v>Calidad</v>
      </c>
      <c r="I33" s="5" t="n">
        <v>80</v>
      </c>
      <c r="J33" s="29" t="n">
        <f aca="false">I33/60</f>
        <v>1.33333333333333</v>
      </c>
    </row>
    <row r="34" customFormat="false" ht="15" hidden="false" customHeight="false" outlineLevel="0" collapsed="false">
      <c r="A34" s="5" t="s">
        <v>1072</v>
      </c>
      <c r="B34" s="9" t="n">
        <v>45558</v>
      </c>
      <c r="C34" s="9" t="n">
        <v>45559</v>
      </c>
      <c r="D34" s="5" t="s">
        <v>132</v>
      </c>
      <c r="E34" s="5" t="s">
        <v>1073</v>
      </c>
      <c r="F34" s="5" t="s">
        <v>1016</v>
      </c>
      <c r="G34" s="6" t="str">
        <f aca="false">INDEX(Catalogo_Causas!$B$2:$B$10,MATCH(F34,Catalogo_Causas!$A$2:$A$10,0))</f>
        <v>Limpieza no programada (CIP)</v>
      </c>
      <c r="H34" s="6" t="str">
        <f aca="false">INDEX(Catalogo_Causas!$C$2:$C$10,MATCH(F34,Catalogo_Causas!$A$2:$A$10,0))</f>
        <v>Calidad</v>
      </c>
      <c r="I34" s="5" t="n">
        <v>75</v>
      </c>
      <c r="J34" s="29" t="n">
        <f aca="false">I34/60</f>
        <v>1.25</v>
      </c>
    </row>
    <row r="35" customFormat="false" ht="15" hidden="false" customHeight="false" outlineLevel="0" collapsed="false">
      <c r="A35" s="5" t="s">
        <v>1074</v>
      </c>
      <c r="B35" s="9" t="n">
        <v>45558</v>
      </c>
      <c r="C35" s="9" t="n">
        <v>45559</v>
      </c>
      <c r="D35" s="5" t="s">
        <v>134</v>
      </c>
      <c r="E35" s="5" t="s">
        <v>1054</v>
      </c>
      <c r="F35" s="5" t="s">
        <v>1005</v>
      </c>
      <c r="G35" s="6" t="str">
        <f aca="false">INDEX(Catalogo_Causas!$B$2:$B$10,MATCH(F35,Catalogo_Causas!$A$2:$A$10,0))</f>
        <v>Falla eléctrica / control</v>
      </c>
      <c r="H35" s="6" t="str">
        <f aca="false">INDEX(Catalogo_Causas!$C$2:$C$10,MATCH(F35,Catalogo_Causas!$A$2:$A$10,0))</f>
        <v>Operacional</v>
      </c>
      <c r="I35" s="5" t="n">
        <v>79</v>
      </c>
      <c r="J35" s="29" t="n">
        <f aca="false">I35/60</f>
        <v>1.31666666666667</v>
      </c>
    </row>
    <row r="36" customFormat="false" ht="15" hidden="false" customHeight="false" outlineLevel="0" collapsed="false">
      <c r="A36" s="5" t="s">
        <v>1075</v>
      </c>
      <c r="B36" s="9" t="n">
        <v>45558</v>
      </c>
      <c r="C36" s="9" t="n">
        <v>45559</v>
      </c>
      <c r="D36" s="5" t="s">
        <v>138</v>
      </c>
      <c r="E36" s="5" t="s">
        <v>1056</v>
      </c>
      <c r="F36" s="5" t="s">
        <v>1007</v>
      </c>
      <c r="G36" s="6" t="str">
        <f aca="false">INDEX(Catalogo_Causas!$B$2:$B$10,MATCH(F36,Catalogo_Causas!$A$2:$A$10,0))</f>
        <v>Cambio de formato excedido</v>
      </c>
      <c r="H36" s="6" t="str">
        <f aca="false">INDEX(Catalogo_Causas!$C$2:$C$10,MATCH(F36,Catalogo_Causas!$A$2:$A$10,0))</f>
        <v>Operacional</v>
      </c>
      <c r="I36" s="5" t="n">
        <v>52</v>
      </c>
      <c r="J36" s="29" t="n">
        <f aca="false">I36/60</f>
        <v>0.866666666666667</v>
      </c>
    </row>
    <row r="37" customFormat="false" ht="15" hidden="false" customHeight="false" outlineLevel="0" collapsed="false">
      <c r="A37" s="5" t="s">
        <v>1076</v>
      </c>
      <c r="B37" s="9" t="n">
        <v>45558</v>
      </c>
      <c r="C37" s="9" t="n">
        <v>45559</v>
      </c>
      <c r="D37" s="5" t="s">
        <v>140</v>
      </c>
      <c r="E37" s="5" t="s">
        <v>1045</v>
      </c>
      <c r="F37" s="5" t="s">
        <v>1005</v>
      </c>
      <c r="G37" s="6" t="str">
        <f aca="false">INDEX(Catalogo_Causas!$B$2:$B$10,MATCH(F37,Catalogo_Causas!$A$2:$A$10,0))</f>
        <v>Falla eléctrica / control</v>
      </c>
      <c r="H37" s="6" t="str">
        <f aca="false">INDEX(Catalogo_Causas!$C$2:$C$10,MATCH(F37,Catalogo_Causas!$A$2:$A$10,0))</f>
        <v>Operacional</v>
      </c>
      <c r="I37" s="5" t="n">
        <v>81</v>
      </c>
      <c r="J37" s="29" t="n">
        <f aca="false">I37/60</f>
        <v>1.35</v>
      </c>
    </row>
    <row r="38" customFormat="false" ht="15" hidden="false" customHeight="false" outlineLevel="0" collapsed="false">
      <c r="A38" s="5" t="s">
        <v>1077</v>
      </c>
      <c r="B38" s="9" t="n">
        <v>45558</v>
      </c>
      <c r="C38" s="9" t="n">
        <v>45560</v>
      </c>
      <c r="D38" s="5" t="s">
        <v>130</v>
      </c>
      <c r="E38" s="5" t="s">
        <v>1078</v>
      </c>
      <c r="F38" s="5" t="s">
        <v>1002</v>
      </c>
      <c r="G38" s="6" t="str">
        <f aca="false">INDEX(Catalogo_Causas!$B$2:$B$10,MATCH(F38,Catalogo_Causas!$A$2:$A$10,0))</f>
        <v>Falla mecánica</v>
      </c>
      <c r="H38" s="6" t="str">
        <f aca="false">INDEX(Catalogo_Causas!$C$2:$C$10,MATCH(F38,Catalogo_Causas!$A$2:$A$10,0))</f>
        <v>Operacional</v>
      </c>
      <c r="I38" s="5" t="n">
        <v>114</v>
      </c>
      <c r="J38" s="29" t="n">
        <f aca="false">I38/60</f>
        <v>1.9</v>
      </c>
    </row>
    <row r="39" customFormat="false" ht="15" hidden="false" customHeight="false" outlineLevel="0" collapsed="false">
      <c r="A39" s="5" t="s">
        <v>1079</v>
      </c>
      <c r="B39" s="9" t="n">
        <v>45558</v>
      </c>
      <c r="C39" s="9" t="n">
        <v>45560</v>
      </c>
      <c r="D39" s="5" t="s">
        <v>132</v>
      </c>
      <c r="E39" s="5" t="s">
        <v>1032</v>
      </c>
      <c r="F39" s="5" t="s">
        <v>1002</v>
      </c>
      <c r="G39" s="6" t="str">
        <f aca="false">INDEX(Catalogo_Causas!$B$2:$B$10,MATCH(F39,Catalogo_Causas!$A$2:$A$10,0))</f>
        <v>Falla mecánica</v>
      </c>
      <c r="H39" s="6" t="str">
        <f aca="false">INDEX(Catalogo_Causas!$C$2:$C$10,MATCH(F39,Catalogo_Causas!$A$2:$A$10,0))</f>
        <v>Operacional</v>
      </c>
      <c r="I39" s="5" t="n">
        <v>40</v>
      </c>
      <c r="J39" s="29" t="n">
        <f aca="false">I39/60</f>
        <v>0.666666666666667</v>
      </c>
    </row>
    <row r="40" customFormat="false" ht="15" hidden="false" customHeight="false" outlineLevel="0" collapsed="false">
      <c r="A40" s="5" t="s">
        <v>1080</v>
      </c>
      <c r="B40" s="9" t="n">
        <v>45558</v>
      </c>
      <c r="C40" s="9" t="n">
        <v>45560</v>
      </c>
      <c r="D40" s="5" t="s">
        <v>134</v>
      </c>
      <c r="E40" s="5" t="s">
        <v>1030</v>
      </c>
      <c r="F40" s="5" t="s">
        <v>1005</v>
      </c>
      <c r="G40" s="6" t="str">
        <f aca="false">INDEX(Catalogo_Causas!$B$2:$B$10,MATCH(F40,Catalogo_Causas!$A$2:$A$10,0))</f>
        <v>Falla eléctrica / control</v>
      </c>
      <c r="H40" s="6" t="str">
        <f aca="false">INDEX(Catalogo_Causas!$C$2:$C$10,MATCH(F40,Catalogo_Causas!$A$2:$A$10,0))</f>
        <v>Operacional</v>
      </c>
      <c r="I40" s="5" t="n">
        <v>43</v>
      </c>
      <c r="J40" s="29" t="n">
        <f aca="false">I40/60</f>
        <v>0.716666666666667</v>
      </c>
    </row>
    <row r="41" customFormat="false" ht="15" hidden="false" customHeight="false" outlineLevel="0" collapsed="false">
      <c r="A41" s="5" t="s">
        <v>1081</v>
      </c>
      <c r="B41" s="9" t="n">
        <v>45558</v>
      </c>
      <c r="C41" s="9" t="n">
        <v>45560</v>
      </c>
      <c r="D41" s="5" t="s">
        <v>136</v>
      </c>
      <c r="E41" s="5" t="s">
        <v>1051</v>
      </c>
      <c r="F41" s="5" t="s">
        <v>1014</v>
      </c>
      <c r="G41" s="6" t="str">
        <f aca="false">INDEX(Catalogo_Causas!$B$2:$B$10,MATCH(F41,Catalogo_Causas!$A$2:$A$10,0))</f>
        <v>Retención de calidad</v>
      </c>
      <c r="H41" s="6" t="str">
        <f aca="false">INDEX(Catalogo_Causas!$C$2:$C$10,MATCH(F41,Catalogo_Causas!$A$2:$A$10,0))</f>
        <v>Calidad</v>
      </c>
      <c r="I41" s="5" t="n">
        <v>29</v>
      </c>
      <c r="J41" s="29" t="n">
        <f aca="false">I41/60</f>
        <v>0.483333333333333</v>
      </c>
    </row>
    <row r="42" customFormat="false" ht="15" hidden="false" customHeight="false" outlineLevel="0" collapsed="false">
      <c r="A42" s="5" t="s">
        <v>1082</v>
      </c>
      <c r="B42" s="9" t="n">
        <v>45558</v>
      </c>
      <c r="C42" s="9" t="n">
        <v>45560</v>
      </c>
      <c r="D42" s="5" t="s">
        <v>138</v>
      </c>
      <c r="E42" s="5" t="s">
        <v>1056</v>
      </c>
      <c r="F42" s="5" t="s">
        <v>1002</v>
      </c>
      <c r="G42" s="6" t="str">
        <f aca="false">INDEX(Catalogo_Causas!$B$2:$B$10,MATCH(F42,Catalogo_Causas!$A$2:$A$10,0))</f>
        <v>Falla mecánica</v>
      </c>
      <c r="H42" s="6" t="str">
        <f aca="false">INDEX(Catalogo_Causas!$C$2:$C$10,MATCH(F42,Catalogo_Causas!$A$2:$A$10,0))</f>
        <v>Operacional</v>
      </c>
      <c r="I42" s="5" t="n">
        <v>28</v>
      </c>
      <c r="J42" s="29" t="n">
        <f aca="false">I42/60</f>
        <v>0.466666666666667</v>
      </c>
    </row>
    <row r="43" customFormat="false" ht="15" hidden="false" customHeight="false" outlineLevel="0" collapsed="false">
      <c r="A43" s="5" t="s">
        <v>1083</v>
      </c>
      <c r="B43" s="9" t="n">
        <v>45558</v>
      </c>
      <c r="C43" s="9" t="n">
        <v>45561</v>
      </c>
      <c r="D43" s="5" t="s">
        <v>132</v>
      </c>
      <c r="E43" s="5" t="s">
        <v>1084</v>
      </c>
      <c r="F43" s="5" t="s">
        <v>1012</v>
      </c>
      <c r="G43" s="6" t="str">
        <f aca="false">INDEX(Catalogo_Causas!$B$2:$B$10,MATCH(F43,Catalogo_Causas!$A$2:$A$10,0))</f>
        <v>Falta de materia prima</v>
      </c>
      <c r="H43" s="6" t="str">
        <f aca="false">INDEX(Catalogo_Causas!$C$2:$C$10,MATCH(F43,Catalogo_Causas!$A$2:$A$10,0))</f>
        <v>Material / suministro</v>
      </c>
      <c r="I43" s="5" t="n">
        <v>31</v>
      </c>
      <c r="J43" s="29" t="n">
        <f aca="false">I43/60</f>
        <v>0.516666666666667</v>
      </c>
    </row>
    <row r="44" customFormat="false" ht="15" hidden="false" customHeight="false" outlineLevel="0" collapsed="false">
      <c r="A44" s="5" t="s">
        <v>1085</v>
      </c>
      <c r="B44" s="9" t="n">
        <v>45558</v>
      </c>
      <c r="C44" s="9" t="n">
        <v>45561</v>
      </c>
      <c r="D44" s="5" t="s">
        <v>138</v>
      </c>
      <c r="E44" s="5" t="s">
        <v>1056</v>
      </c>
      <c r="F44" s="5" t="s">
        <v>1018</v>
      </c>
      <c r="G44" s="6" t="str">
        <f aca="false">INDEX(Catalogo_Causas!$B$2:$B$10,MATCH(F44,Catalogo_Causas!$A$2:$A$10,0))</f>
        <v>Falta de personal</v>
      </c>
      <c r="H44" s="6" t="str">
        <f aca="false">INDEX(Catalogo_Causas!$C$2:$C$10,MATCH(F44,Catalogo_Causas!$A$2:$A$10,0))</f>
        <v>Personal</v>
      </c>
      <c r="I44" s="5" t="n">
        <v>11</v>
      </c>
      <c r="J44" s="29" t="n">
        <f aca="false">I44/60</f>
        <v>0.183333333333333</v>
      </c>
    </row>
    <row r="45" customFormat="false" ht="15" hidden="false" customHeight="false" outlineLevel="0" collapsed="false">
      <c r="A45" s="5" t="s">
        <v>1086</v>
      </c>
      <c r="B45" s="9" t="n">
        <v>45558</v>
      </c>
      <c r="C45" s="9" t="n">
        <v>45561</v>
      </c>
      <c r="D45" s="5" t="s">
        <v>140</v>
      </c>
      <c r="E45" s="5" t="s">
        <v>1045</v>
      </c>
      <c r="F45" s="5" t="s">
        <v>1002</v>
      </c>
      <c r="G45" s="6" t="str">
        <f aca="false">INDEX(Catalogo_Causas!$B$2:$B$10,MATCH(F45,Catalogo_Causas!$A$2:$A$10,0))</f>
        <v>Falla mecánica</v>
      </c>
      <c r="H45" s="6" t="str">
        <f aca="false">INDEX(Catalogo_Causas!$C$2:$C$10,MATCH(F45,Catalogo_Causas!$A$2:$A$10,0))</f>
        <v>Operacional</v>
      </c>
      <c r="I45" s="5" t="n">
        <v>100</v>
      </c>
      <c r="J45" s="29" t="n">
        <f aca="false">I45/60</f>
        <v>1.66666666666667</v>
      </c>
    </row>
    <row r="46" customFormat="false" ht="15" hidden="false" customHeight="false" outlineLevel="0" collapsed="false">
      <c r="A46" s="5" t="s">
        <v>1087</v>
      </c>
      <c r="B46" s="9" t="n">
        <v>45558</v>
      </c>
      <c r="C46" s="9" t="n">
        <v>45561</v>
      </c>
      <c r="D46" s="5" t="s">
        <v>144</v>
      </c>
      <c r="E46" s="5" t="s">
        <v>1030</v>
      </c>
      <c r="F46" s="5" t="s">
        <v>1002</v>
      </c>
      <c r="G46" s="6" t="str">
        <f aca="false">INDEX(Catalogo_Causas!$B$2:$B$10,MATCH(F46,Catalogo_Causas!$A$2:$A$10,0))</f>
        <v>Falla mecánica</v>
      </c>
      <c r="H46" s="6" t="str">
        <f aca="false">INDEX(Catalogo_Causas!$C$2:$C$10,MATCH(F46,Catalogo_Causas!$A$2:$A$10,0))</f>
        <v>Operacional</v>
      </c>
      <c r="I46" s="5" t="n">
        <v>91</v>
      </c>
      <c r="J46" s="29" t="n">
        <f aca="false">I46/60</f>
        <v>1.51666666666667</v>
      </c>
    </row>
    <row r="47" customFormat="false" ht="15" hidden="false" customHeight="false" outlineLevel="0" collapsed="false">
      <c r="A47" s="5" t="s">
        <v>1088</v>
      </c>
      <c r="B47" s="9" t="n">
        <v>45558</v>
      </c>
      <c r="C47" s="9" t="n">
        <v>45562</v>
      </c>
      <c r="D47" s="5" t="s">
        <v>132</v>
      </c>
      <c r="E47" s="5" t="s">
        <v>1073</v>
      </c>
      <c r="F47" s="5" t="s">
        <v>1016</v>
      </c>
      <c r="G47" s="6" t="str">
        <f aca="false">INDEX(Catalogo_Causas!$B$2:$B$10,MATCH(F47,Catalogo_Causas!$A$2:$A$10,0))</f>
        <v>Limpieza no programada (CIP)</v>
      </c>
      <c r="H47" s="6" t="str">
        <f aca="false">INDEX(Catalogo_Causas!$C$2:$C$10,MATCH(F47,Catalogo_Causas!$A$2:$A$10,0))</f>
        <v>Calidad</v>
      </c>
      <c r="I47" s="5" t="n">
        <v>97</v>
      </c>
      <c r="J47" s="29" t="n">
        <f aca="false">I47/60</f>
        <v>1.61666666666667</v>
      </c>
    </row>
    <row r="48" customFormat="false" ht="15" hidden="false" customHeight="false" outlineLevel="0" collapsed="false">
      <c r="A48" s="5" t="s">
        <v>1089</v>
      </c>
      <c r="B48" s="9" t="n">
        <v>45558</v>
      </c>
      <c r="C48" s="9" t="n">
        <v>45562</v>
      </c>
      <c r="D48" s="5" t="s">
        <v>136</v>
      </c>
      <c r="E48" s="5" t="s">
        <v>1051</v>
      </c>
      <c r="F48" s="5" t="s">
        <v>1009</v>
      </c>
      <c r="G48" s="6" t="str">
        <f aca="false">INDEX(Catalogo_Causas!$B$2:$B$10,MATCH(F48,Catalogo_Causas!$A$2:$A$10,0))</f>
        <v>Falta de material de empaque</v>
      </c>
      <c r="H48" s="6" t="str">
        <f aca="false">INDEX(Catalogo_Causas!$C$2:$C$10,MATCH(F48,Catalogo_Causas!$A$2:$A$10,0))</f>
        <v>Material / suministro</v>
      </c>
      <c r="I48" s="5" t="n">
        <v>34</v>
      </c>
      <c r="J48" s="29" t="n">
        <f aca="false">I48/60</f>
        <v>0.566666666666667</v>
      </c>
    </row>
    <row r="49" customFormat="false" ht="15" hidden="false" customHeight="false" outlineLevel="0" collapsed="false">
      <c r="A49" s="5" t="s">
        <v>1090</v>
      </c>
      <c r="B49" s="9" t="n">
        <v>45558</v>
      </c>
      <c r="C49" s="9" t="n">
        <v>45562</v>
      </c>
      <c r="D49" s="5" t="s">
        <v>142</v>
      </c>
      <c r="E49" s="5" t="s">
        <v>1041</v>
      </c>
      <c r="F49" s="5" t="s">
        <v>1005</v>
      </c>
      <c r="G49" s="6" t="str">
        <f aca="false">INDEX(Catalogo_Causas!$B$2:$B$10,MATCH(F49,Catalogo_Causas!$A$2:$A$10,0))</f>
        <v>Falla eléctrica / control</v>
      </c>
      <c r="H49" s="6" t="str">
        <f aca="false">INDEX(Catalogo_Causas!$C$2:$C$10,MATCH(F49,Catalogo_Causas!$A$2:$A$10,0))</f>
        <v>Operacional</v>
      </c>
      <c r="I49" s="5" t="n">
        <v>107</v>
      </c>
      <c r="J49" s="29" t="n">
        <f aca="false">I49/60</f>
        <v>1.78333333333333</v>
      </c>
    </row>
    <row r="50" customFormat="false" ht="15" hidden="false" customHeight="false" outlineLevel="0" collapsed="false">
      <c r="A50" s="5" t="s">
        <v>1091</v>
      </c>
      <c r="B50" s="9" t="n">
        <v>45558</v>
      </c>
      <c r="C50" s="9" t="n">
        <v>45562</v>
      </c>
      <c r="D50" s="5" t="s">
        <v>142</v>
      </c>
      <c r="E50" s="5" t="s">
        <v>1051</v>
      </c>
      <c r="F50" s="5" t="s">
        <v>1007</v>
      </c>
      <c r="G50" s="6" t="str">
        <f aca="false">INDEX(Catalogo_Causas!$B$2:$B$10,MATCH(F50,Catalogo_Causas!$A$2:$A$10,0))</f>
        <v>Cambio de formato excedido</v>
      </c>
      <c r="H50" s="6" t="str">
        <f aca="false">INDEX(Catalogo_Causas!$C$2:$C$10,MATCH(F50,Catalogo_Causas!$A$2:$A$10,0))</f>
        <v>Operacional</v>
      </c>
      <c r="I50" s="5" t="n">
        <v>25</v>
      </c>
      <c r="J50" s="29" t="n">
        <f aca="false">I50/60</f>
        <v>0.416666666666667</v>
      </c>
    </row>
    <row r="51" customFormat="false" ht="15" hidden="false" customHeight="false" outlineLevel="0" collapsed="false">
      <c r="A51" s="5" t="s">
        <v>1092</v>
      </c>
      <c r="B51" s="9" t="n">
        <v>45558</v>
      </c>
      <c r="C51" s="9" t="n">
        <v>45562</v>
      </c>
      <c r="D51" s="5" t="s">
        <v>142</v>
      </c>
      <c r="E51" s="5" t="s">
        <v>1030</v>
      </c>
      <c r="F51" s="5" t="s">
        <v>1002</v>
      </c>
      <c r="G51" s="6" t="str">
        <f aca="false">INDEX(Catalogo_Causas!$B$2:$B$10,MATCH(F51,Catalogo_Causas!$A$2:$A$10,0))</f>
        <v>Falla mecánica</v>
      </c>
      <c r="H51" s="6" t="str">
        <f aca="false">INDEX(Catalogo_Causas!$C$2:$C$10,MATCH(F51,Catalogo_Causas!$A$2:$A$10,0))</f>
        <v>Operacional</v>
      </c>
      <c r="I51" s="5" t="n">
        <v>246</v>
      </c>
      <c r="J51" s="29" t="n">
        <f aca="false">I51/60</f>
        <v>4.1</v>
      </c>
    </row>
    <row r="52" customFormat="false" ht="15" hidden="false" customHeight="false" outlineLevel="0" collapsed="false">
      <c r="A52" s="5" t="s">
        <v>1093</v>
      </c>
      <c r="B52" s="9" t="n">
        <v>45558</v>
      </c>
      <c r="C52" s="9" t="n">
        <v>45563</v>
      </c>
      <c r="D52" s="5" t="s">
        <v>130</v>
      </c>
      <c r="E52" s="5" t="s">
        <v>1030</v>
      </c>
      <c r="F52" s="5" t="s">
        <v>1014</v>
      </c>
      <c r="G52" s="6" t="str">
        <f aca="false">INDEX(Catalogo_Causas!$B$2:$B$10,MATCH(F52,Catalogo_Causas!$A$2:$A$10,0))</f>
        <v>Retención de calidad</v>
      </c>
      <c r="H52" s="6" t="str">
        <f aca="false">INDEX(Catalogo_Causas!$C$2:$C$10,MATCH(F52,Catalogo_Causas!$A$2:$A$10,0))</f>
        <v>Calidad</v>
      </c>
      <c r="I52" s="5" t="n">
        <v>69</v>
      </c>
      <c r="J52" s="29" t="n">
        <f aca="false">I52/60</f>
        <v>1.15</v>
      </c>
    </row>
    <row r="53" customFormat="false" ht="15" hidden="false" customHeight="false" outlineLevel="0" collapsed="false">
      <c r="A53" s="5" t="s">
        <v>1094</v>
      </c>
      <c r="B53" s="9" t="n">
        <v>45558</v>
      </c>
      <c r="C53" s="9" t="n">
        <v>45563</v>
      </c>
      <c r="D53" s="5" t="s">
        <v>136</v>
      </c>
      <c r="E53" s="5" t="s">
        <v>1051</v>
      </c>
      <c r="F53" s="5" t="s">
        <v>1016</v>
      </c>
      <c r="G53" s="6" t="str">
        <f aca="false">INDEX(Catalogo_Causas!$B$2:$B$10,MATCH(F53,Catalogo_Causas!$A$2:$A$10,0))</f>
        <v>Limpieza no programada (CIP)</v>
      </c>
      <c r="H53" s="6" t="str">
        <f aca="false">INDEX(Catalogo_Causas!$C$2:$C$10,MATCH(F53,Catalogo_Causas!$A$2:$A$10,0))</f>
        <v>Calidad</v>
      </c>
      <c r="I53" s="5" t="n">
        <v>54</v>
      </c>
      <c r="J53" s="29" t="n">
        <f aca="false">I53/60</f>
        <v>0.9</v>
      </c>
    </row>
    <row r="54" customFormat="false" ht="15" hidden="false" customHeight="false" outlineLevel="0" collapsed="false">
      <c r="A54" s="5" t="s">
        <v>1095</v>
      </c>
      <c r="B54" s="9" t="n">
        <v>45558</v>
      </c>
      <c r="C54" s="9" t="n">
        <v>45563</v>
      </c>
      <c r="D54" s="5" t="s">
        <v>138</v>
      </c>
      <c r="E54" s="5" t="s">
        <v>1039</v>
      </c>
      <c r="F54" s="5" t="s">
        <v>1002</v>
      </c>
      <c r="G54" s="6" t="str">
        <f aca="false">INDEX(Catalogo_Causas!$B$2:$B$10,MATCH(F54,Catalogo_Causas!$A$2:$A$10,0))</f>
        <v>Falla mecánica</v>
      </c>
      <c r="H54" s="6" t="str">
        <f aca="false">INDEX(Catalogo_Causas!$C$2:$C$10,MATCH(F54,Catalogo_Causas!$A$2:$A$10,0))</f>
        <v>Operacional</v>
      </c>
      <c r="I54" s="5" t="n">
        <v>86</v>
      </c>
      <c r="J54" s="29" t="n">
        <f aca="false">I54/60</f>
        <v>1.43333333333333</v>
      </c>
    </row>
    <row r="55" customFormat="false" ht="15" hidden="false" customHeight="false" outlineLevel="0" collapsed="false">
      <c r="A55" s="5" t="s">
        <v>1096</v>
      </c>
      <c r="B55" s="9" t="n">
        <v>45558</v>
      </c>
      <c r="C55" s="9" t="n">
        <v>45563</v>
      </c>
      <c r="D55" s="5" t="s">
        <v>140</v>
      </c>
      <c r="E55" s="5" t="s">
        <v>1045</v>
      </c>
      <c r="F55" s="5" t="s">
        <v>1012</v>
      </c>
      <c r="G55" s="6" t="str">
        <f aca="false">INDEX(Catalogo_Causas!$B$2:$B$10,MATCH(F55,Catalogo_Causas!$A$2:$A$10,0))</f>
        <v>Falta de materia prima</v>
      </c>
      <c r="H55" s="6" t="str">
        <f aca="false">INDEX(Catalogo_Causas!$C$2:$C$10,MATCH(F55,Catalogo_Causas!$A$2:$A$10,0))</f>
        <v>Material / suministro</v>
      </c>
      <c r="I55" s="5" t="n">
        <v>16</v>
      </c>
      <c r="J55" s="29" t="n">
        <f aca="false">I55/60</f>
        <v>0.266666666666667</v>
      </c>
    </row>
    <row r="56" customFormat="false" ht="15" hidden="false" customHeight="false" outlineLevel="0" collapsed="false">
      <c r="A56" s="5" t="s">
        <v>1097</v>
      </c>
      <c r="B56" s="9" t="n">
        <v>45558</v>
      </c>
      <c r="C56" s="9" t="n">
        <v>45563</v>
      </c>
      <c r="D56" s="5" t="s">
        <v>142</v>
      </c>
      <c r="E56" s="5" t="s">
        <v>1041</v>
      </c>
      <c r="F56" s="5" t="s">
        <v>1002</v>
      </c>
      <c r="G56" s="6" t="str">
        <f aca="false">INDEX(Catalogo_Causas!$B$2:$B$10,MATCH(F56,Catalogo_Causas!$A$2:$A$10,0))</f>
        <v>Falla mecánica</v>
      </c>
      <c r="H56" s="6" t="str">
        <f aca="false">INDEX(Catalogo_Causas!$C$2:$C$10,MATCH(F56,Catalogo_Causas!$A$2:$A$10,0))</f>
        <v>Operacional</v>
      </c>
      <c r="I56" s="5" t="n">
        <v>48</v>
      </c>
      <c r="J56" s="29" t="n">
        <f aca="false">I56/60</f>
        <v>0.8</v>
      </c>
    </row>
    <row r="57" customFormat="false" ht="15" hidden="false" customHeight="false" outlineLevel="0" collapsed="false">
      <c r="A57" s="5" t="s">
        <v>1098</v>
      </c>
      <c r="B57" s="9" t="n">
        <v>45565</v>
      </c>
      <c r="C57" s="9" t="n">
        <v>45565</v>
      </c>
      <c r="D57" s="5" t="s">
        <v>136</v>
      </c>
      <c r="E57" s="5" t="s">
        <v>1051</v>
      </c>
      <c r="F57" s="5" t="s">
        <v>1007</v>
      </c>
      <c r="G57" s="6" t="str">
        <f aca="false">INDEX(Catalogo_Causas!$B$2:$B$10,MATCH(F57,Catalogo_Causas!$A$2:$A$10,0))</f>
        <v>Cambio de formato excedido</v>
      </c>
      <c r="H57" s="6" t="str">
        <f aca="false">INDEX(Catalogo_Causas!$C$2:$C$10,MATCH(F57,Catalogo_Causas!$A$2:$A$10,0))</f>
        <v>Operacional</v>
      </c>
      <c r="I57" s="5" t="n">
        <v>27</v>
      </c>
      <c r="J57" s="29" t="n">
        <f aca="false">I57/60</f>
        <v>0.45</v>
      </c>
    </row>
    <row r="58" customFormat="false" ht="15" hidden="false" customHeight="false" outlineLevel="0" collapsed="false">
      <c r="A58" s="5" t="s">
        <v>1099</v>
      </c>
      <c r="B58" s="9" t="n">
        <v>45565</v>
      </c>
      <c r="C58" s="9" t="n">
        <v>45565</v>
      </c>
      <c r="D58" s="5" t="s">
        <v>142</v>
      </c>
      <c r="E58" s="5" t="s">
        <v>1041</v>
      </c>
      <c r="F58" s="5" t="s">
        <v>1002</v>
      </c>
      <c r="G58" s="6" t="str">
        <f aca="false">INDEX(Catalogo_Causas!$B$2:$B$10,MATCH(F58,Catalogo_Causas!$A$2:$A$10,0))</f>
        <v>Falla mecánica</v>
      </c>
      <c r="H58" s="6" t="str">
        <f aca="false">INDEX(Catalogo_Causas!$C$2:$C$10,MATCH(F58,Catalogo_Causas!$A$2:$A$10,0))</f>
        <v>Operacional</v>
      </c>
      <c r="I58" s="5" t="n">
        <v>26</v>
      </c>
      <c r="J58" s="29" t="n">
        <f aca="false">I58/60</f>
        <v>0.433333333333333</v>
      </c>
    </row>
    <row r="59" customFormat="false" ht="15" hidden="false" customHeight="false" outlineLevel="0" collapsed="false">
      <c r="A59" s="5" t="s">
        <v>1100</v>
      </c>
      <c r="B59" s="9" t="n">
        <v>45565</v>
      </c>
      <c r="C59" s="9" t="n">
        <v>45566</v>
      </c>
      <c r="D59" s="5" t="s">
        <v>136</v>
      </c>
      <c r="E59" s="5" t="s">
        <v>1101</v>
      </c>
      <c r="F59" s="5" t="s">
        <v>1007</v>
      </c>
      <c r="G59" s="6" t="str">
        <f aca="false">INDEX(Catalogo_Causas!$B$2:$B$10,MATCH(F59,Catalogo_Causas!$A$2:$A$10,0))</f>
        <v>Cambio de formato excedido</v>
      </c>
      <c r="H59" s="6" t="str">
        <f aca="false">INDEX(Catalogo_Causas!$C$2:$C$10,MATCH(F59,Catalogo_Causas!$A$2:$A$10,0))</f>
        <v>Operacional</v>
      </c>
      <c r="I59" s="5" t="n">
        <v>24</v>
      </c>
      <c r="J59" s="29" t="n">
        <f aca="false">I59/60</f>
        <v>0.4</v>
      </c>
    </row>
    <row r="60" customFormat="false" ht="15" hidden="false" customHeight="false" outlineLevel="0" collapsed="false">
      <c r="A60" s="5" t="s">
        <v>1102</v>
      </c>
      <c r="B60" s="9" t="n">
        <v>45565</v>
      </c>
      <c r="C60" s="9" t="n">
        <v>45567</v>
      </c>
      <c r="D60" s="5" t="s">
        <v>140</v>
      </c>
      <c r="E60" s="5" t="s">
        <v>1045</v>
      </c>
      <c r="F60" s="5" t="s">
        <v>1005</v>
      </c>
      <c r="G60" s="6" t="str">
        <f aca="false">INDEX(Catalogo_Causas!$B$2:$B$10,MATCH(F60,Catalogo_Causas!$A$2:$A$10,0))</f>
        <v>Falla eléctrica / control</v>
      </c>
      <c r="H60" s="6" t="str">
        <f aca="false">INDEX(Catalogo_Causas!$C$2:$C$10,MATCH(F60,Catalogo_Causas!$A$2:$A$10,0))</f>
        <v>Operacional</v>
      </c>
      <c r="I60" s="5" t="n">
        <v>158</v>
      </c>
      <c r="J60" s="29" t="n">
        <f aca="false">I60/60</f>
        <v>2.63333333333333</v>
      </c>
    </row>
    <row r="61" customFormat="false" ht="15" hidden="false" customHeight="false" outlineLevel="0" collapsed="false">
      <c r="A61" s="5" t="s">
        <v>1103</v>
      </c>
      <c r="B61" s="9" t="n">
        <v>45565</v>
      </c>
      <c r="C61" s="9" t="n">
        <v>45567</v>
      </c>
      <c r="D61" s="5" t="s">
        <v>144</v>
      </c>
      <c r="E61" s="5" t="s">
        <v>1032</v>
      </c>
      <c r="F61" s="5" t="s">
        <v>1014</v>
      </c>
      <c r="G61" s="6" t="str">
        <f aca="false">INDEX(Catalogo_Causas!$B$2:$B$10,MATCH(F61,Catalogo_Causas!$A$2:$A$10,0))</f>
        <v>Retención de calidad</v>
      </c>
      <c r="H61" s="6" t="str">
        <f aca="false">INDEX(Catalogo_Causas!$C$2:$C$10,MATCH(F61,Catalogo_Causas!$A$2:$A$10,0))</f>
        <v>Calidad</v>
      </c>
      <c r="I61" s="5" t="n">
        <v>21</v>
      </c>
      <c r="J61" s="29" t="n">
        <f aca="false">I61/60</f>
        <v>0.35</v>
      </c>
    </row>
    <row r="62" customFormat="false" ht="15" hidden="false" customHeight="false" outlineLevel="0" collapsed="false">
      <c r="A62" s="5" t="s">
        <v>1104</v>
      </c>
      <c r="B62" s="9" t="n">
        <v>45565</v>
      </c>
      <c r="C62" s="9" t="n">
        <v>45568</v>
      </c>
      <c r="D62" s="5" t="s">
        <v>130</v>
      </c>
      <c r="E62" s="5" t="s">
        <v>1045</v>
      </c>
      <c r="F62" s="5" t="s">
        <v>1012</v>
      </c>
      <c r="G62" s="6" t="str">
        <f aca="false">INDEX(Catalogo_Causas!$B$2:$B$10,MATCH(F62,Catalogo_Causas!$A$2:$A$10,0))</f>
        <v>Falta de materia prima</v>
      </c>
      <c r="H62" s="6" t="str">
        <f aca="false">INDEX(Catalogo_Causas!$C$2:$C$10,MATCH(F62,Catalogo_Causas!$A$2:$A$10,0))</f>
        <v>Material / suministro</v>
      </c>
      <c r="I62" s="5" t="n">
        <v>93</v>
      </c>
      <c r="J62" s="29" t="n">
        <f aca="false">I62/60</f>
        <v>1.55</v>
      </c>
    </row>
    <row r="63" customFormat="false" ht="15" hidden="false" customHeight="false" outlineLevel="0" collapsed="false">
      <c r="A63" s="5" t="s">
        <v>1105</v>
      </c>
      <c r="B63" s="9" t="n">
        <v>45565</v>
      </c>
      <c r="C63" s="9" t="n">
        <v>45568</v>
      </c>
      <c r="D63" s="5" t="s">
        <v>134</v>
      </c>
      <c r="E63" s="5" t="s">
        <v>1032</v>
      </c>
      <c r="F63" s="5" t="s">
        <v>1005</v>
      </c>
      <c r="G63" s="6" t="str">
        <f aca="false">INDEX(Catalogo_Causas!$B$2:$B$10,MATCH(F63,Catalogo_Causas!$A$2:$A$10,0))</f>
        <v>Falla eléctrica / control</v>
      </c>
      <c r="H63" s="6" t="str">
        <f aca="false">INDEX(Catalogo_Causas!$C$2:$C$10,MATCH(F63,Catalogo_Causas!$A$2:$A$10,0))</f>
        <v>Operacional</v>
      </c>
      <c r="I63" s="5" t="n">
        <v>36</v>
      </c>
      <c r="J63" s="29" t="n">
        <f aca="false">I63/60</f>
        <v>0.6</v>
      </c>
    </row>
    <row r="64" customFormat="false" ht="15" hidden="false" customHeight="false" outlineLevel="0" collapsed="false">
      <c r="A64" s="5" t="s">
        <v>1106</v>
      </c>
      <c r="B64" s="9" t="n">
        <v>45565</v>
      </c>
      <c r="C64" s="9" t="n">
        <v>45568</v>
      </c>
      <c r="D64" s="5" t="s">
        <v>134</v>
      </c>
      <c r="E64" s="5" t="s">
        <v>1054</v>
      </c>
      <c r="F64" s="5" t="s">
        <v>1014</v>
      </c>
      <c r="G64" s="6" t="str">
        <f aca="false">INDEX(Catalogo_Causas!$B$2:$B$10,MATCH(F64,Catalogo_Causas!$A$2:$A$10,0))</f>
        <v>Retención de calidad</v>
      </c>
      <c r="H64" s="6" t="str">
        <f aca="false">INDEX(Catalogo_Causas!$C$2:$C$10,MATCH(F64,Catalogo_Causas!$A$2:$A$10,0))</f>
        <v>Calidad</v>
      </c>
      <c r="I64" s="5" t="n">
        <v>56</v>
      </c>
      <c r="J64" s="29" t="n">
        <f aca="false">I64/60</f>
        <v>0.933333333333333</v>
      </c>
    </row>
    <row r="65" customFormat="false" ht="15" hidden="false" customHeight="false" outlineLevel="0" collapsed="false">
      <c r="A65" s="5" t="s">
        <v>1107</v>
      </c>
      <c r="B65" s="9" t="n">
        <v>45565</v>
      </c>
      <c r="C65" s="9" t="n">
        <v>45568</v>
      </c>
      <c r="D65" s="5" t="s">
        <v>142</v>
      </c>
      <c r="E65" s="5" t="s">
        <v>1051</v>
      </c>
      <c r="F65" s="5" t="s">
        <v>1016</v>
      </c>
      <c r="G65" s="6" t="str">
        <f aca="false">INDEX(Catalogo_Causas!$B$2:$B$10,MATCH(F65,Catalogo_Causas!$A$2:$A$10,0))</f>
        <v>Limpieza no programada (CIP)</v>
      </c>
      <c r="H65" s="6" t="str">
        <f aca="false">INDEX(Catalogo_Causas!$C$2:$C$10,MATCH(F65,Catalogo_Causas!$A$2:$A$10,0))</f>
        <v>Calidad</v>
      </c>
      <c r="I65" s="5" t="n">
        <v>83</v>
      </c>
      <c r="J65" s="29" t="n">
        <f aca="false">I65/60</f>
        <v>1.38333333333333</v>
      </c>
    </row>
    <row r="66" customFormat="false" ht="15" hidden="false" customHeight="false" outlineLevel="0" collapsed="false">
      <c r="A66" s="5" t="s">
        <v>1108</v>
      </c>
      <c r="B66" s="9" t="n">
        <v>45565</v>
      </c>
      <c r="C66" s="9" t="n">
        <v>45569</v>
      </c>
      <c r="D66" s="5" t="s">
        <v>134</v>
      </c>
      <c r="E66" s="5" t="s">
        <v>1054</v>
      </c>
      <c r="F66" s="5" t="s">
        <v>1012</v>
      </c>
      <c r="G66" s="6" t="str">
        <f aca="false">INDEX(Catalogo_Causas!$B$2:$B$10,MATCH(F66,Catalogo_Causas!$A$2:$A$10,0))</f>
        <v>Falta de materia prima</v>
      </c>
      <c r="H66" s="6" t="str">
        <f aca="false">INDEX(Catalogo_Causas!$C$2:$C$10,MATCH(F66,Catalogo_Causas!$A$2:$A$10,0))</f>
        <v>Material / suministro</v>
      </c>
      <c r="I66" s="5" t="n">
        <v>48</v>
      </c>
      <c r="J66" s="29" t="n">
        <f aca="false">I66/60</f>
        <v>0.8</v>
      </c>
    </row>
    <row r="67" customFormat="false" ht="15" hidden="false" customHeight="false" outlineLevel="0" collapsed="false">
      <c r="A67" s="5" t="s">
        <v>1109</v>
      </c>
      <c r="B67" s="9" t="n">
        <v>45565</v>
      </c>
      <c r="C67" s="9" t="n">
        <v>45569</v>
      </c>
      <c r="D67" s="5" t="s">
        <v>134</v>
      </c>
      <c r="E67" s="5" t="s">
        <v>1030</v>
      </c>
      <c r="F67" s="5" t="s">
        <v>1021</v>
      </c>
      <c r="G67" s="6" t="str">
        <f aca="false">INDEX(Catalogo_Causas!$B$2:$B$10,MATCH(F67,Catalogo_Causas!$A$2:$A$10,0))</f>
        <v>Falla de servicios (vapor/amoniaco/aire)</v>
      </c>
      <c r="H67" s="6" t="str">
        <f aca="false">INDEX(Catalogo_Causas!$C$2:$C$10,MATCH(F67,Catalogo_Causas!$A$2:$A$10,0))</f>
        <v>Servicios</v>
      </c>
      <c r="I67" s="5" t="n">
        <v>45</v>
      </c>
      <c r="J67" s="29" t="n">
        <f aca="false">I67/60</f>
        <v>0.75</v>
      </c>
    </row>
    <row r="68" customFormat="false" ht="15" hidden="false" customHeight="false" outlineLevel="0" collapsed="false">
      <c r="A68" s="5" t="s">
        <v>1110</v>
      </c>
      <c r="B68" s="9" t="n">
        <v>45565</v>
      </c>
      <c r="C68" s="9" t="n">
        <v>45569</v>
      </c>
      <c r="D68" s="5" t="s">
        <v>136</v>
      </c>
      <c r="E68" s="5" t="s">
        <v>1051</v>
      </c>
      <c r="F68" s="5" t="s">
        <v>1009</v>
      </c>
      <c r="G68" s="6" t="str">
        <f aca="false">INDEX(Catalogo_Causas!$B$2:$B$10,MATCH(F68,Catalogo_Causas!$A$2:$A$10,0))</f>
        <v>Falta de material de empaque</v>
      </c>
      <c r="H68" s="6" t="str">
        <f aca="false">INDEX(Catalogo_Causas!$C$2:$C$10,MATCH(F68,Catalogo_Causas!$A$2:$A$10,0))</f>
        <v>Material / suministro</v>
      </c>
      <c r="I68" s="5" t="n">
        <v>16</v>
      </c>
      <c r="J68" s="29" t="n">
        <f aca="false">I68/60</f>
        <v>0.266666666666667</v>
      </c>
    </row>
    <row r="69" customFormat="false" ht="15" hidden="false" customHeight="false" outlineLevel="0" collapsed="false">
      <c r="A69" s="5" t="s">
        <v>1111</v>
      </c>
      <c r="B69" s="9" t="n">
        <v>45565</v>
      </c>
      <c r="C69" s="9" t="n">
        <v>45570</v>
      </c>
      <c r="D69" s="5" t="s">
        <v>130</v>
      </c>
      <c r="E69" s="5" t="s">
        <v>1078</v>
      </c>
      <c r="F69" s="5" t="s">
        <v>1016</v>
      </c>
      <c r="G69" s="6" t="str">
        <f aca="false">INDEX(Catalogo_Causas!$B$2:$B$10,MATCH(F69,Catalogo_Causas!$A$2:$A$10,0))</f>
        <v>Limpieza no programada (CIP)</v>
      </c>
      <c r="H69" s="6" t="str">
        <f aca="false">INDEX(Catalogo_Causas!$C$2:$C$10,MATCH(F69,Catalogo_Causas!$A$2:$A$10,0))</f>
        <v>Calidad</v>
      </c>
      <c r="I69" s="5" t="n">
        <v>74</v>
      </c>
      <c r="J69" s="29" t="n">
        <f aca="false">I69/60</f>
        <v>1.23333333333333</v>
      </c>
    </row>
    <row r="70" customFormat="false" ht="15" hidden="false" customHeight="false" outlineLevel="0" collapsed="false">
      <c r="A70" s="5" t="s">
        <v>1112</v>
      </c>
      <c r="B70" s="9" t="n">
        <v>45565</v>
      </c>
      <c r="C70" s="9" t="n">
        <v>45570</v>
      </c>
      <c r="D70" s="5" t="s">
        <v>134</v>
      </c>
      <c r="E70" s="5" t="s">
        <v>1054</v>
      </c>
      <c r="F70" s="5" t="s">
        <v>1021</v>
      </c>
      <c r="G70" s="6" t="str">
        <f aca="false">INDEX(Catalogo_Causas!$B$2:$B$10,MATCH(F70,Catalogo_Causas!$A$2:$A$10,0))</f>
        <v>Falla de servicios (vapor/amoniaco/aire)</v>
      </c>
      <c r="H70" s="6" t="str">
        <f aca="false">INDEX(Catalogo_Causas!$C$2:$C$10,MATCH(F70,Catalogo_Causas!$A$2:$A$10,0))</f>
        <v>Servicios</v>
      </c>
      <c r="I70" s="5" t="n">
        <v>21</v>
      </c>
      <c r="J70" s="29" t="n">
        <f aca="false">I70/60</f>
        <v>0.35</v>
      </c>
    </row>
    <row r="71" customFormat="false" ht="15" hidden="false" customHeight="false" outlineLevel="0" collapsed="false">
      <c r="A71" s="5" t="s">
        <v>1113</v>
      </c>
      <c r="B71" s="9" t="n">
        <v>45565</v>
      </c>
      <c r="C71" s="9" t="n">
        <v>45570</v>
      </c>
      <c r="D71" s="5" t="s">
        <v>138</v>
      </c>
      <c r="E71" s="5" t="s">
        <v>1034</v>
      </c>
      <c r="F71" s="5" t="s">
        <v>1002</v>
      </c>
      <c r="G71" s="6" t="str">
        <f aca="false">INDEX(Catalogo_Causas!$B$2:$B$10,MATCH(F71,Catalogo_Causas!$A$2:$A$10,0))</f>
        <v>Falla mecánica</v>
      </c>
      <c r="H71" s="6" t="str">
        <f aca="false">INDEX(Catalogo_Causas!$C$2:$C$10,MATCH(F71,Catalogo_Causas!$A$2:$A$10,0))</f>
        <v>Operacional</v>
      </c>
      <c r="I71" s="5" t="n">
        <v>65</v>
      </c>
      <c r="J71" s="29" t="n">
        <f aca="false">I71/60</f>
        <v>1.08333333333333</v>
      </c>
    </row>
    <row r="72" customFormat="false" ht="15" hidden="false" customHeight="false" outlineLevel="0" collapsed="false">
      <c r="A72" s="5" t="s">
        <v>1114</v>
      </c>
      <c r="B72" s="9" t="n">
        <v>45565</v>
      </c>
      <c r="C72" s="9" t="n">
        <v>45570</v>
      </c>
      <c r="D72" s="5" t="s">
        <v>142</v>
      </c>
      <c r="E72" s="5" t="s">
        <v>1030</v>
      </c>
      <c r="F72" s="5" t="s">
        <v>1007</v>
      </c>
      <c r="G72" s="6" t="str">
        <f aca="false">INDEX(Catalogo_Causas!$B$2:$B$10,MATCH(F72,Catalogo_Causas!$A$2:$A$10,0))</f>
        <v>Cambio de formato excedido</v>
      </c>
      <c r="H72" s="6" t="str">
        <f aca="false">INDEX(Catalogo_Causas!$C$2:$C$10,MATCH(F72,Catalogo_Causas!$A$2:$A$10,0))</f>
        <v>Operacional</v>
      </c>
      <c r="I72" s="5" t="n">
        <v>58</v>
      </c>
      <c r="J72" s="29" t="n">
        <f aca="false">I72/60</f>
        <v>0.966666666666667</v>
      </c>
    </row>
    <row r="73" customFormat="false" ht="15" hidden="false" customHeight="false" outlineLevel="0" collapsed="false">
      <c r="A73" s="5" t="s">
        <v>1115</v>
      </c>
      <c r="B73" s="9" t="n">
        <v>45572</v>
      </c>
      <c r="C73" s="9" t="n">
        <v>45572</v>
      </c>
      <c r="D73" s="5" t="s">
        <v>130</v>
      </c>
      <c r="E73" s="5" t="s">
        <v>1045</v>
      </c>
      <c r="F73" s="5" t="s">
        <v>1005</v>
      </c>
      <c r="G73" s="6" t="str">
        <f aca="false">INDEX(Catalogo_Causas!$B$2:$B$10,MATCH(F73,Catalogo_Causas!$A$2:$A$10,0))</f>
        <v>Falla eléctrica / control</v>
      </c>
      <c r="H73" s="6" t="str">
        <f aca="false">INDEX(Catalogo_Causas!$C$2:$C$10,MATCH(F73,Catalogo_Causas!$A$2:$A$10,0))</f>
        <v>Operacional</v>
      </c>
      <c r="I73" s="5" t="n">
        <v>37</v>
      </c>
      <c r="J73" s="29" t="n">
        <f aca="false">I73/60</f>
        <v>0.616666666666667</v>
      </c>
    </row>
    <row r="74" customFormat="false" ht="15" hidden="false" customHeight="false" outlineLevel="0" collapsed="false">
      <c r="A74" s="5" t="s">
        <v>1116</v>
      </c>
      <c r="B74" s="9" t="n">
        <v>45572</v>
      </c>
      <c r="C74" s="9" t="n">
        <v>45572</v>
      </c>
      <c r="D74" s="5" t="s">
        <v>132</v>
      </c>
      <c r="E74" s="5" t="s">
        <v>1032</v>
      </c>
      <c r="F74" s="5" t="s">
        <v>1007</v>
      </c>
      <c r="G74" s="6" t="str">
        <f aca="false">INDEX(Catalogo_Causas!$B$2:$B$10,MATCH(F74,Catalogo_Causas!$A$2:$A$10,0))</f>
        <v>Cambio de formato excedido</v>
      </c>
      <c r="H74" s="6" t="str">
        <f aca="false">INDEX(Catalogo_Causas!$C$2:$C$10,MATCH(F74,Catalogo_Causas!$A$2:$A$10,0))</f>
        <v>Operacional</v>
      </c>
      <c r="I74" s="5" t="n">
        <v>69</v>
      </c>
      <c r="J74" s="29" t="n">
        <f aca="false">I74/60</f>
        <v>1.15</v>
      </c>
    </row>
    <row r="75" customFormat="false" ht="15" hidden="false" customHeight="false" outlineLevel="0" collapsed="false">
      <c r="A75" s="5" t="s">
        <v>1117</v>
      </c>
      <c r="B75" s="9" t="n">
        <v>45572</v>
      </c>
      <c r="C75" s="9" t="n">
        <v>45572</v>
      </c>
      <c r="D75" s="5" t="s">
        <v>144</v>
      </c>
      <c r="E75" s="5" t="s">
        <v>1043</v>
      </c>
      <c r="F75" s="5" t="s">
        <v>1007</v>
      </c>
      <c r="G75" s="6" t="str">
        <f aca="false">INDEX(Catalogo_Causas!$B$2:$B$10,MATCH(F75,Catalogo_Causas!$A$2:$A$10,0))</f>
        <v>Cambio de formato excedido</v>
      </c>
      <c r="H75" s="6" t="str">
        <f aca="false">INDEX(Catalogo_Causas!$C$2:$C$10,MATCH(F75,Catalogo_Causas!$A$2:$A$10,0))</f>
        <v>Operacional</v>
      </c>
      <c r="I75" s="5" t="n">
        <v>120</v>
      </c>
      <c r="J75" s="29" t="n">
        <f aca="false">I75/60</f>
        <v>2</v>
      </c>
    </row>
    <row r="76" customFormat="false" ht="15" hidden="false" customHeight="false" outlineLevel="0" collapsed="false">
      <c r="A76" s="5" t="s">
        <v>1118</v>
      </c>
      <c r="B76" s="9" t="n">
        <v>45572</v>
      </c>
      <c r="C76" s="9" t="n">
        <v>45573</v>
      </c>
      <c r="D76" s="5" t="s">
        <v>130</v>
      </c>
      <c r="E76" s="5" t="s">
        <v>1078</v>
      </c>
      <c r="F76" s="5" t="s">
        <v>1002</v>
      </c>
      <c r="G76" s="6" t="str">
        <f aca="false">INDEX(Catalogo_Causas!$B$2:$B$10,MATCH(F76,Catalogo_Causas!$A$2:$A$10,0))</f>
        <v>Falla mecánica</v>
      </c>
      <c r="H76" s="6" t="str">
        <f aca="false">INDEX(Catalogo_Causas!$C$2:$C$10,MATCH(F76,Catalogo_Causas!$A$2:$A$10,0))</f>
        <v>Operacional</v>
      </c>
      <c r="I76" s="5" t="n">
        <v>81</v>
      </c>
      <c r="J76" s="29" t="n">
        <f aca="false">I76/60</f>
        <v>1.35</v>
      </c>
    </row>
    <row r="77" customFormat="false" ht="15" hidden="false" customHeight="false" outlineLevel="0" collapsed="false">
      <c r="A77" s="5" t="s">
        <v>1119</v>
      </c>
      <c r="B77" s="9" t="n">
        <v>45572</v>
      </c>
      <c r="C77" s="9" t="n">
        <v>45573</v>
      </c>
      <c r="D77" s="5" t="s">
        <v>136</v>
      </c>
      <c r="E77" s="5" t="s">
        <v>1101</v>
      </c>
      <c r="F77" s="5" t="s">
        <v>1005</v>
      </c>
      <c r="G77" s="6" t="str">
        <f aca="false">INDEX(Catalogo_Causas!$B$2:$B$10,MATCH(F77,Catalogo_Causas!$A$2:$A$10,0))</f>
        <v>Falla eléctrica / control</v>
      </c>
      <c r="H77" s="6" t="str">
        <f aca="false">INDEX(Catalogo_Causas!$C$2:$C$10,MATCH(F77,Catalogo_Causas!$A$2:$A$10,0))</f>
        <v>Operacional</v>
      </c>
      <c r="I77" s="5" t="n">
        <v>28</v>
      </c>
      <c r="J77" s="29" t="n">
        <f aca="false">I77/60</f>
        <v>0.466666666666667</v>
      </c>
    </row>
    <row r="78" customFormat="false" ht="15" hidden="false" customHeight="false" outlineLevel="0" collapsed="false">
      <c r="A78" s="5" t="s">
        <v>1120</v>
      </c>
      <c r="B78" s="9" t="n">
        <v>45572</v>
      </c>
      <c r="C78" s="9" t="n">
        <v>45573</v>
      </c>
      <c r="D78" s="5" t="s">
        <v>142</v>
      </c>
      <c r="E78" s="5" t="s">
        <v>1030</v>
      </c>
      <c r="F78" s="5" t="s">
        <v>1021</v>
      </c>
      <c r="G78" s="6" t="str">
        <f aca="false">INDEX(Catalogo_Causas!$B$2:$B$10,MATCH(F78,Catalogo_Causas!$A$2:$A$10,0))</f>
        <v>Falla de servicios (vapor/amoniaco/aire)</v>
      </c>
      <c r="H78" s="6" t="str">
        <f aca="false">INDEX(Catalogo_Causas!$C$2:$C$10,MATCH(F78,Catalogo_Causas!$A$2:$A$10,0))</f>
        <v>Servicios</v>
      </c>
      <c r="I78" s="5" t="n">
        <v>36</v>
      </c>
      <c r="J78" s="29" t="n">
        <f aca="false">I78/60</f>
        <v>0.6</v>
      </c>
    </row>
    <row r="79" customFormat="false" ht="15" hidden="false" customHeight="false" outlineLevel="0" collapsed="false">
      <c r="A79" s="5" t="s">
        <v>1121</v>
      </c>
      <c r="B79" s="9" t="n">
        <v>45572</v>
      </c>
      <c r="C79" s="9" t="n">
        <v>45573</v>
      </c>
      <c r="D79" s="5" t="s">
        <v>142</v>
      </c>
      <c r="E79" s="5" t="s">
        <v>1041</v>
      </c>
      <c r="F79" s="5" t="s">
        <v>1016</v>
      </c>
      <c r="G79" s="6" t="str">
        <f aca="false">INDEX(Catalogo_Causas!$B$2:$B$10,MATCH(F79,Catalogo_Causas!$A$2:$A$10,0))</f>
        <v>Limpieza no programada (CIP)</v>
      </c>
      <c r="H79" s="6" t="str">
        <f aca="false">INDEX(Catalogo_Causas!$C$2:$C$10,MATCH(F79,Catalogo_Causas!$A$2:$A$10,0))</f>
        <v>Calidad</v>
      </c>
      <c r="I79" s="5" t="n">
        <v>44</v>
      </c>
      <c r="J79" s="29" t="n">
        <f aca="false">I79/60</f>
        <v>0.733333333333333</v>
      </c>
    </row>
    <row r="80" customFormat="false" ht="15" hidden="false" customHeight="false" outlineLevel="0" collapsed="false">
      <c r="A80" s="5" t="s">
        <v>1122</v>
      </c>
      <c r="B80" s="9" t="n">
        <v>45572</v>
      </c>
      <c r="C80" s="9" t="n">
        <v>45574</v>
      </c>
      <c r="D80" s="5" t="s">
        <v>132</v>
      </c>
      <c r="E80" s="5" t="s">
        <v>1032</v>
      </c>
      <c r="F80" s="5" t="s">
        <v>1018</v>
      </c>
      <c r="G80" s="6" t="str">
        <f aca="false">INDEX(Catalogo_Causas!$B$2:$B$10,MATCH(F80,Catalogo_Causas!$A$2:$A$10,0))</f>
        <v>Falta de personal</v>
      </c>
      <c r="H80" s="6" t="str">
        <f aca="false">INDEX(Catalogo_Causas!$C$2:$C$10,MATCH(F80,Catalogo_Causas!$A$2:$A$10,0))</f>
        <v>Personal</v>
      </c>
      <c r="I80" s="5" t="n">
        <v>34</v>
      </c>
      <c r="J80" s="29" t="n">
        <f aca="false">I80/60</f>
        <v>0.566666666666667</v>
      </c>
    </row>
    <row r="81" customFormat="false" ht="15" hidden="false" customHeight="false" outlineLevel="0" collapsed="false">
      <c r="A81" s="5" t="s">
        <v>1123</v>
      </c>
      <c r="B81" s="9" t="n">
        <v>45572</v>
      </c>
      <c r="C81" s="9" t="n">
        <v>45574</v>
      </c>
      <c r="D81" s="5" t="s">
        <v>136</v>
      </c>
      <c r="E81" s="5" t="s">
        <v>1032</v>
      </c>
      <c r="F81" s="5" t="s">
        <v>1005</v>
      </c>
      <c r="G81" s="6" t="str">
        <f aca="false">INDEX(Catalogo_Causas!$B$2:$B$10,MATCH(F81,Catalogo_Causas!$A$2:$A$10,0))</f>
        <v>Falla eléctrica / control</v>
      </c>
      <c r="H81" s="6" t="str">
        <f aca="false">INDEX(Catalogo_Causas!$C$2:$C$10,MATCH(F81,Catalogo_Causas!$A$2:$A$10,0))</f>
        <v>Operacional</v>
      </c>
      <c r="I81" s="5" t="n">
        <v>30</v>
      </c>
      <c r="J81" s="29" t="n">
        <f aca="false">I81/60</f>
        <v>0.5</v>
      </c>
    </row>
    <row r="82" customFormat="false" ht="15" hidden="false" customHeight="false" outlineLevel="0" collapsed="false">
      <c r="A82" s="5" t="s">
        <v>1124</v>
      </c>
      <c r="B82" s="9" t="n">
        <v>45572</v>
      </c>
      <c r="C82" s="9" t="n">
        <v>45574</v>
      </c>
      <c r="D82" s="5" t="s">
        <v>142</v>
      </c>
      <c r="E82" s="5" t="s">
        <v>1041</v>
      </c>
      <c r="F82" s="5" t="s">
        <v>1016</v>
      </c>
      <c r="G82" s="6" t="str">
        <f aca="false">INDEX(Catalogo_Causas!$B$2:$B$10,MATCH(F82,Catalogo_Causas!$A$2:$A$10,0))</f>
        <v>Limpieza no programada (CIP)</v>
      </c>
      <c r="H82" s="6" t="str">
        <f aca="false">INDEX(Catalogo_Causas!$C$2:$C$10,MATCH(F82,Catalogo_Causas!$A$2:$A$10,0))</f>
        <v>Calidad</v>
      </c>
      <c r="I82" s="5" t="n">
        <v>95</v>
      </c>
      <c r="J82" s="29" t="n">
        <f aca="false">I82/60</f>
        <v>1.58333333333333</v>
      </c>
    </row>
    <row r="83" customFormat="false" ht="15" hidden="false" customHeight="false" outlineLevel="0" collapsed="false">
      <c r="A83" s="5" t="s">
        <v>1125</v>
      </c>
      <c r="B83" s="9" t="n">
        <v>45572</v>
      </c>
      <c r="C83" s="9" t="n">
        <v>45575</v>
      </c>
      <c r="D83" s="5" t="s">
        <v>130</v>
      </c>
      <c r="E83" s="5" t="s">
        <v>1078</v>
      </c>
      <c r="F83" s="5" t="s">
        <v>1007</v>
      </c>
      <c r="G83" s="6" t="str">
        <f aca="false">INDEX(Catalogo_Causas!$B$2:$B$10,MATCH(F83,Catalogo_Causas!$A$2:$A$10,0))</f>
        <v>Cambio de formato excedido</v>
      </c>
      <c r="H83" s="6" t="str">
        <f aca="false">INDEX(Catalogo_Causas!$C$2:$C$10,MATCH(F83,Catalogo_Causas!$A$2:$A$10,0))</f>
        <v>Operacional</v>
      </c>
      <c r="I83" s="5" t="n">
        <v>34</v>
      </c>
      <c r="J83" s="29" t="n">
        <f aca="false">I83/60</f>
        <v>0.566666666666667</v>
      </c>
    </row>
    <row r="84" customFormat="false" ht="15" hidden="false" customHeight="false" outlineLevel="0" collapsed="false">
      <c r="A84" s="5" t="s">
        <v>1126</v>
      </c>
      <c r="B84" s="9" t="n">
        <v>45572</v>
      </c>
      <c r="C84" s="9" t="n">
        <v>45575</v>
      </c>
      <c r="D84" s="5" t="s">
        <v>136</v>
      </c>
      <c r="E84" s="5" t="s">
        <v>1051</v>
      </c>
      <c r="F84" s="5" t="s">
        <v>1007</v>
      </c>
      <c r="G84" s="6" t="str">
        <f aca="false">INDEX(Catalogo_Causas!$B$2:$B$10,MATCH(F84,Catalogo_Causas!$A$2:$A$10,0))</f>
        <v>Cambio de formato excedido</v>
      </c>
      <c r="H84" s="6" t="str">
        <f aca="false">INDEX(Catalogo_Causas!$C$2:$C$10,MATCH(F84,Catalogo_Causas!$A$2:$A$10,0))</f>
        <v>Operacional</v>
      </c>
      <c r="I84" s="5" t="n">
        <v>51</v>
      </c>
      <c r="J84" s="29" t="n">
        <f aca="false">I84/60</f>
        <v>0.85</v>
      </c>
    </row>
    <row r="85" customFormat="false" ht="15" hidden="false" customHeight="false" outlineLevel="0" collapsed="false">
      <c r="A85" s="5" t="s">
        <v>1127</v>
      </c>
      <c r="B85" s="9" t="n">
        <v>45572</v>
      </c>
      <c r="C85" s="9" t="n">
        <v>45575</v>
      </c>
      <c r="D85" s="5" t="s">
        <v>136</v>
      </c>
      <c r="E85" s="5" t="s">
        <v>1101</v>
      </c>
      <c r="F85" s="5" t="s">
        <v>1005</v>
      </c>
      <c r="G85" s="6" t="str">
        <f aca="false">INDEX(Catalogo_Causas!$B$2:$B$10,MATCH(F85,Catalogo_Causas!$A$2:$A$10,0))</f>
        <v>Falla eléctrica / control</v>
      </c>
      <c r="H85" s="6" t="str">
        <f aca="false">INDEX(Catalogo_Causas!$C$2:$C$10,MATCH(F85,Catalogo_Causas!$A$2:$A$10,0))</f>
        <v>Operacional</v>
      </c>
      <c r="I85" s="5" t="n">
        <v>39</v>
      </c>
      <c r="J85" s="29" t="n">
        <f aca="false">I85/60</f>
        <v>0.65</v>
      </c>
    </row>
    <row r="86" customFormat="false" ht="15" hidden="false" customHeight="false" outlineLevel="0" collapsed="false">
      <c r="A86" s="5" t="s">
        <v>1128</v>
      </c>
      <c r="B86" s="9" t="n">
        <v>45572</v>
      </c>
      <c r="C86" s="9" t="n">
        <v>45575</v>
      </c>
      <c r="D86" s="5" t="s">
        <v>138</v>
      </c>
      <c r="E86" s="5" t="s">
        <v>1056</v>
      </c>
      <c r="F86" s="5" t="s">
        <v>1005</v>
      </c>
      <c r="G86" s="6" t="str">
        <f aca="false">INDEX(Catalogo_Causas!$B$2:$B$10,MATCH(F86,Catalogo_Causas!$A$2:$A$10,0))</f>
        <v>Falla eléctrica / control</v>
      </c>
      <c r="H86" s="6" t="str">
        <f aca="false">INDEX(Catalogo_Causas!$C$2:$C$10,MATCH(F86,Catalogo_Causas!$A$2:$A$10,0))</f>
        <v>Operacional</v>
      </c>
      <c r="I86" s="5" t="n">
        <v>54</v>
      </c>
      <c r="J86" s="29" t="n">
        <f aca="false">I86/60</f>
        <v>0.9</v>
      </c>
    </row>
    <row r="87" customFormat="false" ht="15" hidden="false" customHeight="false" outlineLevel="0" collapsed="false">
      <c r="A87" s="5" t="s">
        <v>1129</v>
      </c>
      <c r="B87" s="9" t="n">
        <v>45572</v>
      </c>
      <c r="C87" s="9" t="n">
        <v>45575</v>
      </c>
      <c r="D87" s="5" t="s">
        <v>138</v>
      </c>
      <c r="E87" s="5" t="s">
        <v>1039</v>
      </c>
      <c r="F87" s="5" t="s">
        <v>1009</v>
      </c>
      <c r="G87" s="6" t="str">
        <f aca="false">INDEX(Catalogo_Causas!$B$2:$B$10,MATCH(F87,Catalogo_Causas!$A$2:$A$10,0))</f>
        <v>Falta de material de empaque</v>
      </c>
      <c r="H87" s="6" t="str">
        <f aca="false">INDEX(Catalogo_Causas!$C$2:$C$10,MATCH(F87,Catalogo_Causas!$A$2:$A$10,0))</f>
        <v>Material / suministro</v>
      </c>
      <c r="I87" s="5" t="n">
        <v>47</v>
      </c>
      <c r="J87" s="29" t="n">
        <f aca="false">I87/60</f>
        <v>0.783333333333333</v>
      </c>
    </row>
    <row r="88" customFormat="false" ht="15" hidden="false" customHeight="false" outlineLevel="0" collapsed="false">
      <c r="A88" s="5" t="s">
        <v>1130</v>
      </c>
      <c r="B88" s="9" t="n">
        <v>45572</v>
      </c>
      <c r="C88" s="9" t="n">
        <v>45576</v>
      </c>
      <c r="D88" s="5" t="s">
        <v>142</v>
      </c>
      <c r="E88" s="5" t="s">
        <v>1051</v>
      </c>
      <c r="F88" s="5" t="s">
        <v>1014</v>
      </c>
      <c r="G88" s="6" t="str">
        <f aca="false">INDEX(Catalogo_Causas!$B$2:$B$10,MATCH(F88,Catalogo_Causas!$A$2:$A$10,0))</f>
        <v>Retención de calidad</v>
      </c>
      <c r="H88" s="6" t="str">
        <f aca="false">INDEX(Catalogo_Causas!$C$2:$C$10,MATCH(F88,Catalogo_Causas!$A$2:$A$10,0))</f>
        <v>Calidad</v>
      </c>
      <c r="I88" s="5" t="n">
        <v>32</v>
      </c>
      <c r="J88" s="29" t="n">
        <f aca="false">I88/60</f>
        <v>0.533333333333333</v>
      </c>
    </row>
    <row r="89" customFormat="false" ht="15" hidden="false" customHeight="false" outlineLevel="0" collapsed="false">
      <c r="A89" s="5" t="s">
        <v>1131</v>
      </c>
      <c r="B89" s="9" t="n">
        <v>45572</v>
      </c>
      <c r="C89" s="9" t="n">
        <v>45576</v>
      </c>
      <c r="D89" s="5" t="s">
        <v>142</v>
      </c>
      <c r="E89" s="5" t="s">
        <v>1030</v>
      </c>
      <c r="F89" s="5" t="s">
        <v>1002</v>
      </c>
      <c r="G89" s="6" t="str">
        <f aca="false">INDEX(Catalogo_Causas!$B$2:$B$10,MATCH(F89,Catalogo_Causas!$A$2:$A$10,0))</f>
        <v>Falla mecánica</v>
      </c>
      <c r="H89" s="6" t="str">
        <f aca="false">INDEX(Catalogo_Causas!$C$2:$C$10,MATCH(F89,Catalogo_Causas!$A$2:$A$10,0))</f>
        <v>Operacional</v>
      </c>
      <c r="I89" s="5" t="n">
        <v>36</v>
      </c>
      <c r="J89" s="29" t="n">
        <f aca="false">I89/60</f>
        <v>0.6</v>
      </c>
    </row>
    <row r="90" customFormat="false" ht="15" hidden="false" customHeight="false" outlineLevel="0" collapsed="false">
      <c r="A90" s="5" t="s">
        <v>1132</v>
      </c>
      <c r="B90" s="9" t="n">
        <v>45572</v>
      </c>
      <c r="C90" s="9" t="n">
        <v>45577</v>
      </c>
      <c r="D90" s="5" t="s">
        <v>140</v>
      </c>
      <c r="E90" s="5" t="s">
        <v>1045</v>
      </c>
      <c r="F90" s="5" t="s">
        <v>1002</v>
      </c>
      <c r="G90" s="6" t="str">
        <f aca="false">INDEX(Catalogo_Causas!$B$2:$B$10,MATCH(F90,Catalogo_Causas!$A$2:$A$10,0))</f>
        <v>Falla mecánica</v>
      </c>
      <c r="H90" s="6" t="str">
        <f aca="false">INDEX(Catalogo_Causas!$C$2:$C$10,MATCH(F90,Catalogo_Causas!$A$2:$A$10,0))</f>
        <v>Operacional</v>
      </c>
      <c r="I90" s="5" t="n">
        <v>42</v>
      </c>
      <c r="J90" s="29" t="n">
        <f aca="false">I90/60</f>
        <v>0.7</v>
      </c>
    </row>
    <row r="91" customFormat="false" ht="15" hidden="false" customHeight="false" outlineLevel="0" collapsed="false">
      <c r="A91" s="5" t="s">
        <v>1133</v>
      </c>
      <c r="B91" s="9" t="n">
        <v>45572</v>
      </c>
      <c r="C91" s="9" t="n">
        <v>45577</v>
      </c>
      <c r="D91" s="5" t="s">
        <v>140</v>
      </c>
      <c r="E91" s="5" t="s">
        <v>1032</v>
      </c>
      <c r="F91" s="5" t="s">
        <v>1002</v>
      </c>
      <c r="G91" s="6" t="str">
        <f aca="false">INDEX(Catalogo_Causas!$B$2:$B$10,MATCH(F91,Catalogo_Causas!$A$2:$A$10,0))</f>
        <v>Falla mecánica</v>
      </c>
      <c r="H91" s="6" t="str">
        <f aca="false">INDEX(Catalogo_Causas!$C$2:$C$10,MATCH(F91,Catalogo_Causas!$A$2:$A$10,0))</f>
        <v>Operacional</v>
      </c>
      <c r="I91" s="5" t="n">
        <v>114</v>
      </c>
      <c r="J91" s="29" t="n">
        <f aca="false">I91/60</f>
        <v>1.9</v>
      </c>
    </row>
    <row r="92" customFormat="false" ht="15" hidden="false" customHeight="false" outlineLevel="0" collapsed="false">
      <c r="A92" s="5" t="s">
        <v>1134</v>
      </c>
      <c r="B92" s="9" t="n">
        <v>45579</v>
      </c>
      <c r="C92" s="9" t="n">
        <v>45579</v>
      </c>
      <c r="D92" s="5" t="s">
        <v>130</v>
      </c>
      <c r="E92" s="5" t="s">
        <v>1078</v>
      </c>
      <c r="F92" s="5" t="s">
        <v>1009</v>
      </c>
      <c r="G92" s="6" t="str">
        <f aca="false">INDEX(Catalogo_Causas!$B$2:$B$10,MATCH(F92,Catalogo_Causas!$A$2:$A$10,0))</f>
        <v>Falta de material de empaque</v>
      </c>
      <c r="H92" s="6" t="str">
        <f aca="false">INDEX(Catalogo_Causas!$C$2:$C$10,MATCH(F92,Catalogo_Causas!$A$2:$A$10,0))</f>
        <v>Material / suministro</v>
      </c>
      <c r="I92" s="5" t="n">
        <v>99</v>
      </c>
      <c r="J92" s="29" t="n">
        <f aca="false">I92/60</f>
        <v>1.65</v>
      </c>
    </row>
    <row r="93" customFormat="false" ht="15" hidden="false" customHeight="false" outlineLevel="0" collapsed="false">
      <c r="A93" s="5" t="s">
        <v>1135</v>
      </c>
      <c r="B93" s="9" t="n">
        <v>45579</v>
      </c>
      <c r="C93" s="9" t="n">
        <v>45579</v>
      </c>
      <c r="D93" s="5" t="s">
        <v>132</v>
      </c>
      <c r="E93" s="5" t="s">
        <v>1073</v>
      </c>
      <c r="F93" s="5" t="s">
        <v>1002</v>
      </c>
      <c r="G93" s="6" t="str">
        <f aca="false">INDEX(Catalogo_Causas!$B$2:$B$10,MATCH(F93,Catalogo_Causas!$A$2:$A$10,0))</f>
        <v>Falla mecánica</v>
      </c>
      <c r="H93" s="6" t="str">
        <f aca="false">INDEX(Catalogo_Causas!$C$2:$C$10,MATCH(F93,Catalogo_Causas!$A$2:$A$10,0))</f>
        <v>Operacional</v>
      </c>
      <c r="I93" s="5" t="n">
        <v>118</v>
      </c>
      <c r="J93" s="29" t="n">
        <f aca="false">I93/60</f>
        <v>1.96666666666667</v>
      </c>
    </row>
    <row r="94" customFormat="false" ht="15" hidden="false" customHeight="false" outlineLevel="0" collapsed="false">
      <c r="A94" s="5" t="s">
        <v>1136</v>
      </c>
      <c r="B94" s="9" t="n">
        <v>45579</v>
      </c>
      <c r="C94" s="9" t="n">
        <v>45579</v>
      </c>
      <c r="D94" s="5" t="s">
        <v>136</v>
      </c>
      <c r="E94" s="5" t="s">
        <v>1051</v>
      </c>
      <c r="F94" s="5" t="s">
        <v>1018</v>
      </c>
      <c r="G94" s="6" t="str">
        <f aca="false">INDEX(Catalogo_Causas!$B$2:$B$10,MATCH(F94,Catalogo_Causas!$A$2:$A$10,0))</f>
        <v>Falta de personal</v>
      </c>
      <c r="H94" s="6" t="str">
        <f aca="false">INDEX(Catalogo_Causas!$C$2:$C$10,MATCH(F94,Catalogo_Causas!$A$2:$A$10,0))</f>
        <v>Personal</v>
      </c>
      <c r="I94" s="5" t="n">
        <v>91</v>
      </c>
      <c r="J94" s="29" t="n">
        <f aca="false">I94/60</f>
        <v>1.51666666666667</v>
      </c>
    </row>
    <row r="95" customFormat="false" ht="15" hidden="false" customHeight="false" outlineLevel="0" collapsed="false">
      <c r="A95" s="5" t="s">
        <v>1137</v>
      </c>
      <c r="B95" s="9" t="n">
        <v>45579</v>
      </c>
      <c r="C95" s="9" t="n">
        <v>45579</v>
      </c>
      <c r="D95" s="5" t="s">
        <v>142</v>
      </c>
      <c r="E95" s="5" t="s">
        <v>1051</v>
      </c>
      <c r="F95" s="5" t="s">
        <v>1007</v>
      </c>
      <c r="G95" s="6" t="str">
        <f aca="false">INDEX(Catalogo_Causas!$B$2:$B$10,MATCH(F95,Catalogo_Causas!$A$2:$A$10,0))</f>
        <v>Cambio de formato excedido</v>
      </c>
      <c r="H95" s="6" t="str">
        <f aca="false">INDEX(Catalogo_Causas!$C$2:$C$10,MATCH(F95,Catalogo_Causas!$A$2:$A$10,0))</f>
        <v>Operacional</v>
      </c>
      <c r="I95" s="5" t="n">
        <v>20</v>
      </c>
      <c r="J95" s="29" t="n">
        <f aca="false">I95/60</f>
        <v>0.333333333333333</v>
      </c>
    </row>
    <row r="96" customFormat="false" ht="15" hidden="false" customHeight="false" outlineLevel="0" collapsed="false">
      <c r="A96" s="5" t="s">
        <v>1138</v>
      </c>
      <c r="B96" s="9" t="n">
        <v>45579</v>
      </c>
      <c r="C96" s="9" t="n">
        <v>45579</v>
      </c>
      <c r="D96" s="5" t="s">
        <v>142</v>
      </c>
      <c r="E96" s="5" t="s">
        <v>1030</v>
      </c>
      <c r="F96" s="5" t="s">
        <v>1002</v>
      </c>
      <c r="G96" s="6" t="str">
        <f aca="false">INDEX(Catalogo_Causas!$B$2:$B$10,MATCH(F96,Catalogo_Causas!$A$2:$A$10,0))</f>
        <v>Falla mecánica</v>
      </c>
      <c r="H96" s="6" t="str">
        <f aca="false">INDEX(Catalogo_Causas!$C$2:$C$10,MATCH(F96,Catalogo_Causas!$A$2:$A$10,0))</f>
        <v>Operacional</v>
      </c>
      <c r="I96" s="5" t="n">
        <v>150</v>
      </c>
      <c r="J96" s="29" t="n">
        <f aca="false">I96/60</f>
        <v>2.5</v>
      </c>
    </row>
    <row r="97" customFormat="false" ht="15" hidden="false" customHeight="false" outlineLevel="0" collapsed="false">
      <c r="A97" s="5" t="s">
        <v>1139</v>
      </c>
      <c r="B97" s="9" t="n">
        <v>45579</v>
      </c>
      <c r="C97" s="9" t="n">
        <v>45579</v>
      </c>
      <c r="D97" s="5" t="s">
        <v>144</v>
      </c>
      <c r="E97" s="5" t="s">
        <v>1043</v>
      </c>
      <c r="F97" s="5" t="s">
        <v>1018</v>
      </c>
      <c r="G97" s="6" t="str">
        <f aca="false">INDEX(Catalogo_Causas!$B$2:$B$10,MATCH(F97,Catalogo_Causas!$A$2:$A$10,0))</f>
        <v>Falta de personal</v>
      </c>
      <c r="H97" s="6" t="str">
        <f aca="false">INDEX(Catalogo_Causas!$C$2:$C$10,MATCH(F97,Catalogo_Causas!$A$2:$A$10,0))</f>
        <v>Personal</v>
      </c>
      <c r="I97" s="5" t="n">
        <v>53</v>
      </c>
      <c r="J97" s="29" t="n">
        <f aca="false">I97/60</f>
        <v>0.883333333333333</v>
      </c>
    </row>
    <row r="98" customFormat="false" ht="15" hidden="false" customHeight="false" outlineLevel="0" collapsed="false">
      <c r="A98" s="5" t="s">
        <v>1140</v>
      </c>
      <c r="B98" s="9" t="n">
        <v>45579</v>
      </c>
      <c r="C98" s="9" t="n">
        <v>45580</v>
      </c>
      <c r="D98" s="5" t="s">
        <v>132</v>
      </c>
      <c r="E98" s="5" t="s">
        <v>1032</v>
      </c>
      <c r="F98" s="5" t="s">
        <v>1007</v>
      </c>
      <c r="G98" s="6" t="str">
        <f aca="false">INDEX(Catalogo_Causas!$B$2:$B$10,MATCH(F98,Catalogo_Causas!$A$2:$A$10,0))</f>
        <v>Cambio de formato excedido</v>
      </c>
      <c r="H98" s="6" t="str">
        <f aca="false">INDEX(Catalogo_Causas!$C$2:$C$10,MATCH(F98,Catalogo_Causas!$A$2:$A$10,0))</f>
        <v>Operacional</v>
      </c>
      <c r="I98" s="5" t="n">
        <v>44</v>
      </c>
      <c r="J98" s="29" t="n">
        <f aca="false">I98/60</f>
        <v>0.733333333333333</v>
      </c>
    </row>
    <row r="99" customFormat="false" ht="15" hidden="false" customHeight="false" outlineLevel="0" collapsed="false">
      <c r="A99" s="5" t="s">
        <v>1141</v>
      </c>
      <c r="B99" s="9" t="n">
        <v>45579</v>
      </c>
      <c r="C99" s="9" t="n">
        <v>45580</v>
      </c>
      <c r="D99" s="5" t="s">
        <v>134</v>
      </c>
      <c r="E99" s="5" t="s">
        <v>1030</v>
      </c>
      <c r="F99" s="5" t="s">
        <v>1002</v>
      </c>
      <c r="G99" s="6" t="str">
        <f aca="false">INDEX(Catalogo_Causas!$B$2:$B$10,MATCH(F99,Catalogo_Causas!$A$2:$A$10,0))</f>
        <v>Falla mecánica</v>
      </c>
      <c r="H99" s="6" t="str">
        <f aca="false">INDEX(Catalogo_Causas!$C$2:$C$10,MATCH(F99,Catalogo_Causas!$A$2:$A$10,0))</f>
        <v>Operacional</v>
      </c>
      <c r="I99" s="5" t="n">
        <v>43</v>
      </c>
      <c r="J99" s="29" t="n">
        <f aca="false">I99/60</f>
        <v>0.716666666666667</v>
      </c>
    </row>
    <row r="100" customFormat="false" ht="15" hidden="false" customHeight="false" outlineLevel="0" collapsed="false">
      <c r="A100" s="5" t="s">
        <v>1142</v>
      </c>
      <c r="B100" s="9" t="n">
        <v>45579</v>
      </c>
      <c r="C100" s="9" t="n">
        <v>45580</v>
      </c>
      <c r="D100" s="5" t="s">
        <v>138</v>
      </c>
      <c r="E100" s="5" t="s">
        <v>1039</v>
      </c>
      <c r="F100" s="5" t="s">
        <v>1012</v>
      </c>
      <c r="G100" s="6" t="str">
        <f aca="false">INDEX(Catalogo_Causas!$B$2:$B$10,MATCH(F100,Catalogo_Causas!$A$2:$A$10,0))</f>
        <v>Falta de materia prima</v>
      </c>
      <c r="H100" s="6" t="str">
        <f aca="false">INDEX(Catalogo_Causas!$C$2:$C$10,MATCH(F100,Catalogo_Causas!$A$2:$A$10,0))</f>
        <v>Material / suministro</v>
      </c>
      <c r="I100" s="5" t="n">
        <v>66</v>
      </c>
      <c r="J100" s="29" t="n">
        <f aca="false">I100/60</f>
        <v>1.1</v>
      </c>
    </row>
    <row r="101" customFormat="false" ht="15" hidden="false" customHeight="false" outlineLevel="0" collapsed="false">
      <c r="A101" s="5" t="s">
        <v>1143</v>
      </c>
      <c r="B101" s="9" t="n">
        <v>45579</v>
      </c>
      <c r="C101" s="9" t="n">
        <v>45580</v>
      </c>
      <c r="D101" s="5" t="s">
        <v>140</v>
      </c>
      <c r="E101" s="5" t="s">
        <v>1036</v>
      </c>
      <c r="F101" s="5" t="s">
        <v>1016</v>
      </c>
      <c r="G101" s="6" t="str">
        <f aca="false">INDEX(Catalogo_Causas!$B$2:$B$10,MATCH(F101,Catalogo_Causas!$A$2:$A$10,0))</f>
        <v>Limpieza no programada (CIP)</v>
      </c>
      <c r="H101" s="6" t="str">
        <f aca="false">INDEX(Catalogo_Causas!$C$2:$C$10,MATCH(F101,Catalogo_Causas!$A$2:$A$10,0))</f>
        <v>Calidad</v>
      </c>
      <c r="I101" s="5" t="n">
        <v>100</v>
      </c>
      <c r="J101" s="29" t="n">
        <f aca="false">I101/60</f>
        <v>1.66666666666667</v>
      </c>
    </row>
    <row r="102" customFormat="false" ht="15" hidden="false" customHeight="false" outlineLevel="0" collapsed="false">
      <c r="A102" s="5" t="s">
        <v>1144</v>
      </c>
      <c r="B102" s="9" t="n">
        <v>45579</v>
      </c>
      <c r="C102" s="9" t="n">
        <v>45581</v>
      </c>
      <c r="D102" s="5" t="s">
        <v>138</v>
      </c>
      <c r="E102" s="5" t="s">
        <v>1056</v>
      </c>
      <c r="F102" s="5" t="s">
        <v>1021</v>
      </c>
      <c r="G102" s="6" t="str">
        <f aca="false">INDEX(Catalogo_Causas!$B$2:$B$10,MATCH(F102,Catalogo_Causas!$A$2:$A$10,0))</f>
        <v>Falla de servicios (vapor/amoniaco/aire)</v>
      </c>
      <c r="H102" s="6" t="str">
        <f aca="false">INDEX(Catalogo_Causas!$C$2:$C$10,MATCH(F102,Catalogo_Causas!$A$2:$A$10,0))</f>
        <v>Servicios</v>
      </c>
      <c r="I102" s="5" t="n">
        <v>96</v>
      </c>
      <c r="J102" s="29" t="n">
        <f aca="false">I102/60</f>
        <v>1.6</v>
      </c>
    </row>
    <row r="103" customFormat="false" ht="15" hidden="false" customHeight="false" outlineLevel="0" collapsed="false">
      <c r="A103" s="5" t="s">
        <v>1145</v>
      </c>
      <c r="B103" s="9" t="n">
        <v>45579</v>
      </c>
      <c r="C103" s="9" t="n">
        <v>45581</v>
      </c>
      <c r="D103" s="5" t="s">
        <v>142</v>
      </c>
      <c r="E103" s="5" t="s">
        <v>1051</v>
      </c>
      <c r="F103" s="5" t="s">
        <v>1005</v>
      </c>
      <c r="G103" s="6" t="str">
        <f aca="false">INDEX(Catalogo_Causas!$B$2:$B$10,MATCH(F103,Catalogo_Causas!$A$2:$A$10,0))</f>
        <v>Falla eléctrica / control</v>
      </c>
      <c r="H103" s="6" t="str">
        <f aca="false">INDEX(Catalogo_Causas!$C$2:$C$10,MATCH(F103,Catalogo_Causas!$A$2:$A$10,0))</f>
        <v>Operacional</v>
      </c>
      <c r="I103" s="5" t="n">
        <v>29</v>
      </c>
      <c r="J103" s="29" t="n">
        <f aca="false">I103/60</f>
        <v>0.483333333333333</v>
      </c>
    </row>
    <row r="104" customFormat="false" ht="15" hidden="false" customHeight="false" outlineLevel="0" collapsed="false">
      <c r="A104" s="5" t="s">
        <v>1146</v>
      </c>
      <c r="B104" s="9" t="n">
        <v>45579</v>
      </c>
      <c r="C104" s="9" t="n">
        <v>45581</v>
      </c>
      <c r="D104" s="5" t="s">
        <v>142</v>
      </c>
      <c r="E104" s="5" t="s">
        <v>1041</v>
      </c>
      <c r="F104" s="5" t="s">
        <v>1007</v>
      </c>
      <c r="G104" s="6" t="str">
        <f aca="false">INDEX(Catalogo_Causas!$B$2:$B$10,MATCH(F104,Catalogo_Causas!$A$2:$A$10,0))</f>
        <v>Cambio de formato excedido</v>
      </c>
      <c r="H104" s="6" t="str">
        <f aca="false">INDEX(Catalogo_Causas!$C$2:$C$10,MATCH(F104,Catalogo_Causas!$A$2:$A$10,0))</f>
        <v>Operacional</v>
      </c>
      <c r="I104" s="5" t="n">
        <v>13</v>
      </c>
      <c r="J104" s="29" t="n">
        <f aca="false">I104/60</f>
        <v>0.216666666666667</v>
      </c>
    </row>
    <row r="105" customFormat="false" ht="15" hidden="false" customHeight="false" outlineLevel="0" collapsed="false">
      <c r="A105" s="5" t="s">
        <v>1147</v>
      </c>
      <c r="B105" s="9" t="n">
        <v>45579</v>
      </c>
      <c r="C105" s="9" t="n">
        <v>45582</v>
      </c>
      <c r="D105" s="5" t="s">
        <v>134</v>
      </c>
      <c r="E105" s="5" t="s">
        <v>1032</v>
      </c>
      <c r="F105" s="5" t="s">
        <v>1007</v>
      </c>
      <c r="G105" s="6" t="str">
        <f aca="false">INDEX(Catalogo_Causas!$B$2:$B$10,MATCH(F105,Catalogo_Causas!$A$2:$A$10,0))</f>
        <v>Cambio de formato excedido</v>
      </c>
      <c r="H105" s="6" t="str">
        <f aca="false">INDEX(Catalogo_Causas!$C$2:$C$10,MATCH(F105,Catalogo_Causas!$A$2:$A$10,0))</f>
        <v>Operacional</v>
      </c>
      <c r="I105" s="5" t="n">
        <v>68</v>
      </c>
      <c r="J105" s="29" t="n">
        <f aca="false">I105/60</f>
        <v>1.13333333333333</v>
      </c>
    </row>
    <row r="106" customFormat="false" ht="15" hidden="false" customHeight="false" outlineLevel="0" collapsed="false">
      <c r="A106" s="5" t="s">
        <v>1148</v>
      </c>
      <c r="B106" s="9" t="n">
        <v>45579</v>
      </c>
      <c r="C106" s="9" t="n">
        <v>45582</v>
      </c>
      <c r="D106" s="5" t="s">
        <v>138</v>
      </c>
      <c r="E106" s="5" t="s">
        <v>1034</v>
      </c>
      <c r="F106" s="5" t="s">
        <v>1014</v>
      </c>
      <c r="G106" s="6" t="str">
        <f aca="false">INDEX(Catalogo_Causas!$B$2:$B$10,MATCH(F106,Catalogo_Causas!$A$2:$A$10,0))</f>
        <v>Retención de calidad</v>
      </c>
      <c r="H106" s="6" t="str">
        <f aca="false">INDEX(Catalogo_Causas!$C$2:$C$10,MATCH(F106,Catalogo_Causas!$A$2:$A$10,0))</f>
        <v>Calidad</v>
      </c>
      <c r="I106" s="5" t="n">
        <v>120</v>
      </c>
      <c r="J106" s="29" t="n">
        <f aca="false">I106/60</f>
        <v>2</v>
      </c>
    </row>
    <row r="107" customFormat="false" ht="15" hidden="false" customHeight="false" outlineLevel="0" collapsed="false">
      <c r="A107" s="5" t="s">
        <v>1149</v>
      </c>
      <c r="B107" s="9" t="n">
        <v>45579</v>
      </c>
      <c r="C107" s="9" t="n">
        <v>45582</v>
      </c>
      <c r="D107" s="5" t="s">
        <v>140</v>
      </c>
      <c r="E107" s="5" t="s">
        <v>1032</v>
      </c>
      <c r="F107" s="5" t="s">
        <v>1012</v>
      </c>
      <c r="G107" s="6" t="str">
        <f aca="false">INDEX(Catalogo_Causas!$B$2:$B$10,MATCH(F107,Catalogo_Causas!$A$2:$A$10,0))</f>
        <v>Falta de materia prima</v>
      </c>
      <c r="H107" s="6" t="str">
        <f aca="false">INDEX(Catalogo_Causas!$C$2:$C$10,MATCH(F107,Catalogo_Causas!$A$2:$A$10,0))</f>
        <v>Material / suministro</v>
      </c>
      <c r="I107" s="5" t="n">
        <v>51</v>
      </c>
      <c r="J107" s="29" t="n">
        <f aca="false">I107/60</f>
        <v>0.85</v>
      </c>
    </row>
    <row r="108" customFormat="false" ht="15" hidden="false" customHeight="false" outlineLevel="0" collapsed="false">
      <c r="A108" s="5" t="s">
        <v>1150</v>
      </c>
      <c r="B108" s="9" t="n">
        <v>45579</v>
      </c>
      <c r="C108" s="9" t="n">
        <v>45582</v>
      </c>
      <c r="D108" s="5" t="s">
        <v>144</v>
      </c>
      <c r="E108" s="5" t="s">
        <v>1030</v>
      </c>
      <c r="F108" s="5" t="s">
        <v>1005</v>
      </c>
      <c r="G108" s="6" t="str">
        <f aca="false">INDEX(Catalogo_Causas!$B$2:$B$10,MATCH(F108,Catalogo_Causas!$A$2:$A$10,0))</f>
        <v>Falla eléctrica / control</v>
      </c>
      <c r="H108" s="6" t="str">
        <f aca="false">INDEX(Catalogo_Causas!$C$2:$C$10,MATCH(F108,Catalogo_Causas!$A$2:$A$10,0))</f>
        <v>Operacional</v>
      </c>
      <c r="I108" s="5" t="n">
        <v>104</v>
      </c>
      <c r="J108" s="29" t="n">
        <f aca="false">I108/60</f>
        <v>1.73333333333333</v>
      </c>
    </row>
    <row r="109" customFormat="false" ht="15" hidden="false" customHeight="false" outlineLevel="0" collapsed="false">
      <c r="A109" s="5" t="s">
        <v>1151</v>
      </c>
      <c r="B109" s="9" t="n">
        <v>45579</v>
      </c>
      <c r="C109" s="9" t="n">
        <v>45583</v>
      </c>
      <c r="D109" s="5" t="s">
        <v>136</v>
      </c>
      <c r="E109" s="5" t="s">
        <v>1032</v>
      </c>
      <c r="F109" s="5" t="s">
        <v>1002</v>
      </c>
      <c r="G109" s="6" t="str">
        <f aca="false">INDEX(Catalogo_Causas!$B$2:$B$10,MATCH(F109,Catalogo_Causas!$A$2:$A$10,0))</f>
        <v>Falla mecánica</v>
      </c>
      <c r="H109" s="6" t="str">
        <f aca="false">INDEX(Catalogo_Causas!$C$2:$C$10,MATCH(F109,Catalogo_Causas!$A$2:$A$10,0))</f>
        <v>Operacional</v>
      </c>
      <c r="I109" s="5" t="n">
        <v>37</v>
      </c>
      <c r="J109" s="29" t="n">
        <f aca="false">I109/60</f>
        <v>0.616666666666667</v>
      </c>
    </row>
    <row r="110" customFormat="false" ht="15" hidden="false" customHeight="false" outlineLevel="0" collapsed="false">
      <c r="A110" s="5" t="s">
        <v>1152</v>
      </c>
      <c r="B110" s="9" t="n">
        <v>45579</v>
      </c>
      <c r="C110" s="9" t="n">
        <v>45583</v>
      </c>
      <c r="D110" s="5" t="s">
        <v>144</v>
      </c>
      <c r="E110" s="5" t="s">
        <v>1043</v>
      </c>
      <c r="F110" s="5" t="s">
        <v>1012</v>
      </c>
      <c r="G110" s="6" t="str">
        <f aca="false">INDEX(Catalogo_Causas!$B$2:$B$10,MATCH(F110,Catalogo_Causas!$A$2:$A$10,0))</f>
        <v>Falta de materia prima</v>
      </c>
      <c r="H110" s="6" t="str">
        <f aca="false">INDEX(Catalogo_Causas!$C$2:$C$10,MATCH(F110,Catalogo_Causas!$A$2:$A$10,0))</f>
        <v>Material / suministro</v>
      </c>
      <c r="I110" s="5" t="n">
        <v>101</v>
      </c>
      <c r="J110" s="29" t="n">
        <f aca="false">I110/60</f>
        <v>1.68333333333333</v>
      </c>
    </row>
    <row r="111" customFormat="false" ht="15" hidden="false" customHeight="false" outlineLevel="0" collapsed="false">
      <c r="A111" s="5" t="s">
        <v>1153</v>
      </c>
      <c r="B111" s="9" t="n">
        <v>45579</v>
      </c>
      <c r="C111" s="9" t="n">
        <v>45584</v>
      </c>
      <c r="D111" s="5" t="s">
        <v>136</v>
      </c>
      <c r="E111" s="5" t="s">
        <v>1032</v>
      </c>
      <c r="F111" s="5" t="s">
        <v>1005</v>
      </c>
      <c r="G111" s="6" t="str">
        <f aca="false">INDEX(Catalogo_Causas!$B$2:$B$10,MATCH(F111,Catalogo_Causas!$A$2:$A$10,0))</f>
        <v>Falla eléctrica / control</v>
      </c>
      <c r="H111" s="6" t="str">
        <f aca="false">INDEX(Catalogo_Causas!$C$2:$C$10,MATCH(F111,Catalogo_Causas!$A$2:$A$10,0))</f>
        <v>Operacional</v>
      </c>
      <c r="I111" s="5" t="n">
        <v>43</v>
      </c>
      <c r="J111" s="29" t="n">
        <f aca="false">I111/60</f>
        <v>0.716666666666667</v>
      </c>
    </row>
    <row r="112" customFormat="false" ht="15" hidden="false" customHeight="false" outlineLevel="0" collapsed="false">
      <c r="A112" s="5" t="s">
        <v>1154</v>
      </c>
      <c r="B112" s="9" t="n">
        <v>45579</v>
      </c>
      <c r="C112" s="9" t="n">
        <v>45584</v>
      </c>
      <c r="D112" s="5" t="s">
        <v>138</v>
      </c>
      <c r="E112" s="5" t="s">
        <v>1034</v>
      </c>
      <c r="F112" s="5" t="s">
        <v>1009</v>
      </c>
      <c r="G112" s="6" t="str">
        <f aca="false">INDEX(Catalogo_Causas!$B$2:$B$10,MATCH(F112,Catalogo_Causas!$A$2:$A$10,0))</f>
        <v>Falta de material de empaque</v>
      </c>
      <c r="H112" s="6" t="str">
        <f aca="false">INDEX(Catalogo_Causas!$C$2:$C$10,MATCH(F112,Catalogo_Causas!$A$2:$A$10,0))</f>
        <v>Material / suministro</v>
      </c>
      <c r="I112" s="5" t="n">
        <v>109</v>
      </c>
      <c r="J112" s="29" t="n">
        <f aca="false">I112/60</f>
        <v>1.81666666666667</v>
      </c>
    </row>
    <row r="113" customFormat="false" ht="15" hidden="false" customHeight="false" outlineLevel="0" collapsed="false">
      <c r="A113" s="5" t="s">
        <v>1155</v>
      </c>
      <c r="B113" s="9" t="n">
        <v>45586</v>
      </c>
      <c r="C113" s="9" t="n">
        <v>45586</v>
      </c>
      <c r="D113" s="5" t="s">
        <v>140</v>
      </c>
      <c r="E113" s="5" t="s">
        <v>1036</v>
      </c>
      <c r="F113" s="5" t="s">
        <v>1018</v>
      </c>
      <c r="G113" s="6" t="str">
        <f aca="false">INDEX(Catalogo_Causas!$B$2:$B$10,MATCH(F113,Catalogo_Causas!$A$2:$A$10,0))</f>
        <v>Falta de personal</v>
      </c>
      <c r="H113" s="6" t="str">
        <f aca="false">INDEX(Catalogo_Causas!$C$2:$C$10,MATCH(F113,Catalogo_Causas!$A$2:$A$10,0))</f>
        <v>Personal</v>
      </c>
      <c r="I113" s="5" t="n">
        <v>22</v>
      </c>
      <c r="J113" s="29" t="n">
        <f aca="false">I113/60</f>
        <v>0.366666666666667</v>
      </c>
    </row>
    <row r="114" customFormat="false" ht="15" hidden="false" customHeight="false" outlineLevel="0" collapsed="false">
      <c r="A114" s="5" t="s">
        <v>1156</v>
      </c>
      <c r="B114" s="9" t="n">
        <v>45586</v>
      </c>
      <c r="C114" s="9" t="n">
        <v>45586</v>
      </c>
      <c r="D114" s="5" t="s">
        <v>142</v>
      </c>
      <c r="E114" s="5" t="s">
        <v>1030</v>
      </c>
      <c r="F114" s="5" t="s">
        <v>1007</v>
      </c>
      <c r="G114" s="6" t="str">
        <f aca="false">INDEX(Catalogo_Causas!$B$2:$B$10,MATCH(F114,Catalogo_Causas!$A$2:$A$10,0))</f>
        <v>Cambio de formato excedido</v>
      </c>
      <c r="H114" s="6" t="str">
        <f aca="false">INDEX(Catalogo_Causas!$C$2:$C$10,MATCH(F114,Catalogo_Causas!$A$2:$A$10,0))</f>
        <v>Operacional</v>
      </c>
      <c r="I114" s="5" t="n">
        <v>45</v>
      </c>
      <c r="J114" s="29" t="n">
        <f aca="false">I114/60</f>
        <v>0.75</v>
      </c>
    </row>
    <row r="115" customFormat="false" ht="15" hidden="false" customHeight="false" outlineLevel="0" collapsed="false">
      <c r="A115" s="5" t="s">
        <v>1157</v>
      </c>
      <c r="B115" s="9" t="n">
        <v>45586</v>
      </c>
      <c r="C115" s="9" t="n">
        <v>45586</v>
      </c>
      <c r="D115" s="5" t="s">
        <v>142</v>
      </c>
      <c r="E115" s="5" t="s">
        <v>1041</v>
      </c>
      <c r="F115" s="5" t="s">
        <v>1014</v>
      </c>
      <c r="G115" s="6" t="str">
        <f aca="false">INDEX(Catalogo_Causas!$B$2:$B$10,MATCH(F115,Catalogo_Causas!$A$2:$A$10,0))</f>
        <v>Retención de calidad</v>
      </c>
      <c r="H115" s="6" t="str">
        <f aca="false">INDEX(Catalogo_Causas!$C$2:$C$10,MATCH(F115,Catalogo_Causas!$A$2:$A$10,0))</f>
        <v>Calidad</v>
      </c>
      <c r="I115" s="5" t="n">
        <v>64</v>
      </c>
      <c r="J115" s="29" t="n">
        <f aca="false">I115/60</f>
        <v>1.06666666666667</v>
      </c>
    </row>
    <row r="116" customFormat="false" ht="15" hidden="false" customHeight="false" outlineLevel="0" collapsed="false">
      <c r="A116" s="5" t="s">
        <v>1158</v>
      </c>
      <c r="B116" s="9" t="n">
        <v>45586</v>
      </c>
      <c r="C116" s="9" t="n">
        <v>45587</v>
      </c>
      <c r="D116" s="5" t="s">
        <v>130</v>
      </c>
      <c r="E116" s="5" t="s">
        <v>1030</v>
      </c>
      <c r="F116" s="5" t="s">
        <v>1014</v>
      </c>
      <c r="G116" s="6" t="str">
        <f aca="false">INDEX(Catalogo_Causas!$B$2:$B$10,MATCH(F116,Catalogo_Causas!$A$2:$A$10,0))</f>
        <v>Retención de calidad</v>
      </c>
      <c r="H116" s="6" t="str">
        <f aca="false">INDEX(Catalogo_Causas!$C$2:$C$10,MATCH(F116,Catalogo_Causas!$A$2:$A$10,0))</f>
        <v>Calidad</v>
      </c>
      <c r="I116" s="5" t="n">
        <v>56</v>
      </c>
      <c r="J116" s="29" t="n">
        <f aca="false">I116/60</f>
        <v>0.933333333333333</v>
      </c>
    </row>
    <row r="117" customFormat="false" ht="15" hidden="false" customHeight="false" outlineLevel="0" collapsed="false">
      <c r="A117" s="5" t="s">
        <v>1159</v>
      </c>
      <c r="B117" s="9" t="n">
        <v>45586</v>
      </c>
      <c r="C117" s="9" t="n">
        <v>45587</v>
      </c>
      <c r="D117" s="5" t="s">
        <v>130</v>
      </c>
      <c r="E117" s="5" t="s">
        <v>1030</v>
      </c>
      <c r="F117" s="5" t="s">
        <v>1016</v>
      </c>
      <c r="G117" s="6" t="str">
        <f aca="false">INDEX(Catalogo_Causas!$B$2:$B$10,MATCH(F117,Catalogo_Causas!$A$2:$A$10,0))</f>
        <v>Limpieza no programada (CIP)</v>
      </c>
      <c r="H117" s="6" t="str">
        <f aca="false">INDEX(Catalogo_Causas!$C$2:$C$10,MATCH(F117,Catalogo_Causas!$A$2:$A$10,0))</f>
        <v>Calidad</v>
      </c>
      <c r="I117" s="5" t="n">
        <v>45</v>
      </c>
      <c r="J117" s="29" t="n">
        <f aca="false">I117/60</f>
        <v>0.75</v>
      </c>
    </row>
    <row r="118" customFormat="false" ht="15" hidden="false" customHeight="false" outlineLevel="0" collapsed="false">
      <c r="A118" s="5" t="s">
        <v>1160</v>
      </c>
      <c r="B118" s="9" t="n">
        <v>45586</v>
      </c>
      <c r="C118" s="9" t="n">
        <v>45587</v>
      </c>
      <c r="D118" s="5" t="s">
        <v>134</v>
      </c>
      <c r="E118" s="5" t="s">
        <v>1030</v>
      </c>
      <c r="F118" s="5" t="s">
        <v>1002</v>
      </c>
      <c r="G118" s="6" t="str">
        <f aca="false">INDEX(Catalogo_Causas!$B$2:$B$10,MATCH(F118,Catalogo_Causas!$A$2:$A$10,0))</f>
        <v>Falla mecánica</v>
      </c>
      <c r="H118" s="6" t="str">
        <f aca="false">INDEX(Catalogo_Causas!$C$2:$C$10,MATCH(F118,Catalogo_Causas!$A$2:$A$10,0))</f>
        <v>Operacional</v>
      </c>
      <c r="I118" s="5" t="n">
        <v>49</v>
      </c>
      <c r="J118" s="29" t="n">
        <f aca="false">I118/60</f>
        <v>0.816666666666667</v>
      </c>
    </row>
    <row r="119" customFormat="false" ht="15" hidden="false" customHeight="false" outlineLevel="0" collapsed="false">
      <c r="A119" s="5" t="s">
        <v>1161</v>
      </c>
      <c r="B119" s="9" t="n">
        <v>45586</v>
      </c>
      <c r="C119" s="9" t="n">
        <v>45588</v>
      </c>
      <c r="D119" s="5" t="s">
        <v>130</v>
      </c>
      <c r="E119" s="5" t="s">
        <v>1045</v>
      </c>
      <c r="F119" s="5" t="s">
        <v>1016</v>
      </c>
      <c r="G119" s="6" t="str">
        <f aca="false">INDEX(Catalogo_Causas!$B$2:$B$10,MATCH(F119,Catalogo_Causas!$A$2:$A$10,0))</f>
        <v>Limpieza no programada (CIP)</v>
      </c>
      <c r="H119" s="6" t="str">
        <f aca="false">INDEX(Catalogo_Causas!$C$2:$C$10,MATCH(F119,Catalogo_Causas!$A$2:$A$10,0))</f>
        <v>Calidad</v>
      </c>
      <c r="I119" s="5" t="n">
        <v>35</v>
      </c>
      <c r="J119" s="29" t="n">
        <f aca="false">I119/60</f>
        <v>0.583333333333333</v>
      </c>
    </row>
    <row r="120" customFormat="false" ht="15" hidden="false" customHeight="false" outlineLevel="0" collapsed="false">
      <c r="A120" s="5" t="s">
        <v>1162</v>
      </c>
      <c r="B120" s="9" t="n">
        <v>45586</v>
      </c>
      <c r="C120" s="9" t="n">
        <v>45588</v>
      </c>
      <c r="D120" s="5" t="s">
        <v>138</v>
      </c>
      <c r="E120" s="5" t="s">
        <v>1056</v>
      </c>
      <c r="F120" s="5" t="s">
        <v>1014</v>
      </c>
      <c r="G120" s="6" t="str">
        <f aca="false">INDEX(Catalogo_Causas!$B$2:$B$10,MATCH(F120,Catalogo_Causas!$A$2:$A$10,0))</f>
        <v>Retención de calidad</v>
      </c>
      <c r="H120" s="6" t="str">
        <f aca="false">INDEX(Catalogo_Causas!$C$2:$C$10,MATCH(F120,Catalogo_Causas!$A$2:$A$10,0))</f>
        <v>Calidad</v>
      </c>
      <c r="I120" s="5" t="n">
        <v>92</v>
      </c>
      <c r="J120" s="29" t="n">
        <f aca="false">I120/60</f>
        <v>1.53333333333333</v>
      </c>
    </row>
    <row r="121" customFormat="false" ht="15" hidden="false" customHeight="false" outlineLevel="0" collapsed="false">
      <c r="A121" s="5" t="s">
        <v>1163</v>
      </c>
      <c r="B121" s="9" t="n">
        <v>45586</v>
      </c>
      <c r="C121" s="9" t="n">
        <v>45588</v>
      </c>
      <c r="D121" s="5" t="s">
        <v>140</v>
      </c>
      <c r="E121" s="5" t="s">
        <v>1032</v>
      </c>
      <c r="F121" s="5" t="s">
        <v>1012</v>
      </c>
      <c r="G121" s="6" t="str">
        <f aca="false">INDEX(Catalogo_Causas!$B$2:$B$10,MATCH(F121,Catalogo_Causas!$A$2:$A$10,0))</f>
        <v>Falta de materia prima</v>
      </c>
      <c r="H121" s="6" t="str">
        <f aca="false">INDEX(Catalogo_Causas!$C$2:$C$10,MATCH(F121,Catalogo_Causas!$A$2:$A$10,0))</f>
        <v>Material / suministro</v>
      </c>
      <c r="I121" s="5" t="n">
        <v>69</v>
      </c>
      <c r="J121" s="29" t="n">
        <f aca="false">I121/60</f>
        <v>1.15</v>
      </c>
    </row>
    <row r="122" customFormat="false" ht="15" hidden="false" customHeight="false" outlineLevel="0" collapsed="false">
      <c r="A122" s="5" t="s">
        <v>1164</v>
      </c>
      <c r="B122" s="9" t="n">
        <v>45586</v>
      </c>
      <c r="C122" s="9" t="n">
        <v>45588</v>
      </c>
      <c r="D122" s="5" t="s">
        <v>142</v>
      </c>
      <c r="E122" s="5" t="s">
        <v>1051</v>
      </c>
      <c r="F122" s="5" t="s">
        <v>1014</v>
      </c>
      <c r="G122" s="6" t="str">
        <f aca="false">INDEX(Catalogo_Causas!$B$2:$B$10,MATCH(F122,Catalogo_Causas!$A$2:$A$10,0))</f>
        <v>Retención de calidad</v>
      </c>
      <c r="H122" s="6" t="str">
        <f aca="false">INDEX(Catalogo_Causas!$C$2:$C$10,MATCH(F122,Catalogo_Causas!$A$2:$A$10,0))</f>
        <v>Calidad</v>
      </c>
      <c r="I122" s="5" t="n">
        <v>19</v>
      </c>
      <c r="J122" s="29" t="n">
        <f aca="false">I122/60</f>
        <v>0.316666666666667</v>
      </c>
    </row>
    <row r="123" customFormat="false" ht="15" hidden="false" customHeight="false" outlineLevel="0" collapsed="false">
      <c r="A123" s="5" t="s">
        <v>1165</v>
      </c>
      <c r="B123" s="9" t="n">
        <v>45586</v>
      </c>
      <c r="C123" s="9" t="n">
        <v>45589</v>
      </c>
      <c r="D123" s="5" t="s">
        <v>130</v>
      </c>
      <c r="E123" s="5" t="s">
        <v>1030</v>
      </c>
      <c r="F123" s="5" t="s">
        <v>1014</v>
      </c>
      <c r="G123" s="6" t="str">
        <f aca="false">INDEX(Catalogo_Causas!$B$2:$B$10,MATCH(F123,Catalogo_Causas!$A$2:$A$10,0))</f>
        <v>Retención de calidad</v>
      </c>
      <c r="H123" s="6" t="str">
        <f aca="false">INDEX(Catalogo_Causas!$C$2:$C$10,MATCH(F123,Catalogo_Causas!$A$2:$A$10,0))</f>
        <v>Calidad</v>
      </c>
      <c r="I123" s="5" t="n">
        <v>58</v>
      </c>
      <c r="J123" s="29" t="n">
        <f aca="false">I123/60</f>
        <v>0.966666666666667</v>
      </c>
    </row>
    <row r="124" customFormat="false" ht="15" hidden="false" customHeight="false" outlineLevel="0" collapsed="false">
      <c r="A124" s="5" t="s">
        <v>1166</v>
      </c>
      <c r="B124" s="9" t="n">
        <v>45586</v>
      </c>
      <c r="C124" s="9" t="n">
        <v>45589</v>
      </c>
      <c r="D124" s="5" t="s">
        <v>132</v>
      </c>
      <c r="E124" s="5" t="s">
        <v>1073</v>
      </c>
      <c r="F124" s="5" t="s">
        <v>1012</v>
      </c>
      <c r="G124" s="6" t="str">
        <f aca="false">INDEX(Catalogo_Causas!$B$2:$B$10,MATCH(F124,Catalogo_Causas!$A$2:$A$10,0))</f>
        <v>Falta de materia prima</v>
      </c>
      <c r="H124" s="6" t="str">
        <f aca="false">INDEX(Catalogo_Causas!$C$2:$C$10,MATCH(F124,Catalogo_Causas!$A$2:$A$10,0))</f>
        <v>Material / suministro</v>
      </c>
      <c r="I124" s="5" t="n">
        <v>155</v>
      </c>
      <c r="J124" s="29" t="n">
        <f aca="false">I124/60</f>
        <v>2.58333333333333</v>
      </c>
    </row>
    <row r="125" customFormat="false" ht="15" hidden="false" customHeight="false" outlineLevel="0" collapsed="false">
      <c r="A125" s="5" t="s">
        <v>1167</v>
      </c>
      <c r="B125" s="9" t="n">
        <v>45586</v>
      </c>
      <c r="C125" s="9" t="n">
        <v>45589</v>
      </c>
      <c r="D125" s="5" t="s">
        <v>134</v>
      </c>
      <c r="E125" s="5" t="s">
        <v>1030</v>
      </c>
      <c r="F125" s="5" t="s">
        <v>1002</v>
      </c>
      <c r="G125" s="6" t="str">
        <f aca="false">INDEX(Catalogo_Causas!$B$2:$B$10,MATCH(F125,Catalogo_Causas!$A$2:$A$10,0))</f>
        <v>Falla mecánica</v>
      </c>
      <c r="H125" s="6" t="str">
        <f aca="false">INDEX(Catalogo_Causas!$C$2:$C$10,MATCH(F125,Catalogo_Causas!$A$2:$A$10,0))</f>
        <v>Operacional</v>
      </c>
      <c r="I125" s="5" t="n">
        <v>76</v>
      </c>
      <c r="J125" s="29" t="n">
        <f aca="false">I125/60</f>
        <v>1.26666666666667</v>
      </c>
    </row>
    <row r="126" customFormat="false" ht="15" hidden="false" customHeight="false" outlineLevel="0" collapsed="false">
      <c r="A126" s="5" t="s">
        <v>1168</v>
      </c>
      <c r="B126" s="9" t="n">
        <v>45586</v>
      </c>
      <c r="C126" s="9" t="n">
        <v>45589</v>
      </c>
      <c r="D126" s="5" t="s">
        <v>136</v>
      </c>
      <c r="E126" s="5" t="s">
        <v>1101</v>
      </c>
      <c r="F126" s="5" t="s">
        <v>1009</v>
      </c>
      <c r="G126" s="6" t="str">
        <f aca="false">INDEX(Catalogo_Causas!$B$2:$B$10,MATCH(F126,Catalogo_Causas!$A$2:$A$10,0))</f>
        <v>Falta de material de empaque</v>
      </c>
      <c r="H126" s="6" t="str">
        <f aca="false">INDEX(Catalogo_Causas!$C$2:$C$10,MATCH(F126,Catalogo_Causas!$A$2:$A$10,0))</f>
        <v>Material / suministro</v>
      </c>
      <c r="I126" s="5" t="n">
        <v>122</v>
      </c>
      <c r="J126" s="29" t="n">
        <f aca="false">I126/60</f>
        <v>2.03333333333333</v>
      </c>
    </row>
    <row r="127" customFormat="false" ht="15" hidden="false" customHeight="false" outlineLevel="0" collapsed="false">
      <c r="A127" s="5" t="s">
        <v>1169</v>
      </c>
      <c r="B127" s="9" t="n">
        <v>45586</v>
      </c>
      <c r="C127" s="9" t="n">
        <v>45589</v>
      </c>
      <c r="D127" s="5" t="s">
        <v>138</v>
      </c>
      <c r="E127" s="5" t="s">
        <v>1039</v>
      </c>
      <c r="F127" s="5" t="s">
        <v>1014</v>
      </c>
      <c r="G127" s="6" t="str">
        <f aca="false">INDEX(Catalogo_Causas!$B$2:$B$10,MATCH(F127,Catalogo_Causas!$A$2:$A$10,0))</f>
        <v>Retención de calidad</v>
      </c>
      <c r="H127" s="6" t="str">
        <f aca="false">INDEX(Catalogo_Causas!$C$2:$C$10,MATCH(F127,Catalogo_Causas!$A$2:$A$10,0))</f>
        <v>Calidad</v>
      </c>
      <c r="I127" s="5" t="n">
        <v>116</v>
      </c>
      <c r="J127" s="29" t="n">
        <f aca="false">I127/60</f>
        <v>1.93333333333333</v>
      </c>
    </row>
    <row r="128" customFormat="false" ht="15" hidden="false" customHeight="false" outlineLevel="0" collapsed="false">
      <c r="A128" s="5" t="s">
        <v>1170</v>
      </c>
      <c r="B128" s="9" t="n">
        <v>45586</v>
      </c>
      <c r="C128" s="9" t="n">
        <v>45589</v>
      </c>
      <c r="D128" s="5" t="s">
        <v>138</v>
      </c>
      <c r="E128" s="5" t="s">
        <v>1039</v>
      </c>
      <c r="F128" s="5" t="s">
        <v>1018</v>
      </c>
      <c r="G128" s="6" t="str">
        <f aca="false">INDEX(Catalogo_Causas!$B$2:$B$10,MATCH(F128,Catalogo_Causas!$A$2:$A$10,0))</f>
        <v>Falta de personal</v>
      </c>
      <c r="H128" s="6" t="str">
        <f aca="false">INDEX(Catalogo_Causas!$C$2:$C$10,MATCH(F128,Catalogo_Causas!$A$2:$A$10,0))</f>
        <v>Personal</v>
      </c>
      <c r="I128" s="5" t="n">
        <v>42</v>
      </c>
      <c r="J128" s="29" t="n">
        <f aca="false">I128/60</f>
        <v>0.7</v>
      </c>
    </row>
    <row r="129" customFormat="false" ht="15" hidden="false" customHeight="false" outlineLevel="0" collapsed="false">
      <c r="A129" s="5" t="s">
        <v>1171</v>
      </c>
      <c r="B129" s="9" t="n">
        <v>45586</v>
      </c>
      <c r="C129" s="9" t="n">
        <v>45589</v>
      </c>
      <c r="D129" s="5" t="s">
        <v>140</v>
      </c>
      <c r="E129" s="5" t="s">
        <v>1032</v>
      </c>
      <c r="F129" s="5" t="s">
        <v>1016</v>
      </c>
      <c r="G129" s="6" t="str">
        <f aca="false">INDEX(Catalogo_Causas!$B$2:$B$10,MATCH(F129,Catalogo_Causas!$A$2:$A$10,0))</f>
        <v>Limpieza no programada (CIP)</v>
      </c>
      <c r="H129" s="6" t="str">
        <f aca="false">INDEX(Catalogo_Causas!$C$2:$C$10,MATCH(F129,Catalogo_Causas!$A$2:$A$10,0))</f>
        <v>Calidad</v>
      </c>
      <c r="I129" s="5" t="n">
        <v>14</v>
      </c>
      <c r="J129" s="29" t="n">
        <f aca="false">I129/60</f>
        <v>0.233333333333333</v>
      </c>
    </row>
    <row r="130" customFormat="false" ht="15" hidden="false" customHeight="false" outlineLevel="0" collapsed="false">
      <c r="A130" s="5" t="s">
        <v>1172</v>
      </c>
      <c r="B130" s="9" t="n">
        <v>45586</v>
      </c>
      <c r="C130" s="9" t="n">
        <v>45590</v>
      </c>
      <c r="D130" s="5" t="s">
        <v>134</v>
      </c>
      <c r="E130" s="5" t="s">
        <v>1030</v>
      </c>
      <c r="F130" s="5" t="s">
        <v>1007</v>
      </c>
      <c r="G130" s="6" t="str">
        <f aca="false">INDEX(Catalogo_Causas!$B$2:$B$10,MATCH(F130,Catalogo_Causas!$A$2:$A$10,0))</f>
        <v>Cambio de formato excedido</v>
      </c>
      <c r="H130" s="6" t="str">
        <f aca="false">INDEX(Catalogo_Causas!$C$2:$C$10,MATCH(F130,Catalogo_Causas!$A$2:$A$10,0))</f>
        <v>Operacional</v>
      </c>
      <c r="I130" s="5" t="n">
        <v>53</v>
      </c>
      <c r="J130" s="29" t="n">
        <f aca="false">I130/60</f>
        <v>0.883333333333333</v>
      </c>
    </row>
    <row r="131" customFormat="false" ht="15" hidden="false" customHeight="false" outlineLevel="0" collapsed="false">
      <c r="A131" s="5" t="s">
        <v>1173</v>
      </c>
      <c r="B131" s="9" t="n">
        <v>45586</v>
      </c>
      <c r="C131" s="9" t="n">
        <v>45590</v>
      </c>
      <c r="D131" s="5" t="s">
        <v>134</v>
      </c>
      <c r="E131" s="5" t="s">
        <v>1054</v>
      </c>
      <c r="F131" s="5" t="s">
        <v>1002</v>
      </c>
      <c r="G131" s="6" t="str">
        <f aca="false">INDEX(Catalogo_Causas!$B$2:$B$10,MATCH(F131,Catalogo_Causas!$A$2:$A$10,0))</f>
        <v>Falla mecánica</v>
      </c>
      <c r="H131" s="6" t="str">
        <f aca="false">INDEX(Catalogo_Causas!$C$2:$C$10,MATCH(F131,Catalogo_Causas!$A$2:$A$10,0))</f>
        <v>Operacional</v>
      </c>
      <c r="I131" s="5" t="n">
        <v>104</v>
      </c>
      <c r="J131" s="29" t="n">
        <f aca="false">I131/60</f>
        <v>1.73333333333333</v>
      </c>
    </row>
    <row r="132" customFormat="false" ht="15" hidden="false" customHeight="false" outlineLevel="0" collapsed="false">
      <c r="A132" s="5" t="s">
        <v>1174</v>
      </c>
      <c r="B132" s="9" t="n">
        <v>45586</v>
      </c>
      <c r="C132" s="9" t="n">
        <v>45590</v>
      </c>
      <c r="D132" s="5" t="s">
        <v>136</v>
      </c>
      <c r="E132" s="5" t="s">
        <v>1032</v>
      </c>
      <c r="F132" s="5" t="s">
        <v>1012</v>
      </c>
      <c r="G132" s="6" t="str">
        <f aca="false">INDEX(Catalogo_Causas!$B$2:$B$10,MATCH(F132,Catalogo_Causas!$A$2:$A$10,0))</f>
        <v>Falta de materia prima</v>
      </c>
      <c r="H132" s="6" t="str">
        <f aca="false">INDEX(Catalogo_Causas!$C$2:$C$10,MATCH(F132,Catalogo_Causas!$A$2:$A$10,0))</f>
        <v>Material / suministro</v>
      </c>
      <c r="I132" s="5" t="n">
        <v>61</v>
      </c>
      <c r="J132" s="29" t="n">
        <f aca="false">I132/60</f>
        <v>1.01666666666667</v>
      </c>
    </row>
    <row r="133" customFormat="false" ht="15" hidden="false" customHeight="false" outlineLevel="0" collapsed="false">
      <c r="A133" s="5" t="s">
        <v>1175</v>
      </c>
      <c r="B133" s="9" t="n">
        <v>45586</v>
      </c>
      <c r="C133" s="9" t="n">
        <v>45590</v>
      </c>
      <c r="D133" s="5" t="s">
        <v>138</v>
      </c>
      <c r="E133" s="5" t="s">
        <v>1034</v>
      </c>
      <c r="F133" s="5" t="s">
        <v>1016</v>
      </c>
      <c r="G133" s="6" t="str">
        <f aca="false">INDEX(Catalogo_Causas!$B$2:$B$10,MATCH(F133,Catalogo_Causas!$A$2:$A$10,0))</f>
        <v>Limpieza no programada (CIP)</v>
      </c>
      <c r="H133" s="6" t="str">
        <f aca="false">INDEX(Catalogo_Causas!$C$2:$C$10,MATCH(F133,Catalogo_Causas!$A$2:$A$10,0))</f>
        <v>Calidad</v>
      </c>
      <c r="I133" s="5" t="n">
        <v>97</v>
      </c>
      <c r="J133" s="29" t="n">
        <f aca="false">I133/60</f>
        <v>1.61666666666667</v>
      </c>
    </row>
    <row r="134" customFormat="false" ht="15" hidden="false" customHeight="false" outlineLevel="0" collapsed="false">
      <c r="A134" s="5" t="s">
        <v>1176</v>
      </c>
      <c r="B134" s="9" t="n">
        <v>45586</v>
      </c>
      <c r="C134" s="9" t="n">
        <v>45590</v>
      </c>
      <c r="D134" s="5" t="s">
        <v>138</v>
      </c>
      <c r="E134" s="5" t="s">
        <v>1056</v>
      </c>
      <c r="F134" s="5" t="s">
        <v>1009</v>
      </c>
      <c r="G134" s="6" t="str">
        <f aca="false">INDEX(Catalogo_Causas!$B$2:$B$10,MATCH(F134,Catalogo_Causas!$A$2:$A$10,0))</f>
        <v>Falta de material de empaque</v>
      </c>
      <c r="H134" s="6" t="str">
        <f aca="false">INDEX(Catalogo_Causas!$C$2:$C$10,MATCH(F134,Catalogo_Causas!$A$2:$A$10,0))</f>
        <v>Material / suministro</v>
      </c>
      <c r="I134" s="5" t="n">
        <v>95</v>
      </c>
      <c r="J134" s="29" t="n">
        <f aca="false">I134/60</f>
        <v>1.58333333333333</v>
      </c>
    </row>
    <row r="135" customFormat="false" ht="15" hidden="false" customHeight="false" outlineLevel="0" collapsed="false">
      <c r="A135" s="5" t="s">
        <v>1177</v>
      </c>
      <c r="B135" s="9" t="n">
        <v>45586</v>
      </c>
      <c r="C135" s="9" t="n">
        <v>45590</v>
      </c>
      <c r="D135" s="5" t="s">
        <v>138</v>
      </c>
      <c r="E135" s="5" t="s">
        <v>1056</v>
      </c>
      <c r="F135" s="5" t="s">
        <v>1007</v>
      </c>
      <c r="G135" s="6" t="str">
        <f aca="false">INDEX(Catalogo_Causas!$B$2:$B$10,MATCH(F135,Catalogo_Causas!$A$2:$A$10,0))</f>
        <v>Cambio de formato excedido</v>
      </c>
      <c r="H135" s="6" t="str">
        <f aca="false">INDEX(Catalogo_Causas!$C$2:$C$10,MATCH(F135,Catalogo_Causas!$A$2:$A$10,0))</f>
        <v>Operacional</v>
      </c>
      <c r="I135" s="5" t="n">
        <v>48</v>
      </c>
      <c r="J135" s="29" t="n">
        <f aca="false">I135/60</f>
        <v>0.8</v>
      </c>
    </row>
    <row r="136" customFormat="false" ht="15" hidden="false" customHeight="false" outlineLevel="0" collapsed="false">
      <c r="A136" s="5" t="s">
        <v>1178</v>
      </c>
      <c r="B136" s="9" t="n">
        <v>45586</v>
      </c>
      <c r="C136" s="9" t="n">
        <v>45590</v>
      </c>
      <c r="D136" s="5" t="s">
        <v>142</v>
      </c>
      <c r="E136" s="5" t="s">
        <v>1030</v>
      </c>
      <c r="F136" s="5" t="s">
        <v>1002</v>
      </c>
      <c r="G136" s="6" t="str">
        <f aca="false">INDEX(Catalogo_Causas!$B$2:$B$10,MATCH(F136,Catalogo_Causas!$A$2:$A$10,0))</f>
        <v>Falla mecánica</v>
      </c>
      <c r="H136" s="6" t="str">
        <f aca="false">INDEX(Catalogo_Causas!$C$2:$C$10,MATCH(F136,Catalogo_Causas!$A$2:$A$10,0))</f>
        <v>Operacional</v>
      </c>
      <c r="I136" s="5" t="n">
        <v>27</v>
      </c>
      <c r="J136" s="29" t="n">
        <f aca="false">I136/60</f>
        <v>0.45</v>
      </c>
    </row>
    <row r="137" customFormat="false" ht="15" hidden="false" customHeight="false" outlineLevel="0" collapsed="false">
      <c r="A137" s="5" t="s">
        <v>1179</v>
      </c>
      <c r="B137" s="9" t="n">
        <v>45586</v>
      </c>
      <c r="C137" s="9" t="n">
        <v>45590</v>
      </c>
      <c r="D137" s="5" t="s">
        <v>144</v>
      </c>
      <c r="E137" s="5" t="s">
        <v>1030</v>
      </c>
      <c r="F137" s="5" t="s">
        <v>1009</v>
      </c>
      <c r="G137" s="6" t="str">
        <f aca="false">INDEX(Catalogo_Causas!$B$2:$B$10,MATCH(F137,Catalogo_Causas!$A$2:$A$10,0))</f>
        <v>Falta de material de empaque</v>
      </c>
      <c r="H137" s="6" t="str">
        <f aca="false">INDEX(Catalogo_Causas!$C$2:$C$10,MATCH(F137,Catalogo_Causas!$A$2:$A$10,0))</f>
        <v>Material / suministro</v>
      </c>
      <c r="I137" s="5" t="n">
        <v>28</v>
      </c>
      <c r="J137" s="29" t="n">
        <f aca="false">I137/60</f>
        <v>0.466666666666667</v>
      </c>
    </row>
    <row r="138" customFormat="false" ht="15" hidden="false" customHeight="false" outlineLevel="0" collapsed="false">
      <c r="A138" s="5" t="s">
        <v>1180</v>
      </c>
      <c r="B138" s="9" t="n">
        <v>45586</v>
      </c>
      <c r="C138" s="9" t="n">
        <v>45591</v>
      </c>
      <c r="D138" s="5" t="s">
        <v>132</v>
      </c>
      <c r="E138" s="5" t="s">
        <v>1084</v>
      </c>
      <c r="F138" s="5" t="s">
        <v>1014</v>
      </c>
      <c r="G138" s="6" t="str">
        <f aca="false">INDEX(Catalogo_Causas!$B$2:$B$10,MATCH(F138,Catalogo_Causas!$A$2:$A$10,0))</f>
        <v>Retención de calidad</v>
      </c>
      <c r="H138" s="6" t="str">
        <f aca="false">INDEX(Catalogo_Causas!$C$2:$C$10,MATCH(F138,Catalogo_Causas!$A$2:$A$10,0))</f>
        <v>Calidad</v>
      </c>
      <c r="I138" s="5" t="n">
        <v>112</v>
      </c>
      <c r="J138" s="29" t="n">
        <f aca="false">I138/60</f>
        <v>1.86666666666667</v>
      </c>
    </row>
    <row r="139" customFormat="false" ht="15" hidden="false" customHeight="false" outlineLevel="0" collapsed="false">
      <c r="A139" s="5" t="s">
        <v>1181</v>
      </c>
      <c r="B139" s="9" t="n">
        <v>45586</v>
      </c>
      <c r="C139" s="9" t="n">
        <v>45591</v>
      </c>
      <c r="D139" s="5" t="s">
        <v>134</v>
      </c>
      <c r="E139" s="5" t="s">
        <v>1030</v>
      </c>
      <c r="F139" s="5" t="s">
        <v>1007</v>
      </c>
      <c r="G139" s="6" t="str">
        <f aca="false">INDEX(Catalogo_Causas!$B$2:$B$10,MATCH(F139,Catalogo_Causas!$A$2:$A$10,0))</f>
        <v>Cambio de formato excedido</v>
      </c>
      <c r="H139" s="6" t="str">
        <f aca="false">INDEX(Catalogo_Causas!$C$2:$C$10,MATCH(F139,Catalogo_Causas!$A$2:$A$10,0))</f>
        <v>Operacional</v>
      </c>
      <c r="I139" s="5" t="n">
        <v>33</v>
      </c>
      <c r="J139" s="29" t="n">
        <f aca="false">I139/60</f>
        <v>0.55</v>
      </c>
    </row>
    <row r="140" customFormat="false" ht="15" hidden="false" customHeight="false" outlineLevel="0" collapsed="false">
      <c r="A140" s="5" t="s">
        <v>1182</v>
      </c>
      <c r="B140" s="9" t="n">
        <v>45586</v>
      </c>
      <c r="C140" s="9" t="n">
        <v>45591</v>
      </c>
      <c r="D140" s="5" t="s">
        <v>138</v>
      </c>
      <c r="E140" s="5" t="s">
        <v>1034</v>
      </c>
      <c r="F140" s="5" t="s">
        <v>1009</v>
      </c>
      <c r="G140" s="6" t="str">
        <f aca="false">INDEX(Catalogo_Causas!$B$2:$B$10,MATCH(F140,Catalogo_Causas!$A$2:$A$10,0))</f>
        <v>Falta de material de empaque</v>
      </c>
      <c r="H140" s="6" t="str">
        <f aca="false">INDEX(Catalogo_Causas!$C$2:$C$10,MATCH(F140,Catalogo_Causas!$A$2:$A$10,0))</f>
        <v>Material / suministro</v>
      </c>
      <c r="I140" s="5" t="n">
        <v>23</v>
      </c>
      <c r="J140" s="29" t="n">
        <f aca="false">I140/60</f>
        <v>0.383333333333333</v>
      </c>
    </row>
    <row r="141" customFormat="false" ht="15" hidden="false" customHeight="false" outlineLevel="0" collapsed="false">
      <c r="A141" s="5" t="s">
        <v>1183</v>
      </c>
      <c r="B141" s="9" t="n">
        <v>45586</v>
      </c>
      <c r="C141" s="9" t="n">
        <v>45591</v>
      </c>
      <c r="D141" s="5" t="s">
        <v>144</v>
      </c>
      <c r="E141" s="5" t="s">
        <v>1032</v>
      </c>
      <c r="F141" s="5" t="s">
        <v>1021</v>
      </c>
      <c r="G141" s="6" t="str">
        <f aca="false">INDEX(Catalogo_Causas!$B$2:$B$10,MATCH(F141,Catalogo_Causas!$A$2:$A$10,0))</f>
        <v>Falla de servicios (vapor/amoniaco/aire)</v>
      </c>
      <c r="H141" s="6" t="str">
        <f aca="false">INDEX(Catalogo_Causas!$C$2:$C$10,MATCH(F141,Catalogo_Causas!$A$2:$A$10,0))</f>
        <v>Servicios</v>
      </c>
      <c r="I141" s="5" t="n">
        <v>32</v>
      </c>
      <c r="J141" s="29" t="n">
        <f aca="false">I141/60</f>
        <v>0.533333333333333</v>
      </c>
    </row>
    <row r="142" customFormat="false" ht="15" hidden="false" customHeight="false" outlineLevel="0" collapsed="false">
      <c r="A142" s="5" t="s">
        <v>1184</v>
      </c>
      <c r="B142" s="9" t="n">
        <v>45593</v>
      </c>
      <c r="C142" s="9" t="n">
        <v>45593</v>
      </c>
      <c r="D142" s="5" t="s">
        <v>132</v>
      </c>
      <c r="E142" s="5" t="s">
        <v>1084</v>
      </c>
      <c r="F142" s="5" t="s">
        <v>1018</v>
      </c>
      <c r="G142" s="6" t="str">
        <f aca="false">INDEX(Catalogo_Causas!$B$2:$B$10,MATCH(F142,Catalogo_Causas!$A$2:$A$10,0))</f>
        <v>Falta de personal</v>
      </c>
      <c r="H142" s="6" t="str">
        <f aca="false">INDEX(Catalogo_Causas!$C$2:$C$10,MATCH(F142,Catalogo_Causas!$A$2:$A$10,0))</f>
        <v>Personal</v>
      </c>
      <c r="I142" s="5" t="n">
        <v>33</v>
      </c>
      <c r="J142" s="29" t="n">
        <f aca="false">I142/60</f>
        <v>0.55</v>
      </c>
    </row>
    <row r="143" customFormat="false" ht="15" hidden="false" customHeight="false" outlineLevel="0" collapsed="false">
      <c r="A143" s="5" t="s">
        <v>1185</v>
      </c>
      <c r="B143" s="9" t="n">
        <v>45593</v>
      </c>
      <c r="C143" s="9" t="n">
        <v>45593</v>
      </c>
      <c r="D143" s="5" t="s">
        <v>140</v>
      </c>
      <c r="E143" s="5" t="s">
        <v>1036</v>
      </c>
      <c r="F143" s="5" t="s">
        <v>1005</v>
      </c>
      <c r="G143" s="6" t="str">
        <f aca="false">INDEX(Catalogo_Causas!$B$2:$B$10,MATCH(F143,Catalogo_Causas!$A$2:$A$10,0))</f>
        <v>Falla eléctrica / control</v>
      </c>
      <c r="H143" s="6" t="str">
        <f aca="false">INDEX(Catalogo_Causas!$C$2:$C$10,MATCH(F143,Catalogo_Causas!$A$2:$A$10,0))</f>
        <v>Operacional</v>
      </c>
      <c r="I143" s="5" t="n">
        <v>31</v>
      </c>
      <c r="J143" s="29" t="n">
        <f aca="false">I143/60</f>
        <v>0.516666666666667</v>
      </c>
    </row>
    <row r="144" customFormat="false" ht="15" hidden="false" customHeight="false" outlineLevel="0" collapsed="false">
      <c r="A144" s="5" t="s">
        <v>1186</v>
      </c>
      <c r="B144" s="9" t="n">
        <v>45593</v>
      </c>
      <c r="C144" s="9" t="n">
        <v>45594</v>
      </c>
      <c r="D144" s="5" t="s">
        <v>132</v>
      </c>
      <c r="E144" s="5" t="s">
        <v>1073</v>
      </c>
      <c r="F144" s="5" t="s">
        <v>1007</v>
      </c>
      <c r="G144" s="6" t="str">
        <f aca="false">INDEX(Catalogo_Causas!$B$2:$B$10,MATCH(F144,Catalogo_Causas!$A$2:$A$10,0))</f>
        <v>Cambio de formato excedido</v>
      </c>
      <c r="H144" s="6" t="str">
        <f aca="false">INDEX(Catalogo_Causas!$C$2:$C$10,MATCH(F144,Catalogo_Causas!$A$2:$A$10,0))</f>
        <v>Operacional</v>
      </c>
      <c r="I144" s="5" t="n">
        <v>65</v>
      </c>
      <c r="J144" s="29" t="n">
        <f aca="false">I144/60</f>
        <v>1.08333333333333</v>
      </c>
    </row>
    <row r="145" customFormat="false" ht="15" hidden="false" customHeight="false" outlineLevel="0" collapsed="false">
      <c r="A145" s="5" t="s">
        <v>1187</v>
      </c>
      <c r="B145" s="9" t="n">
        <v>45593</v>
      </c>
      <c r="C145" s="9" t="n">
        <v>45595</v>
      </c>
      <c r="D145" s="5" t="s">
        <v>130</v>
      </c>
      <c r="E145" s="5" t="s">
        <v>1030</v>
      </c>
      <c r="F145" s="5" t="s">
        <v>1002</v>
      </c>
      <c r="G145" s="6" t="str">
        <f aca="false">INDEX(Catalogo_Causas!$B$2:$B$10,MATCH(F145,Catalogo_Causas!$A$2:$A$10,0))</f>
        <v>Falla mecánica</v>
      </c>
      <c r="H145" s="6" t="str">
        <f aca="false">INDEX(Catalogo_Causas!$C$2:$C$10,MATCH(F145,Catalogo_Causas!$A$2:$A$10,0))</f>
        <v>Operacional</v>
      </c>
      <c r="I145" s="5" t="n">
        <v>32</v>
      </c>
      <c r="J145" s="29" t="n">
        <f aca="false">I145/60</f>
        <v>0.533333333333333</v>
      </c>
    </row>
    <row r="146" customFormat="false" ht="15" hidden="false" customHeight="false" outlineLevel="0" collapsed="false">
      <c r="A146" s="5" t="s">
        <v>1188</v>
      </c>
      <c r="B146" s="9" t="n">
        <v>45593</v>
      </c>
      <c r="C146" s="9" t="n">
        <v>45595</v>
      </c>
      <c r="D146" s="5" t="s">
        <v>132</v>
      </c>
      <c r="E146" s="5" t="s">
        <v>1032</v>
      </c>
      <c r="F146" s="5" t="s">
        <v>1005</v>
      </c>
      <c r="G146" s="6" t="str">
        <f aca="false">INDEX(Catalogo_Causas!$B$2:$B$10,MATCH(F146,Catalogo_Causas!$A$2:$A$10,0))</f>
        <v>Falla eléctrica / control</v>
      </c>
      <c r="H146" s="6" t="str">
        <f aca="false">INDEX(Catalogo_Causas!$C$2:$C$10,MATCH(F146,Catalogo_Causas!$A$2:$A$10,0))</f>
        <v>Operacional</v>
      </c>
      <c r="I146" s="5" t="n">
        <v>17</v>
      </c>
      <c r="J146" s="29" t="n">
        <f aca="false">I146/60</f>
        <v>0.283333333333333</v>
      </c>
    </row>
    <row r="147" customFormat="false" ht="15" hidden="false" customHeight="false" outlineLevel="0" collapsed="false">
      <c r="A147" s="5" t="s">
        <v>1189</v>
      </c>
      <c r="B147" s="9" t="n">
        <v>45593</v>
      </c>
      <c r="C147" s="9" t="n">
        <v>45595</v>
      </c>
      <c r="D147" s="5" t="s">
        <v>142</v>
      </c>
      <c r="E147" s="5" t="s">
        <v>1051</v>
      </c>
      <c r="F147" s="5" t="s">
        <v>1005</v>
      </c>
      <c r="G147" s="6" t="str">
        <f aca="false">INDEX(Catalogo_Causas!$B$2:$B$10,MATCH(F147,Catalogo_Causas!$A$2:$A$10,0))</f>
        <v>Falla eléctrica / control</v>
      </c>
      <c r="H147" s="6" t="str">
        <f aca="false">INDEX(Catalogo_Causas!$C$2:$C$10,MATCH(F147,Catalogo_Causas!$A$2:$A$10,0))</f>
        <v>Operacional</v>
      </c>
      <c r="I147" s="5" t="n">
        <v>85</v>
      </c>
      <c r="J147" s="29" t="n">
        <f aca="false">I147/60</f>
        <v>1.41666666666667</v>
      </c>
    </row>
    <row r="148" customFormat="false" ht="15" hidden="false" customHeight="false" outlineLevel="0" collapsed="false">
      <c r="A148" s="5" t="s">
        <v>1190</v>
      </c>
      <c r="B148" s="9" t="n">
        <v>45593</v>
      </c>
      <c r="C148" s="9" t="n">
        <v>45595</v>
      </c>
      <c r="D148" s="5" t="s">
        <v>144</v>
      </c>
      <c r="E148" s="5" t="s">
        <v>1032</v>
      </c>
      <c r="F148" s="5" t="s">
        <v>1005</v>
      </c>
      <c r="G148" s="6" t="str">
        <f aca="false">INDEX(Catalogo_Causas!$B$2:$B$10,MATCH(F148,Catalogo_Causas!$A$2:$A$10,0))</f>
        <v>Falla eléctrica / control</v>
      </c>
      <c r="H148" s="6" t="str">
        <f aca="false">INDEX(Catalogo_Causas!$C$2:$C$10,MATCH(F148,Catalogo_Causas!$A$2:$A$10,0))</f>
        <v>Operacional</v>
      </c>
      <c r="I148" s="5" t="n">
        <v>37</v>
      </c>
      <c r="J148" s="29" t="n">
        <f aca="false">I148/60</f>
        <v>0.616666666666667</v>
      </c>
    </row>
    <row r="149" customFormat="false" ht="15" hidden="false" customHeight="false" outlineLevel="0" collapsed="false">
      <c r="A149" s="5" t="s">
        <v>1191</v>
      </c>
      <c r="B149" s="9" t="n">
        <v>45593</v>
      </c>
      <c r="C149" s="9" t="n">
        <v>45596</v>
      </c>
      <c r="D149" s="5" t="s">
        <v>132</v>
      </c>
      <c r="E149" s="5" t="s">
        <v>1032</v>
      </c>
      <c r="F149" s="5" t="s">
        <v>1005</v>
      </c>
      <c r="G149" s="6" t="str">
        <f aca="false">INDEX(Catalogo_Causas!$B$2:$B$10,MATCH(F149,Catalogo_Causas!$A$2:$A$10,0))</f>
        <v>Falla eléctrica / control</v>
      </c>
      <c r="H149" s="6" t="str">
        <f aca="false">INDEX(Catalogo_Causas!$C$2:$C$10,MATCH(F149,Catalogo_Causas!$A$2:$A$10,0))</f>
        <v>Operacional</v>
      </c>
      <c r="I149" s="5" t="n">
        <v>80</v>
      </c>
      <c r="J149" s="29" t="n">
        <f aca="false">I149/60</f>
        <v>1.33333333333333</v>
      </c>
    </row>
    <row r="150" customFormat="false" ht="15" hidden="false" customHeight="false" outlineLevel="0" collapsed="false">
      <c r="A150" s="5" t="s">
        <v>1192</v>
      </c>
      <c r="B150" s="9" t="n">
        <v>45593</v>
      </c>
      <c r="C150" s="9" t="n">
        <v>45596</v>
      </c>
      <c r="D150" s="5" t="s">
        <v>144</v>
      </c>
      <c r="E150" s="5" t="s">
        <v>1032</v>
      </c>
      <c r="F150" s="5" t="s">
        <v>1005</v>
      </c>
      <c r="G150" s="6" t="str">
        <f aca="false">INDEX(Catalogo_Causas!$B$2:$B$10,MATCH(F150,Catalogo_Causas!$A$2:$A$10,0))</f>
        <v>Falla eléctrica / control</v>
      </c>
      <c r="H150" s="6" t="str">
        <f aca="false">INDEX(Catalogo_Causas!$C$2:$C$10,MATCH(F150,Catalogo_Causas!$A$2:$A$10,0))</f>
        <v>Operacional</v>
      </c>
      <c r="I150" s="5" t="n">
        <v>104</v>
      </c>
      <c r="J150" s="29" t="n">
        <f aca="false">I150/60</f>
        <v>1.73333333333333</v>
      </c>
    </row>
    <row r="151" customFormat="false" ht="15" hidden="false" customHeight="false" outlineLevel="0" collapsed="false">
      <c r="A151" s="5" t="s">
        <v>1193</v>
      </c>
      <c r="B151" s="9" t="n">
        <v>45593</v>
      </c>
      <c r="C151" s="9" t="n">
        <v>45596</v>
      </c>
      <c r="D151" s="5" t="s">
        <v>144</v>
      </c>
      <c r="E151" s="5" t="s">
        <v>1032</v>
      </c>
      <c r="F151" s="5" t="s">
        <v>1007</v>
      </c>
      <c r="G151" s="6" t="str">
        <f aca="false">INDEX(Catalogo_Causas!$B$2:$B$10,MATCH(F151,Catalogo_Causas!$A$2:$A$10,0))</f>
        <v>Cambio de formato excedido</v>
      </c>
      <c r="H151" s="6" t="str">
        <f aca="false">INDEX(Catalogo_Causas!$C$2:$C$10,MATCH(F151,Catalogo_Causas!$A$2:$A$10,0))</f>
        <v>Operacional</v>
      </c>
      <c r="I151" s="5" t="n">
        <v>58</v>
      </c>
      <c r="J151" s="29" t="n">
        <f aca="false">I151/60</f>
        <v>0.966666666666667</v>
      </c>
    </row>
    <row r="152" customFormat="false" ht="15" hidden="false" customHeight="false" outlineLevel="0" collapsed="false">
      <c r="A152" s="5" t="s">
        <v>1194</v>
      </c>
      <c r="B152" s="9" t="n">
        <v>45593</v>
      </c>
      <c r="C152" s="9" t="n">
        <v>45597</v>
      </c>
      <c r="D152" s="5" t="s">
        <v>130</v>
      </c>
      <c r="E152" s="5" t="s">
        <v>1030</v>
      </c>
      <c r="F152" s="5" t="s">
        <v>1007</v>
      </c>
      <c r="G152" s="6" t="str">
        <f aca="false">INDEX(Catalogo_Causas!$B$2:$B$10,MATCH(F152,Catalogo_Causas!$A$2:$A$10,0))</f>
        <v>Cambio de formato excedido</v>
      </c>
      <c r="H152" s="6" t="str">
        <f aca="false">INDEX(Catalogo_Causas!$C$2:$C$10,MATCH(F152,Catalogo_Causas!$A$2:$A$10,0))</f>
        <v>Operacional</v>
      </c>
      <c r="I152" s="5" t="n">
        <v>201</v>
      </c>
      <c r="J152" s="29" t="n">
        <f aca="false">I152/60</f>
        <v>3.35</v>
      </c>
    </row>
    <row r="153" customFormat="false" ht="15" hidden="false" customHeight="false" outlineLevel="0" collapsed="false">
      <c r="A153" s="5" t="s">
        <v>1195</v>
      </c>
      <c r="B153" s="9" t="n">
        <v>45593</v>
      </c>
      <c r="C153" s="9" t="n">
        <v>45597</v>
      </c>
      <c r="D153" s="5" t="s">
        <v>138</v>
      </c>
      <c r="E153" s="5" t="s">
        <v>1034</v>
      </c>
      <c r="F153" s="5" t="s">
        <v>1012</v>
      </c>
      <c r="G153" s="6" t="str">
        <f aca="false">INDEX(Catalogo_Causas!$B$2:$B$10,MATCH(F153,Catalogo_Causas!$A$2:$A$10,0))</f>
        <v>Falta de materia prima</v>
      </c>
      <c r="H153" s="6" t="str">
        <f aca="false">INDEX(Catalogo_Causas!$C$2:$C$10,MATCH(F153,Catalogo_Causas!$A$2:$A$10,0))</f>
        <v>Material / suministro</v>
      </c>
      <c r="I153" s="5" t="n">
        <v>63</v>
      </c>
      <c r="J153" s="29" t="n">
        <f aca="false">I153/60</f>
        <v>1.05</v>
      </c>
    </row>
    <row r="154" customFormat="false" ht="15" hidden="false" customHeight="false" outlineLevel="0" collapsed="false">
      <c r="A154" s="5" t="s">
        <v>1196</v>
      </c>
      <c r="B154" s="9" t="n">
        <v>45593</v>
      </c>
      <c r="C154" s="9" t="n">
        <v>45597</v>
      </c>
      <c r="D154" s="5" t="s">
        <v>140</v>
      </c>
      <c r="E154" s="5" t="s">
        <v>1036</v>
      </c>
      <c r="F154" s="5" t="s">
        <v>1018</v>
      </c>
      <c r="G154" s="6" t="str">
        <f aca="false">INDEX(Catalogo_Causas!$B$2:$B$10,MATCH(F154,Catalogo_Causas!$A$2:$A$10,0))</f>
        <v>Falta de personal</v>
      </c>
      <c r="H154" s="6" t="str">
        <f aca="false">INDEX(Catalogo_Causas!$C$2:$C$10,MATCH(F154,Catalogo_Causas!$A$2:$A$10,0))</f>
        <v>Personal</v>
      </c>
      <c r="I154" s="5" t="n">
        <v>27</v>
      </c>
      <c r="J154" s="29" t="n">
        <f aca="false">I154/60</f>
        <v>0.45</v>
      </c>
    </row>
    <row r="155" customFormat="false" ht="15" hidden="false" customHeight="false" outlineLevel="0" collapsed="false">
      <c r="A155" s="5" t="s">
        <v>1197</v>
      </c>
      <c r="B155" s="9" t="n">
        <v>45593</v>
      </c>
      <c r="C155" s="9" t="n">
        <v>45597</v>
      </c>
      <c r="D155" s="5" t="s">
        <v>142</v>
      </c>
      <c r="E155" s="5" t="s">
        <v>1051</v>
      </c>
      <c r="F155" s="5" t="s">
        <v>1016</v>
      </c>
      <c r="G155" s="6" t="str">
        <f aca="false">INDEX(Catalogo_Causas!$B$2:$B$10,MATCH(F155,Catalogo_Causas!$A$2:$A$10,0))</f>
        <v>Limpieza no programada (CIP)</v>
      </c>
      <c r="H155" s="6" t="str">
        <f aca="false">INDEX(Catalogo_Causas!$C$2:$C$10,MATCH(F155,Catalogo_Causas!$A$2:$A$10,0))</f>
        <v>Calidad</v>
      </c>
      <c r="I155" s="5" t="n">
        <v>34</v>
      </c>
      <c r="J155" s="29" t="n">
        <f aca="false">I155/60</f>
        <v>0.566666666666667</v>
      </c>
    </row>
    <row r="156" customFormat="false" ht="15" hidden="false" customHeight="false" outlineLevel="0" collapsed="false">
      <c r="A156" s="5" t="s">
        <v>1198</v>
      </c>
      <c r="B156" s="9" t="n">
        <v>45593</v>
      </c>
      <c r="C156" s="9" t="n">
        <v>45597</v>
      </c>
      <c r="D156" s="5" t="s">
        <v>142</v>
      </c>
      <c r="E156" s="5" t="s">
        <v>1030</v>
      </c>
      <c r="F156" s="5" t="s">
        <v>1005</v>
      </c>
      <c r="G156" s="6" t="str">
        <f aca="false">INDEX(Catalogo_Causas!$B$2:$B$10,MATCH(F156,Catalogo_Causas!$A$2:$A$10,0))</f>
        <v>Falla eléctrica / control</v>
      </c>
      <c r="H156" s="6" t="str">
        <f aca="false">INDEX(Catalogo_Causas!$C$2:$C$10,MATCH(F156,Catalogo_Causas!$A$2:$A$10,0))</f>
        <v>Operacional</v>
      </c>
      <c r="I156" s="5" t="n">
        <v>70</v>
      </c>
      <c r="J156" s="29" t="n">
        <f aca="false">I156/60</f>
        <v>1.16666666666667</v>
      </c>
    </row>
    <row r="157" customFormat="false" ht="15" hidden="false" customHeight="false" outlineLevel="0" collapsed="false">
      <c r="A157" s="5" t="s">
        <v>1199</v>
      </c>
      <c r="B157" s="9" t="n">
        <v>45600</v>
      </c>
      <c r="C157" s="9" t="n">
        <v>45600</v>
      </c>
      <c r="D157" s="5" t="s">
        <v>130</v>
      </c>
      <c r="E157" s="5" t="s">
        <v>1045</v>
      </c>
      <c r="F157" s="5" t="s">
        <v>1012</v>
      </c>
      <c r="G157" s="6" t="str">
        <f aca="false">INDEX(Catalogo_Causas!$B$2:$B$10,MATCH(F157,Catalogo_Causas!$A$2:$A$10,0))</f>
        <v>Falta de materia prima</v>
      </c>
      <c r="H157" s="6" t="str">
        <f aca="false">INDEX(Catalogo_Causas!$C$2:$C$10,MATCH(F157,Catalogo_Causas!$A$2:$A$10,0))</f>
        <v>Material / suministro</v>
      </c>
      <c r="I157" s="5" t="n">
        <v>75</v>
      </c>
      <c r="J157" s="29" t="n">
        <f aca="false">I157/60</f>
        <v>1.25</v>
      </c>
    </row>
    <row r="158" customFormat="false" ht="15" hidden="false" customHeight="false" outlineLevel="0" collapsed="false">
      <c r="A158" s="5" t="s">
        <v>1200</v>
      </c>
      <c r="B158" s="9" t="n">
        <v>45600</v>
      </c>
      <c r="C158" s="9" t="n">
        <v>45600</v>
      </c>
      <c r="D158" s="5" t="s">
        <v>134</v>
      </c>
      <c r="E158" s="5" t="s">
        <v>1054</v>
      </c>
      <c r="F158" s="5" t="s">
        <v>1002</v>
      </c>
      <c r="G158" s="6" t="str">
        <f aca="false">INDEX(Catalogo_Causas!$B$2:$B$10,MATCH(F158,Catalogo_Causas!$A$2:$A$10,0))</f>
        <v>Falla mecánica</v>
      </c>
      <c r="H158" s="6" t="str">
        <f aca="false">INDEX(Catalogo_Causas!$C$2:$C$10,MATCH(F158,Catalogo_Causas!$A$2:$A$10,0))</f>
        <v>Operacional</v>
      </c>
      <c r="I158" s="5" t="n">
        <v>14</v>
      </c>
      <c r="J158" s="29" t="n">
        <f aca="false">I158/60</f>
        <v>0.233333333333333</v>
      </c>
    </row>
    <row r="159" customFormat="false" ht="15" hidden="false" customHeight="false" outlineLevel="0" collapsed="false">
      <c r="A159" s="5" t="s">
        <v>1201</v>
      </c>
      <c r="B159" s="9" t="n">
        <v>45600</v>
      </c>
      <c r="C159" s="9" t="n">
        <v>45600</v>
      </c>
      <c r="D159" s="5" t="s">
        <v>136</v>
      </c>
      <c r="E159" s="5" t="s">
        <v>1032</v>
      </c>
      <c r="F159" s="5" t="s">
        <v>1002</v>
      </c>
      <c r="G159" s="6" t="str">
        <f aca="false">INDEX(Catalogo_Causas!$B$2:$B$10,MATCH(F159,Catalogo_Causas!$A$2:$A$10,0))</f>
        <v>Falla mecánica</v>
      </c>
      <c r="H159" s="6" t="str">
        <f aca="false">INDEX(Catalogo_Causas!$C$2:$C$10,MATCH(F159,Catalogo_Causas!$A$2:$A$10,0))</f>
        <v>Operacional</v>
      </c>
      <c r="I159" s="5" t="n">
        <v>43</v>
      </c>
      <c r="J159" s="29" t="n">
        <f aca="false">I159/60</f>
        <v>0.716666666666667</v>
      </c>
    </row>
    <row r="160" customFormat="false" ht="15" hidden="false" customHeight="false" outlineLevel="0" collapsed="false">
      <c r="A160" s="5" t="s">
        <v>1202</v>
      </c>
      <c r="B160" s="9" t="n">
        <v>45600</v>
      </c>
      <c r="C160" s="9" t="n">
        <v>45600</v>
      </c>
      <c r="D160" s="5" t="s">
        <v>136</v>
      </c>
      <c r="E160" s="5" t="s">
        <v>1032</v>
      </c>
      <c r="F160" s="5" t="s">
        <v>1002</v>
      </c>
      <c r="G160" s="6" t="str">
        <f aca="false">INDEX(Catalogo_Causas!$B$2:$B$10,MATCH(F160,Catalogo_Causas!$A$2:$A$10,0))</f>
        <v>Falla mecánica</v>
      </c>
      <c r="H160" s="6" t="str">
        <f aca="false">INDEX(Catalogo_Causas!$C$2:$C$10,MATCH(F160,Catalogo_Causas!$A$2:$A$10,0))</f>
        <v>Operacional</v>
      </c>
      <c r="I160" s="5" t="n">
        <v>14</v>
      </c>
      <c r="J160" s="29" t="n">
        <f aca="false">I160/60</f>
        <v>0.233333333333333</v>
      </c>
    </row>
    <row r="161" customFormat="false" ht="15" hidden="false" customHeight="false" outlineLevel="0" collapsed="false">
      <c r="A161" s="5" t="s">
        <v>1203</v>
      </c>
      <c r="B161" s="9" t="n">
        <v>45600</v>
      </c>
      <c r="C161" s="9" t="n">
        <v>45600</v>
      </c>
      <c r="D161" s="5" t="s">
        <v>138</v>
      </c>
      <c r="E161" s="5" t="s">
        <v>1056</v>
      </c>
      <c r="F161" s="5" t="s">
        <v>1021</v>
      </c>
      <c r="G161" s="6" t="str">
        <f aca="false">INDEX(Catalogo_Causas!$B$2:$B$10,MATCH(F161,Catalogo_Causas!$A$2:$A$10,0))</f>
        <v>Falla de servicios (vapor/amoniaco/aire)</v>
      </c>
      <c r="H161" s="6" t="str">
        <f aca="false">INDEX(Catalogo_Causas!$C$2:$C$10,MATCH(F161,Catalogo_Causas!$A$2:$A$10,0))</f>
        <v>Servicios</v>
      </c>
      <c r="I161" s="5" t="n">
        <v>30</v>
      </c>
      <c r="J161" s="29" t="n">
        <f aca="false">I161/60</f>
        <v>0.5</v>
      </c>
    </row>
    <row r="162" customFormat="false" ht="15" hidden="false" customHeight="false" outlineLevel="0" collapsed="false">
      <c r="A162" s="5" t="s">
        <v>1204</v>
      </c>
      <c r="B162" s="9" t="n">
        <v>45600</v>
      </c>
      <c r="C162" s="9" t="n">
        <v>45600</v>
      </c>
      <c r="D162" s="5" t="s">
        <v>142</v>
      </c>
      <c r="E162" s="5" t="s">
        <v>1051</v>
      </c>
      <c r="F162" s="5" t="s">
        <v>1005</v>
      </c>
      <c r="G162" s="6" t="str">
        <f aca="false">INDEX(Catalogo_Causas!$B$2:$B$10,MATCH(F162,Catalogo_Causas!$A$2:$A$10,0))</f>
        <v>Falla eléctrica / control</v>
      </c>
      <c r="H162" s="6" t="str">
        <f aca="false">INDEX(Catalogo_Causas!$C$2:$C$10,MATCH(F162,Catalogo_Causas!$A$2:$A$10,0))</f>
        <v>Operacional</v>
      </c>
      <c r="I162" s="5" t="n">
        <v>273</v>
      </c>
      <c r="J162" s="29" t="n">
        <f aca="false">I162/60</f>
        <v>4.55</v>
      </c>
    </row>
    <row r="163" customFormat="false" ht="15" hidden="false" customHeight="false" outlineLevel="0" collapsed="false">
      <c r="A163" s="5" t="s">
        <v>1205</v>
      </c>
      <c r="B163" s="9" t="n">
        <v>45600</v>
      </c>
      <c r="C163" s="9" t="n">
        <v>45602</v>
      </c>
      <c r="D163" s="5" t="s">
        <v>132</v>
      </c>
      <c r="E163" s="5" t="s">
        <v>1032</v>
      </c>
      <c r="F163" s="5" t="s">
        <v>1002</v>
      </c>
      <c r="G163" s="6" t="str">
        <f aca="false">INDEX(Catalogo_Causas!$B$2:$B$10,MATCH(F163,Catalogo_Causas!$A$2:$A$10,0))</f>
        <v>Falla mecánica</v>
      </c>
      <c r="H163" s="6" t="str">
        <f aca="false">INDEX(Catalogo_Causas!$C$2:$C$10,MATCH(F163,Catalogo_Causas!$A$2:$A$10,0))</f>
        <v>Operacional</v>
      </c>
      <c r="I163" s="5" t="n">
        <v>85</v>
      </c>
      <c r="J163" s="29" t="n">
        <f aca="false">I163/60</f>
        <v>1.41666666666667</v>
      </c>
    </row>
    <row r="164" customFormat="false" ht="15" hidden="false" customHeight="false" outlineLevel="0" collapsed="false">
      <c r="A164" s="5" t="s">
        <v>1206</v>
      </c>
      <c r="B164" s="9" t="n">
        <v>45600</v>
      </c>
      <c r="C164" s="9" t="n">
        <v>45602</v>
      </c>
      <c r="D164" s="5" t="s">
        <v>134</v>
      </c>
      <c r="E164" s="5" t="s">
        <v>1030</v>
      </c>
      <c r="F164" s="5" t="s">
        <v>1002</v>
      </c>
      <c r="G164" s="6" t="str">
        <f aca="false">INDEX(Catalogo_Causas!$B$2:$B$10,MATCH(F164,Catalogo_Causas!$A$2:$A$10,0))</f>
        <v>Falla mecánica</v>
      </c>
      <c r="H164" s="6" t="str">
        <f aca="false">INDEX(Catalogo_Causas!$C$2:$C$10,MATCH(F164,Catalogo_Causas!$A$2:$A$10,0))</f>
        <v>Operacional</v>
      </c>
      <c r="I164" s="5" t="n">
        <v>72</v>
      </c>
      <c r="J164" s="29" t="n">
        <f aca="false">I164/60</f>
        <v>1.2</v>
      </c>
    </row>
    <row r="165" customFormat="false" ht="15" hidden="false" customHeight="false" outlineLevel="0" collapsed="false">
      <c r="A165" s="5" t="s">
        <v>1207</v>
      </c>
      <c r="B165" s="9" t="n">
        <v>45600</v>
      </c>
      <c r="C165" s="9" t="n">
        <v>45603</v>
      </c>
      <c r="D165" s="5" t="s">
        <v>130</v>
      </c>
      <c r="E165" s="5" t="s">
        <v>1078</v>
      </c>
      <c r="F165" s="5" t="s">
        <v>1007</v>
      </c>
      <c r="G165" s="6" t="str">
        <f aca="false">INDEX(Catalogo_Causas!$B$2:$B$10,MATCH(F165,Catalogo_Causas!$A$2:$A$10,0))</f>
        <v>Cambio de formato excedido</v>
      </c>
      <c r="H165" s="6" t="str">
        <f aca="false">INDEX(Catalogo_Causas!$C$2:$C$10,MATCH(F165,Catalogo_Causas!$A$2:$A$10,0))</f>
        <v>Operacional</v>
      </c>
      <c r="I165" s="5" t="n">
        <v>56</v>
      </c>
      <c r="J165" s="29" t="n">
        <f aca="false">I165/60</f>
        <v>0.933333333333333</v>
      </c>
    </row>
    <row r="166" customFormat="false" ht="15" hidden="false" customHeight="false" outlineLevel="0" collapsed="false">
      <c r="A166" s="5" t="s">
        <v>1208</v>
      </c>
      <c r="B166" s="9" t="n">
        <v>45600</v>
      </c>
      <c r="C166" s="9" t="n">
        <v>45603</v>
      </c>
      <c r="D166" s="5" t="s">
        <v>132</v>
      </c>
      <c r="E166" s="5" t="s">
        <v>1084</v>
      </c>
      <c r="F166" s="5" t="s">
        <v>1018</v>
      </c>
      <c r="G166" s="6" t="str">
        <f aca="false">INDEX(Catalogo_Causas!$B$2:$B$10,MATCH(F166,Catalogo_Causas!$A$2:$A$10,0))</f>
        <v>Falta de personal</v>
      </c>
      <c r="H166" s="6" t="str">
        <f aca="false">INDEX(Catalogo_Causas!$C$2:$C$10,MATCH(F166,Catalogo_Causas!$A$2:$A$10,0))</f>
        <v>Personal</v>
      </c>
      <c r="I166" s="5" t="n">
        <v>62</v>
      </c>
      <c r="J166" s="29" t="n">
        <f aca="false">I166/60</f>
        <v>1.03333333333333</v>
      </c>
    </row>
    <row r="167" customFormat="false" ht="15" hidden="false" customHeight="false" outlineLevel="0" collapsed="false">
      <c r="A167" s="5" t="s">
        <v>1209</v>
      </c>
      <c r="B167" s="9" t="n">
        <v>45600</v>
      </c>
      <c r="C167" s="9" t="n">
        <v>45603</v>
      </c>
      <c r="D167" s="5" t="s">
        <v>142</v>
      </c>
      <c r="E167" s="5" t="s">
        <v>1030</v>
      </c>
      <c r="F167" s="5" t="s">
        <v>1005</v>
      </c>
      <c r="G167" s="6" t="str">
        <f aca="false">INDEX(Catalogo_Causas!$B$2:$B$10,MATCH(F167,Catalogo_Causas!$A$2:$A$10,0))</f>
        <v>Falla eléctrica / control</v>
      </c>
      <c r="H167" s="6" t="str">
        <f aca="false">INDEX(Catalogo_Causas!$C$2:$C$10,MATCH(F167,Catalogo_Causas!$A$2:$A$10,0))</f>
        <v>Operacional</v>
      </c>
      <c r="I167" s="5" t="n">
        <v>78</v>
      </c>
      <c r="J167" s="29" t="n">
        <f aca="false">I167/60</f>
        <v>1.3</v>
      </c>
    </row>
    <row r="168" customFormat="false" ht="15" hidden="false" customHeight="false" outlineLevel="0" collapsed="false">
      <c r="A168" s="5" t="s">
        <v>1210</v>
      </c>
      <c r="B168" s="9" t="n">
        <v>45600</v>
      </c>
      <c r="C168" s="9" t="n">
        <v>45603</v>
      </c>
      <c r="D168" s="5" t="s">
        <v>144</v>
      </c>
      <c r="E168" s="5" t="s">
        <v>1030</v>
      </c>
      <c r="F168" s="5" t="s">
        <v>1005</v>
      </c>
      <c r="G168" s="6" t="str">
        <f aca="false">INDEX(Catalogo_Causas!$B$2:$B$10,MATCH(F168,Catalogo_Causas!$A$2:$A$10,0))</f>
        <v>Falla eléctrica / control</v>
      </c>
      <c r="H168" s="6" t="str">
        <f aca="false">INDEX(Catalogo_Causas!$C$2:$C$10,MATCH(F168,Catalogo_Causas!$A$2:$A$10,0))</f>
        <v>Operacional</v>
      </c>
      <c r="I168" s="5" t="n">
        <v>24</v>
      </c>
      <c r="J168" s="29" t="n">
        <f aca="false">I168/60</f>
        <v>0.4</v>
      </c>
    </row>
    <row r="169" customFormat="false" ht="15" hidden="false" customHeight="false" outlineLevel="0" collapsed="false">
      <c r="A169" s="5" t="s">
        <v>1211</v>
      </c>
      <c r="B169" s="9" t="n">
        <v>45600</v>
      </c>
      <c r="C169" s="9" t="n">
        <v>45604</v>
      </c>
      <c r="D169" s="5" t="s">
        <v>132</v>
      </c>
      <c r="E169" s="5" t="s">
        <v>1032</v>
      </c>
      <c r="F169" s="5" t="s">
        <v>1005</v>
      </c>
      <c r="G169" s="6" t="str">
        <f aca="false">INDEX(Catalogo_Causas!$B$2:$B$10,MATCH(F169,Catalogo_Causas!$A$2:$A$10,0))</f>
        <v>Falla eléctrica / control</v>
      </c>
      <c r="H169" s="6" t="str">
        <f aca="false">INDEX(Catalogo_Causas!$C$2:$C$10,MATCH(F169,Catalogo_Causas!$A$2:$A$10,0))</f>
        <v>Operacional</v>
      </c>
      <c r="I169" s="5" t="n">
        <v>20</v>
      </c>
      <c r="J169" s="29" t="n">
        <f aca="false">I169/60</f>
        <v>0.333333333333333</v>
      </c>
    </row>
    <row r="170" customFormat="false" ht="15" hidden="false" customHeight="false" outlineLevel="0" collapsed="false">
      <c r="A170" s="5" t="s">
        <v>1212</v>
      </c>
      <c r="B170" s="9" t="n">
        <v>45600</v>
      </c>
      <c r="C170" s="9" t="n">
        <v>45604</v>
      </c>
      <c r="D170" s="5" t="s">
        <v>138</v>
      </c>
      <c r="E170" s="5" t="s">
        <v>1034</v>
      </c>
      <c r="F170" s="5" t="s">
        <v>1009</v>
      </c>
      <c r="G170" s="6" t="str">
        <f aca="false">INDEX(Catalogo_Causas!$B$2:$B$10,MATCH(F170,Catalogo_Causas!$A$2:$A$10,0))</f>
        <v>Falta de material de empaque</v>
      </c>
      <c r="H170" s="6" t="str">
        <f aca="false">INDEX(Catalogo_Causas!$C$2:$C$10,MATCH(F170,Catalogo_Causas!$A$2:$A$10,0))</f>
        <v>Material / suministro</v>
      </c>
      <c r="I170" s="5" t="n">
        <v>62</v>
      </c>
      <c r="J170" s="29" t="n">
        <f aca="false">I170/60</f>
        <v>1.03333333333333</v>
      </c>
    </row>
    <row r="171" customFormat="false" ht="15" hidden="false" customHeight="false" outlineLevel="0" collapsed="false">
      <c r="A171" s="5" t="s">
        <v>1213</v>
      </c>
      <c r="B171" s="9" t="n">
        <v>45600</v>
      </c>
      <c r="C171" s="9" t="n">
        <v>45604</v>
      </c>
      <c r="D171" s="5" t="s">
        <v>140</v>
      </c>
      <c r="E171" s="5" t="s">
        <v>1045</v>
      </c>
      <c r="F171" s="5" t="s">
        <v>1002</v>
      </c>
      <c r="G171" s="6" t="str">
        <f aca="false">INDEX(Catalogo_Causas!$B$2:$B$10,MATCH(F171,Catalogo_Causas!$A$2:$A$10,0))</f>
        <v>Falla mecánica</v>
      </c>
      <c r="H171" s="6" t="str">
        <f aca="false">INDEX(Catalogo_Causas!$C$2:$C$10,MATCH(F171,Catalogo_Causas!$A$2:$A$10,0))</f>
        <v>Operacional</v>
      </c>
      <c r="I171" s="5" t="n">
        <v>71</v>
      </c>
      <c r="J171" s="29" t="n">
        <f aca="false">I171/60</f>
        <v>1.18333333333333</v>
      </c>
    </row>
    <row r="172" customFormat="false" ht="15" hidden="false" customHeight="false" outlineLevel="0" collapsed="false">
      <c r="A172" s="5" t="s">
        <v>1214</v>
      </c>
      <c r="B172" s="9" t="n">
        <v>45600</v>
      </c>
      <c r="C172" s="9" t="n">
        <v>45604</v>
      </c>
      <c r="D172" s="5" t="s">
        <v>144</v>
      </c>
      <c r="E172" s="5" t="s">
        <v>1043</v>
      </c>
      <c r="F172" s="5" t="s">
        <v>1002</v>
      </c>
      <c r="G172" s="6" t="str">
        <f aca="false">INDEX(Catalogo_Causas!$B$2:$B$10,MATCH(F172,Catalogo_Causas!$A$2:$A$10,0))</f>
        <v>Falla mecánica</v>
      </c>
      <c r="H172" s="6" t="str">
        <f aca="false">INDEX(Catalogo_Causas!$C$2:$C$10,MATCH(F172,Catalogo_Causas!$A$2:$A$10,0))</f>
        <v>Operacional</v>
      </c>
      <c r="I172" s="5" t="n">
        <v>19</v>
      </c>
      <c r="J172" s="29" t="n">
        <f aca="false">I172/60</f>
        <v>0.316666666666667</v>
      </c>
    </row>
    <row r="173" customFormat="false" ht="15" hidden="false" customHeight="false" outlineLevel="0" collapsed="false">
      <c r="A173" s="5" t="s">
        <v>1215</v>
      </c>
      <c r="B173" s="9" t="n">
        <v>45600</v>
      </c>
      <c r="C173" s="9" t="n">
        <v>45605</v>
      </c>
      <c r="D173" s="5" t="s">
        <v>130</v>
      </c>
      <c r="E173" s="5" t="s">
        <v>1078</v>
      </c>
      <c r="F173" s="5" t="s">
        <v>1014</v>
      </c>
      <c r="G173" s="6" t="str">
        <f aca="false">INDEX(Catalogo_Causas!$B$2:$B$10,MATCH(F173,Catalogo_Causas!$A$2:$A$10,0))</f>
        <v>Retención de calidad</v>
      </c>
      <c r="H173" s="6" t="str">
        <f aca="false">INDEX(Catalogo_Causas!$C$2:$C$10,MATCH(F173,Catalogo_Causas!$A$2:$A$10,0))</f>
        <v>Calidad</v>
      </c>
      <c r="I173" s="5" t="n">
        <v>29</v>
      </c>
      <c r="J173" s="29" t="n">
        <f aca="false">I173/60</f>
        <v>0.483333333333333</v>
      </c>
    </row>
    <row r="174" customFormat="false" ht="15" hidden="false" customHeight="false" outlineLevel="0" collapsed="false">
      <c r="A174" s="5" t="s">
        <v>1216</v>
      </c>
      <c r="B174" s="9" t="n">
        <v>45600</v>
      </c>
      <c r="C174" s="9" t="n">
        <v>45605</v>
      </c>
      <c r="D174" s="5" t="s">
        <v>134</v>
      </c>
      <c r="E174" s="5" t="s">
        <v>1032</v>
      </c>
      <c r="F174" s="5" t="s">
        <v>1002</v>
      </c>
      <c r="G174" s="6" t="str">
        <f aca="false">INDEX(Catalogo_Causas!$B$2:$B$10,MATCH(F174,Catalogo_Causas!$A$2:$A$10,0))</f>
        <v>Falla mecánica</v>
      </c>
      <c r="H174" s="6" t="str">
        <f aca="false">INDEX(Catalogo_Causas!$C$2:$C$10,MATCH(F174,Catalogo_Causas!$A$2:$A$10,0))</f>
        <v>Operacional</v>
      </c>
      <c r="I174" s="5" t="n">
        <v>87</v>
      </c>
      <c r="J174" s="29" t="n">
        <f aca="false">I174/60</f>
        <v>1.45</v>
      </c>
    </row>
    <row r="175" customFormat="false" ht="15" hidden="false" customHeight="false" outlineLevel="0" collapsed="false">
      <c r="A175" s="5" t="s">
        <v>1217</v>
      </c>
      <c r="B175" s="9" t="n">
        <v>45600</v>
      </c>
      <c r="C175" s="9" t="n">
        <v>45605</v>
      </c>
      <c r="D175" s="5" t="s">
        <v>136</v>
      </c>
      <c r="E175" s="5" t="s">
        <v>1101</v>
      </c>
      <c r="F175" s="5" t="s">
        <v>1014</v>
      </c>
      <c r="G175" s="6" t="str">
        <f aca="false">INDEX(Catalogo_Causas!$B$2:$B$10,MATCH(F175,Catalogo_Causas!$A$2:$A$10,0))</f>
        <v>Retención de calidad</v>
      </c>
      <c r="H175" s="6" t="str">
        <f aca="false">INDEX(Catalogo_Causas!$C$2:$C$10,MATCH(F175,Catalogo_Causas!$A$2:$A$10,0))</f>
        <v>Calidad</v>
      </c>
      <c r="I175" s="5" t="n">
        <v>48</v>
      </c>
      <c r="J175" s="29" t="n">
        <f aca="false">I175/60</f>
        <v>0.8</v>
      </c>
    </row>
    <row r="176" customFormat="false" ht="15" hidden="false" customHeight="false" outlineLevel="0" collapsed="false">
      <c r="A176" s="5" t="s">
        <v>1218</v>
      </c>
      <c r="B176" s="9" t="n">
        <v>45600</v>
      </c>
      <c r="C176" s="9" t="n">
        <v>45605</v>
      </c>
      <c r="D176" s="5" t="s">
        <v>144</v>
      </c>
      <c r="E176" s="5" t="s">
        <v>1030</v>
      </c>
      <c r="F176" s="5" t="s">
        <v>1012</v>
      </c>
      <c r="G176" s="6" t="str">
        <f aca="false">INDEX(Catalogo_Causas!$B$2:$B$10,MATCH(F176,Catalogo_Causas!$A$2:$A$10,0))</f>
        <v>Falta de materia prima</v>
      </c>
      <c r="H176" s="6" t="str">
        <f aca="false">INDEX(Catalogo_Causas!$C$2:$C$10,MATCH(F176,Catalogo_Causas!$A$2:$A$10,0))</f>
        <v>Material / suministro</v>
      </c>
      <c r="I176" s="5" t="n">
        <v>23</v>
      </c>
      <c r="J176" s="29" t="n">
        <f aca="false">I176/60</f>
        <v>0.383333333333333</v>
      </c>
    </row>
    <row r="177" customFormat="false" ht="15" hidden="false" customHeight="false" outlineLevel="0" collapsed="false">
      <c r="A177" s="5" t="s">
        <v>1219</v>
      </c>
      <c r="B177" s="9" t="n">
        <v>45607</v>
      </c>
      <c r="C177" s="9" t="n">
        <v>45607</v>
      </c>
      <c r="D177" s="5" t="s">
        <v>132</v>
      </c>
      <c r="E177" s="5" t="s">
        <v>1084</v>
      </c>
      <c r="F177" s="5" t="s">
        <v>1002</v>
      </c>
      <c r="G177" s="6" t="str">
        <f aca="false">INDEX(Catalogo_Causas!$B$2:$B$10,MATCH(F177,Catalogo_Causas!$A$2:$A$10,0))</f>
        <v>Falla mecánica</v>
      </c>
      <c r="H177" s="6" t="str">
        <f aca="false">INDEX(Catalogo_Causas!$C$2:$C$10,MATCH(F177,Catalogo_Causas!$A$2:$A$10,0))</f>
        <v>Operacional</v>
      </c>
      <c r="I177" s="5" t="n">
        <v>30</v>
      </c>
      <c r="J177" s="29" t="n">
        <f aca="false">I177/60</f>
        <v>0.5</v>
      </c>
    </row>
    <row r="178" customFormat="false" ht="15" hidden="false" customHeight="false" outlineLevel="0" collapsed="false">
      <c r="A178" s="5" t="s">
        <v>1220</v>
      </c>
      <c r="B178" s="9" t="n">
        <v>45607</v>
      </c>
      <c r="C178" s="9" t="n">
        <v>45607</v>
      </c>
      <c r="D178" s="5" t="s">
        <v>136</v>
      </c>
      <c r="E178" s="5" t="s">
        <v>1101</v>
      </c>
      <c r="F178" s="5" t="s">
        <v>1007</v>
      </c>
      <c r="G178" s="6" t="str">
        <f aca="false">INDEX(Catalogo_Causas!$B$2:$B$10,MATCH(F178,Catalogo_Causas!$A$2:$A$10,0))</f>
        <v>Cambio de formato excedido</v>
      </c>
      <c r="H178" s="6" t="str">
        <f aca="false">INDEX(Catalogo_Causas!$C$2:$C$10,MATCH(F178,Catalogo_Causas!$A$2:$A$10,0))</f>
        <v>Operacional</v>
      </c>
      <c r="I178" s="5" t="n">
        <v>41</v>
      </c>
      <c r="J178" s="29" t="n">
        <f aca="false">I178/60</f>
        <v>0.683333333333333</v>
      </c>
    </row>
    <row r="179" customFormat="false" ht="15" hidden="false" customHeight="false" outlineLevel="0" collapsed="false">
      <c r="A179" s="5" t="s">
        <v>1221</v>
      </c>
      <c r="B179" s="9" t="n">
        <v>45607</v>
      </c>
      <c r="C179" s="9" t="n">
        <v>45607</v>
      </c>
      <c r="D179" s="5" t="s">
        <v>138</v>
      </c>
      <c r="E179" s="5" t="s">
        <v>1056</v>
      </c>
      <c r="F179" s="5" t="s">
        <v>1002</v>
      </c>
      <c r="G179" s="6" t="str">
        <f aca="false">INDEX(Catalogo_Causas!$B$2:$B$10,MATCH(F179,Catalogo_Causas!$A$2:$A$10,0))</f>
        <v>Falla mecánica</v>
      </c>
      <c r="H179" s="6" t="str">
        <f aca="false">INDEX(Catalogo_Causas!$C$2:$C$10,MATCH(F179,Catalogo_Causas!$A$2:$A$10,0))</f>
        <v>Operacional</v>
      </c>
      <c r="I179" s="5" t="n">
        <v>88</v>
      </c>
      <c r="J179" s="29" t="n">
        <f aca="false">I179/60</f>
        <v>1.46666666666667</v>
      </c>
    </row>
    <row r="180" customFormat="false" ht="15" hidden="false" customHeight="false" outlineLevel="0" collapsed="false">
      <c r="A180" s="5" t="s">
        <v>1222</v>
      </c>
      <c r="B180" s="9" t="n">
        <v>45607</v>
      </c>
      <c r="C180" s="9" t="n">
        <v>45608</v>
      </c>
      <c r="D180" s="5" t="s">
        <v>130</v>
      </c>
      <c r="E180" s="5" t="s">
        <v>1045</v>
      </c>
      <c r="F180" s="5" t="s">
        <v>1021</v>
      </c>
      <c r="G180" s="6" t="str">
        <f aca="false">INDEX(Catalogo_Causas!$B$2:$B$10,MATCH(F180,Catalogo_Causas!$A$2:$A$10,0))</f>
        <v>Falla de servicios (vapor/amoniaco/aire)</v>
      </c>
      <c r="H180" s="6" t="str">
        <f aca="false">INDEX(Catalogo_Causas!$C$2:$C$10,MATCH(F180,Catalogo_Causas!$A$2:$A$10,0))</f>
        <v>Servicios</v>
      </c>
      <c r="I180" s="5" t="n">
        <v>31</v>
      </c>
      <c r="J180" s="29" t="n">
        <f aca="false">I180/60</f>
        <v>0.516666666666667</v>
      </c>
    </row>
    <row r="181" customFormat="false" ht="15" hidden="false" customHeight="false" outlineLevel="0" collapsed="false">
      <c r="A181" s="5" t="s">
        <v>1223</v>
      </c>
      <c r="B181" s="9" t="n">
        <v>45607</v>
      </c>
      <c r="C181" s="9" t="n">
        <v>45608</v>
      </c>
      <c r="D181" s="5" t="s">
        <v>136</v>
      </c>
      <c r="E181" s="5" t="s">
        <v>1101</v>
      </c>
      <c r="F181" s="5" t="s">
        <v>1007</v>
      </c>
      <c r="G181" s="6" t="str">
        <f aca="false">INDEX(Catalogo_Causas!$B$2:$B$10,MATCH(F181,Catalogo_Causas!$A$2:$A$10,0))</f>
        <v>Cambio de formato excedido</v>
      </c>
      <c r="H181" s="6" t="str">
        <f aca="false">INDEX(Catalogo_Causas!$C$2:$C$10,MATCH(F181,Catalogo_Causas!$A$2:$A$10,0))</f>
        <v>Operacional</v>
      </c>
      <c r="I181" s="5" t="n">
        <v>32</v>
      </c>
      <c r="J181" s="29" t="n">
        <f aca="false">I181/60</f>
        <v>0.533333333333333</v>
      </c>
    </row>
    <row r="182" customFormat="false" ht="15" hidden="false" customHeight="false" outlineLevel="0" collapsed="false">
      <c r="A182" s="5" t="s">
        <v>1224</v>
      </c>
      <c r="B182" s="9" t="n">
        <v>45607</v>
      </c>
      <c r="C182" s="9" t="n">
        <v>45608</v>
      </c>
      <c r="D182" s="5" t="s">
        <v>136</v>
      </c>
      <c r="E182" s="5" t="s">
        <v>1051</v>
      </c>
      <c r="F182" s="5" t="s">
        <v>1007</v>
      </c>
      <c r="G182" s="6" t="str">
        <f aca="false">INDEX(Catalogo_Causas!$B$2:$B$10,MATCH(F182,Catalogo_Causas!$A$2:$A$10,0))</f>
        <v>Cambio de formato excedido</v>
      </c>
      <c r="H182" s="6" t="str">
        <f aca="false">INDEX(Catalogo_Causas!$C$2:$C$10,MATCH(F182,Catalogo_Causas!$A$2:$A$10,0))</f>
        <v>Operacional</v>
      </c>
      <c r="I182" s="5" t="n">
        <v>20</v>
      </c>
      <c r="J182" s="29" t="n">
        <f aca="false">I182/60</f>
        <v>0.333333333333333</v>
      </c>
    </row>
    <row r="183" customFormat="false" ht="15" hidden="false" customHeight="false" outlineLevel="0" collapsed="false">
      <c r="A183" s="5" t="s">
        <v>1225</v>
      </c>
      <c r="B183" s="9" t="n">
        <v>45607</v>
      </c>
      <c r="C183" s="9" t="n">
        <v>45608</v>
      </c>
      <c r="D183" s="5" t="s">
        <v>142</v>
      </c>
      <c r="E183" s="5" t="s">
        <v>1030</v>
      </c>
      <c r="F183" s="5" t="s">
        <v>1016</v>
      </c>
      <c r="G183" s="6" t="str">
        <f aca="false">INDEX(Catalogo_Causas!$B$2:$B$10,MATCH(F183,Catalogo_Causas!$A$2:$A$10,0))</f>
        <v>Limpieza no programada (CIP)</v>
      </c>
      <c r="H183" s="6" t="str">
        <f aca="false">INDEX(Catalogo_Causas!$C$2:$C$10,MATCH(F183,Catalogo_Causas!$A$2:$A$10,0))</f>
        <v>Calidad</v>
      </c>
      <c r="I183" s="5" t="n">
        <v>96</v>
      </c>
      <c r="J183" s="29" t="n">
        <f aca="false">I183/60</f>
        <v>1.6</v>
      </c>
    </row>
    <row r="184" customFormat="false" ht="15" hidden="false" customHeight="false" outlineLevel="0" collapsed="false">
      <c r="A184" s="5" t="s">
        <v>1226</v>
      </c>
      <c r="B184" s="9" t="n">
        <v>45607</v>
      </c>
      <c r="C184" s="9" t="n">
        <v>45608</v>
      </c>
      <c r="D184" s="5" t="s">
        <v>144</v>
      </c>
      <c r="E184" s="5" t="s">
        <v>1043</v>
      </c>
      <c r="F184" s="5" t="s">
        <v>1009</v>
      </c>
      <c r="G184" s="6" t="str">
        <f aca="false">INDEX(Catalogo_Causas!$B$2:$B$10,MATCH(F184,Catalogo_Causas!$A$2:$A$10,0))</f>
        <v>Falta de material de empaque</v>
      </c>
      <c r="H184" s="6" t="str">
        <f aca="false">INDEX(Catalogo_Causas!$C$2:$C$10,MATCH(F184,Catalogo_Causas!$A$2:$A$10,0))</f>
        <v>Material / suministro</v>
      </c>
      <c r="I184" s="5" t="n">
        <v>29</v>
      </c>
      <c r="J184" s="29" t="n">
        <f aca="false">I184/60</f>
        <v>0.483333333333333</v>
      </c>
    </row>
    <row r="185" customFormat="false" ht="15" hidden="false" customHeight="false" outlineLevel="0" collapsed="false">
      <c r="A185" s="5" t="s">
        <v>1227</v>
      </c>
      <c r="B185" s="9" t="n">
        <v>45607</v>
      </c>
      <c r="C185" s="9" t="n">
        <v>45609</v>
      </c>
      <c r="D185" s="5" t="s">
        <v>130</v>
      </c>
      <c r="E185" s="5" t="s">
        <v>1078</v>
      </c>
      <c r="F185" s="5" t="s">
        <v>1014</v>
      </c>
      <c r="G185" s="6" t="str">
        <f aca="false">INDEX(Catalogo_Causas!$B$2:$B$10,MATCH(F185,Catalogo_Causas!$A$2:$A$10,0))</f>
        <v>Retención de calidad</v>
      </c>
      <c r="H185" s="6" t="str">
        <f aca="false">INDEX(Catalogo_Causas!$C$2:$C$10,MATCH(F185,Catalogo_Causas!$A$2:$A$10,0))</f>
        <v>Calidad</v>
      </c>
      <c r="I185" s="5" t="n">
        <v>19</v>
      </c>
      <c r="J185" s="29" t="n">
        <f aca="false">I185/60</f>
        <v>0.316666666666667</v>
      </c>
    </row>
    <row r="186" customFormat="false" ht="15" hidden="false" customHeight="false" outlineLevel="0" collapsed="false">
      <c r="A186" s="5" t="s">
        <v>1228</v>
      </c>
      <c r="B186" s="9" t="n">
        <v>45607</v>
      </c>
      <c r="C186" s="9" t="n">
        <v>45609</v>
      </c>
      <c r="D186" s="5" t="s">
        <v>130</v>
      </c>
      <c r="E186" s="5" t="s">
        <v>1045</v>
      </c>
      <c r="F186" s="5" t="s">
        <v>1002</v>
      </c>
      <c r="G186" s="6" t="str">
        <f aca="false">INDEX(Catalogo_Causas!$B$2:$B$10,MATCH(F186,Catalogo_Causas!$A$2:$A$10,0))</f>
        <v>Falla mecánica</v>
      </c>
      <c r="H186" s="6" t="str">
        <f aca="false">INDEX(Catalogo_Causas!$C$2:$C$10,MATCH(F186,Catalogo_Causas!$A$2:$A$10,0))</f>
        <v>Operacional</v>
      </c>
      <c r="I186" s="5" t="n">
        <v>106</v>
      </c>
      <c r="J186" s="29" t="n">
        <f aca="false">I186/60</f>
        <v>1.76666666666667</v>
      </c>
    </row>
    <row r="187" customFormat="false" ht="15" hidden="false" customHeight="false" outlineLevel="0" collapsed="false">
      <c r="A187" s="5" t="s">
        <v>1229</v>
      </c>
      <c r="B187" s="9" t="n">
        <v>45607</v>
      </c>
      <c r="C187" s="9" t="n">
        <v>45609</v>
      </c>
      <c r="D187" s="5" t="s">
        <v>134</v>
      </c>
      <c r="E187" s="5" t="s">
        <v>1054</v>
      </c>
      <c r="F187" s="5" t="s">
        <v>1002</v>
      </c>
      <c r="G187" s="6" t="str">
        <f aca="false">INDEX(Catalogo_Causas!$B$2:$B$10,MATCH(F187,Catalogo_Causas!$A$2:$A$10,0))</f>
        <v>Falla mecánica</v>
      </c>
      <c r="H187" s="6" t="str">
        <f aca="false">INDEX(Catalogo_Causas!$C$2:$C$10,MATCH(F187,Catalogo_Causas!$A$2:$A$10,0))</f>
        <v>Operacional</v>
      </c>
      <c r="I187" s="5" t="n">
        <v>16</v>
      </c>
      <c r="J187" s="29" t="n">
        <f aca="false">I187/60</f>
        <v>0.266666666666667</v>
      </c>
    </row>
    <row r="188" customFormat="false" ht="15" hidden="false" customHeight="false" outlineLevel="0" collapsed="false">
      <c r="A188" s="5" t="s">
        <v>1230</v>
      </c>
      <c r="B188" s="9" t="n">
        <v>45607</v>
      </c>
      <c r="C188" s="9" t="n">
        <v>45609</v>
      </c>
      <c r="D188" s="5" t="s">
        <v>138</v>
      </c>
      <c r="E188" s="5" t="s">
        <v>1056</v>
      </c>
      <c r="F188" s="5" t="s">
        <v>1005</v>
      </c>
      <c r="G188" s="6" t="str">
        <f aca="false">INDEX(Catalogo_Causas!$B$2:$B$10,MATCH(F188,Catalogo_Causas!$A$2:$A$10,0))</f>
        <v>Falla eléctrica / control</v>
      </c>
      <c r="H188" s="6" t="str">
        <f aca="false">INDEX(Catalogo_Causas!$C$2:$C$10,MATCH(F188,Catalogo_Causas!$A$2:$A$10,0))</f>
        <v>Operacional</v>
      </c>
      <c r="I188" s="5" t="n">
        <v>43</v>
      </c>
      <c r="J188" s="29" t="n">
        <f aca="false">I188/60</f>
        <v>0.716666666666667</v>
      </c>
    </row>
    <row r="189" customFormat="false" ht="15" hidden="false" customHeight="false" outlineLevel="0" collapsed="false">
      <c r="A189" s="5" t="s">
        <v>1231</v>
      </c>
      <c r="B189" s="9" t="n">
        <v>45607</v>
      </c>
      <c r="C189" s="9" t="n">
        <v>45609</v>
      </c>
      <c r="D189" s="5" t="s">
        <v>140</v>
      </c>
      <c r="E189" s="5" t="s">
        <v>1045</v>
      </c>
      <c r="F189" s="5" t="s">
        <v>1009</v>
      </c>
      <c r="G189" s="6" t="str">
        <f aca="false">INDEX(Catalogo_Causas!$B$2:$B$10,MATCH(F189,Catalogo_Causas!$A$2:$A$10,0))</f>
        <v>Falta de material de empaque</v>
      </c>
      <c r="H189" s="6" t="str">
        <f aca="false">INDEX(Catalogo_Causas!$C$2:$C$10,MATCH(F189,Catalogo_Causas!$A$2:$A$10,0))</f>
        <v>Material / suministro</v>
      </c>
      <c r="I189" s="5" t="n">
        <v>31</v>
      </c>
      <c r="J189" s="29" t="n">
        <f aca="false">I189/60</f>
        <v>0.516666666666667</v>
      </c>
    </row>
    <row r="190" customFormat="false" ht="15" hidden="false" customHeight="false" outlineLevel="0" collapsed="false">
      <c r="A190" s="5" t="s">
        <v>1232</v>
      </c>
      <c r="B190" s="9" t="n">
        <v>45607</v>
      </c>
      <c r="C190" s="9" t="n">
        <v>45610</v>
      </c>
      <c r="D190" s="5" t="s">
        <v>134</v>
      </c>
      <c r="E190" s="5" t="s">
        <v>1032</v>
      </c>
      <c r="F190" s="5" t="s">
        <v>1002</v>
      </c>
      <c r="G190" s="6" t="str">
        <f aca="false">INDEX(Catalogo_Causas!$B$2:$B$10,MATCH(F190,Catalogo_Causas!$A$2:$A$10,0))</f>
        <v>Falla mecánica</v>
      </c>
      <c r="H190" s="6" t="str">
        <f aca="false">INDEX(Catalogo_Causas!$C$2:$C$10,MATCH(F190,Catalogo_Causas!$A$2:$A$10,0))</f>
        <v>Operacional</v>
      </c>
      <c r="I190" s="5" t="n">
        <v>30</v>
      </c>
      <c r="J190" s="29" t="n">
        <f aca="false">I190/60</f>
        <v>0.5</v>
      </c>
    </row>
    <row r="191" customFormat="false" ht="15" hidden="false" customHeight="false" outlineLevel="0" collapsed="false">
      <c r="A191" s="5" t="s">
        <v>1233</v>
      </c>
      <c r="B191" s="9" t="n">
        <v>45607</v>
      </c>
      <c r="C191" s="9" t="n">
        <v>45610</v>
      </c>
      <c r="D191" s="5" t="s">
        <v>136</v>
      </c>
      <c r="E191" s="5" t="s">
        <v>1032</v>
      </c>
      <c r="F191" s="5" t="s">
        <v>1014</v>
      </c>
      <c r="G191" s="6" t="str">
        <f aca="false">INDEX(Catalogo_Causas!$B$2:$B$10,MATCH(F191,Catalogo_Causas!$A$2:$A$10,0))</f>
        <v>Retención de calidad</v>
      </c>
      <c r="H191" s="6" t="str">
        <f aca="false">INDEX(Catalogo_Causas!$C$2:$C$10,MATCH(F191,Catalogo_Causas!$A$2:$A$10,0))</f>
        <v>Calidad</v>
      </c>
      <c r="I191" s="5" t="n">
        <v>34</v>
      </c>
      <c r="J191" s="29" t="n">
        <f aca="false">I191/60</f>
        <v>0.566666666666667</v>
      </c>
    </row>
    <row r="192" customFormat="false" ht="15" hidden="false" customHeight="false" outlineLevel="0" collapsed="false">
      <c r="A192" s="5" t="s">
        <v>1234</v>
      </c>
      <c r="B192" s="9" t="n">
        <v>45607</v>
      </c>
      <c r="C192" s="9" t="n">
        <v>45610</v>
      </c>
      <c r="D192" s="5" t="s">
        <v>138</v>
      </c>
      <c r="E192" s="5" t="s">
        <v>1056</v>
      </c>
      <c r="F192" s="5" t="s">
        <v>1016</v>
      </c>
      <c r="G192" s="6" t="str">
        <f aca="false">INDEX(Catalogo_Causas!$B$2:$B$10,MATCH(F192,Catalogo_Causas!$A$2:$A$10,0))</f>
        <v>Limpieza no programada (CIP)</v>
      </c>
      <c r="H192" s="6" t="str">
        <f aca="false">INDEX(Catalogo_Causas!$C$2:$C$10,MATCH(F192,Catalogo_Causas!$A$2:$A$10,0))</f>
        <v>Calidad</v>
      </c>
      <c r="I192" s="5" t="n">
        <v>107</v>
      </c>
      <c r="J192" s="29" t="n">
        <f aca="false">I192/60</f>
        <v>1.78333333333333</v>
      </c>
    </row>
    <row r="193" customFormat="false" ht="15" hidden="false" customHeight="false" outlineLevel="0" collapsed="false">
      <c r="A193" s="5" t="s">
        <v>1235</v>
      </c>
      <c r="B193" s="9" t="n">
        <v>45607</v>
      </c>
      <c r="C193" s="9" t="n">
        <v>45610</v>
      </c>
      <c r="D193" s="5" t="s">
        <v>144</v>
      </c>
      <c r="E193" s="5" t="s">
        <v>1043</v>
      </c>
      <c r="F193" s="5" t="s">
        <v>1014</v>
      </c>
      <c r="G193" s="6" t="str">
        <f aca="false">INDEX(Catalogo_Causas!$B$2:$B$10,MATCH(F193,Catalogo_Causas!$A$2:$A$10,0))</f>
        <v>Retención de calidad</v>
      </c>
      <c r="H193" s="6" t="str">
        <f aca="false">INDEX(Catalogo_Causas!$C$2:$C$10,MATCH(F193,Catalogo_Causas!$A$2:$A$10,0))</f>
        <v>Calidad</v>
      </c>
      <c r="I193" s="5" t="n">
        <v>99</v>
      </c>
      <c r="J193" s="29" t="n">
        <f aca="false">I193/60</f>
        <v>1.65</v>
      </c>
    </row>
    <row r="194" customFormat="false" ht="15" hidden="false" customHeight="false" outlineLevel="0" collapsed="false">
      <c r="A194" s="5" t="s">
        <v>1236</v>
      </c>
      <c r="B194" s="9" t="n">
        <v>45607</v>
      </c>
      <c r="C194" s="9" t="n">
        <v>45611</v>
      </c>
      <c r="D194" s="5" t="s">
        <v>138</v>
      </c>
      <c r="E194" s="5" t="s">
        <v>1056</v>
      </c>
      <c r="F194" s="5" t="s">
        <v>1002</v>
      </c>
      <c r="G194" s="6" t="str">
        <f aca="false">INDEX(Catalogo_Causas!$B$2:$B$10,MATCH(F194,Catalogo_Causas!$A$2:$A$10,0))</f>
        <v>Falla mecánica</v>
      </c>
      <c r="H194" s="6" t="str">
        <f aca="false">INDEX(Catalogo_Causas!$C$2:$C$10,MATCH(F194,Catalogo_Causas!$A$2:$A$10,0))</f>
        <v>Operacional</v>
      </c>
      <c r="I194" s="5" t="n">
        <v>96</v>
      </c>
      <c r="J194" s="29" t="n">
        <f aca="false">I194/60</f>
        <v>1.6</v>
      </c>
    </row>
    <row r="195" customFormat="false" ht="15" hidden="false" customHeight="false" outlineLevel="0" collapsed="false">
      <c r="A195" s="5" t="s">
        <v>1237</v>
      </c>
      <c r="B195" s="9" t="n">
        <v>45607</v>
      </c>
      <c r="C195" s="9" t="n">
        <v>45611</v>
      </c>
      <c r="D195" s="5" t="s">
        <v>140</v>
      </c>
      <c r="E195" s="5" t="s">
        <v>1032</v>
      </c>
      <c r="F195" s="5" t="s">
        <v>1002</v>
      </c>
      <c r="G195" s="6" t="str">
        <f aca="false">INDEX(Catalogo_Causas!$B$2:$B$10,MATCH(F195,Catalogo_Causas!$A$2:$A$10,0))</f>
        <v>Falla mecánica</v>
      </c>
      <c r="H195" s="6" t="str">
        <f aca="false">INDEX(Catalogo_Causas!$C$2:$C$10,MATCH(F195,Catalogo_Causas!$A$2:$A$10,0))</f>
        <v>Operacional</v>
      </c>
      <c r="I195" s="5" t="n">
        <v>37</v>
      </c>
      <c r="J195" s="29" t="n">
        <f aca="false">I195/60</f>
        <v>0.616666666666667</v>
      </c>
    </row>
    <row r="196" customFormat="false" ht="15" hidden="false" customHeight="false" outlineLevel="0" collapsed="false">
      <c r="A196" s="5" t="s">
        <v>1238</v>
      </c>
      <c r="B196" s="9" t="n">
        <v>45607</v>
      </c>
      <c r="C196" s="9" t="n">
        <v>45611</v>
      </c>
      <c r="D196" s="5" t="s">
        <v>142</v>
      </c>
      <c r="E196" s="5" t="s">
        <v>1041</v>
      </c>
      <c r="F196" s="5" t="s">
        <v>1007</v>
      </c>
      <c r="G196" s="6" t="str">
        <f aca="false">INDEX(Catalogo_Causas!$B$2:$B$10,MATCH(F196,Catalogo_Causas!$A$2:$A$10,0))</f>
        <v>Cambio de formato excedido</v>
      </c>
      <c r="H196" s="6" t="str">
        <f aca="false">INDEX(Catalogo_Causas!$C$2:$C$10,MATCH(F196,Catalogo_Causas!$A$2:$A$10,0))</f>
        <v>Operacional</v>
      </c>
      <c r="I196" s="5" t="n">
        <v>56</v>
      </c>
      <c r="J196" s="29" t="n">
        <f aca="false">I196/60</f>
        <v>0.933333333333333</v>
      </c>
    </row>
    <row r="197" customFormat="false" ht="15" hidden="false" customHeight="false" outlineLevel="0" collapsed="false">
      <c r="A197" s="5" t="s">
        <v>1239</v>
      </c>
      <c r="B197" s="9" t="n">
        <v>45607</v>
      </c>
      <c r="C197" s="9" t="n">
        <v>45611</v>
      </c>
      <c r="D197" s="5" t="s">
        <v>142</v>
      </c>
      <c r="E197" s="5" t="s">
        <v>1030</v>
      </c>
      <c r="F197" s="5" t="s">
        <v>1014</v>
      </c>
      <c r="G197" s="6" t="str">
        <f aca="false">INDEX(Catalogo_Causas!$B$2:$B$10,MATCH(F197,Catalogo_Causas!$A$2:$A$10,0))</f>
        <v>Retención de calidad</v>
      </c>
      <c r="H197" s="6" t="str">
        <f aca="false">INDEX(Catalogo_Causas!$C$2:$C$10,MATCH(F197,Catalogo_Causas!$A$2:$A$10,0))</f>
        <v>Calidad</v>
      </c>
      <c r="I197" s="5" t="n">
        <v>151</v>
      </c>
      <c r="J197" s="29" t="n">
        <f aca="false">I197/60</f>
        <v>2.51666666666667</v>
      </c>
    </row>
    <row r="198" customFormat="false" ht="15" hidden="false" customHeight="false" outlineLevel="0" collapsed="false">
      <c r="A198" s="5" t="s">
        <v>1240</v>
      </c>
      <c r="B198" s="9" t="n">
        <v>45607</v>
      </c>
      <c r="C198" s="9" t="n">
        <v>45612</v>
      </c>
      <c r="D198" s="5" t="s">
        <v>130</v>
      </c>
      <c r="E198" s="5" t="s">
        <v>1045</v>
      </c>
      <c r="F198" s="5" t="s">
        <v>1009</v>
      </c>
      <c r="G198" s="6" t="str">
        <f aca="false">INDEX(Catalogo_Causas!$B$2:$B$10,MATCH(F198,Catalogo_Causas!$A$2:$A$10,0))</f>
        <v>Falta de material de empaque</v>
      </c>
      <c r="H198" s="6" t="str">
        <f aca="false">INDEX(Catalogo_Causas!$C$2:$C$10,MATCH(F198,Catalogo_Causas!$A$2:$A$10,0))</f>
        <v>Material / suministro</v>
      </c>
      <c r="I198" s="5" t="n">
        <v>21</v>
      </c>
      <c r="J198" s="29" t="n">
        <f aca="false">I198/60</f>
        <v>0.35</v>
      </c>
    </row>
    <row r="199" customFormat="false" ht="15" hidden="false" customHeight="false" outlineLevel="0" collapsed="false">
      <c r="A199" s="5" t="s">
        <v>1241</v>
      </c>
      <c r="B199" s="9" t="n">
        <v>45607</v>
      </c>
      <c r="C199" s="9" t="n">
        <v>45612</v>
      </c>
      <c r="D199" s="5" t="s">
        <v>134</v>
      </c>
      <c r="E199" s="5" t="s">
        <v>1030</v>
      </c>
      <c r="F199" s="5" t="s">
        <v>1007</v>
      </c>
      <c r="G199" s="6" t="str">
        <f aca="false">INDEX(Catalogo_Causas!$B$2:$B$10,MATCH(F199,Catalogo_Causas!$A$2:$A$10,0))</f>
        <v>Cambio de formato excedido</v>
      </c>
      <c r="H199" s="6" t="str">
        <f aca="false">INDEX(Catalogo_Causas!$C$2:$C$10,MATCH(F199,Catalogo_Causas!$A$2:$A$10,0))</f>
        <v>Operacional</v>
      </c>
      <c r="I199" s="5" t="n">
        <v>59</v>
      </c>
      <c r="J199" s="29" t="n">
        <f aca="false">I199/60</f>
        <v>0.983333333333333</v>
      </c>
    </row>
    <row r="200" customFormat="false" ht="15" hidden="false" customHeight="false" outlineLevel="0" collapsed="false">
      <c r="A200" s="5" t="s">
        <v>1242</v>
      </c>
      <c r="B200" s="9" t="n">
        <v>45607</v>
      </c>
      <c r="C200" s="9" t="n">
        <v>45612</v>
      </c>
      <c r="D200" s="5" t="s">
        <v>136</v>
      </c>
      <c r="E200" s="5" t="s">
        <v>1051</v>
      </c>
      <c r="F200" s="5" t="s">
        <v>1009</v>
      </c>
      <c r="G200" s="6" t="str">
        <f aca="false">INDEX(Catalogo_Causas!$B$2:$B$10,MATCH(F200,Catalogo_Causas!$A$2:$A$10,0))</f>
        <v>Falta de material de empaque</v>
      </c>
      <c r="H200" s="6" t="str">
        <f aca="false">INDEX(Catalogo_Causas!$C$2:$C$10,MATCH(F200,Catalogo_Causas!$A$2:$A$10,0))</f>
        <v>Material / suministro</v>
      </c>
      <c r="I200" s="5" t="n">
        <v>24</v>
      </c>
      <c r="J200" s="29" t="n">
        <f aca="false">I200/60</f>
        <v>0.4</v>
      </c>
    </row>
    <row r="201" customFormat="false" ht="15" hidden="false" customHeight="false" outlineLevel="0" collapsed="false">
      <c r="A201" s="5" t="s">
        <v>1243</v>
      </c>
      <c r="B201" s="9" t="n">
        <v>45607</v>
      </c>
      <c r="C201" s="9" t="n">
        <v>45612</v>
      </c>
      <c r="D201" s="5" t="s">
        <v>138</v>
      </c>
      <c r="E201" s="5" t="s">
        <v>1056</v>
      </c>
      <c r="F201" s="5" t="s">
        <v>1005</v>
      </c>
      <c r="G201" s="6" t="str">
        <f aca="false">INDEX(Catalogo_Causas!$B$2:$B$10,MATCH(F201,Catalogo_Causas!$A$2:$A$10,0))</f>
        <v>Falla eléctrica / control</v>
      </c>
      <c r="H201" s="6" t="str">
        <f aca="false">INDEX(Catalogo_Causas!$C$2:$C$10,MATCH(F201,Catalogo_Causas!$A$2:$A$10,0))</f>
        <v>Operacional</v>
      </c>
      <c r="I201" s="5" t="n">
        <v>135</v>
      </c>
      <c r="J201" s="29" t="n">
        <f aca="false">I201/60</f>
        <v>2.25</v>
      </c>
    </row>
    <row r="202" customFormat="false" ht="15" hidden="false" customHeight="false" outlineLevel="0" collapsed="false">
      <c r="A202" s="5" t="s">
        <v>1244</v>
      </c>
      <c r="B202" s="9" t="n">
        <v>45614</v>
      </c>
      <c r="C202" s="9" t="n">
        <v>45614</v>
      </c>
      <c r="D202" s="5" t="s">
        <v>142</v>
      </c>
      <c r="E202" s="5" t="s">
        <v>1041</v>
      </c>
      <c r="F202" s="5" t="s">
        <v>1009</v>
      </c>
      <c r="G202" s="6" t="str">
        <f aca="false">INDEX(Catalogo_Causas!$B$2:$B$10,MATCH(F202,Catalogo_Causas!$A$2:$A$10,0))</f>
        <v>Falta de material de empaque</v>
      </c>
      <c r="H202" s="6" t="str">
        <f aca="false">INDEX(Catalogo_Causas!$C$2:$C$10,MATCH(F202,Catalogo_Causas!$A$2:$A$10,0))</f>
        <v>Material / suministro</v>
      </c>
      <c r="I202" s="5" t="n">
        <v>22</v>
      </c>
      <c r="J202" s="29" t="n">
        <f aca="false">I202/60</f>
        <v>0.366666666666667</v>
      </c>
    </row>
    <row r="203" customFormat="false" ht="15" hidden="false" customHeight="false" outlineLevel="0" collapsed="false">
      <c r="A203" s="5" t="s">
        <v>1245</v>
      </c>
      <c r="B203" s="9" t="n">
        <v>45614</v>
      </c>
      <c r="C203" s="9" t="n">
        <v>45614</v>
      </c>
      <c r="D203" s="5" t="s">
        <v>142</v>
      </c>
      <c r="E203" s="5" t="s">
        <v>1051</v>
      </c>
      <c r="F203" s="5" t="s">
        <v>1005</v>
      </c>
      <c r="G203" s="6" t="str">
        <f aca="false">INDEX(Catalogo_Causas!$B$2:$B$10,MATCH(F203,Catalogo_Causas!$A$2:$A$10,0))</f>
        <v>Falla eléctrica / control</v>
      </c>
      <c r="H203" s="6" t="str">
        <f aca="false">INDEX(Catalogo_Causas!$C$2:$C$10,MATCH(F203,Catalogo_Causas!$A$2:$A$10,0))</f>
        <v>Operacional</v>
      </c>
      <c r="I203" s="5" t="n">
        <v>89</v>
      </c>
      <c r="J203" s="29" t="n">
        <f aca="false">I203/60</f>
        <v>1.48333333333333</v>
      </c>
    </row>
    <row r="204" customFormat="false" ht="15" hidden="false" customHeight="false" outlineLevel="0" collapsed="false">
      <c r="A204" s="5" t="s">
        <v>1246</v>
      </c>
      <c r="B204" s="9" t="n">
        <v>45614</v>
      </c>
      <c r="C204" s="9" t="n">
        <v>45615</v>
      </c>
      <c r="D204" s="5" t="s">
        <v>134</v>
      </c>
      <c r="E204" s="5" t="s">
        <v>1054</v>
      </c>
      <c r="F204" s="5" t="s">
        <v>1002</v>
      </c>
      <c r="G204" s="6" t="str">
        <f aca="false">INDEX(Catalogo_Causas!$B$2:$B$10,MATCH(F204,Catalogo_Causas!$A$2:$A$10,0))</f>
        <v>Falla mecánica</v>
      </c>
      <c r="H204" s="6" t="str">
        <f aca="false">INDEX(Catalogo_Causas!$C$2:$C$10,MATCH(F204,Catalogo_Causas!$A$2:$A$10,0))</f>
        <v>Operacional</v>
      </c>
      <c r="I204" s="5" t="n">
        <v>21</v>
      </c>
      <c r="J204" s="29" t="n">
        <f aca="false">I204/60</f>
        <v>0.35</v>
      </c>
    </row>
    <row r="205" customFormat="false" ht="15" hidden="false" customHeight="false" outlineLevel="0" collapsed="false">
      <c r="A205" s="5" t="s">
        <v>1247</v>
      </c>
      <c r="B205" s="9" t="n">
        <v>45614</v>
      </c>
      <c r="C205" s="9" t="n">
        <v>45615</v>
      </c>
      <c r="D205" s="5" t="s">
        <v>138</v>
      </c>
      <c r="E205" s="5" t="s">
        <v>1056</v>
      </c>
      <c r="F205" s="5" t="s">
        <v>1002</v>
      </c>
      <c r="G205" s="6" t="str">
        <f aca="false">INDEX(Catalogo_Causas!$B$2:$B$10,MATCH(F205,Catalogo_Causas!$A$2:$A$10,0))</f>
        <v>Falla mecánica</v>
      </c>
      <c r="H205" s="6" t="str">
        <f aca="false">INDEX(Catalogo_Causas!$C$2:$C$10,MATCH(F205,Catalogo_Causas!$A$2:$A$10,0))</f>
        <v>Operacional</v>
      </c>
      <c r="I205" s="5" t="n">
        <v>22</v>
      </c>
      <c r="J205" s="29" t="n">
        <f aca="false">I205/60</f>
        <v>0.366666666666667</v>
      </c>
    </row>
    <row r="206" customFormat="false" ht="15" hidden="false" customHeight="false" outlineLevel="0" collapsed="false">
      <c r="A206" s="5" t="s">
        <v>1248</v>
      </c>
      <c r="B206" s="9" t="n">
        <v>45614</v>
      </c>
      <c r="C206" s="9" t="n">
        <v>45616</v>
      </c>
      <c r="D206" s="5" t="s">
        <v>134</v>
      </c>
      <c r="E206" s="5" t="s">
        <v>1030</v>
      </c>
      <c r="F206" s="5" t="s">
        <v>1016</v>
      </c>
      <c r="G206" s="6" t="str">
        <f aca="false">INDEX(Catalogo_Causas!$B$2:$B$10,MATCH(F206,Catalogo_Causas!$A$2:$A$10,0))</f>
        <v>Limpieza no programada (CIP)</v>
      </c>
      <c r="H206" s="6" t="str">
        <f aca="false">INDEX(Catalogo_Causas!$C$2:$C$10,MATCH(F206,Catalogo_Causas!$A$2:$A$10,0))</f>
        <v>Calidad</v>
      </c>
      <c r="I206" s="5" t="n">
        <v>27</v>
      </c>
      <c r="J206" s="29" t="n">
        <f aca="false">I206/60</f>
        <v>0.45</v>
      </c>
    </row>
    <row r="207" customFormat="false" ht="15" hidden="false" customHeight="false" outlineLevel="0" collapsed="false">
      <c r="A207" s="5" t="s">
        <v>1249</v>
      </c>
      <c r="B207" s="9" t="n">
        <v>45614</v>
      </c>
      <c r="C207" s="9" t="n">
        <v>45616</v>
      </c>
      <c r="D207" s="5" t="s">
        <v>138</v>
      </c>
      <c r="E207" s="5" t="s">
        <v>1056</v>
      </c>
      <c r="F207" s="5" t="s">
        <v>1002</v>
      </c>
      <c r="G207" s="6" t="str">
        <f aca="false">INDEX(Catalogo_Causas!$B$2:$B$10,MATCH(F207,Catalogo_Causas!$A$2:$A$10,0))</f>
        <v>Falla mecánica</v>
      </c>
      <c r="H207" s="6" t="str">
        <f aca="false">INDEX(Catalogo_Causas!$C$2:$C$10,MATCH(F207,Catalogo_Causas!$A$2:$A$10,0))</f>
        <v>Operacional</v>
      </c>
      <c r="I207" s="5" t="n">
        <v>15</v>
      </c>
      <c r="J207" s="29" t="n">
        <f aca="false">I207/60</f>
        <v>0.25</v>
      </c>
    </row>
    <row r="208" customFormat="false" ht="15" hidden="false" customHeight="false" outlineLevel="0" collapsed="false">
      <c r="A208" s="5" t="s">
        <v>1250</v>
      </c>
      <c r="B208" s="9" t="n">
        <v>45614</v>
      </c>
      <c r="C208" s="9" t="n">
        <v>45616</v>
      </c>
      <c r="D208" s="5" t="s">
        <v>140</v>
      </c>
      <c r="E208" s="5" t="s">
        <v>1045</v>
      </c>
      <c r="F208" s="5" t="s">
        <v>1014</v>
      </c>
      <c r="G208" s="6" t="str">
        <f aca="false">INDEX(Catalogo_Causas!$B$2:$B$10,MATCH(F208,Catalogo_Causas!$A$2:$A$10,0))</f>
        <v>Retención de calidad</v>
      </c>
      <c r="H208" s="6" t="str">
        <f aca="false">INDEX(Catalogo_Causas!$C$2:$C$10,MATCH(F208,Catalogo_Causas!$A$2:$A$10,0))</f>
        <v>Calidad</v>
      </c>
      <c r="I208" s="5" t="n">
        <v>24</v>
      </c>
      <c r="J208" s="29" t="n">
        <f aca="false">I208/60</f>
        <v>0.4</v>
      </c>
    </row>
    <row r="209" customFormat="false" ht="15" hidden="false" customHeight="false" outlineLevel="0" collapsed="false">
      <c r="A209" s="5" t="s">
        <v>1251</v>
      </c>
      <c r="B209" s="9" t="n">
        <v>45614</v>
      </c>
      <c r="C209" s="9" t="n">
        <v>45617</v>
      </c>
      <c r="D209" s="5" t="s">
        <v>130</v>
      </c>
      <c r="E209" s="5" t="s">
        <v>1030</v>
      </c>
      <c r="F209" s="5" t="s">
        <v>1002</v>
      </c>
      <c r="G209" s="6" t="str">
        <f aca="false">INDEX(Catalogo_Causas!$B$2:$B$10,MATCH(F209,Catalogo_Causas!$A$2:$A$10,0))</f>
        <v>Falla mecánica</v>
      </c>
      <c r="H209" s="6" t="str">
        <f aca="false">INDEX(Catalogo_Causas!$C$2:$C$10,MATCH(F209,Catalogo_Causas!$A$2:$A$10,0))</f>
        <v>Operacional</v>
      </c>
      <c r="I209" s="5" t="n">
        <v>13</v>
      </c>
      <c r="J209" s="29" t="n">
        <f aca="false">I209/60</f>
        <v>0.216666666666667</v>
      </c>
    </row>
    <row r="210" customFormat="false" ht="15" hidden="false" customHeight="false" outlineLevel="0" collapsed="false">
      <c r="A210" s="5" t="s">
        <v>1252</v>
      </c>
      <c r="B210" s="9" t="n">
        <v>45614</v>
      </c>
      <c r="C210" s="9" t="n">
        <v>45617</v>
      </c>
      <c r="D210" s="5" t="s">
        <v>134</v>
      </c>
      <c r="E210" s="5" t="s">
        <v>1032</v>
      </c>
      <c r="F210" s="5" t="s">
        <v>1021</v>
      </c>
      <c r="G210" s="6" t="str">
        <f aca="false">INDEX(Catalogo_Causas!$B$2:$B$10,MATCH(F210,Catalogo_Causas!$A$2:$A$10,0))</f>
        <v>Falla de servicios (vapor/amoniaco/aire)</v>
      </c>
      <c r="H210" s="6" t="str">
        <f aca="false">INDEX(Catalogo_Causas!$C$2:$C$10,MATCH(F210,Catalogo_Causas!$A$2:$A$10,0))</f>
        <v>Servicios</v>
      </c>
      <c r="I210" s="5" t="n">
        <v>23</v>
      </c>
      <c r="J210" s="29" t="n">
        <f aca="false">I210/60</f>
        <v>0.383333333333333</v>
      </c>
    </row>
    <row r="211" customFormat="false" ht="15" hidden="false" customHeight="false" outlineLevel="0" collapsed="false">
      <c r="A211" s="5" t="s">
        <v>1253</v>
      </c>
      <c r="B211" s="9" t="n">
        <v>45614</v>
      </c>
      <c r="C211" s="9" t="n">
        <v>45617</v>
      </c>
      <c r="D211" s="5" t="s">
        <v>134</v>
      </c>
      <c r="E211" s="5" t="s">
        <v>1032</v>
      </c>
      <c r="F211" s="5" t="s">
        <v>1014</v>
      </c>
      <c r="G211" s="6" t="str">
        <f aca="false">INDEX(Catalogo_Causas!$B$2:$B$10,MATCH(F211,Catalogo_Causas!$A$2:$A$10,0))</f>
        <v>Retención de calidad</v>
      </c>
      <c r="H211" s="6" t="str">
        <f aca="false">INDEX(Catalogo_Causas!$C$2:$C$10,MATCH(F211,Catalogo_Causas!$A$2:$A$10,0))</f>
        <v>Calidad</v>
      </c>
      <c r="I211" s="5" t="n">
        <v>24</v>
      </c>
      <c r="J211" s="29" t="n">
        <f aca="false">I211/60</f>
        <v>0.4</v>
      </c>
    </row>
    <row r="212" customFormat="false" ht="15" hidden="false" customHeight="false" outlineLevel="0" collapsed="false">
      <c r="A212" s="5" t="s">
        <v>1254</v>
      </c>
      <c r="B212" s="9" t="n">
        <v>45614</v>
      </c>
      <c r="C212" s="9" t="n">
        <v>45617</v>
      </c>
      <c r="D212" s="5" t="s">
        <v>144</v>
      </c>
      <c r="E212" s="5" t="s">
        <v>1043</v>
      </c>
      <c r="F212" s="5" t="s">
        <v>1012</v>
      </c>
      <c r="G212" s="6" t="str">
        <f aca="false">INDEX(Catalogo_Causas!$B$2:$B$10,MATCH(F212,Catalogo_Causas!$A$2:$A$10,0))</f>
        <v>Falta de materia prima</v>
      </c>
      <c r="H212" s="6" t="str">
        <f aca="false">INDEX(Catalogo_Causas!$C$2:$C$10,MATCH(F212,Catalogo_Causas!$A$2:$A$10,0))</f>
        <v>Material / suministro</v>
      </c>
      <c r="I212" s="5" t="n">
        <v>167</v>
      </c>
      <c r="J212" s="29" t="n">
        <f aca="false">I212/60</f>
        <v>2.78333333333333</v>
      </c>
    </row>
    <row r="213" customFormat="false" ht="15" hidden="false" customHeight="false" outlineLevel="0" collapsed="false">
      <c r="A213" s="5" t="s">
        <v>1255</v>
      </c>
      <c r="B213" s="9" t="n">
        <v>45614</v>
      </c>
      <c r="C213" s="9" t="n">
        <v>45618</v>
      </c>
      <c r="D213" s="5" t="s">
        <v>138</v>
      </c>
      <c r="E213" s="5" t="s">
        <v>1034</v>
      </c>
      <c r="F213" s="5" t="s">
        <v>1005</v>
      </c>
      <c r="G213" s="6" t="str">
        <f aca="false">INDEX(Catalogo_Causas!$B$2:$B$10,MATCH(F213,Catalogo_Causas!$A$2:$A$10,0))</f>
        <v>Falla eléctrica / control</v>
      </c>
      <c r="H213" s="6" t="str">
        <f aca="false">INDEX(Catalogo_Causas!$C$2:$C$10,MATCH(F213,Catalogo_Causas!$A$2:$A$10,0))</f>
        <v>Operacional</v>
      </c>
      <c r="I213" s="5" t="n">
        <v>45</v>
      </c>
      <c r="J213" s="29" t="n">
        <f aca="false">I213/60</f>
        <v>0.75</v>
      </c>
    </row>
    <row r="214" customFormat="false" ht="15" hidden="false" customHeight="false" outlineLevel="0" collapsed="false">
      <c r="A214" s="5" t="s">
        <v>1256</v>
      </c>
      <c r="B214" s="9" t="n">
        <v>45614</v>
      </c>
      <c r="C214" s="9" t="n">
        <v>45619</v>
      </c>
      <c r="D214" s="5" t="s">
        <v>134</v>
      </c>
      <c r="E214" s="5" t="s">
        <v>1032</v>
      </c>
      <c r="F214" s="5" t="s">
        <v>1002</v>
      </c>
      <c r="G214" s="6" t="str">
        <f aca="false">INDEX(Catalogo_Causas!$B$2:$B$10,MATCH(F214,Catalogo_Causas!$A$2:$A$10,0))</f>
        <v>Falla mecánica</v>
      </c>
      <c r="H214" s="6" t="str">
        <f aca="false">INDEX(Catalogo_Causas!$C$2:$C$10,MATCH(F214,Catalogo_Causas!$A$2:$A$10,0))</f>
        <v>Operacional</v>
      </c>
      <c r="I214" s="5" t="n">
        <v>33</v>
      </c>
      <c r="J214" s="29" t="n">
        <f aca="false">I214/60</f>
        <v>0.55</v>
      </c>
    </row>
    <row r="215" customFormat="false" ht="15" hidden="false" customHeight="false" outlineLevel="0" collapsed="false">
      <c r="A215" s="5" t="s">
        <v>1257</v>
      </c>
      <c r="B215" s="9" t="n">
        <v>45614</v>
      </c>
      <c r="C215" s="9" t="n">
        <v>45619</v>
      </c>
      <c r="D215" s="5" t="s">
        <v>136</v>
      </c>
      <c r="E215" s="5" t="s">
        <v>1101</v>
      </c>
      <c r="F215" s="5" t="s">
        <v>1007</v>
      </c>
      <c r="G215" s="6" t="str">
        <f aca="false">INDEX(Catalogo_Causas!$B$2:$B$10,MATCH(F215,Catalogo_Causas!$A$2:$A$10,0))</f>
        <v>Cambio de formato excedido</v>
      </c>
      <c r="H215" s="6" t="str">
        <f aca="false">INDEX(Catalogo_Causas!$C$2:$C$10,MATCH(F215,Catalogo_Causas!$A$2:$A$10,0))</f>
        <v>Operacional</v>
      </c>
      <c r="I215" s="5" t="n">
        <v>28</v>
      </c>
      <c r="J215" s="29" t="n">
        <f aca="false">I215/60</f>
        <v>0.466666666666667</v>
      </c>
    </row>
    <row r="216" customFormat="false" ht="15" hidden="false" customHeight="false" outlineLevel="0" collapsed="false">
      <c r="A216" s="5" t="s">
        <v>1258</v>
      </c>
      <c r="B216" s="9" t="n">
        <v>45614</v>
      </c>
      <c r="C216" s="9" t="n">
        <v>45619</v>
      </c>
      <c r="D216" s="5" t="s">
        <v>142</v>
      </c>
      <c r="E216" s="5" t="s">
        <v>1030</v>
      </c>
      <c r="F216" s="5" t="s">
        <v>1002</v>
      </c>
      <c r="G216" s="6" t="str">
        <f aca="false">INDEX(Catalogo_Causas!$B$2:$B$10,MATCH(F216,Catalogo_Causas!$A$2:$A$10,0))</f>
        <v>Falla mecánica</v>
      </c>
      <c r="H216" s="6" t="str">
        <f aca="false">INDEX(Catalogo_Causas!$C$2:$C$10,MATCH(F216,Catalogo_Causas!$A$2:$A$10,0))</f>
        <v>Operacional</v>
      </c>
      <c r="I216" s="5" t="n">
        <v>23</v>
      </c>
      <c r="J216" s="29" t="n">
        <f aca="false">I216/60</f>
        <v>0.383333333333333</v>
      </c>
    </row>
    <row r="217" customFormat="false" ht="15" hidden="false" customHeight="false" outlineLevel="0" collapsed="false">
      <c r="A217" s="5" t="s">
        <v>1259</v>
      </c>
      <c r="B217" s="9" t="n">
        <v>45621</v>
      </c>
      <c r="C217" s="9" t="n">
        <v>45621</v>
      </c>
      <c r="D217" s="5" t="s">
        <v>130</v>
      </c>
      <c r="E217" s="5" t="s">
        <v>1045</v>
      </c>
      <c r="F217" s="5" t="s">
        <v>1005</v>
      </c>
      <c r="G217" s="6" t="str">
        <f aca="false">INDEX(Catalogo_Causas!$B$2:$B$10,MATCH(F217,Catalogo_Causas!$A$2:$A$10,0))</f>
        <v>Falla eléctrica / control</v>
      </c>
      <c r="H217" s="6" t="str">
        <f aca="false">INDEX(Catalogo_Causas!$C$2:$C$10,MATCH(F217,Catalogo_Causas!$A$2:$A$10,0))</f>
        <v>Operacional</v>
      </c>
      <c r="I217" s="5" t="n">
        <v>50</v>
      </c>
      <c r="J217" s="29" t="n">
        <f aca="false">I217/60</f>
        <v>0.833333333333333</v>
      </c>
    </row>
    <row r="218" customFormat="false" ht="15" hidden="false" customHeight="false" outlineLevel="0" collapsed="false">
      <c r="A218" s="5" t="s">
        <v>1260</v>
      </c>
      <c r="B218" s="9" t="n">
        <v>45621</v>
      </c>
      <c r="C218" s="9" t="n">
        <v>45621</v>
      </c>
      <c r="D218" s="5" t="s">
        <v>134</v>
      </c>
      <c r="E218" s="5" t="s">
        <v>1032</v>
      </c>
      <c r="F218" s="5" t="s">
        <v>1021</v>
      </c>
      <c r="G218" s="6" t="str">
        <f aca="false">INDEX(Catalogo_Causas!$B$2:$B$10,MATCH(F218,Catalogo_Causas!$A$2:$A$10,0))</f>
        <v>Falla de servicios (vapor/amoniaco/aire)</v>
      </c>
      <c r="H218" s="6" t="str">
        <f aca="false">INDEX(Catalogo_Causas!$C$2:$C$10,MATCH(F218,Catalogo_Causas!$A$2:$A$10,0))</f>
        <v>Servicios</v>
      </c>
      <c r="I218" s="5" t="n">
        <v>79</v>
      </c>
      <c r="J218" s="29" t="n">
        <f aca="false">I218/60</f>
        <v>1.31666666666667</v>
      </c>
    </row>
    <row r="219" customFormat="false" ht="15" hidden="false" customHeight="false" outlineLevel="0" collapsed="false">
      <c r="A219" s="5" t="s">
        <v>1261</v>
      </c>
      <c r="B219" s="9" t="n">
        <v>45621</v>
      </c>
      <c r="C219" s="9" t="n">
        <v>45621</v>
      </c>
      <c r="D219" s="5" t="s">
        <v>136</v>
      </c>
      <c r="E219" s="5" t="s">
        <v>1101</v>
      </c>
      <c r="F219" s="5" t="s">
        <v>1002</v>
      </c>
      <c r="G219" s="6" t="str">
        <f aca="false">INDEX(Catalogo_Causas!$B$2:$B$10,MATCH(F219,Catalogo_Causas!$A$2:$A$10,0))</f>
        <v>Falla mecánica</v>
      </c>
      <c r="H219" s="6" t="str">
        <f aca="false">INDEX(Catalogo_Causas!$C$2:$C$10,MATCH(F219,Catalogo_Causas!$A$2:$A$10,0))</f>
        <v>Operacional</v>
      </c>
      <c r="I219" s="5" t="n">
        <v>139</v>
      </c>
      <c r="J219" s="29" t="n">
        <f aca="false">I219/60</f>
        <v>2.31666666666667</v>
      </c>
    </row>
    <row r="220" customFormat="false" ht="15" hidden="false" customHeight="false" outlineLevel="0" collapsed="false">
      <c r="A220" s="5" t="s">
        <v>1262</v>
      </c>
      <c r="B220" s="9" t="n">
        <v>45621</v>
      </c>
      <c r="C220" s="9" t="n">
        <v>45621</v>
      </c>
      <c r="D220" s="5" t="s">
        <v>136</v>
      </c>
      <c r="E220" s="5" t="s">
        <v>1101</v>
      </c>
      <c r="F220" s="5" t="s">
        <v>1002</v>
      </c>
      <c r="G220" s="6" t="str">
        <f aca="false">INDEX(Catalogo_Causas!$B$2:$B$10,MATCH(F220,Catalogo_Causas!$A$2:$A$10,0))</f>
        <v>Falla mecánica</v>
      </c>
      <c r="H220" s="6" t="str">
        <f aca="false">INDEX(Catalogo_Causas!$C$2:$C$10,MATCH(F220,Catalogo_Causas!$A$2:$A$10,0))</f>
        <v>Operacional</v>
      </c>
      <c r="I220" s="5" t="n">
        <v>67</v>
      </c>
      <c r="J220" s="29" t="n">
        <f aca="false">I220/60</f>
        <v>1.11666666666667</v>
      </c>
    </row>
    <row r="221" customFormat="false" ht="15" hidden="false" customHeight="false" outlineLevel="0" collapsed="false">
      <c r="A221" s="5" t="s">
        <v>1263</v>
      </c>
      <c r="B221" s="9" t="n">
        <v>45621</v>
      </c>
      <c r="C221" s="9" t="n">
        <v>45621</v>
      </c>
      <c r="D221" s="5" t="s">
        <v>138</v>
      </c>
      <c r="E221" s="5" t="s">
        <v>1034</v>
      </c>
      <c r="F221" s="5" t="s">
        <v>1014</v>
      </c>
      <c r="G221" s="6" t="str">
        <f aca="false">INDEX(Catalogo_Causas!$B$2:$B$10,MATCH(F221,Catalogo_Causas!$A$2:$A$10,0))</f>
        <v>Retención de calidad</v>
      </c>
      <c r="H221" s="6" t="str">
        <f aca="false">INDEX(Catalogo_Causas!$C$2:$C$10,MATCH(F221,Catalogo_Causas!$A$2:$A$10,0))</f>
        <v>Calidad</v>
      </c>
      <c r="I221" s="5" t="n">
        <v>42</v>
      </c>
      <c r="J221" s="29" t="n">
        <f aca="false">I221/60</f>
        <v>0.7</v>
      </c>
    </row>
    <row r="222" customFormat="false" ht="15" hidden="false" customHeight="false" outlineLevel="0" collapsed="false">
      <c r="A222" s="5" t="s">
        <v>1264</v>
      </c>
      <c r="B222" s="9" t="n">
        <v>45621</v>
      </c>
      <c r="C222" s="9" t="n">
        <v>45621</v>
      </c>
      <c r="D222" s="5" t="s">
        <v>140</v>
      </c>
      <c r="E222" s="5" t="s">
        <v>1032</v>
      </c>
      <c r="F222" s="5" t="s">
        <v>1014</v>
      </c>
      <c r="G222" s="6" t="str">
        <f aca="false">INDEX(Catalogo_Causas!$B$2:$B$10,MATCH(F222,Catalogo_Causas!$A$2:$A$10,0))</f>
        <v>Retención de calidad</v>
      </c>
      <c r="H222" s="6" t="str">
        <f aca="false">INDEX(Catalogo_Causas!$C$2:$C$10,MATCH(F222,Catalogo_Causas!$A$2:$A$10,0))</f>
        <v>Calidad</v>
      </c>
      <c r="I222" s="5" t="n">
        <v>48</v>
      </c>
      <c r="J222" s="29" t="n">
        <f aca="false">I222/60</f>
        <v>0.8</v>
      </c>
    </row>
    <row r="223" customFormat="false" ht="15" hidden="false" customHeight="false" outlineLevel="0" collapsed="false">
      <c r="A223" s="5" t="s">
        <v>1265</v>
      </c>
      <c r="B223" s="9" t="n">
        <v>45621</v>
      </c>
      <c r="C223" s="9" t="n">
        <v>45622</v>
      </c>
      <c r="D223" s="5" t="s">
        <v>130</v>
      </c>
      <c r="E223" s="5" t="s">
        <v>1078</v>
      </c>
      <c r="F223" s="5" t="s">
        <v>1005</v>
      </c>
      <c r="G223" s="6" t="str">
        <f aca="false">INDEX(Catalogo_Causas!$B$2:$B$10,MATCH(F223,Catalogo_Causas!$A$2:$A$10,0))</f>
        <v>Falla eléctrica / control</v>
      </c>
      <c r="H223" s="6" t="str">
        <f aca="false">INDEX(Catalogo_Causas!$C$2:$C$10,MATCH(F223,Catalogo_Causas!$A$2:$A$10,0))</f>
        <v>Operacional</v>
      </c>
      <c r="I223" s="5" t="n">
        <v>32</v>
      </c>
      <c r="J223" s="29" t="n">
        <f aca="false">I223/60</f>
        <v>0.533333333333333</v>
      </c>
    </row>
    <row r="224" customFormat="false" ht="15" hidden="false" customHeight="false" outlineLevel="0" collapsed="false">
      <c r="A224" s="5" t="s">
        <v>1266</v>
      </c>
      <c r="B224" s="9" t="n">
        <v>45621</v>
      </c>
      <c r="C224" s="9" t="n">
        <v>45622</v>
      </c>
      <c r="D224" s="5" t="s">
        <v>134</v>
      </c>
      <c r="E224" s="5" t="s">
        <v>1030</v>
      </c>
      <c r="F224" s="5" t="s">
        <v>1009</v>
      </c>
      <c r="G224" s="6" t="str">
        <f aca="false">INDEX(Catalogo_Causas!$B$2:$B$10,MATCH(F224,Catalogo_Causas!$A$2:$A$10,0))</f>
        <v>Falta de material de empaque</v>
      </c>
      <c r="H224" s="6" t="str">
        <f aca="false">INDEX(Catalogo_Causas!$C$2:$C$10,MATCH(F224,Catalogo_Causas!$A$2:$A$10,0))</f>
        <v>Material / suministro</v>
      </c>
      <c r="I224" s="5" t="n">
        <v>71</v>
      </c>
      <c r="J224" s="29" t="n">
        <f aca="false">I224/60</f>
        <v>1.18333333333333</v>
      </c>
    </row>
    <row r="225" customFormat="false" ht="15" hidden="false" customHeight="false" outlineLevel="0" collapsed="false">
      <c r="A225" s="5" t="s">
        <v>1267</v>
      </c>
      <c r="B225" s="9" t="n">
        <v>45621</v>
      </c>
      <c r="C225" s="9" t="n">
        <v>45622</v>
      </c>
      <c r="D225" s="5" t="s">
        <v>136</v>
      </c>
      <c r="E225" s="5" t="s">
        <v>1101</v>
      </c>
      <c r="F225" s="5" t="s">
        <v>1014</v>
      </c>
      <c r="G225" s="6" t="str">
        <f aca="false">INDEX(Catalogo_Causas!$B$2:$B$10,MATCH(F225,Catalogo_Causas!$A$2:$A$10,0))</f>
        <v>Retención de calidad</v>
      </c>
      <c r="H225" s="6" t="str">
        <f aca="false">INDEX(Catalogo_Causas!$C$2:$C$10,MATCH(F225,Catalogo_Causas!$A$2:$A$10,0))</f>
        <v>Calidad</v>
      </c>
      <c r="I225" s="5" t="n">
        <v>60</v>
      </c>
      <c r="J225" s="29" t="n">
        <f aca="false">I225/60</f>
        <v>1</v>
      </c>
    </row>
    <row r="226" customFormat="false" ht="15" hidden="false" customHeight="false" outlineLevel="0" collapsed="false">
      <c r="A226" s="5" t="s">
        <v>1268</v>
      </c>
      <c r="B226" s="9" t="n">
        <v>45621</v>
      </c>
      <c r="C226" s="9" t="n">
        <v>45622</v>
      </c>
      <c r="D226" s="5" t="s">
        <v>138</v>
      </c>
      <c r="E226" s="5" t="s">
        <v>1034</v>
      </c>
      <c r="F226" s="5" t="s">
        <v>1005</v>
      </c>
      <c r="G226" s="6" t="str">
        <f aca="false">INDEX(Catalogo_Causas!$B$2:$B$10,MATCH(F226,Catalogo_Causas!$A$2:$A$10,0))</f>
        <v>Falla eléctrica / control</v>
      </c>
      <c r="H226" s="6" t="str">
        <f aca="false">INDEX(Catalogo_Causas!$C$2:$C$10,MATCH(F226,Catalogo_Causas!$A$2:$A$10,0))</f>
        <v>Operacional</v>
      </c>
      <c r="I226" s="5" t="n">
        <v>184</v>
      </c>
      <c r="J226" s="29" t="n">
        <f aca="false">I226/60</f>
        <v>3.06666666666667</v>
      </c>
    </row>
    <row r="227" customFormat="false" ht="15" hidden="false" customHeight="false" outlineLevel="0" collapsed="false">
      <c r="A227" s="5" t="s">
        <v>1269</v>
      </c>
      <c r="B227" s="9" t="n">
        <v>45621</v>
      </c>
      <c r="C227" s="9" t="n">
        <v>45622</v>
      </c>
      <c r="D227" s="5" t="s">
        <v>140</v>
      </c>
      <c r="E227" s="5" t="s">
        <v>1032</v>
      </c>
      <c r="F227" s="5" t="s">
        <v>1002</v>
      </c>
      <c r="G227" s="6" t="str">
        <f aca="false">INDEX(Catalogo_Causas!$B$2:$B$10,MATCH(F227,Catalogo_Causas!$A$2:$A$10,0))</f>
        <v>Falla mecánica</v>
      </c>
      <c r="H227" s="6" t="str">
        <f aca="false">INDEX(Catalogo_Causas!$C$2:$C$10,MATCH(F227,Catalogo_Causas!$A$2:$A$10,0))</f>
        <v>Operacional</v>
      </c>
      <c r="I227" s="5" t="n">
        <v>114</v>
      </c>
      <c r="J227" s="29" t="n">
        <f aca="false">I227/60</f>
        <v>1.9</v>
      </c>
    </row>
    <row r="228" customFormat="false" ht="15" hidden="false" customHeight="false" outlineLevel="0" collapsed="false">
      <c r="A228" s="5" t="s">
        <v>1270</v>
      </c>
      <c r="B228" s="9" t="n">
        <v>45621</v>
      </c>
      <c r="C228" s="9" t="n">
        <v>45622</v>
      </c>
      <c r="D228" s="5" t="s">
        <v>142</v>
      </c>
      <c r="E228" s="5" t="s">
        <v>1051</v>
      </c>
      <c r="F228" s="5" t="s">
        <v>1016</v>
      </c>
      <c r="G228" s="6" t="str">
        <f aca="false">INDEX(Catalogo_Causas!$B$2:$B$10,MATCH(F228,Catalogo_Causas!$A$2:$A$10,0))</f>
        <v>Limpieza no programada (CIP)</v>
      </c>
      <c r="H228" s="6" t="str">
        <f aca="false">INDEX(Catalogo_Causas!$C$2:$C$10,MATCH(F228,Catalogo_Causas!$A$2:$A$10,0))</f>
        <v>Calidad</v>
      </c>
      <c r="I228" s="5" t="n">
        <v>31</v>
      </c>
      <c r="J228" s="29" t="n">
        <f aca="false">I228/60</f>
        <v>0.516666666666667</v>
      </c>
    </row>
    <row r="229" customFormat="false" ht="15" hidden="false" customHeight="false" outlineLevel="0" collapsed="false">
      <c r="A229" s="5" t="s">
        <v>1271</v>
      </c>
      <c r="B229" s="9" t="n">
        <v>45621</v>
      </c>
      <c r="C229" s="9" t="n">
        <v>45623</v>
      </c>
      <c r="D229" s="5" t="s">
        <v>132</v>
      </c>
      <c r="E229" s="5" t="s">
        <v>1032</v>
      </c>
      <c r="F229" s="5" t="s">
        <v>1002</v>
      </c>
      <c r="G229" s="6" t="str">
        <f aca="false">INDEX(Catalogo_Causas!$B$2:$B$10,MATCH(F229,Catalogo_Causas!$A$2:$A$10,0))</f>
        <v>Falla mecánica</v>
      </c>
      <c r="H229" s="6" t="str">
        <f aca="false">INDEX(Catalogo_Causas!$C$2:$C$10,MATCH(F229,Catalogo_Causas!$A$2:$A$10,0))</f>
        <v>Operacional</v>
      </c>
      <c r="I229" s="5" t="n">
        <v>57</v>
      </c>
      <c r="J229" s="29" t="n">
        <f aca="false">I229/60</f>
        <v>0.95</v>
      </c>
    </row>
    <row r="230" customFormat="false" ht="15" hidden="false" customHeight="false" outlineLevel="0" collapsed="false">
      <c r="A230" s="5" t="s">
        <v>1272</v>
      </c>
      <c r="B230" s="9" t="n">
        <v>45621</v>
      </c>
      <c r="C230" s="9" t="n">
        <v>45623</v>
      </c>
      <c r="D230" s="5" t="s">
        <v>132</v>
      </c>
      <c r="E230" s="5" t="s">
        <v>1073</v>
      </c>
      <c r="F230" s="5" t="s">
        <v>1002</v>
      </c>
      <c r="G230" s="6" t="str">
        <f aca="false">INDEX(Catalogo_Causas!$B$2:$B$10,MATCH(F230,Catalogo_Causas!$A$2:$A$10,0))</f>
        <v>Falla mecánica</v>
      </c>
      <c r="H230" s="6" t="str">
        <f aca="false">INDEX(Catalogo_Causas!$C$2:$C$10,MATCH(F230,Catalogo_Causas!$A$2:$A$10,0))</f>
        <v>Operacional</v>
      </c>
      <c r="I230" s="5" t="n">
        <v>17</v>
      </c>
      <c r="J230" s="29" t="n">
        <f aca="false">I230/60</f>
        <v>0.283333333333333</v>
      </c>
    </row>
    <row r="231" customFormat="false" ht="15" hidden="false" customHeight="false" outlineLevel="0" collapsed="false">
      <c r="A231" s="5" t="s">
        <v>1273</v>
      </c>
      <c r="B231" s="9" t="n">
        <v>45621</v>
      </c>
      <c r="C231" s="9" t="n">
        <v>45623</v>
      </c>
      <c r="D231" s="5" t="s">
        <v>134</v>
      </c>
      <c r="E231" s="5" t="s">
        <v>1032</v>
      </c>
      <c r="F231" s="5" t="s">
        <v>1005</v>
      </c>
      <c r="G231" s="6" t="str">
        <f aca="false">INDEX(Catalogo_Causas!$B$2:$B$10,MATCH(F231,Catalogo_Causas!$A$2:$A$10,0))</f>
        <v>Falla eléctrica / control</v>
      </c>
      <c r="H231" s="6" t="str">
        <f aca="false">INDEX(Catalogo_Causas!$C$2:$C$10,MATCH(F231,Catalogo_Causas!$A$2:$A$10,0))</f>
        <v>Operacional</v>
      </c>
      <c r="I231" s="5" t="n">
        <v>23</v>
      </c>
      <c r="J231" s="29" t="n">
        <f aca="false">I231/60</f>
        <v>0.383333333333333</v>
      </c>
    </row>
    <row r="232" customFormat="false" ht="15" hidden="false" customHeight="false" outlineLevel="0" collapsed="false">
      <c r="A232" s="5" t="s">
        <v>1274</v>
      </c>
      <c r="B232" s="9" t="n">
        <v>45621</v>
      </c>
      <c r="C232" s="9" t="n">
        <v>45623</v>
      </c>
      <c r="D232" s="5" t="s">
        <v>140</v>
      </c>
      <c r="E232" s="5" t="s">
        <v>1032</v>
      </c>
      <c r="F232" s="5" t="s">
        <v>1002</v>
      </c>
      <c r="G232" s="6" t="str">
        <f aca="false">INDEX(Catalogo_Causas!$B$2:$B$10,MATCH(F232,Catalogo_Causas!$A$2:$A$10,0))</f>
        <v>Falla mecánica</v>
      </c>
      <c r="H232" s="6" t="str">
        <f aca="false">INDEX(Catalogo_Causas!$C$2:$C$10,MATCH(F232,Catalogo_Causas!$A$2:$A$10,0))</f>
        <v>Operacional</v>
      </c>
      <c r="I232" s="5" t="n">
        <v>27</v>
      </c>
      <c r="J232" s="29" t="n">
        <f aca="false">I232/60</f>
        <v>0.45</v>
      </c>
    </row>
    <row r="233" customFormat="false" ht="15" hidden="false" customHeight="false" outlineLevel="0" collapsed="false">
      <c r="A233" s="5" t="s">
        <v>1275</v>
      </c>
      <c r="B233" s="9" t="n">
        <v>45621</v>
      </c>
      <c r="C233" s="9" t="n">
        <v>45624</v>
      </c>
      <c r="D233" s="5" t="s">
        <v>130</v>
      </c>
      <c r="E233" s="5" t="s">
        <v>1030</v>
      </c>
      <c r="F233" s="5" t="s">
        <v>1005</v>
      </c>
      <c r="G233" s="6" t="str">
        <f aca="false">INDEX(Catalogo_Causas!$B$2:$B$10,MATCH(F233,Catalogo_Causas!$A$2:$A$10,0))</f>
        <v>Falla eléctrica / control</v>
      </c>
      <c r="H233" s="6" t="str">
        <f aca="false">INDEX(Catalogo_Causas!$C$2:$C$10,MATCH(F233,Catalogo_Causas!$A$2:$A$10,0))</f>
        <v>Operacional</v>
      </c>
      <c r="I233" s="5" t="n">
        <v>93</v>
      </c>
      <c r="J233" s="29" t="n">
        <f aca="false">I233/60</f>
        <v>1.55</v>
      </c>
    </row>
    <row r="234" customFormat="false" ht="15" hidden="false" customHeight="false" outlineLevel="0" collapsed="false">
      <c r="A234" s="5" t="s">
        <v>1276</v>
      </c>
      <c r="B234" s="9" t="n">
        <v>45621</v>
      </c>
      <c r="C234" s="9" t="n">
        <v>45624</v>
      </c>
      <c r="D234" s="5" t="s">
        <v>130</v>
      </c>
      <c r="E234" s="5" t="s">
        <v>1078</v>
      </c>
      <c r="F234" s="5" t="s">
        <v>1002</v>
      </c>
      <c r="G234" s="6" t="str">
        <f aca="false">INDEX(Catalogo_Causas!$B$2:$B$10,MATCH(F234,Catalogo_Causas!$A$2:$A$10,0))</f>
        <v>Falla mecánica</v>
      </c>
      <c r="H234" s="6" t="str">
        <f aca="false">INDEX(Catalogo_Causas!$C$2:$C$10,MATCH(F234,Catalogo_Causas!$A$2:$A$10,0))</f>
        <v>Operacional</v>
      </c>
      <c r="I234" s="5" t="n">
        <v>175</v>
      </c>
      <c r="J234" s="29" t="n">
        <f aca="false">I234/60</f>
        <v>2.91666666666667</v>
      </c>
    </row>
    <row r="235" customFormat="false" ht="15" hidden="false" customHeight="false" outlineLevel="0" collapsed="false">
      <c r="A235" s="5" t="s">
        <v>1277</v>
      </c>
      <c r="B235" s="9" t="n">
        <v>45621</v>
      </c>
      <c r="C235" s="9" t="n">
        <v>45624</v>
      </c>
      <c r="D235" s="5" t="s">
        <v>132</v>
      </c>
      <c r="E235" s="5" t="s">
        <v>1084</v>
      </c>
      <c r="F235" s="5" t="s">
        <v>1002</v>
      </c>
      <c r="G235" s="6" t="str">
        <f aca="false">INDEX(Catalogo_Causas!$B$2:$B$10,MATCH(F235,Catalogo_Causas!$A$2:$A$10,0))</f>
        <v>Falla mecánica</v>
      </c>
      <c r="H235" s="6" t="str">
        <f aca="false">INDEX(Catalogo_Causas!$C$2:$C$10,MATCH(F235,Catalogo_Causas!$A$2:$A$10,0))</f>
        <v>Operacional</v>
      </c>
      <c r="I235" s="5" t="n">
        <v>35</v>
      </c>
      <c r="J235" s="29" t="n">
        <f aca="false">I235/60</f>
        <v>0.583333333333333</v>
      </c>
    </row>
    <row r="236" customFormat="false" ht="15" hidden="false" customHeight="false" outlineLevel="0" collapsed="false">
      <c r="A236" s="5" t="s">
        <v>1278</v>
      </c>
      <c r="B236" s="9" t="n">
        <v>45621</v>
      </c>
      <c r="C236" s="9" t="n">
        <v>45624</v>
      </c>
      <c r="D236" s="5" t="s">
        <v>134</v>
      </c>
      <c r="E236" s="5" t="s">
        <v>1030</v>
      </c>
      <c r="F236" s="5" t="s">
        <v>1002</v>
      </c>
      <c r="G236" s="6" t="str">
        <f aca="false">INDEX(Catalogo_Causas!$B$2:$B$10,MATCH(F236,Catalogo_Causas!$A$2:$A$10,0))</f>
        <v>Falla mecánica</v>
      </c>
      <c r="H236" s="6" t="str">
        <f aca="false">INDEX(Catalogo_Causas!$C$2:$C$10,MATCH(F236,Catalogo_Causas!$A$2:$A$10,0))</f>
        <v>Operacional</v>
      </c>
      <c r="I236" s="5" t="n">
        <v>16</v>
      </c>
      <c r="J236" s="29" t="n">
        <f aca="false">I236/60</f>
        <v>0.266666666666667</v>
      </c>
    </row>
    <row r="237" customFormat="false" ht="15" hidden="false" customHeight="false" outlineLevel="0" collapsed="false">
      <c r="A237" s="5" t="s">
        <v>1279</v>
      </c>
      <c r="B237" s="9" t="n">
        <v>45621</v>
      </c>
      <c r="C237" s="9" t="n">
        <v>45624</v>
      </c>
      <c r="D237" s="5" t="s">
        <v>138</v>
      </c>
      <c r="E237" s="5" t="s">
        <v>1039</v>
      </c>
      <c r="F237" s="5" t="s">
        <v>1002</v>
      </c>
      <c r="G237" s="6" t="str">
        <f aca="false">INDEX(Catalogo_Causas!$B$2:$B$10,MATCH(F237,Catalogo_Causas!$A$2:$A$10,0))</f>
        <v>Falla mecánica</v>
      </c>
      <c r="H237" s="6" t="str">
        <f aca="false">INDEX(Catalogo_Causas!$C$2:$C$10,MATCH(F237,Catalogo_Causas!$A$2:$A$10,0))</f>
        <v>Operacional</v>
      </c>
      <c r="I237" s="5" t="n">
        <v>28</v>
      </c>
      <c r="J237" s="29" t="n">
        <f aca="false">I237/60</f>
        <v>0.466666666666667</v>
      </c>
    </row>
    <row r="238" customFormat="false" ht="15" hidden="false" customHeight="false" outlineLevel="0" collapsed="false">
      <c r="A238" s="5" t="s">
        <v>1280</v>
      </c>
      <c r="B238" s="9" t="n">
        <v>45621</v>
      </c>
      <c r="C238" s="9" t="n">
        <v>45624</v>
      </c>
      <c r="D238" s="5" t="s">
        <v>140</v>
      </c>
      <c r="E238" s="5" t="s">
        <v>1036</v>
      </c>
      <c r="F238" s="5" t="s">
        <v>1002</v>
      </c>
      <c r="G238" s="6" t="str">
        <f aca="false">INDEX(Catalogo_Causas!$B$2:$B$10,MATCH(F238,Catalogo_Causas!$A$2:$A$10,0))</f>
        <v>Falla mecánica</v>
      </c>
      <c r="H238" s="6" t="str">
        <f aca="false">INDEX(Catalogo_Causas!$C$2:$C$10,MATCH(F238,Catalogo_Causas!$A$2:$A$10,0))</f>
        <v>Operacional</v>
      </c>
      <c r="I238" s="5" t="n">
        <v>68</v>
      </c>
      <c r="J238" s="29" t="n">
        <f aca="false">I238/60</f>
        <v>1.13333333333333</v>
      </c>
    </row>
    <row r="239" customFormat="false" ht="15" hidden="false" customHeight="false" outlineLevel="0" collapsed="false">
      <c r="A239" s="5" t="s">
        <v>1281</v>
      </c>
      <c r="B239" s="9" t="n">
        <v>45621</v>
      </c>
      <c r="C239" s="9" t="n">
        <v>45624</v>
      </c>
      <c r="D239" s="5" t="s">
        <v>144</v>
      </c>
      <c r="E239" s="5" t="s">
        <v>1043</v>
      </c>
      <c r="F239" s="5" t="s">
        <v>1002</v>
      </c>
      <c r="G239" s="6" t="str">
        <f aca="false">INDEX(Catalogo_Causas!$B$2:$B$10,MATCH(F239,Catalogo_Causas!$A$2:$A$10,0))</f>
        <v>Falla mecánica</v>
      </c>
      <c r="H239" s="6" t="str">
        <f aca="false">INDEX(Catalogo_Causas!$C$2:$C$10,MATCH(F239,Catalogo_Causas!$A$2:$A$10,0))</f>
        <v>Operacional</v>
      </c>
      <c r="I239" s="5" t="n">
        <v>16</v>
      </c>
      <c r="J239" s="29" t="n">
        <f aca="false">I239/60</f>
        <v>0.266666666666667</v>
      </c>
    </row>
    <row r="240" customFormat="false" ht="15" hidden="false" customHeight="false" outlineLevel="0" collapsed="false">
      <c r="A240" s="5" t="s">
        <v>1282</v>
      </c>
      <c r="B240" s="9" t="n">
        <v>45621</v>
      </c>
      <c r="C240" s="9" t="n">
        <v>45625</v>
      </c>
      <c r="D240" s="5" t="s">
        <v>138</v>
      </c>
      <c r="E240" s="5" t="s">
        <v>1034</v>
      </c>
      <c r="F240" s="5" t="s">
        <v>1012</v>
      </c>
      <c r="G240" s="6" t="str">
        <f aca="false">INDEX(Catalogo_Causas!$B$2:$B$10,MATCH(F240,Catalogo_Causas!$A$2:$A$10,0))</f>
        <v>Falta de materia prima</v>
      </c>
      <c r="H240" s="6" t="str">
        <f aca="false">INDEX(Catalogo_Causas!$C$2:$C$10,MATCH(F240,Catalogo_Causas!$A$2:$A$10,0))</f>
        <v>Material / suministro</v>
      </c>
      <c r="I240" s="5" t="n">
        <v>102</v>
      </c>
      <c r="J240" s="29" t="n">
        <f aca="false">I240/60</f>
        <v>1.7</v>
      </c>
    </row>
    <row r="241" customFormat="false" ht="15" hidden="false" customHeight="false" outlineLevel="0" collapsed="false">
      <c r="A241" s="5" t="s">
        <v>1283</v>
      </c>
      <c r="B241" s="9" t="n">
        <v>45621</v>
      </c>
      <c r="C241" s="9" t="n">
        <v>45625</v>
      </c>
      <c r="D241" s="5" t="s">
        <v>142</v>
      </c>
      <c r="E241" s="5" t="s">
        <v>1030</v>
      </c>
      <c r="F241" s="5" t="s">
        <v>1014</v>
      </c>
      <c r="G241" s="6" t="str">
        <f aca="false">INDEX(Catalogo_Causas!$B$2:$B$10,MATCH(F241,Catalogo_Causas!$A$2:$A$10,0))</f>
        <v>Retención de calidad</v>
      </c>
      <c r="H241" s="6" t="str">
        <f aca="false">INDEX(Catalogo_Causas!$C$2:$C$10,MATCH(F241,Catalogo_Causas!$A$2:$A$10,0))</f>
        <v>Calidad</v>
      </c>
      <c r="I241" s="5" t="n">
        <v>35</v>
      </c>
      <c r="J241" s="29" t="n">
        <f aca="false">I241/60</f>
        <v>0.583333333333333</v>
      </c>
    </row>
    <row r="242" customFormat="false" ht="15" hidden="false" customHeight="false" outlineLevel="0" collapsed="false">
      <c r="A242" s="5" t="s">
        <v>1284</v>
      </c>
      <c r="B242" s="9" t="n">
        <v>45621</v>
      </c>
      <c r="C242" s="9" t="n">
        <v>45626</v>
      </c>
      <c r="D242" s="5" t="s">
        <v>132</v>
      </c>
      <c r="E242" s="5" t="s">
        <v>1073</v>
      </c>
      <c r="F242" s="5" t="s">
        <v>1002</v>
      </c>
      <c r="G242" s="6" t="str">
        <f aca="false">INDEX(Catalogo_Causas!$B$2:$B$10,MATCH(F242,Catalogo_Causas!$A$2:$A$10,0))</f>
        <v>Falla mecánica</v>
      </c>
      <c r="H242" s="6" t="str">
        <f aca="false">INDEX(Catalogo_Causas!$C$2:$C$10,MATCH(F242,Catalogo_Causas!$A$2:$A$10,0))</f>
        <v>Operacional</v>
      </c>
      <c r="I242" s="5" t="n">
        <v>66</v>
      </c>
      <c r="J242" s="29" t="n">
        <f aca="false">I242/60</f>
        <v>1.1</v>
      </c>
    </row>
    <row r="243" customFormat="false" ht="15" hidden="false" customHeight="false" outlineLevel="0" collapsed="false">
      <c r="A243" s="5" t="s">
        <v>1285</v>
      </c>
      <c r="B243" s="9" t="n">
        <v>45621</v>
      </c>
      <c r="C243" s="9" t="n">
        <v>45626</v>
      </c>
      <c r="D243" s="5" t="s">
        <v>140</v>
      </c>
      <c r="E243" s="5" t="s">
        <v>1045</v>
      </c>
      <c r="F243" s="5" t="s">
        <v>1014</v>
      </c>
      <c r="G243" s="6" t="str">
        <f aca="false">INDEX(Catalogo_Causas!$B$2:$B$10,MATCH(F243,Catalogo_Causas!$A$2:$A$10,0))</f>
        <v>Retención de calidad</v>
      </c>
      <c r="H243" s="6" t="str">
        <f aca="false">INDEX(Catalogo_Causas!$C$2:$C$10,MATCH(F243,Catalogo_Causas!$A$2:$A$10,0))</f>
        <v>Calidad</v>
      </c>
      <c r="I243" s="5" t="n">
        <v>56</v>
      </c>
      <c r="J243" s="29" t="n">
        <f aca="false">I243/60</f>
        <v>0.933333333333333</v>
      </c>
    </row>
    <row r="244" customFormat="false" ht="15" hidden="false" customHeight="false" outlineLevel="0" collapsed="false">
      <c r="A244" s="5" t="s">
        <v>1286</v>
      </c>
      <c r="B244" s="9" t="n">
        <v>45628</v>
      </c>
      <c r="C244" s="9" t="n">
        <v>45628</v>
      </c>
      <c r="D244" s="5" t="s">
        <v>132</v>
      </c>
      <c r="E244" s="5" t="s">
        <v>1084</v>
      </c>
      <c r="F244" s="5" t="s">
        <v>1002</v>
      </c>
      <c r="G244" s="6" t="str">
        <f aca="false">INDEX(Catalogo_Causas!$B$2:$B$10,MATCH(F244,Catalogo_Causas!$A$2:$A$10,0))</f>
        <v>Falla mecánica</v>
      </c>
      <c r="H244" s="6" t="str">
        <f aca="false">INDEX(Catalogo_Causas!$C$2:$C$10,MATCH(F244,Catalogo_Causas!$A$2:$A$10,0))</f>
        <v>Operacional</v>
      </c>
      <c r="I244" s="5" t="n">
        <v>137</v>
      </c>
      <c r="J244" s="29" t="n">
        <f aca="false">I244/60</f>
        <v>2.28333333333333</v>
      </c>
    </row>
    <row r="245" customFormat="false" ht="15" hidden="false" customHeight="false" outlineLevel="0" collapsed="false">
      <c r="A245" s="5" t="s">
        <v>1287</v>
      </c>
      <c r="B245" s="9" t="n">
        <v>45628</v>
      </c>
      <c r="C245" s="9" t="n">
        <v>45628</v>
      </c>
      <c r="D245" s="5" t="s">
        <v>136</v>
      </c>
      <c r="E245" s="5" t="s">
        <v>1051</v>
      </c>
      <c r="F245" s="5" t="s">
        <v>1014</v>
      </c>
      <c r="G245" s="6" t="str">
        <f aca="false">INDEX(Catalogo_Causas!$B$2:$B$10,MATCH(F245,Catalogo_Causas!$A$2:$A$10,0))</f>
        <v>Retención de calidad</v>
      </c>
      <c r="H245" s="6" t="str">
        <f aca="false">INDEX(Catalogo_Causas!$C$2:$C$10,MATCH(F245,Catalogo_Causas!$A$2:$A$10,0))</f>
        <v>Calidad</v>
      </c>
      <c r="I245" s="5" t="n">
        <v>29</v>
      </c>
      <c r="J245" s="29" t="n">
        <f aca="false">I245/60</f>
        <v>0.483333333333333</v>
      </c>
    </row>
    <row r="246" customFormat="false" ht="15" hidden="false" customHeight="false" outlineLevel="0" collapsed="false">
      <c r="A246" s="5" t="s">
        <v>1288</v>
      </c>
      <c r="B246" s="9" t="n">
        <v>45628</v>
      </c>
      <c r="C246" s="9" t="n">
        <v>45628</v>
      </c>
      <c r="D246" s="5" t="s">
        <v>138</v>
      </c>
      <c r="E246" s="5" t="s">
        <v>1056</v>
      </c>
      <c r="F246" s="5" t="s">
        <v>1007</v>
      </c>
      <c r="G246" s="6" t="str">
        <f aca="false">INDEX(Catalogo_Causas!$B$2:$B$10,MATCH(F246,Catalogo_Causas!$A$2:$A$10,0))</f>
        <v>Cambio de formato excedido</v>
      </c>
      <c r="H246" s="6" t="str">
        <f aca="false">INDEX(Catalogo_Causas!$C$2:$C$10,MATCH(F246,Catalogo_Causas!$A$2:$A$10,0))</f>
        <v>Operacional</v>
      </c>
      <c r="I246" s="5" t="n">
        <v>32</v>
      </c>
      <c r="J246" s="29" t="n">
        <f aca="false">I246/60</f>
        <v>0.533333333333333</v>
      </c>
    </row>
    <row r="247" customFormat="false" ht="15" hidden="false" customHeight="false" outlineLevel="0" collapsed="false">
      <c r="A247" s="5" t="s">
        <v>1289</v>
      </c>
      <c r="B247" s="9" t="n">
        <v>45628</v>
      </c>
      <c r="C247" s="9" t="n">
        <v>45629</v>
      </c>
      <c r="D247" s="5" t="s">
        <v>134</v>
      </c>
      <c r="E247" s="5" t="s">
        <v>1030</v>
      </c>
      <c r="F247" s="5" t="s">
        <v>1014</v>
      </c>
      <c r="G247" s="6" t="str">
        <f aca="false">INDEX(Catalogo_Causas!$B$2:$B$10,MATCH(F247,Catalogo_Causas!$A$2:$A$10,0))</f>
        <v>Retención de calidad</v>
      </c>
      <c r="H247" s="6" t="str">
        <f aca="false">INDEX(Catalogo_Causas!$C$2:$C$10,MATCH(F247,Catalogo_Causas!$A$2:$A$10,0))</f>
        <v>Calidad</v>
      </c>
      <c r="I247" s="5" t="n">
        <v>48</v>
      </c>
      <c r="J247" s="29" t="n">
        <f aca="false">I247/60</f>
        <v>0.8</v>
      </c>
    </row>
    <row r="248" customFormat="false" ht="15" hidden="false" customHeight="false" outlineLevel="0" collapsed="false">
      <c r="A248" s="5" t="s">
        <v>1290</v>
      </c>
      <c r="B248" s="9" t="n">
        <v>45628</v>
      </c>
      <c r="C248" s="9" t="n">
        <v>45629</v>
      </c>
      <c r="D248" s="5" t="s">
        <v>140</v>
      </c>
      <c r="E248" s="5" t="s">
        <v>1036</v>
      </c>
      <c r="F248" s="5" t="s">
        <v>1002</v>
      </c>
      <c r="G248" s="6" t="str">
        <f aca="false">INDEX(Catalogo_Causas!$B$2:$B$10,MATCH(F248,Catalogo_Causas!$A$2:$A$10,0))</f>
        <v>Falla mecánica</v>
      </c>
      <c r="H248" s="6" t="str">
        <f aca="false">INDEX(Catalogo_Causas!$C$2:$C$10,MATCH(F248,Catalogo_Causas!$A$2:$A$10,0))</f>
        <v>Operacional</v>
      </c>
      <c r="I248" s="5" t="n">
        <v>72</v>
      </c>
      <c r="J248" s="29" t="n">
        <f aca="false">I248/60</f>
        <v>1.2</v>
      </c>
    </row>
    <row r="249" customFormat="false" ht="15" hidden="false" customHeight="false" outlineLevel="0" collapsed="false">
      <c r="A249" s="5" t="s">
        <v>1291</v>
      </c>
      <c r="B249" s="9" t="n">
        <v>45628</v>
      </c>
      <c r="C249" s="9" t="n">
        <v>45631</v>
      </c>
      <c r="D249" s="5" t="s">
        <v>130</v>
      </c>
      <c r="E249" s="5" t="s">
        <v>1078</v>
      </c>
      <c r="F249" s="5" t="s">
        <v>1021</v>
      </c>
      <c r="G249" s="6" t="str">
        <f aca="false">INDEX(Catalogo_Causas!$B$2:$B$10,MATCH(F249,Catalogo_Causas!$A$2:$A$10,0))</f>
        <v>Falla de servicios (vapor/amoniaco/aire)</v>
      </c>
      <c r="H249" s="6" t="str">
        <f aca="false">INDEX(Catalogo_Causas!$C$2:$C$10,MATCH(F249,Catalogo_Causas!$A$2:$A$10,0))</f>
        <v>Servicios</v>
      </c>
      <c r="I249" s="5" t="n">
        <v>49</v>
      </c>
      <c r="J249" s="29" t="n">
        <f aca="false">I249/60</f>
        <v>0.816666666666667</v>
      </c>
    </row>
    <row r="250" customFormat="false" ht="15" hidden="false" customHeight="false" outlineLevel="0" collapsed="false">
      <c r="A250" s="5" t="s">
        <v>1292</v>
      </c>
      <c r="B250" s="9" t="n">
        <v>45628</v>
      </c>
      <c r="C250" s="9" t="n">
        <v>45631</v>
      </c>
      <c r="D250" s="5" t="s">
        <v>134</v>
      </c>
      <c r="E250" s="5" t="s">
        <v>1054</v>
      </c>
      <c r="F250" s="5" t="s">
        <v>1005</v>
      </c>
      <c r="G250" s="6" t="str">
        <f aca="false">INDEX(Catalogo_Causas!$B$2:$B$10,MATCH(F250,Catalogo_Causas!$A$2:$A$10,0))</f>
        <v>Falla eléctrica / control</v>
      </c>
      <c r="H250" s="6" t="str">
        <f aca="false">INDEX(Catalogo_Causas!$C$2:$C$10,MATCH(F250,Catalogo_Causas!$A$2:$A$10,0))</f>
        <v>Operacional</v>
      </c>
      <c r="I250" s="5" t="n">
        <v>15</v>
      </c>
      <c r="J250" s="29" t="n">
        <f aca="false">I250/60</f>
        <v>0.25</v>
      </c>
    </row>
    <row r="251" customFormat="false" ht="15" hidden="false" customHeight="false" outlineLevel="0" collapsed="false">
      <c r="A251" s="5" t="s">
        <v>1293</v>
      </c>
      <c r="B251" s="9" t="n">
        <v>45628</v>
      </c>
      <c r="C251" s="9" t="n">
        <v>45631</v>
      </c>
      <c r="D251" s="5" t="s">
        <v>140</v>
      </c>
      <c r="E251" s="5" t="s">
        <v>1045</v>
      </c>
      <c r="F251" s="5" t="s">
        <v>1002</v>
      </c>
      <c r="G251" s="6" t="str">
        <f aca="false">INDEX(Catalogo_Causas!$B$2:$B$10,MATCH(F251,Catalogo_Causas!$A$2:$A$10,0))</f>
        <v>Falla mecánica</v>
      </c>
      <c r="H251" s="6" t="str">
        <f aca="false">INDEX(Catalogo_Causas!$C$2:$C$10,MATCH(F251,Catalogo_Causas!$A$2:$A$10,0))</f>
        <v>Operacional</v>
      </c>
      <c r="I251" s="5" t="n">
        <v>28</v>
      </c>
      <c r="J251" s="29" t="n">
        <f aca="false">I251/60</f>
        <v>0.466666666666667</v>
      </c>
    </row>
    <row r="252" customFormat="false" ht="15" hidden="false" customHeight="false" outlineLevel="0" collapsed="false">
      <c r="A252" s="5" t="s">
        <v>1294</v>
      </c>
      <c r="B252" s="9" t="n">
        <v>45628</v>
      </c>
      <c r="C252" s="9" t="n">
        <v>45632</v>
      </c>
      <c r="D252" s="5" t="s">
        <v>130</v>
      </c>
      <c r="E252" s="5" t="s">
        <v>1078</v>
      </c>
      <c r="F252" s="5" t="s">
        <v>1005</v>
      </c>
      <c r="G252" s="6" t="str">
        <f aca="false">INDEX(Catalogo_Causas!$B$2:$B$10,MATCH(F252,Catalogo_Causas!$A$2:$A$10,0))</f>
        <v>Falla eléctrica / control</v>
      </c>
      <c r="H252" s="6" t="str">
        <f aca="false">INDEX(Catalogo_Causas!$C$2:$C$10,MATCH(F252,Catalogo_Causas!$A$2:$A$10,0))</f>
        <v>Operacional</v>
      </c>
      <c r="I252" s="5" t="n">
        <v>126</v>
      </c>
      <c r="J252" s="29" t="n">
        <f aca="false">I252/60</f>
        <v>2.1</v>
      </c>
    </row>
    <row r="253" customFormat="false" ht="15" hidden="false" customHeight="false" outlineLevel="0" collapsed="false">
      <c r="A253" s="5" t="s">
        <v>1295</v>
      </c>
      <c r="B253" s="9" t="n">
        <v>45628</v>
      </c>
      <c r="C253" s="9" t="n">
        <v>45632</v>
      </c>
      <c r="D253" s="5" t="s">
        <v>132</v>
      </c>
      <c r="E253" s="5" t="s">
        <v>1084</v>
      </c>
      <c r="F253" s="5" t="s">
        <v>1005</v>
      </c>
      <c r="G253" s="6" t="str">
        <f aca="false">INDEX(Catalogo_Causas!$B$2:$B$10,MATCH(F253,Catalogo_Causas!$A$2:$A$10,0))</f>
        <v>Falla eléctrica / control</v>
      </c>
      <c r="H253" s="6" t="str">
        <f aca="false">INDEX(Catalogo_Causas!$C$2:$C$10,MATCH(F253,Catalogo_Causas!$A$2:$A$10,0))</f>
        <v>Operacional</v>
      </c>
      <c r="I253" s="5" t="n">
        <v>75</v>
      </c>
      <c r="J253" s="29" t="n">
        <f aca="false">I253/60</f>
        <v>1.25</v>
      </c>
    </row>
    <row r="254" customFormat="false" ht="15" hidden="false" customHeight="false" outlineLevel="0" collapsed="false">
      <c r="A254" s="5" t="s">
        <v>1296</v>
      </c>
      <c r="B254" s="9" t="n">
        <v>45628</v>
      </c>
      <c r="C254" s="9" t="n">
        <v>45632</v>
      </c>
      <c r="D254" s="5" t="s">
        <v>142</v>
      </c>
      <c r="E254" s="5" t="s">
        <v>1041</v>
      </c>
      <c r="F254" s="5" t="s">
        <v>1002</v>
      </c>
      <c r="G254" s="6" t="str">
        <f aca="false">INDEX(Catalogo_Causas!$B$2:$B$10,MATCH(F254,Catalogo_Causas!$A$2:$A$10,0))</f>
        <v>Falla mecánica</v>
      </c>
      <c r="H254" s="6" t="str">
        <f aca="false">INDEX(Catalogo_Causas!$C$2:$C$10,MATCH(F254,Catalogo_Causas!$A$2:$A$10,0))</f>
        <v>Operacional</v>
      </c>
      <c r="I254" s="5" t="n">
        <v>69</v>
      </c>
      <c r="J254" s="29" t="n">
        <f aca="false">I254/60</f>
        <v>1.15</v>
      </c>
    </row>
    <row r="255" customFormat="false" ht="15" hidden="false" customHeight="false" outlineLevel="0" collapsed="false">
      <c r="A255" s="5" t="s">
        <v>1297</v>
      </c>
      <c r="B255" s="9" t="n">
        <v>45628</v>
      </c>
      <c r="C255" s="9" t="n">
        <v>45633</v>
      </c>
      <c r="D255" s="5" t="s">
        <v>132</v>
      </c>
      <c r="E255" s="5" t="s">
        <v>1032</v>
      </c>
      <c r="F255" s="5" t="s">
        <v>1002</v>
      </c>
      <c r="G255" s="6" t="str">
        <f aca="false">INDEX(Catalogo_Causas!$B$2:$B$10,MATCH(F255,Catalogo_Causas!$A$2:$A$10,0))</f>
        <v>Falla mecánica</v>
      </c>
      <c r="H255" s="6" t="str">
        <f aca="false">INDEX(Catalogo_Causas!$C$2:$C$10,MATCH(F255,Catalogo_Causas!$A$2:$A$10,0))</f>
        <v>Operacional</v>
      </c>
      <c r="I255" s="5" t="n">
        <v>28</v>
      </c>
      <c r="J255" s="29" t="n">
        <f aca="false">I255/60</f>
        <v>0.466666666666667</v>
      </c>
    </row>
    <row r="256" customFormat="false" ht="15" hidden="false" customHeight="false" outlineLevel="0" collapsed="false">
      <c r="A256" s="5" t="s">
        <v>1298</v>
      </c>
      <c r="B256" s="9" t="n">
        <v>45628</v>
      </c>
      <c r="C256" s="9" t="n">
        <v>45633</v>
      </c>
      <c r="D256" s="5" t="s">
        <v>136</v>
      </c>
      <c r="E256" s="5" t="s">
        <v>1032</v>
      </c>
      <c r="F256" s="5" t="s">
        <v>1005</v>
      </c>
      <c r="G256" s="6" t="str">
        <f aca="false">INDEX(Catalogo_Causas!$B$2:$B$10,MATCH(F256,Catalogo_Causas!$A$2:$A$10,0))</f>
        <v>Falla eléctrica / control</v>
      </c>
      <c r="H256" s="6" t="str">
        <f aca="false">INDEX(Catalogo_Causas!$C$2:$C$10,MATCH(F256,Catalogo_Causas!$A$2:$A$10,0))</f>
        <v>Operacional</v>
      </c>
      <c r="I256" s="5" t="n">
        <v>37</v>
      </c>
      <c r="J256" s="29" t="n">
        <f aca="false">I256/60</f>
        <v>0.616666666666667</v>
      </c>
    </row>
    <row r="257" customFormat="false" ht="15" hidden="false" customHeight="false" outlineLevel="0" collapsed="false">
      <c r="A257" s="5" t="s">
        <v>1299</v>
      </c>
      <c r="B257" s="9" t="n">
        <v>45628</v>
      </c>
      <c r="C257" s="9" t="n">
        <v>45633</v>
      </c>
      <c r="D257" s="5" t="s">
        <v>142</v>
      </c>
      <c r="E257" s="5" t="s">
        <v>1030</v>
      </c>
      <c r="F257" s="5" t="s">
        <v>1005</v>
      </c>
      <c r="G257" s="6" t="str">
        <f aca="false">INDEX(Catalogo_Causas!$B$2:$B$10,MATCH(F257,Catalogo_Causas!$A$2:$A$10,0))</f>
        <v>Falla eléctrica / control</v>
      </c>
      <c r="H257" s="6" t="str">
        <f aca="false">INDEX(Catalogo_Causas!$C$2:$C$10,MATCH(F257,Catalogo_Causas!$A$2:$A$10,0))</f>
        <v>Operacional</v>
      </c>
      <c r="I257" s="5" t="n">
        <v>103</v>
      </c>
      <c r="J257" s="29" t="n">
        <f aca="false">I257/60</f>
        <v>1.71666666666667</v>
      </c>
    </row>
    <row r="258" customFormat="false" ht="15" hidden="false" customHeight="false" outlineLevel="0" collapsed="false">
      <c r="A258" s="5" t="s">
        <v>1300</v>
      </c>
      <c r="B258" s="9" t="n">
        <v>45628</v>
      </c>
      <c r="C258" s="9" t="n">
        <v>45633</v>
      </c>
      <c r="D258" s="5" t="s">
        <v>142</v>
      </c>
      <c r="E258" s="5" t="s">
        <v>1041</v>
      </c>
      <c r="F258" s="5" t="s">
        <v>1005</v>
      </c>
      <c r="G258" s="6" t="str">
        <f aca="false">INDEX(Catalogo_Causas!$B$2:$B$10,MATCH(F258,Catalogo_Causas!$A$2:$A$10,0))</f>
        <v>Falla eléctrica / control</v>
      </c>
      <c r="H258" s="6" t="str">
        <f aca="false">INDEX(Catalogo_Causas!$C$2:$C$10,MATCH(F258,Catalogo_Causas!$A$2:$A$10,0))</f>
        <v>Operacional</v>
      </c>
      <c r="I258" s="5" t="n">
        <v>18</v>
      </c>
      <c r="J258" s="29" t="n">
        <f aca="false">I258/60</f>
        <v>0.3</v>
      </c>
    </row>
    <row r="259" customFormat="false" ht="15" hidden="false" customHeight="false" outlineLevel="0" collapsed="false">
      <c r="A259" s="5" t="s">
        <v>1301</v>
      </c>
      <c r="B259" s="9" t="n">
        <v>45635</v>
      </c>
      <c r="C259" s="9" t="n">
        <v>45635</v>
      </c>
      <c r="D259" s="5" t="s">
        <v>130</v>
      </c>
      <c r="E259" s="5" t="s">
        <v>1078</v>
      </c>
      <c r="F259" s="5" t="s">
        <v>1005</v>
      </c>
      <c r="G259" s="6" t="str">
        <f aca="false">INDEX(Catalogo_Causas!$B$2:$B$10,MATCH(F259,Catalogo_Causas!$A$2:$A$10,0))</f>
        <v>Falla eléctrica / control</v>
      </c>
      <c r="H259" s="6" t="str">
        <f aca="false">INDEX(Catalogo_Causas!$C$2:$C$10,MATCH(F259,Catalogo_Causas!$A$2:$A$10,0))</f>
        <v>Operacional</v>
      </c>
      <c r="I259" s="5" t="n">
        <v>11</v>
      </c>
      <c r="J259" s="29" t="n">
        <f aca="false">I259/60</f>
        <v>0.183333333333333</v>
      </c>
    </row>
    <row r="260" customFormat="false" ht="15" hidden="false" customHeight="false" outlineLevel="0" collapsed="false">
      <c r="A260" s="5" t="s">
        <v>1302</v>
      </c>
      <c r="B260" s="9" t="n">
        <v>45635</v>
      </c>
      <c r="C260" s="9" t="n">
        <v>45635</v>
      </c>
      <c r="D260" s="5" t="s">
        <v>132</v>
      </c>
      <c r="E260" s="5" t="s">
        <v>1073</v>
      </c>
      <c r="F260" s="5" t="s">
        <v>1002</v>
      </c>
      <c r="G260" s="6" t="str">
        <f aca="false">INDEX(Catalogo_Causas!$B$2:$B$10,MATCH(F260,Catalogo_Causas!$A$2:$A$10,0))</f>
        <v>Falla mecánica</v>
      </c>
      <c r="H260" s="6" t="str">
        <f aca="false">INDEX(Catalogo_Causas!$C$2:$C$10,MATCH(F260,Catalogo_Causas!$A$2:$A$10,0))</f>
        <v>Operacional</v>
      </c>
      <c r="I260" s="5" t="n">
        <v>15</v>
      </c>
      <c r="J260" s="29" t="n">
        <f aca="false">I260/60</f>
        <v>0.25</v>
      </c>
    </row>
    <row r="261" customFormat="false" ht="15" hidden="false" customHeight="false" outlineLevel="0" collapsed="false">
      <c r="A261" s="5" t="s">
        <v>1303</v>
      </c>
      <c r="B261" s="9" t="n">
        <v>45635</v>
      </c>
      <c r="C261" s="9" t="n">
        <v>45635</v>
      </c>
      <c r="D261" s="5" t="s">
        <v>138</v>
      </c>
      <c r="E261" s="5" t="s">
        <v>1056</v>
      </c>
      <c r="F261" s="5" t="s">
        <v>1012</v>
      </c>
      <c r="G261" s="6" t="str">
        <f aca="false">INDEX(Catalogo_Causas!$B$2:$B$10,MATCH(F261,Catalogo_Causas!$A$2:$A$10,0))</f>
        <v>Falta de materia prima</v>
      </c>
      <c r="H261" s="6" t="str">
        <f aca="false">INDEX(Catalogo_Causas!$C$2:$C$10,MATCH(F261,Catalogo_Causas!$A$2:$A$10,0))</f>
        <v>Material / suministro</v>
      </c>
      <c r="I261" s="5" t="n">
        <v>50</v>
      </c>
      <c r="J261" s="29" t="n">
        <f aca="false">I261/60</f>
        <v>0.833333333333333</v>
      </c>
    </row>
    <row r="262" customFormat="false" ht="15" hidden="false" customHeight="false" outlineLevel="0" collapsed="false">
      <c r="A262" s="5" t="s">
        <v>1304</v>
      </c>
      <c r="B262" s="9" t="n">
        <v>45635</v>
      </c>
      <c r="C262" s="9" t="n">
        <v>45635</v>
      </c>
      <c r="D262" s="5" t="s">
        <v>142</v>
      </c>
      <c r="E262" s="5" t="s">
        <v>1030</v>
      </c>
      <c r="F262" s="5" t="s">
        <v>1012</v>
      </c>
      <c r="G262" s="6" t="str">
        <f aca="false">INDEX(Catalogo_Causas!$B$2:$B$10,MATCH(F262,Catalogo_Causas!$A$2:$A$10,0))</f>
        <v>Falta de materia prima</v>
      </c>
      <c r="H262" s="6" t="str">
        <f aca="false">INDEX(Catalogo_Causas!$C$2:$C$10,MATCH(F262,Catalogo_Causas!$A$2:$A$10,0))</f>
        <v>Material / suministro</v>
      </c>
      <c r="I262" s="5" t="n">
        <v>63</v>
      </c>
      <c r="J262" s="29" t="n">
        <f aca="false">I262/60</f>
        <v>1.05</v>
      </c>
    </row>
    <row r="263" customFormat="false" ht="15" hidden="false" customHeight="false" outlineLevel="0" collapsed="false">
      <c r="A263" s="5" t="s">
        <v>1305</v>
      </c>
      <c r="B263" s="9" t="n">
        <v>45635</v>
      </c>
      <c r="C263" s="9" t="n">
        <v>45635</v>
      </c>
      <c r="D263" s="5" t="s">
        <v>144</v>
      </c>
      <c r="E263" s="5" t="s">
        <v>1032</v>
      </c>
      <c r="F263" s="5" t="s">
        <v>1018</v>
      </c>
      <c r="G263" s="6" t="str">
        <f aca="false">INDEX(Catalogo_Causas!$B$2:$B$10,MATCH(F263,Catalogo_Causas!$A$2:$A$10,0))</f>
        <v>Falta de personal</v>
      </c>
      <c r="H263" s="6" t="str">
        <f aca="false">INDEX(Catalogo_Causas!$C$2:$C$10,MATCH(F263,Catalogo_Causas!$A$2:$A$10,0))</f>
        <v>Personal</v>
      </c>
      <c r="I263" s="5" t="n">
        <v>26</v>
      </c>
      <c r="J263" s="29" t="n">
        <f aca="false">I263/60</f>
        <v>0.433333333333333</v>
      </c>
    </row>
    <row r="264" customFormat="false" ht="15" hidden="false" customHeight="false" outlineLevel="0" collapsed="false">
      <c r="A264" s="5" t="s">
        <v>1306</v>
      </c>
      <c r="B264" s="9" t="n">
        <v>45635</v>
      </c>
      <c r="C264" s="9" t="n">
        <v>45636</v>
      </c>
      <c r="D264" s="5" t="s">
        <v>130</v>
      </c>
      <c r="E264" s="5" t="s">
        <v>1030</v>
      </c>
      <c r="F264" s="5" t="s">
        <v>1005</v>
      </c>
      <c r="G264" s="6" t="str">
        <f aca="false">INDEX(Catalogo_Causas!$B$2:$B$10,MATCH(F264,Catalogo_Causas!$A$2:$A$10,0))</f>
        <v>Falla eléctrica / control</v>
      </c>
      <c r="H264" s="6" t="str">
        <f aca="false">INDEX(Catalogo_Causas!$C$2:$C$10,MATCH(F264,Catalogo_Causas!$A$2:$A$10,0))</f>
        <v>Operacional</v>
      </c>
      <c r="I264" s="5" t="n">
        <v>167</v>
      </c>
      <c r="J264" s="29" t="n">
        <f aca="false">I264/60</f>
        <v>2.78333333333333</v>
      </c>
    </row>
    <row r="265" customFormat="false" ht="15" hidden="false" customHeight="false" outlineLevel="0" collapsed="false">
      <c r="A265" s="5" t="s">
        <v>1307</v>
      </c>
      <c r="B265" s="9" t="n">
        <v>45635</v>
      </c>
      <c r="C265" s="9" t="n">
        <v>45636</v>
      </c>
      <c r="D265" s="5" t="s">
        <v>136</v>
      </c>
      <c r="E265" s="5" t="s">
        <v>1051</v>
      </c>
      <c r="F265" s="5" t="s">
        <v>1002</v>
      </c>
      <c r="G265" s="6" t="str">
        <f aca="false">INDEX(Catalogo_Causas!$B$2:$B$10,MATCH(F265,Catalogo_Causas!$A$2:$A$10,0))</f>
        <v>Falla mecánica</v>
      </c>
      <c r="H265" s="6" t="str">
        <f aca="false">INDEX(Catalogo_Causas!$C$2:$C$10,MATCH(F265,Catalogo_Causas!$A$2:$A$10,0))</f>
        <v>Operacional</v>
      </c>
      <c r="I265" s="5" t="n">
        <v>156</v>
      </c>
      <c r="J265" s="29" t="n">
        <f aca="false">I265/60</f>
        <v>2.6</v>
      </c>
    </row>
    <row r="266" customFormat="false" ht="15" hidden="false" customHeight="false" outlineLevel="0" collapsed="false">
      <c r="A266" s="5" t="s">
        <v>1308</v>
      </c>
      <c r="B266" s="9" t="n">
        <v>45635</v>
      </c>
      <c r="C266" s="9" t="n">
        <v>45636</v>
      </c>
      <c r="D266" s="5" t="s">
        <v>138</v>
      </c>
      <c r="E266" s="5" t="s">
        <v>1056</v>
      </c>
      <c r="F266" s="5" t="s">
        <v>1002</v>
      </c>
      <c r="G266" s="6" t="str">
        <f aca="false">INDEX(Catalogo_Causas!$B$2:$B$10,MATCH(F266,Catalogo_Causas!$A$2:$A$10,0))</f>
        <v>Falla mecánica</v>
      </c>
      <c r="H266" s="6" t="str">
        <f aca="false">INDEX(Catalogo_Causas!$C$2:$C$10,MATCH(F266,Catalogo_Causas!$A$2:$A$10,0))</f>
        <v>Operacional</v>
      </c>
      <c r="I266" s="5" t="n">
        <v>63</v>
      </c>
      <c r="J266" s="29" t="n">
        <f aca="false">I266/60</f>
        <v>1.05</v>
      </c>
    </row>
    <row r="267" customFormat="false" ht="15" hidden="false" customHeight="false" outlineLevel="0" collapsed="false">
      <c r="A267" s="5" t="s">
        <v>1309</v>
      </c>
      <c r="B267" s="9" t="n">
        <v>45635</v>
      </c>
      <c r="C267" s="9" t="n">
        <v>45637</v>
      </c>
      <c r="D267" s="5" t="s">
        <v>130</v>
      </c>
      <c r="E267" s="5" t="s">
        <v>1030</v>
      </c>
      <c r="F267" s="5" t="s">
        <v>1018</v>
      </c>
      <c r="G267" s="6" t="str">
        <f aca="false">INDEX(Catalogo_Causas!$B$2:$B$10,MATCH(F267,Catalogo_Causas!$A$2:$A$10,0))</f>
        <v>Falta de personal</v>
      </c>
      <c r="H267" s="6" t="str">
        <f aca="false">INDEX(Catalogo_Causas!$C$2:$C$10,MATCH(F267,Catalogo_Causas!$A$2:$A$10,0))</f>
        <v>Personal</v>
      </c>
      <c r="I267" s="5" t="n">
        <v>65</v>
      </c>
      <c r="J267" s="29" t="n">
        <f aca="false">I267/60</f>
        <v>1.08333333333333</v>
      </c>
    </row>
    <row r="268" customFormat="false" ht="15" hidden="false" customHeight="false" outlineLevel="0" collapsed="false">
      <c r="A268" s="5" t="s">
        <v>1310</v>
      </c>
      <c r="B268" s="9" t="n">
        <v>45635</v>
      </c>
      <c r="C268" s="9" t="n">
        <v>45637</v>
      </c>
      <c r="D268" s="5" t="s">
        <v>132</v>
      </c>
      <c r="E268" s="5" t="s">
        <v>1032</v>
      </c>
      <c r="F268" s="5" t="s">
        <v>1016</v>
      </c>
      <c r="G268" s="6" t="str">
        <f aca="false">INDEX(Catalogo_Causas!$B$2:$B$10,MATCH(F268,Catalogo_Causas!$A$2:$A$10,0))</f>
        <v>Limpieza no programada (CIP)</v>
      </c>
      <c r="H268" s="6" t="str">
        <f aca="false">INDEX(Catalogo_Causas!$C$2:$C$10,MATCH(F268,Catalogo_Causas!$A$2:$A$10,0))</f>
        <v>Calidad</v>
      </c>
      <c r="I268" s="5" t="n">
        <v>40</v>
      </c>
      <c r="J268" s="29" t="n">
        <f aca="false">I268/60</f>
        <v>0.666666666666667</v>
      </c>
    </row>
    <row r="269" customFormat="false" ht="15" hidden="false" customHeight="false" outlineLevel="0" collapsed="false">
      <c r="A269" s="5" t="s">
        <v>1311</v>
      </c>
      <c r="B269" s="9" t="n">
        <v>45635</v>
      </c>
      <c r="C269" s="9" t="n">
        <v>45637</v>
      </c>
      <c r="D269" s="5" t="s">
        <v>134</v>
      </c>
      <c r="E269" s="5" t="s">
        <v>1032</v>
      </c>
      <c r="F269" s="5" t="s">
        <v>1005</v>
      </c>
      <c r="G269" s="6" t="str">
        <f aca="false">INDEX(Catalogo_Causas!$B$2:$B$10,MATCH(F269,Catalogo_Causas!$A$2:$A$10,0))</f>
        <v>Falla eléctrica / control</v>
      </c>
      <c r="H269" s="6" t="str">
        <f aca="false">INDEX(Catalogo_Causas!$C$2:$C$10,MATCH(F269,Catalogo_Causas!$A$2:$A$10,0))</f>
        <v>Operacional</v>
      </c>
      <c r="I269" s="5" t="n">
        <v>37</v>
      </c>
      <c r="J269" s="29" t="n">
        <f aca="false">I269/60</f>
        <v>0.616666666666667</v>
      </c>
    </row>
    <row r="270" customFormat="false" ht="15" hidden="false" customHeight="false" outlineLevel="0" collapsed="false">
      <c r="A270" s="5" t="s">
        <v>1312</v>
      </c>
      <c r="B270" s="9" t="n">
        <v>45635</v>
      </c>
      <c r="C270" s="9" t="n">
        <v>45637</v>
      </c>
      <c r="D270" s="5" t="s">
        <v>136</v>
      </c>
      <c r="E270" s="5" t="s">
        <v>1032</v>
      </c>
      <c r="F270" s="5" t="s">
        <v>1012</v>
      </c>
      <c r="G270" s="6" t="str">
        <f aca="false">INDEX(Catalogo_Causas!$B$2:$B$10,MATCH(F270,Catalogo_Causas!$A$2:$A$10,0))</f>
        <v>Falta de materia prima</v>
      </c>
      <c r="H270" s="6" t="str">
        <f aca="false">INDEX(Catalogo_Causas!$C$2:$C$10,MATCH(F270,Catalogo_Causas!$A$2:$A$10,0))</f>
        <v>Material / suministro</v>
      </c>
      <c r="I270" s="5" t="n">
        <v>138</v>
      </c>
      <c r="J270" s="29" t="n">
        <f aca="false">I270/60</f>
        <v>2.3</v>
      </c>
    </row>
    <row r="271" customFormat="false" ht="15" hidden="false" customHeight="false" outlineLevel="0" collapsed="false">
      <c r="A271" s="5" t="s">
        <v>1313</v>
      </c>
      <c r="B271" s="9" t="n">
        <v>45635</v>
      </c>
      <c r="C271" s="9" t="n">
        <v>45638</v>
      </c>
      <c r="D271" s="5" t="s">
        <v>130</v>
      </c>
      <c r="E271" s="5" t="s">
        <v>1045</v>
      </c>
      <c r="F271" s="5" t="s">
        <v>1018</v>
      </c>
      <c r="G271" s="6" t="str">
        <f aca="false">INDEX(Catalogo_Causas!$B$2:$B$10,MATCH(F271,Catalogo_Causas!$A$2:$A$10,0))</f>
        <v>Falta de personal</v>
      </c>
      <c r="H271" s="6" t="str">
        <f aca="false">INDEX(Catalogo_Causas!$C$2:$C$10,MATCH(F271,Catalogo_Causas!$A$2:$A$10,0))</f>
        <v>Personal</v>
      </c>
      <c r="I271" s="5" t="n">
        <v>42</v>
      </c>
      <c r="J271" s="29" t="n">
        <f aca="false">I271/60</f>
        <v>0.7</v>
      </c>
    </row>
    <row r="272" customFormat="false" ht="15" hidden="false" customHeight="false" outlineLevel="0" collapsed="false">
      <c r="A272" s="5" t="s">
        <v>1314</v>
      </c>
      <c r="B272" s="9" t="n">
        <v>45635</v>
      </c>
      <c r="C272" s="9" t="n">
        <v>45638</v>
      </c>
      <c r="D272" s="5" t="s">
        <v>130</v>
      </c>
      <c r="E272" s="5" t="s">
        <v>1078</v>
      </c>
      <c r="F272" s="5" t="s">
        <v>1007</v>
      </c>
      <c r="G272" s="6" t="str">
        <f aca="false">INDEX(Catalogo_Causas!$B$2:$B$10,MATCH(F272,Catalogo_Causas!$A$2:$A$10,0))</f>
        <v>Cambio de formato excedido</v>
      </c>
      <c r="H272" s="6" t="str">
        <f aca="false">INDEX(Catalogo_Causas!$C$2:$C$10,MATCH(F272,Catalogo_Causas!$A$2:$A$10,0))</f>
        <v>Operacional</v>
      </c>
      <c r="I272" s="5" t="n">
        <v>24</v>
      </c>
      <c r="J272" s="29" t="n">
        <f aca="false">I272/60</f>
        <v>0.4</v>
      </c>
    </row>
    <row r="273" customFormat="false" ht="15" hidden="false" customHeight="false" outlineLevel="0" collapsed="false">
      <c r="A273" s="5" t="s">
        <v>1315</v>
      </c>
      <c r="B273" s="9" t="n">
        <v>45635</v>
      </c>
      <c r="C273" s="9" t="n">
        <v>45638</v>
      </c>
      <c r="D273" s="5" t="s">
        <v>132</v>
      </c>
      <c r="E273" s="5" t="s">
        <v>1032</v>
      </c>
      <c r="F273" s="5" t="s">
        <v>1009</v>
      </c>
      <c r="G273" s="6" t="str">
        <f aca="false">INDEX(Catalogo_Causas!$B$2:$B$10,MATCH(F273,Catalogo_Causas!$A$2:$A$10,0))</f>
        <v>Falta de material de empaque</v>
      </c>
      <c r="H273" s="6" t="str">
        <f aca="false">INDEX(Catalogo_Causas!$C$2:$C$10,MATCH(F273,Catalogo_Causas!$A$2:$A$10,0))</f>
        <v>Material / suministro</v>
      </c>
      <c r="I273" s="5" t="n">
        <v>154</v>
      </c>
      <c r="J273" s="29" t="n">
        <f aca="false">I273/60</f>
        <v>2.56666666666667</v>
      </c>
    </row>
    <row r="274" customFormat="false" ht="15" hidden="false" customHeight="false" outlineLevel="0" collapsed="false">
      <c r="A274" s="5" t="s">
        <v>1316</v>
      </c>
      <c r="B274" s="9" t="n">
        <v>45635</v>
      </c>
      <c r="C274" s="9" t="n">
        <v>45638</v>
      </c>
      <c r="D274" s="5" t="s">
        <v>138</v>
      </c>
      <c r="E274" s="5" t="s">
        <v>1056</v>
      </c>
      <c r="F274" s="5" t="s">
        <v>1009</v>
      </c>
      <c r="G274" s="6" t="str">
        <f aca="false">INDEX(Catalogo_Causas!$B$2:$B$10,MATCH(F274,Catalogo_Causas!$A$2:$A$10,0))</f>
        <v>Falta de material de empaque</v>
      </c>
      <c r="H274" s="6" t="str">
        <f aca="false">INDEX(Catalogo_Causas!$C$2:$C$10,MATCH(F274,Catalogo_Causas!$A$2:$A$10,0))</f>
        <v>Material / suministro</v>
      </c>
      <c r="I274" s="5" t="n">
        <v>84</v>
      </c>
      <c r="J274" s="29" t="n">
        <f aca="false">I274/60</f>
        <v>1.4</v>
      </c>
    </row>
    <row r="275" customFormat="false" ht="15" hidden="false" customHeight="false" outlineLevel="0" collapsed="false">
      <c r="A275" s="5" t="s">
        <v>1317</v>
      </c>
      <c r="B275" s="9" t="n">
        <v>45635</v>
      </c>
      <c r="C275" s="9" t="n">
        <v>45638</v>
      </c>
      <c r="D275" s="5" t="s">
        <v>138</v>
      </c>
      <c r="E275" s="5" t="s">
        <v>1034</v>
      </c>
      <c r="F275" s="5" t="s">
        <v>1007</v>
      </c>
      <c r="G275" s="6" t="str">
        <f aca="false">INDEX(Catalogo_Causas!$B$2:$B$10,MATCH(F275,Catalogo_Causas!$A$2:$A$10,0))</f>
        <v>Cambio de formato excedido</v>
      </c>
      <c r="H275" s="6" t="str">
        <f aca="false">INDEX(Catalogo_Causas!$C$2:$C$10,MATCH(F275,Catalogo_Causas!$A$2:$A$10,0))</f>
        <v>Operacional</v>
      </c>
      <c r="I275" s="5" t="n">
        <v>15</v>
      </c>
      <c r="J275" s="29" t="n">
        <f aca="false">I275/60</f>
        <v>0.25</v>
      </c>
    </row>
    <row r="276" customFormat="false" ht="15" hidden="false" customHeight="false" outlineLevel="0" collapsed="false">
      <c r="A276" s="5" t="s">
        <v>1318</v>
      </c>
      <c r="B276" s="9" t="n">
        <v>45635</v>
      </c>
      <c r="C276" s="9" t="n">
        <v>45638</v>
      </c>
      <c r="D276" s="5" t="s">
        <v>140</v>
      </c>
      <c r="E276" s="5" t="s">
        <v>1045</v>
      </c>
      <c r="F276" s="5" t="s">
        <v>1016</v>
      </c>
      <c r="G276" s="6" t="str">
        <f aca="false">INDEX(Catalogo_Causas!$B$2:$B$10,MATCH(F276,Catalogo_Causas!$A$2:$A$10,0))</f>
        <v>Limpieza no programada (CIP)</v>
      </c>
      <c r="H276" s="6" t="str">
        <f aca="false">INDEX(Catalogo_Causas!$C$2:$C$10,MATCH(F276,Catalogo_Causas!$A$2:$A$10,0))</f>
        <v>Calidad</v>
      </c>
      <c r="I276" s="5" t="n">
        <v>46</v>
      </c>
      <c r="J276" s="29" t="n">
        <f aca="false">I276/60</f>
        <v>0.766666666666667</v>
      </c>
    </row>
    <row r="277" customFormat="false" ht="15" hidden="false" customHeight="false" outlineLevel="0" collapsed="false">
      <c r="A277" s="5" t="s">
        <v>1319</v>
      </c>
      <c r="B277" s="9" t="n">
        <v>45635</v>
      </c>
      <c r="C277" s="9" t="n">
        <v>45639</v>
      </c>
      <c r="D277" s="5" t="s">
        <v>138</v>
      </c>
      <c r="E277" s="5" t="s">
        <v>1034</v>
      </c>
      <c r="F277" s="5" t="s">
        <v>1002</v>
      </c>
      <c r="G277" s="6" t="str">
        <f aca="false">INDEX(Catalogo_Causas!$B$2:$B$10,MATCH(F277,Catalogo_Causas!$A$2:$A$10,0))</f>
        <v>Falla mecánica</v>
      </c>
      <c r="H277" s="6" t="str">
        <f aca="false">INDEX(Catalogo_Causas!$C$2:$C$10,MATCH(F277,Catalogo_Causas!$A$2:$A$10,0))</f>
        <v>Operacional</v>
      </c>
      <c r="I277" s="5" t="n">
        <v>16</v>
      </c>
      <c r="J277" s="29" t="n">
        <f aca="false">I277/60</f>
        <v>0.266666666666667</v>
      </c>
    </row>
    <row r="278" customFormat="false" ht="15" hidden="false" customHeight="false" outlineLevel="0" collapsed="false">
      <c r="A278" s="5" t="s">
        <v>1320</v>
      </c>
      <c r="B278" s="9" t="n">
        <v>45635</v>
      </c>
      <c r="C278" s="9" t="n">
        <v>45639</v>
      </c>
      <c r="D278" s="5" t="s">
        <v>144</v>
      </c>
      <c r="E278" s="5" t="s">
        <v>1032</v>
      </c>
      <c r="F278" s="5" t="s">
        <v>1007</v>
      </c>
      <c r="G278" s="6" t="str">
        <f aca="false">INDEX(Catalogo_Causas!$B$2:$B$10,MATCH(F278,Catalogo_Causas!$A$2:$A$10,0))</f>
        <v>Cambio de formato excedido</v>
      </c>
      <c r="H278" s="6" t="str">
        <f aca="false">INDEX(Catalogo_Causas!$C$2:$C$10,MATCH(F278,Catalogo_Causas!$A$2:$A$10,0))</f>
        <v>Operacional</v>
      </c>
      <c r="I278" s="5" t="n">
        <v>45</v>
      </c>
      <c r="J278" s="29" t="n">
        <f aca="false">I278/60</f>
        <v>0.75</v>
      </c>
    </row>
    <row r="279" customFormat="false" ht="15" hidden="false" customHeight="false" outlineLevel="0" collapsed="false">
      <c r="A279" s="5" t="s">
        <v>1321</v>
      </c>
      <c r="B279" s="9" t="n">
        <v>45635</v>
      </c>
      <c r="C279" s="9" t="n">
        <v>45640</v>
      </c>
      <c r="D279" s="5" t="s">
        <v>136</v>
      </c>
      <c r="E279" s="5" t="s">
        <v>1032</v>
      </c>
      <c r="F279" s="5" t="s">
        <v>1002</v>
      </c>
      <c r="G279" s="6" t="str">
        <f aca="false">INDEX(Catalogo_Causas!$B$2:$B$10,MATCH(F279,Catalogo_Causas!$A$2:$A$10,0))</f>
        <v>Falla mecánica</v>
      </c>
      <c r="H279" s="6" t="str">
        <f aca="false">INDEX(Catalogo_Causas!$C$2:$C$10,MATCH(F279,Catalogo_Causas!$A$2:$A$10,0))</f>
        <v>Operacional</v>
      </c>
      <c r="I279" s="5" t="n">
        <v>32</v>
      </c>
      <c r="J279" s="29" t="n">
        <f aca="false">I279/60</f>
        <v>0.533333333333333</v>
      </c>
    </row>
    <row r="280" customFormat="false" ht="15" hidden="false" customHeight="false" outlineLevel="0" collapsed="false">
      <c r="A280" s="5" t="s">
        <v>1322</v>
      </c>
      <c r="B280" s="9" t="n">
        <v>45635</v>
      </c>
      <c r="C280" s="9" t="n">
        <v>45640</v>
      </c>
      <c r="D280" s="5" t="s">
        <v>138</v>
      </c>
      <c r="E280" s="5" t="s">
        <v>1034</v>
      </c>
      <c r="F280" s="5" t="s">
        <v>1018</v>
      </c>
      <c r="G280" s="6" t="str">
        <f aca="false">INDEX(Catalogo_Causas!$B$2:$B$10,MATCH(F280,Catalogo_Causas!$A$2:$A$10,0))</f>
        <v>Falta de personal</v>
      </c>
      <c r="H280" s="6" t="str">
        <f aca="false">INDEX(Catalogo_Causas!$C$2:$C$10,MATCH(F280,Catalogo_Causas!$A$2:$A$10,0))</f>
        <v>Personal</v>
      </c>
      <c r="I280" s="5" t="n">
        <v>22</v>
      </c>
      <c r="J280" s="29" t="n">
        <f aca="false">I280/60</f>
        <v>0.366666666666667</v>
      </c>
    </row>
    <row r="281" customFormat="false" ht="15" hidden="false" customHeight="false" outlineLevel="0" collapsed="false">
      <c r="A281" s="5" t="s">
        <v>1323</v>
      </c>
      <c r="B281" s="9" t="n">
        <v>45642</v>
      </c>
      <c r="C281" s="9" t="n">
        <v>45642</v>
      </c>
      <c r="D281" s="5" t="s">
        <v>134</v>
      </c>
      <c r="E281" s="5" t="s">
        <v>1032</v>
      </c>
      <c r="F281" s="5" t="s">
        <v>1007</v>
      </c>
      <c r="G281" s="6" t="str">
        <f aca="false">INDEX(Catalogo_Causas!$B$2:$B$10,MATCH(F281,Catalogo_Causas!$A$2:$A$10,0))</f>
        <v>Cambio de formato excedido</v>
      </c>
      <c r="H281" s="6" t="str">
        <f aca="false">INDEX(Catalogo_Causas!$C$2:$C$10,MATCH(F281,Catalogo_Causas!$A$2:$A$10,0))</f>
        <v>Operacional</v>
      </c>
      <c r="I281" s="5" t="n">
        <v>127</v>
      </c>
      <c r="J281" s="29" t="n">
        <f aca="false">I281/60</f>
        <v>2.11666666666667</v>
      </c>
    </row>
    <row r="282" customFormat="false" ht="15" hidden="false" customHeight="false" outlineLevel="0" collapsed="false">
      <c r="A282" s="5" t="s">
        <v>1324</v>
      </c>
      <c r="B282" s="9" t="n">
        <v>45642</v>
      </c>
      <c r="C282" s="9" t="n">
        <v>45642</v>
      </c>
      <c r="D282" s="5" t="s">
        <v>140</v>
      </c>
      <c r="E282" s="5" t="s">
        <v>1045</v>
      </c>
      <c r="F282" s="5" t="s">
        <v>1016</v>
      </c>
      <c r="G282" s="6" t="str">
        <f aca="false">INDEX(Catalogo_Causas!$B$2:$B$10,MATCH(F282,Catalogo_Causas!$A$2:$A$10,0))</f>
        <v>Limpieza no programada (CIP)</v>
      </c>
      <c r="H282" s="6" t="str">
        <f aca="false">INDEX(Catalogo_Causas!$C$2:$C$10,MATCH(F282,Catalogo_Causas!$A$2:$A$10,0))</f>
        <v>Calidad</v>
      </c>
      <c r="I282" s="5" t="n">
        <v>96</v>
      </c>
      <c r="J282" s="29" t="n">
        <f aca="false">I282/60</f>
        <v>1.6</v>
      </c>
    </row>
    <row r="283" customFormat="false" ht="15" hidden="false" customHeight="false" outlineLevel="0" collapsed="false">
      <c r="A283" s="5" t="s">
        <v>1325</v>
      </c>
      <c r="B283" s="9" t="n">
        <v>45642</v>
      </c>
      <c r="C283" s="9" t="n">
        <v>45643</v>
      </c>
      <c r="D283" s="5" t="s">
        <v>132</v>
      </c>
      <c r="E283" s="5" t="s">
        <v>1084</v>
      </c>
      <c r="F283" s="5" t="s">
        <v>1002</v>
      </c>
      <c r="G283" s="6" t="str">
        <f aca="false">INDEX(Catalogo_Causas!$B$2:$B$10,MATCH(F283,Catalogo_Causas!$A$2:$A$10,0))</f>
        <v>Falla mecánica</v>
      </c>
      <c r="H283" s="6" t="str">
        <f aca="false">INDEX(Catalogo_Causas!$C$2:$C$10,MATCH(F283,Catalogo_Causas!$A$2:$A$10,0))</f>
        <v>Operacional</v>
      </c>
      <c r="I283" s="5" t="n">
        <v>38</v>
      </c>
      <c r="J283" s="29" t="n">
        <f aca="false">I283/60</f>
        <v>0.633333333333333</v>
      </c>
    </row>
    <row r="284" customFormat="false" ht="15" hidden="false" customHeight="false" outlineLevel="0" collapsed="false">
      <c r="A284" s="5" t="s">
        <v>1326</v>
      </c>
      <c r="B284" s="9" t="n">
        <v>45642</v>
      </c>
      <c r="C284" s="9" t="n">
        <v>45643</v>
      </c>
      <c r="D284" s="5" t="s">
        <v>132</v>
      </c>
      <c r="E284" s="5" t="s">
        <v>1084</v>
      </c>
      <c r="F284" s="5" t="s">
        <v>1018</v>
      </c>
      <c r="G284" s="6" t="str">
        <f aca="false">INDEX(Catalogo_Causas!$B$2:$B$10,MATCH(F284,Catalogo_Causas!$A$2:$A$10,0))</f>
        <v>Falta de personal</v>
      </c>
      <c r="H284" s="6" t="str">
        <f aca="false">INDEX(Catalogo_Causas!$C$2:$C$10,MATCH(F284,Catalogo_Causas!$A$2:$A$10,0))</f>
        <v>Personal</v>
      </c>
      <c r="I284" s="5" t="n">
        <v>50</v>
      </c>
      <c r="J284" s="29" t="n">
        <f aca="false">I284/60</f>
        <v>0.833333333333333</v>
      </c>
    </row>
    <row r="285" customFormat="false" ht="15" hidden="false" customHeight="false" outlineLevel="0" collapsed="false">
      <c r="A285" s="5" t="s">
        <v>1327</v>
      </c>
      <c r="B285" s="9" t="n">
        <v>45642</v>
      </c>
      <c r="C285" s="9" t="n">
        <v>45643</v>
      </c>
      <c r="D285" s="5" t="s">
        <v>134</v>
      </c>
      <c r="E285" s="5" t="s">
        <v>1030</v>
      </c>
      <c r="F285" s="5" t="s">
        <v>1005</v>
      </c>
      <c r="G285" s="6" t="str">
        <f aca="false">INDEX(Catalogo_Causas!$B$2:$B$10,MATCH(F285,Catalogo_Causas!$A$2:$A$10,0))</f>
        <v>Falla eléctrica / control</v>
      </c>
      <c r="H285" s="6" t="str">
        <f aca="false">INDEX(Catalogo_Causas!$C$2:$C$10,MATCH(F285,Catalogo_Causas!$A$2:$A$10,0))</f>
        <v>Operacional</v>
      </c>
      <c r="I285" s="5" t="n">
        <v>27</v>
      </c>
      <c r="J285" s="29" t="n">
        <f aca="false">I285/60</f>
        <v>0.45</v>
      </c>
    </row>
    <row r="286" customFormat="false" ht="15" hidden="false" customHeight="false" outlineLevel="0" collapsed="false">
      <c r="A286" s="5" t="s">
        <v>1328</v>
      </c>
      <c r="B286" s="9" t="n">
        <v>45642</v>
      </c>
      <c r="C286" s="9" t="n">
        <v>45643</v>
      </c>
      <c r="D286" s="5" t="s">
        <v>142</v>
      </c>
      <c r="E286" s="5" t="s">
        <v>1041</v>
      </c>
      <c r="F286" s="5" t="s">
        <v>1002</v>
      </c>
      <c r="G286" s="6" t="str">
        <f aca="false">INDEX(Catalogo_Causas!$B$2:$B$10,MATCH(F286,Catalogo_Causas!$A$2:$A$10,0))</f>
        <v>Falla mecánica</v>
      </c>
      <c r="H286" s="6" t="str">
        <f aca="false">INDEX(Catalogo_Causas!$C$2:$C$10,MATCH(F286,Catalogo_Causas!$A$2:$A$10,0))</f>
        <v>Operacional</v>
      </c>
      <c r="I286" s="5" t="n">
        <v>37</v>
      </c>
      <c r="J286" s="29" t="n">
        <f aca="false">I286/60</f>
        <v>0.616666666666667</v>
      </c>
    </row>
    <row r="287" customFormat="false" ht="15" hidden="false" customHeight="false" outlineLevel="0" collapsed="false">
      <c r="A287" s="5" t="s">
        <v>1329</v>
      </c>
      <c r="B287" s="9" t="n">
        <v>45642</v>
      </c>
      <c r="C287" s="9" t="n">
        <v>45644</v>
      </c>
      <c r="D287" s="5" t="s">
        <v>138</v>
      </c>
      <c r="E287" s="5" t="s">
        <v>1039</v>
      </c>
      <c r="F287" s="5" t="s">
        <v>1005</v>
      </c>
      <c r="G287" s="6" t="str">
        <f aca="false">INDEX(Catalogo_Causas!$B$2:$B$10,MATCH(F287,Catalogo_Causas!$A$2:$A$10,0))</f>
        <v>Falla eléctrica / control</v>
      </c>
      <c r="H287" s="6" t="str">
        <f aca="false">INDEX(Catalogo_Causas!$C$2:$C$10,MATCH(F287,Catalogo_Causas!$A$2:$A$10,0))</f>
        <v>Operacional</v>
      </c>
      <c r="I287" s="5" t="n">
        <v>11</v>
      </c>
      <c r="J287" s="29" t="n">
        <f aca="false">I287/60</f>
        <v>0.183333333333333</v>
      </c>
    </row>
    <row r="288" customFormat="false" ht="15" hidden="false" customHeight="false" outlineLevel="0" collapsed="false">
      <c r="A288" s="5" t="s">
        <v>1330</v>
      </c>
      <c r="B288" s="9" t="n">
        <v>45642</v>
      </c>
      <c r="C288" s="9" t="n">
        <v>45644</v>
      </c>
      <c r="D288" s="5" t="s">
        <v>140</v>
      </c>
      <c r="E288" s="5" t="s">
        <v>1045</v>
      </c>
      <c r="F288" s="5" t="s">
        <v>1007</v>
      </c>
      <c r="G288" s="6" t="str">
        <f aca="false">INDEX(Catalogo_Causas!$B$2:$B$10,MATCH(F288,Catalogo_Causas!$A$2:$A$10,0))</f>
        <v>Cambio de formato excedido</v>
      </c>
      <c r="H288" s="6" t="str">
        <f aca="false">INDEX(Catalogo_Causas!$C$2:$C$10,MATCH(F288,Catalogo_Causas!$A$2:$A$10,0))</f>
        <v>Operacional</v>
      </c>
      <c r="I288" s="5" t="n">
        <v>170</v>
      </c>
      <c r="J288" s="29" t="n">
        <f aca="false">I288/60</f>
        <v>2.83333333333333</v>
      </c>
    </row>
    <row r="289" customFormat="false" ht="15" hidden="false" customHeight="false" outlineLevel="0" collapsed="false">
      <c r="A289" s="5" t="s">
        <v>1331</v>
      </c>
      <c r="B289" s="9" t="n">
        <v>45642</v>
      </c>
      <c r="C289" s="9" t="n">
        <v>45644</v>
      </c>
      <c r="D289" s="5" t="s">
        <v>142</v>
      </c>
      <c r="E289" s="5" t="s">
        <v>1041</v>
      </c>
      <c r="F289" s="5" t="s">
        <v>1021</v>
      </c>
      <c r="G289" s="6" t="str">
        <f aca="false">INDEX(Catalogo_Causas!$B$2:$B$10,MATCH(F289,Catalogo_Causas!$A$2:$A$10,0))</f>
        <v>Falla de servicios (vapor/amoniaco/aire)</v>
      </c>
      <c r="H289" s="6" t="str">
        <f aca="false">INDEX(Catalogo_Causas!$C$2:$C$10,MATCH(F289,Catalogo_Causas!$A$2:$A$10,0))</f>
        <v>Servicios</v>
      </c>
      <c r="I289" s="5" t="n">
        <v>29</v>
      </c>
      <c r="J289" s="29" t="n">
        <f aca="false">I289/60</f>
        <v>0.483333333333333</v>
      </c>
    </row>
    <row r="290" customFormat="false" ht="15" hidden="false" customHeight="false" outlineLevel="0" collapsed="false">
      <c r="A290" s="5" t="s">
        <v>1332</v>
      </c>
      <c r="B290" s="9" t="n">
        <v>45642</v>
      </c>
      <c r="C290" s="9" t="n">
        <v>45645</v>
      </c>
      <c r="D290" s="5" t="s">
        <v>130</v>
      </c>
      <c r="E290" s="5" t="s">
        <v>1030</v>
      </c>
      <c r="F290" s="5" t="s">
        <v>1014</v>
      </c>
      <c r="G290" s="6" t="str">
        <f aca="false">INDEX(Catalogo_Causas!$B$2:$B$10,MATCH(F290,Catalogo_Causas!$A$2:$A$10,0))</f>
        <v>Retención de calidad</v>
      </c>
      <c r="H290" s="6" t="str">
        <f aca="false">INDEX(Catalogo_Causas!$C$2:$C$10,MATCH(F290,Catalogo_Causas!$A$2:$A$10,0))</f>
        <v>Calidad</v>
      </c>
      <c r="I290" s="5" t="n">
        <v>87</v>
      </c>
      <c r="J290" s="29" t="n">
        <f aca="false">I290/60</f>
        <v>1.45</v>
      </c>
    </row>
    <row r="291" customFormat="false" ht="15" hidden="false" customHeight="false" outlineLevel="0" collapsed="false">
      <c r="A291" s="5" t="s">
        <v>1333</v>
      </c>
      <c r="B291" s="9" t="n">
        <v>45642</v>
      </c>
      <c r="C291" s="9" t="n">
        <v>45645</v>
      </c>
      <c r="D291" s="5" t="s">
        <v>136</v>
      </c>
      <c r="E291" s="5" t="s">
        <v>1051</v>
      </c>
      <c r="F291" s="5" t="s">
        <v>1005</v>
      </c>
      <c r="G291" s="6" t="str">
        <f aca="false">INDEX(Catalogo_Causas!$B$2:$B$10,MATCH(F291,Catalogo_Causas!$A$2:$A$10,0))</f>
        <v>Falla eléctrica / control</v>
      </c>
      <c r="H291" s="6" t="str">
        <f aca="false">INDEX(Catalogo_Causas!$C$2:$C$10,MATCH(F291,Catalogo_Causas!$A$2:$A$10,0))</f>
        <v>Operacional</v>
      </c>
      <c r="I291" s="5" t="n">
        <v>79</v>
      </c>
      <c r="J291" s="29" t="n">
        <f aca="false">I291/60</f>
        <v>1.31666666666667</v>
      </c>
    </row>
    <row r="292" customFormat="false" ht="15" hidden="false" customHeight="false" outlineLevel="0" collapsed="false">
      <c r="A292" s="5" t="s">
        <v>1334</v>
      </c>
      <c r="B292" s="9" t="n">
        <v>45642</v>
      </c>
      <c r="C292" s="9" t="n">
        <v>45645</v>
      </c>
      <c r="D292" s="5" t="s">
        <v>138</v>
      </c>
      <c r="E292" s="5" t="s">
        <v>1034</v>
      </c>
      <c r="F292" s="5" t="s">
        <v>1016</v>
      </c>
      <c r="G292" s="6" t="str">
        <f aca="false">INDEX(Catalogo_Causas!$B$2:$B$10,MATCH(F292,Catalogo_Causas!$A$2:$A$10,0))</f>
        <v>Limpieza no programada (CIP)</v>
      </c>
      <c r="H292" s="6" t="str">
        <f aca="false">INDEX(Catalogo_Causas!$C$2:$C$10,MATCH(F292,Catalogo_Causas!$A$2:$A$10,0))</f>
        <v>Calidad</v>
      </c>
      <c r="I292" s="5" t="n">
        <v>21</v>
      </c>
      <c r="J292" s="29" t="n">
        <f aca="false">I292/60</f>
        <v>0.35</v>
      </c>
    </row>
    <row r="293" customFormat="false" ht="15" hidden="false" customHeight="false" outlineLevel="0" collapsed="false">
      <c r="A293" s="5" t="s">
        <v>1335</v>
      </c>
      <c r="B293" s="9" t="n">
        <v>45642</v>
      </c>
      <c r="C293" s="9" t="n">
        <v>45645</v>
      </c>
      <c r="D293" s="5" t="s">
        <v>138</v>
      </c>
      <c r="E293" s="5" t="s">
        <v>1039</v>
      </c>
      <c r="F293" s="5" t="s">
        <v>1018</v>
      </c>
      <c r="G293" s="6" t="str">
        <f aca="false">INDEX(Catalogo_Causas!$B$2:$B$10,MATCH(F293,Catalogo_Causas!$A$2:$A$10,0))</f>
        <v>Falta de personal</v>
      </c>
      <c r="H293" s="6" t="str">
        <f aca="false">INDEX(Catalogo_Causas!$C$2:$C$10,MATCH(F293,Catalogo_Causas!$A$2:$A$10,0))</f>
        <v>Personal</v>
      </c>
      <c r="I293" s="5" t="n">
        <v>27</v>
      </c>
      <c r="J293" s="29" t="n">
        <f aca="false">I293/60</f>
        <v>0.45</v>
      </c>
    </row>
    <row r="294" customFormat="false" ht="15" hidden="false" customHeight="false" outlineLevel="0" collapsed="false">
      <c r="A294" s="5" t="s">
        <v>1336</v>
      </c>
      <c r="B294" s="9" t="n">
        <v>45642</v>
      </c>
      <c r="C294" s="9" t="n">
        <v>45645</v>
      </c>
      <c r="D294" s="5" t="s">
        <v>144</v>
      </c>
      <c r="E294" s="5" t="s">
        <v>1043</v>
      </c>
      <c r="F294" s="5" t="s">
        <v>1002</v>
      </c>
      <c r="G294" s="6" t="str">
        <f aca="false">INDEX(Catalogo_Causas!$B$2:$B$10,MATCH(F294,Catalogo_Causas!$A$2:$A$10,0))</f>
        <v>Falla mecánica</v>
      </c>
      <c r="H294" s="6" t="str">
        <f aca="false">INDEX(Catalogo_Causas!$C$2:$C$10,MATCH(F294,Catalogo_Causas!$A$2:$A$10,0))</f>
        <v>Operacional</v>
      </c>
      <c r="I294" s="5" t="n">
        <v>78</v>
      </c>
      <c r="J294" s="29" t="n">
        <f aca="false">I294/60</f>
        <v>1.3</v>
      </c>
    </row>
    <row r="295" customFormat="false" ht="15" hidden="false" customHeight="false" outlineLevel="0" collapsed="false">
      <c r="A295" s="5" t="s">
        <v>1337</v>
      </c>
      <c r="B295" s="9" t="n">
        <v>45642</v>
      </c>
      <c r="C295" s="9" t="n">
        <v>45646</v>
      </c>
      <c r="D295" s="5" t="s">
        <v>134</v>
      </c>
      <c r="E295" s="5" t="s">
        <v>1032</v>
      </c>
      <c r="F295" s="5" t="s">
        <v>1002</v>
      </c>
      <c r="G295" s="6" t="str">
        <f aca="false">INDEX(Catalogo_Causas!$B$2:$B$10,MATCH(F295,Catalogo_Causas!$A$2:$A$10,0))</f>
        <v>Falla mecánica</v>
      </c>
      <c r="H295" s="6" t="str">
        <f aca="false">INDEX(Catalogo_Causas!$C$2:$C$10,MATCH(F295,Catalogo_Causas!$A$2:$A$10,0))</f>
        <v>Operacional</v>
      </c>
      <c r="I295" s="5" t="n">
        <v>46</v>
      </c>
      <c r="J295" s="29" t="n">
        <f aca="false">I295/60</f>
        <v>0.766666666666667</v>
      </c>
    </row>
    <row r="296" customFormat="false" ht="15" hidden="false" customHeight="false" outlineLevel="0" collapsed="false">
      <c r="A296" s="5" t="s">
        <v>1338</v>
      </c>
      <c r="B296" s="9" t="n">
        <v>45642</v>
      </c>
      <c r="C296" s="9" t="n">
        <v>45646</v>
      </c>
      <c r="D296" s="5" t="s">
        <v>134</v>
      </c>
      <c r="E296" s="5" t="s">
        <v>1032</v>
      </c>
      <c r="F296" s="5" t="s">
        <v>1007</v>
      </c>
      <c r="G296" s="6" t="str">
        <f aca="false">INDEX(Catalogo_Causas!$B$2:$B$10,MATCH(F296,Catalogo_Causas!$A$2:$A$10,0))</f>
        <v>Cambio de formato excedido</v>
      </c>
      <c r="H296" s="6" t="str">
        <f aca="false">INDEX(Catalogo_Causas!$C$2:$C$10,MATCH(F296,Catalogo_Causas!$A$2:$A$10,0))</f>
        <v>Operacional</v>
      </c>
      <c r="I296" s="5" t="n">
        <v>36</v>
      </c>
      <c r="J296" s="29" t="n">
        <f aca="false">I296/60</f>
        <v>0.6</v>
      </c>
    </row>
    <row r="297" customFormat="false" ht="15" hidden="false" customHeight="false" outlineLevel="0" collapsed="false">
      <c r="A297" s="5" t="s">
        <v>1339</v>
      </c>
      <c r="B297" s="9" t="n">
        <v>45642</v>
      </c>
      <c r="C297" s="9" t="n">
        <v>45646</v>
      </c>
      <c r="D297" s="5" t="s">
        <v>136</v>
      </c>
      <c r="E297" s="5" t="s">
        <v>1051</v>
      </c>
      <c r="F297" s="5" t="s">
        <v>1005</v>
      </c>
      <c r="G297" s="6" t="str">
        <f aca="false">INDEX(Catalogo_Causas!$B$2:$B$10,MATCH(F297,Catalogo_Causas!$A$2:$A$10,0))</f>
        <v>Falla eléctrica / control</v>
      </c>
      <c r="H297" s="6" t="str">
        <f aca="false">INDEX(Catalogo_Causas!$C$2:$C$10,MATCH(F297,Catalogo_Causas!$A$2:$A$10,0))</f>
        <v>Operacional</v>
      </c>
      <c r="I297" s="5" t="n">
        <v>47</v>
      </c>
      <c r="J297" s="29" t="n">
        <f aca="false">I297/60</f>
        <v>0.783333333333333</v>
      </c>
    </row>
    <row r="298" customFormat="false" ht="15" hidden="false" customHeight="false" outlineLevel="0" collapsed="false">
      <c r="A298" s="5" t="s">
        <v>1340</v>
      </c>
      <c r="B298" s="9" t="n">
        <v>45642</v>
      </c>
      <c r="C298" s="9" t="n">
        <v>45646</v>
      </c>
      <c r="D298" s="5" t="s">
        <v>140</v>
      </c>
      <c r="E298" s="5" t="s">
        <v>1045</v>
      </c>
      <c r="F298" s="5" t="s">
        <v>1018</v>
      </c>
      <c r="G298" s="6" t="str">
        <f aca="false">INDEX(Catalogo_Causas!$B$2:$B$10,MATCH(F298,Catalogo_Causas!$A$2:$A$10,0))</f>
        <v>Falta de personal</v>
      </c>
      <c r="H298" s="6" t="str">
        <f aca="false">INDEX(Catalogo_Causas!$C$2:$C$10,MATCH(F298,Catalogo_Causas!$A$2:$A$10,0))</f>
        <v>Personal</v>
      </c>
      <c r="I298" s="5" t="n">
        <v>78</v>
      </c>
      <c r="J298" s="29" t="n">
        <f aca="false">I298/60</f>
        <v>1.3</v>
      </c>
    </row>
    <row r="299" customFormat="false" ht="15" hidden="false" customHeight="false" outlineLevel="0" collapsed="false">
      <c r="A299" s="5" t="s">
        <v>1341</v>
      </c>
      <c r="B299" s="9" t="n">
        <v>45642</v>
      </c>
      <c r="C299" s="9" t="n">
        <v>45646</v>
      </c>
      <c r="D299" s="5" t="s">
        <v>142</v>
      </c>
      <c r="E299" s="5" t="s">
        <v>1051</v>
      </c>
      <c r="F299" s="5" t="s">
        <v>1005</v>
      </c>
      <c r="G299" s="6" t="str">
        <f aca="false">INDEX(Catalogo_Causas!$B$2:$B$10,MATCH(F299,Catalogo_Causas!$A$2:$A$10,0))</f>
        <v>Falla eléctrica / control</v>
      </c>
      <c r="H299" s="6" t="str">
        <f aca="false">INDEX(Catalogo_Causas!$C$2:$C$10,MATCH(F299,Catalogo_Causas!$A$2:$A$10,0))</f>
        <v>Operacional</v>
      </c>
      <c r="I299" s="5" t="n">
        <v>29</v>
      </c>
      <c r="J299" s="29" t="n">
        <f aca="false">I299/60</f>
        <v>0.483333333333333</v>
      </c>
    </row>
    <row r="300" customFormat="false" ht="15" hidden="false" customHeight="false" outlineLevel="0" collapsed="false">
      <c r="A300" s="5" t="s">
        <v>1342</v>
      </c>
      <c r="B300" s="9" t="n">
        <v>45642</v>
      </c>
      <c r="C300" s="9" t="n">
        <v>45646</v>
      </c>
      <c r="D300" s="5" t="s">
        <v>144</v>
      </c>
      <c r="E300" s="5" t="s">
        <v>1032</v>
      </c>
      <c r="F300" s="5" t="s">
        <v>1005</v>
      </c>
      <c r="G300" s="6" t="str">
        <f aca="false">INDEX(Catalogo_Causas!$B$2:$B$10,MATCH(F300,Catalogo_Causas!$A$2:$A$10,0))</f>
        <v>Falla eléctrica / control</v>
      </c>
      <c r="H300" s="6" t="str">
        <f aca="false">INDEX(Catalogo_Causas!$C$2:$C$10,MATCH(F300,Catalogo_Causas!$A$2:$A$10,0))</f>
        <v>Operacional</v>
      </c>
      <c r="I300" s="5" t="n">
        <v>53</v>
      </c>
      <c r="J300" s="29" t="n">
        <f aca="false">I300/60</f>
        <v>0.883333333333333</v>
      </c>
    </row>
    <row r="301" customFormat="false" ht="15" hidden="false" customHeight="false" outlineLevel="0" collapsed="false">
      <c r="A301" s="5" t="s">
        <v>1343</v>
      </c>
      <c r="B301" s="9" t="n">
        <v>45642</v>
      </c>
      <c r="C301" s="9" t="n">
        <v>45646</v>
      </c>
      <c r="D301" s="5" t="s">
        <v>144</v>
      </c>
      <c r="E301" s="5" t="s">
        <v>1030</v>
      </c>
      <c r="F301" s="5" t="s">
        <v>1007</v>
      </c>
      <c r="G301" s="6" t="str">
        <f aca="false">INDEX(Catalogo_Causas!$B$2:$B$10,MATCH(F301,Catalogo_Causas!$A$2:$A$10,0))</f>
        <v>Cambio de formato excedido</v>
      </c>
      <c r="H301" s="6" t="str">
        <f aca="false">INDEX(Catalogo_Causas!$C$2:$C$10,MATCH(F301,Catalogo_Causas!$A$2:$A$10,0))</f>
        <v>Operacional</v>
      </c>
      <c r="I301" s="5" t="n">
        <v>31</v>
      </c>
      <c r="J301" s="29" t="n">
        <f aca="false">I301/60</f>
        <v>0.516666666666667</v>
      </c>
    </row>
    <row r="302" customFormat="false" ht="15" hidden="false" customHeight="false" outlineLevel="0" collapsed="false">
      <c r="A302" s="5" t="s">
        <v>1344</v>
      </c>
      <c r="B302" s="9" t="n">
        <v>45642</v>
      </c>
      <c r="C302" s="9" t="n">
        <v>45647</v>
      </c>
      <c r="D302" s="5" t="s">
        <v>130</v>
      </c>
      <c r="E302" s="5" t="s">
        <v>1078</v>
      </c>
      <c r="F302" s="5" t="s">
        <v>1007</v>
      </c>
      <c r="G302" s="6" t="str">
        <f aca="false">INDEX(Catalogo_Causas!$B$2:$B$10,MATCH(F302,Catalogo_Causas!$A$2:$A$10,0))</f>
        <v>Cambio de formato excedido</v>
      </c>
      <c r="H302" s="6" t="str">
        <f aca="false">INDEX(Catalogo_Causas!$C$2:$C$10,MATCH(F302,Catalogo_Causas!$A$2:$A$10,0))</f>
        <v>Operacional</v>
      </c>
      <c r="I302" s="5" t="n">
        <v>23</v>
      </c>
      <c r="J302" s="29" t="n">
        <f aca="false">I302/60</f>
        <v>0.383333333333333</v>
      </c>
    </row>
    <row r="303" customFormat="false" ht="15" hidden="false" customHeight="false" outlineLevel="0" collapsed="false">
      <c r="A303" s="5" t="s">
        <v>1345</v>
      </c>
      <c r="B303" s="9" t="n">
        <v>45642</v>
      </c>
      <c r="C303" s="9" t="n">
        <v>45647</v>
      </c>
      <c r="D303" s="5" t="s">
        <v>138</v>
      </c>
      <c r="E303" s="5" t="s">
        <v>1056</v>
      </c>
      <c r="F303" s="5" t="s">
        <v>1009</v>
      </c>
      <c r="G303" s="6" t="str">
        <f aca="false">INDEX(Catalogo_Causas!$B$2:$B$10,MATCH(F303,Catalogo_Causas!$A$2:$A$10,0))</f>
        <v>Falta de material de empaque</v>
      </c>
      <c r="H303" s="6" t="str">
        <f aca="false">INDEX(Catalogo_Causas!$C$2:$C$10,MATCH(F303,Catalogo_Causas!$A$2:$A$10,0))</f>
        <v>Material / suministro</v>
      </c>
      <c r="I303" s="5" t="n">
        <v>69</v>
      </c>
      <c r="J303" s="29" t="n">
        <f aca="false">I303/60</f>
        <v>1.15</v>
      </c>
    </row>
    <row r="304" customFormat="false" ht="15" hidden="false" customHeight="false" outlineLevel="0" collapsed="false">
      <c r="A304" s="5" t="s">
        <v>1346</v>
      </c>
      <c r="B304" s="9" t="n">
        <v>45642</v>
      </c>
      <c r="C304" s="9" t="n">
        <v>45647</v>
      </c>
      <c r="D304" s="5" t="s">
        <v>142</v>
      </c>
      <c r="E304" s="5" t="s">
        <v>1030</v>
      </c>
      <c r="F304" s="5" t="s">
        <v>1002</v>
      </c>
      <c r="G304" s="6" t="str">
        <f aca="false">INDEX(Catalogo_Causas!$B$2:$B$10,MATCH(F304,Catalogo_Causas!$A$2:$A$10,0))</f>
        <v>Falla mecánica</v>
      </c>
      <c r="H304" s="6" t="str">
        <f aca="false">INDEX(Catalogo_Causas!$C$2:$C$10,MATCH(F304,Catalogo_Causas!$A$2:$A$10,0))</f>
        <v>Operacional</v>
      </c>
      <c r="I304" s="5" t="n">
        <v>48</v>
      </c>
      <c r="J304" s="29" t="n">
        <f aca="false">I304/60</f>
        <v>0.8</v>
      </c>
    </row>
    <row r="305" customFormat="false" ht="15" hidden="false" customHeight="false" outlineLevel="0" collapsed="false">
      <c r="A305" s="5" t="s">
        <v>1347</v>
      </c>
      <c r="B305" s="9" t="n">
        <v>45649</v>
      </c>
      <c r="C305" s="9" t="n">
        <v>45649</v>
      </c>
      <c r="D305" s="5" t="s">
        <v>130</v>
      </c>
      <c r="E305" s="5" t="s">
        <v>1030</v>
      </c>
      <c r="F305" s="5" t="s">
        <v>1002</v>
      </c>
      <c r="G305" s="6" t="str">
        <f aca="false">INDEX(Catalogo_Causas!$B$2:$B$10,MATCH(F305,Catalogo_Causas!$A$2:$A$10,0))</f>
        <v>Falla mecánica</v>
      </c>
      <c r="H305" s="6" t="str">
        <f aca="false">INDEX(Catalogo_Causas!$C$2:$C$10,MATCH(F305,Catalogo_Causas!$A$2:$A$10,0))</f>
        <v>Operacional</v>
      </c>
      <c r="I305" s="5" t="n">
        <v>43</v>
      </c>
      <c r="J305" s="29" t="n">
        <f aca="false">I305/60</f>
        <v>0.716666666666667</v>
      </c>
    </row>
    <row r="306" customFormat="false" ht="15" hidden="false" customHeight="false" outlineLevel="0" collapsed="false">
      <c r="A306" s="5" t="s">
        <v>1348</v>
      </c>
      <c r="B306" s="9" t="n">
        <v>45649</v>
      </c>
      <c r="C306" s="9" t="n">
        <v>45649</v>
      </c>
      <c r="D306" s="5" t="s">
        <v>130</v>
      </c>
      <c r="E306" s="5" t="s">
        <v>1030</v>
      </c>
      <c r="F306" s="5" t="s">
        <v>1012</v>
      </c>
      <c r="G306" s="6" t="str">
        <f aca="false">INDEX(Catalogo_Causas!$B$2:$B$10,MATCH(F306,Catalogo_Causas!$A$2:$A$10,0))</f>
        <v>Falta de materia prima</v>
      </c>
      <c r="H306" s="6" t="str">
        <f aca="false">INDEX(Catalogo_Causas!$C$2:$C$10,MATCH(F306,Catalogo_Causas!$A$2:$A$10,0))</f>
        <v>Material / suministro</v>
      </c>
      <c r="I306" s="5" t="n">
        <v>33</v>
      </c>
      <c r="J306" s="29" t="n">
        <f aca="false">I306/60</f>
        <v>0.55</v>
      </c>
    </row>
    <row r="307" customFormat="false" ht="15" hidden="false" customHeight="false" outlineLevel="0" collapsed="false">
      <c r="A307" s="5" t="s">
        <v>1349</v>
      </c>
      <c r="B307" s="9" t="n">
        <v>45649</v>
      </c>
      <c r="C307" s="9" t="n">
        <v>45649</v>
      </c>
      <c r="D307" s="5" t="s">
        <v>130</v>
      </c>
      <c r="E307" s="5" t="s">
        <v>1030</v>
      </c>
      <c r="F307" s="5" t="s">
        <v>1016</v>
      </c>
      <c r="G307" s="6" t="str">
        <f aca="false">INDEX(Catalogo_Causas!$B$2:$B$10,MATCH(F307,Catalogo_Causas!$A$2:$A$10,0))</f>
        <v>Limpieza no programada (CIP)</v>
      </c>
      <c r="H307" s="6" t="str">
        <f aca="false">INDEX(Catalogo_Causas!$C$2:$C$10,MATCH(F307,Catalogo_Causas!$A$2:$A$10,0))</f>
        <v>Calidad</v>
      </c>
      <c r="I307" s="5" t="n">
        <v>14</v>
      </c>
      <c r="J307" s="29" t="n">
        <f aca="false">I307/60</f>
        <v>0.233333333333333</v>
      </c>
    </row>
    <row r="308" customFormat="false" ht="15" hidden="false" customHeight="false" outlineLevel="0" collapsed="false">
      <c r="A308" s="5" t="s">
        <v>1350</v>
      </c>
      <c r="B308" s="9" t="n">
        <v>45649</v>
      </c>
      <c r="C308" s="9" t="n">
        <v>45649</v>
      </c>
      <c r="D308" s="5" t="s">
        <v>134</v>
      </c>
      <c r="E308" s="5" t="s">
        <v>1030</v>
      </c>
      <c r="F308" s="5" t="s">
        <v>1002</v>
      </c>
      <c r="G308" s="6" t="str">
        <f aca="false">INDEX(Catalogo_Causas!$B$2:$B$10,MATCH(F308,Catalogo_Causas!$A$2:$A$10,0))</f>
        <v>Falla mecánica</v>
      </c>
      <c r="H308" s="6" t="str">
        <f aca="false">INDEX(Catalogo_Causas!$C$2:$C$10,MATCH(F308,Catalogo_Causas!$A$2:$A$10,0))</f>
        <v>Operacional</v>
      </c>
      <c r="I308" s="5" t="n">
        <v>244</v>
      </c>
      <c r="J308" s="29" t="n">
        <f aca="false">I308/60</f>
        <v>4.06666666666667</v>
      </c>
    </row>
    <row r="309" customFormat="false" ht="15" hidden="false" customHeight="false" outlineLevel="0" collapsed="false">
      <c r="A309" s="5" t="s">
        <v>1351</v>
      </c>
      <c r="B309" s="9" t="n">
        <v>45649</v>
      </c>
      <c r="C309" s="9" t="n">
        <v>45649</v>
      </c>
      <c r="D309" s="5" t="s">
        <v>138</v>
      </c>
      <c r="E309" s="5" t="s">
        <v>1056</v>
      </c>
      <c r="F309" s="5" t="s">
        <v>1012</v>
      </c>
      <c r="G309" s="6" t="str">
        <f aca="false">INDEX(Catalogo_Causas!$B$2:$B$10,MATCH(F309,Catalogo_Causas!$A$2:$A$10,0))</f>
        <v>Falta de materia prima</v>
      </c>
      <c r="H309" s="6" t="str">
        <f aca="false">INDEX(Catalogo_Causas!$C$2:$C$10,MATCH(F309,Catalogo_Causas!$A$2:$A$10,0))</f>
        <v>Material / suministro</v>
      </c>
      <c r="I309" s="5" t="n">
        <v>37</v>
      </c>
      <c r="J309" s="29" t="n">
        <f aca="false">I309/60</f>
        <v>0.616666666666667</v>
      </c>
    </row>
    <row r="310" customFormat="false" ht="15" hidden="false" customHeight="false" outlineLevel="0" collapsed="false">
      <c r="A310" s="5" t="s">
        <v>1352</v>
      </c>
      <c r="B310" s="9" t="n">
        <v>45649</v>
      </c>
      <c r="C310" s="9" t="n">
        <v>45649</v>
      </c>
      <c r="D310" s="5" t="s">
        <v>142</v>
      </c>
      <c r="E310" s="5" t="s">
        <v>1041</v>
      </c>
      <c r="F310" s="5" t="s">
        <v>1009</v>
      </c>
      <c r="G310" s="6" t="str">
        <f aca="false">INDEX(Catalogo_Causas!$B$2:$B$10,MATCH(F310,Catalogo_Causas!$A$2:$A$10,0))</f>
        <v>Falta de material de empaque</v>
      </c>
      <c r="H310" s="6" t="str">
        <f aca="false">INDEX(Catalogo_Causas!$C$2:$C$10,MATCH(F310,Catalogo_Causas!$A$2:$A$10,0))</f>
        <v>Material / suministro</v>
      </c>
      <c r="I310" s="5" t="n">
        <v>96</v>
      </c>
      <c r="J310" s="29" t="n">
        <f aca="false">I310/60</f>
        <v>1.6</v>
      </c>
    </row>
    <row r="311" customFormat="false" ht="15" hidden="false" customHeight="false" outlineLevel="0" collapsed="false">
      <c r="A311" s="5" t="s">
        <v>1353</v>
      </c>
      <c r="B311" s="9" t="n">
        <v>45649</v>
      </c>
      <c r="C311" s="9" t="n">
        <v>45650</v>
      </c>
      <c r="D311" s="5" t="s">
        <v>132</v>
      </c>
      <c r="E311" s="5" t="s">
        <v>1032</v>
      </c>
      <c r="F311" s="5" t="s">
        <v>1016</v>
      </c>
      <c r="G311" s="6" t="str">
        <f aca="false">INDEX(Catalogo_Causas!$B$2:$B$10,MATCH(F311,Catalogo_Causas!$A$2:$A$10,0))</f>
        <v>Limpieza no programada (CIP)</v>
      </c>
      <c r="H311" s="6" t="str">
        <f aca="false">INDEX(Catalogo_Causas!$C$2:$C$10,MATCH(F311,Catalogo_Causas!$A$2:$A$10,0))</f>
        <v>Calidad</v>
      </c>
      <c r="I311" s="5" t="n">
        <v>18</v>
      </c>
      <c r="J311" s="29" t="n">
        <f aca="false">I311/60</f>
        <v>0.3</v>
      </c>
    </row>
    <row r="312" customFormat="false" ht="15" hidden="false" customHeight="false" outlineLevel="0" collapsed="false">
      <c r="A312" s="5" t="s">
        <v>1354</v>
      </c>
      <c r="B312" s="9" t="n">
        <v>45649</v>
      </c>
      <c r="C312" s="9" t="n">
        <v>45650</v>
      </c>
      <c r="D312" s="5" t="s">
        <v>132</v>
      </c>
      <c r="E312" s="5" t="s">
        <v>1073</v>
      </c>
      <c r="F312" s="5" t="s">
        <v>1005</v>
      </c>
      <c r="G312" s="6" t="str">
        <f aca="false">INDEX(Catalogo_Causas!$B$2:$B$10,MATCH(F312,Catalogo_Causas!$A$2:$A$10,0))</f>
        <v>Falla eléctrica / control</v>
      </c>
      <c r="H312" s="6" t="str">
        <f aca="false">INDEX(Catalogo_Causas!$C$2:$C$10,MATCH(F312,Catalogo_Causas!$A$2:$A$10,0))</f>
        <v>Operacional</v>
      </c>
      <c r="I312" s="5" t="n">
        <v>47</v>
      </c>
      <c r="J312" s="29" t="n">
        <f aca="false">I312/60</f>
        <v>0.783333333333333</v>
      </c>
    </row>
    <row r="313" customFormat="false" ht="15" hidden="false" customHeight="false" outlineLevel="0" collapsed="false">
      <c r="A313" s="5" t="s">
        <v>1355</v>
      </c>
      <c r="B313" s="9" t="n">
        <v>45649</v>
      </c>
      <c r="C313" s="9" t="n">
        <v>45650</v>
      </c>
      <c r="D313" s="5" t="s">
        <v>134</v>
      </c>
      <c r="E313" s="5" t="s">
        <v>1054</v>
      </c>
      <c r="F313" s="5" t="s">
        <v>1018</v>
      </c>
      <c r="G313" s="6" t="str">
        <f aca="false">INDEX(Catalogo_Causas!$B$2:$B$10,MATCH(F313,Catalogo_Causas!$A$2:$A$10,0))</f>
        <v>Falta de personal</v>
      </c>
      <c r="H313" s="6" t="str">
        <f aca="false">INDEX(Catalogo_Causas!$C$2:$C$10,MATCH(F313,Catalogo_Causas!$A$2:$A$10,0))</f>
        <v>Personal</v>
      </c>
      <c r="I313" s="5" t="n">
        <v>47</v>
      </c>
      <c r="J313" s="29" t="n">
        <f aca="false">I313/60</f>
        <v>0.783333333333333</v>
      </c>
    </row>
    <row r="314" customFormat="false" ht="15" hidden="false" customHeight="false" outlineLevel="0" collapsed="false">
      <c r="A314" s="5" t="s">
        <v>1356</v>
      </c>
      <c r="B314" s="9" t="n">
        <v>45649</v>
      </c>
      <c r="C314" s="9" t="n">
        <v>45650</v>
      </c>
      <c r="D314" s="5" t="s">
        <v>140</v>
      </c>
      <c r="E314" s="5" t="s">
        <v>1032</v>
      </c>
      <c r="F314" s="5" t="s">
        <v>1012</v>
      </c>
      <c r="G314" s="6" t="str">
        <f aca="false">INDEX(Catalogo_Causas!$B$2:$B$10,MATCH(F314,Catalogo_Causas!$A$2:$A$10,0))</f>
        <v>Falta de materia prima</v>
      </c>
      <c r="H314" s="6" t="str">
        <f aca="false">INDEX(Catalogo_Causas!$C$2:$C$10,MATCH(F314,Catalogo_Causas!$A$2:$A$10,0))</f>
        <v>Material / suministro</v>
      </c>
      <c r="I314" s="5" t="n">
        <v>28</v>
      </c>
      <c r="J314" s="29" t="n">
        <f aca="false">I314/60</f>
        <v>0.466666666666667</v>
      </c>
    </row>
    <row r="315" customFormat="false" ht="15" hidden="false" customHeight="false" outlineLevel="0" collapsed="false">
      <c r="A315" s="5" t="s">
        <v>1357</v>
      </c>
      <c r="B315" s="9" t="n">
        <v>45649</v>
      </c>
      <c r="C315" s="9" t="n">
        <v>45650</v>
      </c>
      <c r="D315" s="5" t="s">
        <v>142</v>
      </c>
      <c r="E315" s="5" t="s">
        <v>1041</v>
      </c>
      <c r="F315" s="5" t="s">
        <v>1002</v>
      </c>
      <c r="G315" s="6" t="str">
        <f aca="false">INDEX(Catalogo_Causas!$B$2:$B$10,MATCH(F315,Catalogo_Causas!$A$2:$A$10,0))</f>
        <v>Falla mecánica</v>
      </c>
      <c r="H315" s="6" t="str">
        <f aca="false">INDEX(Catalogo_Causas!$C$2:$C$10,MATCH(F315,Catalogo_Causas!$A$2:$A$10,0))</f>
        <v>Operacional</v>
      </c>
      <c r="I315" s="5" t="n">
        <v>76</v>
      </c>
      <c r="J315" s="29" t="n">
        <f aca="false">I315/60</f>
        <v>1.26666666666667</v>
      </c>
    </row>
    <row r="316" customFormat="false" ht="15" hidden="false" customHeight="false" outlineLevel="0" collapsed="false">
      <c r="A316" s="5" t="s">
        <v>1358</v>
      </c>
      <c r="B316" s="9" t="n">
        <v>45649</v>
      </c>
      <c r="C316" s="9" t="n">
        <v>45650</v>
      </c>
      <c r="D316" s="5" t="s">
        <v>144</v>
      </c>
      <c r="E316" s="5" t="s">
        <v>1043</v>
      </c>
      <c r="F316" s="5" t="s">
        <v>1005</v>
      </c>
      <c r="G316" s="6" t="str">
        <f aca="false">INDEX(Catalogo_Causas!$B$2:$B$10,MATCH(F316,Catalogo_Causas!$A$2:$A$10,0))</f>
        <v>Falla eléctrica / control</v>
      </c>
      <c r="H316" s="6" t="str">
        <f aca="false">INDEX(Catalogo_Causas!$C$2:$C$10,MATCH(F316,Catalogo_Causas!$A$2:$A$10,0))</f>
        <v>Operacional</v>
      </c>
      <c r="I316" s="5" t="n">
        <v>188</v>
      </c>
      <c r="J316" s="29" t="n">
        <f aca="false">I316/60</f>
        <v>3.13333333333333</v>
      </c>
    </row>
    <row r="317" customFormat="false" ht="15" hidden="false" customHeight="false" outlineLevel="0" collapsed="false">
      <c r="A317" s="5" t="s">
        <v>1359</v>
      </c>
      <c r="B317" s="9" t="n">
        <v>45649</v>
      </c>
      <c r="C317" s="9" t="n">
        <v>45651</v>
      </c>
      <c r="D317" s="5" t="s">
        <v>130</v>
      </c>
      <c r="E317" s="5" t="s">
        <v>1078</v>
      </c>
      <c r="F317" s="5" t="s">
        <v>1009</v>
      </c>
      <c r="G317" s="6" t="str">
        <f aca="false">INDEX(Catalogo_Causas!$B$2:$B$10,MATCH(F317,Catalogo_Causas!$A$2:$A$10,0))</f>
        <v>Falta de material de empaque</v>
      </c>
      <c r="H317" s="6" t="str">
        <f aca="false">INDEX(Catalogo_Causas!$C$2:$C$10,MATCH(F317,Catalogo_Causas!$A$2:$A$10,0))</f>
        <v>Material / suministro</v>
      </c>
      <c r="I317" s="5" t="n">
        <v>31</v>
      </c>
      <c r="J317" s="29" t="n">
        <f aca="false">I317/60</f>
        <v>0.516666666666667</v>
      </c>
    </row>
    <row r="318" customFormat="false" ht="15" hidden="false" customHeight="false" outlineLevel="0" collapsed="false">
      <c r="A318" s="5" t="s">
        <v>1360</v>
      </c>
      <c r="B318" s="9" t="n">
        <v>45649</v>
      </c>
      <c r="C318" s="9" t="n">
        <v>45651</v>
      </c>
      <c r="D318" s="5" t="s">
        <v>134</v>
      </c>
      <c r="E318" s="5" t="s">
        <v>1032</v>
      </c>
      <c r="F318" s="5" t="s">
        <v>1016</v>
      </c>
      <c r="G318" s="6" t="str">
        <f aca="false">INDEX(Catalogo_Causas!$B$2:$B$10,MATCH(F318,Catalogo_Causas!$A$2:$A$10,0))</f>
        <v>Limpieza no programada (CIP)</v>
      </c>
      <c r="H318" s="6" t="str">
        <f aca="false">INDEX(Catalogo_Causas!$C$2:$C$10,MATCH(F318,Catalogo_Causas!$A$2:$A$10,0))</f>
        <v>Calidad</v>
      </c>
      <c r="I318" s="5" t="n">
        <v>67</v>
      </c>
      <c r="J318" s="29" t="n">
        <f aca="false">I318/60</f>
        <v>1.11666666666667</v>
      </c>
    </row>
    <row r="319" customFormat="false" ht="15" hidden="false" customHeight="false" outlineLevel="0" collapsed="false">
      <c r="A319" s="5" t="s">
        <v>1361</v>
      </c>
      <c r="B319" s="9" t="n">
        <v>45649</v>
      </c>
      <c r="C319" s="9" t="n">
        <v>45651</v>
      </c>
      <c r="D319" s="5" t="s">
        <v>134</v>
      </c>
      <c r="E319" s="5" t="s">
        <v>1054</v>
      </c>
      <c r="F319" s="5" t="s">
        <v>1009</v>
      </c>
      <c r="G319" s="6" t="str">
        <f aca="false">INDEX(Catalogo_Causas!$B$2:$B$10,MATCH(F319,Catalogo_Causas!$A$2:$A$10,0))</f>
        <v>Falta de material de empaque</v>
      </c>
      <c r="H319" s="6" t="str">
        <f aca="false">INDEX(Catalogo_Causas!$C$2:$C$10,MATCH(F319,Catalogo_Causas!$A$2:$A$10,0))</f>
        <v>Material / suministro</v>
      </c>
      <c r="I319" s="5" t="n">
        <v>33</v>
      </c>
      <c r="J319" s="29" t="n">
        <f aca="false">I319/60</f>
        <v>0.55</v>
      </c>
    </row>
    <row r="320" customFormat="false" ht="15" hidden="false" customHeight="false" outlineLevel="0" collapsed="false">
      <c r="A320" s="5" t="s">
        <v>1362</v>
      </c>
      <c r="B320" s="9" t="n">
        <v>45649</v>
      </c>
      <c r="C320" s="9" t="n">
        <v>45651</v>
      </c>
      <c r="D320" s="5" t="s">
        <v>134</v>
      </c>
      <c r="E320" s="5" t="s">
        <v>1030</v>
      </c>
      <c r="F320" s="5" t="s">
        <v>1005</v>
      </c>
      <c r="G320" s="6" t="str">
        <f aca="false">INDEX(Catalogo_Causas!$B$2:$B$10,MATCH(F320,Catalogo_Causas!$A$2:$A$10,0))</f>
        <v>Falla eléctrica / control</v>
      </c>
      <c r="H320" s="6" t="str">
        <f aca="false">INDEX(Catalogo_Causas!$C$2:$C$10,MATCH(F320,Catalogo_Causas!$A$2:$A$10,0))</f>
        <v>Operacional</v>
      </c>
      <c r="I320" s="5" t="n">
        <v>138</v>
      </c>
      <c r="J320" s="29" t="n">
        <f aca="false">I320/60</f>
        <v>2.3</v>
      </c>
    </row>
    <row r="321" customFormat="false" ht="15" hidden="false" customHeight="false" outlineLevel="0" collapsed="false">
      <c r="A321" s="5" t="s">
        <v>1363</v>
      </c>
      <c r="B321" s="9" t="n">
        <v>45649</v>
      </c>
      <c r="C321" s="9" t="n">
        <v>45651</v>
      </c>
      <c r="D321" s="5" t="s">
        <v>138</v>
      </c>
      <c r="E321" s="5" t="s">
        <v>1034</v>
      </c>
      <c r="F321" s="5" t="s">
        <v>1002</v>
      </c>
      <c r="G321" s="6" t="str">
        <f aca="false">INDEX(Catalogo_Causas!$B$2:$B$10,MATCH(F321,Catalogo_Causas!$A$2:$A$10,0))</f>
        <v>Falla mecánica</v>
      </c>
      <c r="H321" s="6" t="str">
        <f aca="false">INDEX(Catalogo_Causas!$C$2:$C$10,MATCH(F321,Catalogo_Causas!$A$2:$A$10,0))</f>
        <v>Operacional</v>
      </c>
      <c r="I321" s="5" t="n">
        <v>81</v>
      </c>
      <c r="J321" s="29" t="n">
        <f aca="false">I321/60</f>
        <v>1.35</v>
      </c>
    </row>
    <row r="322" customFormat="false" ht="15" hidden="false" customHeight="false" outlineLevel="0" collapsed="false">
      <c r="A322" s="5" t="s">
        <v>1364</v>
      </c>
      <c r="B322" s="9" t="n">
        <v>45649</v>
      </c>
      <c r="C322" s="9" t="n">
        <v>45651</v>
      </c>
      <c r="D322" s="5" t="s">
        <v>144</v>
      </c>
      <c r="E322" s="5" t="s">
        <v>1032</v>
      </c>
      <c r="F322" s="5" t="s">
        <v>1021</v>
      </c>
      <c r="G322" s="6" t="str">
        <f aca="false">INDEX(Catalogo_Causas!$B$2:$B$10,MATCH(F322,Catalogo_Causas!$A$2:$A$10,0))</f>
        <v>Falla de servicios (vapor/amoniaco/aire)</v>
      </c>
      <c r="H322" s="6" t="str">
        <f aca="false">INDEX(Catalogo_Causas!$C$2:$C$10,MATCH(F322,Catalogo_Causas!$A$2:$A$10,0))</f>
        <v>Servicios</v>
      </c>
      <c r="I322" s="5" t="n">
        <v>21</v>
      </c>
      <c r="J322" s="29" t="n">
        <f aca="false">I322/60</f>
        <v>0.35</v>
      </c>
    </row>
    <row r="323" customFormat="false" ht="15" hidden="false" customHeight="false" outlineLevel="0" collapsed="false">
      <c r="A323" s="5" t="s">
        <v>1365</v>
      </c>
      <c r="B323" s="9" t="n">
        <v>45649</v>
      </c>
      <c r="C323" s="9" t="n">
        <v>45652</v>
      </c>
      <c r="D323" s="5" t="s">
        <v>134</v>
      </c>
      <c r="E323" s="5" t="s">
        <v>1032</v>
      </c>
      <c r="F323" s="5" t="s">
        <v>1018</v>
      </c>
      <c r="G323" s="6" t="str">
        <f aca="false">INDEX(Catalogo_Causas!$B$2:$B$10,MATCH(F323,Catalogo_Causas!$A$2:$A$10,0))</f>
        <v>Falta de personal</v>
      </c>
      <c r="H323" s="6" t="str">
        <f aca="false">INDEX(Catalogo_Causas!$C$2:$C$10,MATCH(F323,Catalogo_Causas!$A$2:$A$10,0))</f>
        <v>Personal</v>
      </c>
      <c r="I323" s="5" t="n">
        <v>29</v>
      </c>
      <c r="J323" s="29" t="n">
        <f aca="false">I323/60</f>
        <v>0.483333333333333</v>
      </c>
    </row>
    <row r="324" customFormat="false" ht="15" hidden="false" customHeight="false" outlineLevel="0" collapsed="false">
      <c r="A324" s="5" t="s">
        <v>1366</v>
      </c>
      <c r="B324" s="9" t="n">
        <v>45649</v>
      </c>
      <c r="C324" s="9" t="n">
        <v>45652</v>
      </c>
      <c r="D324" s="5" t="s">
        <v>136</v>
      </c>
      <c r="E324" s="5" t="s">
        <v>1101</v>
      </c>
      <c r="F324" s="5" t="s">
        <v>1005</v>
      </c>
      <c r="G324" s="6" t="str">
        <f aca="false">INDEX(Catalogo_Causas!$B$2:$B$10,MATCH(F324,Catalogo_Causas!$A$2:$A$10,0))</f>
        <v>Falla eléctrica / control</v>
      </c>
      <c r="H324" s="6" t="str">
        <f aca="false">INDEX(Catalogo_Causas!$C$2:$C$10,MATCH(F324,Catalogo_Causas!$A$2:$A$10,0))</f>
        <v>Operacional</v>
      </c>
      <c r="I324" s="5" t="n">
        <v>115</v>
      </c>
      <c r="J324" s="29" t="n">
        <f aca="false">I324/60</f>
        <v>1.91666666666667</v>
      </c>
    </row>
    <row r="325" customFormat="false" ht="15" hidden="false" customHeight="false" outlineLevel="0" collapsed="false">
      <c r="A325" s="5" t="s">
        <v>1367</v>
      </c>
      <c r="B325" s="9" t="n">
        <v>45649</v>
      </c>
      <c r="C325" s="9" t="n">
        <v>45652</v>
      </c>
      <c r="D325" s="5" t="s">
        <v>138</v>
      </c>
      <c r="E325" s="5" t="s">
        <v>1056</v>
      </c>
      <c r="F325" s="5" t="s">
        <v>1002</v>
      </c>
      <c r="G325" s="6" t="str">
        <f aca="false">INDEX(Catalogo_Causas!$B$2:$B$10,MATCH(F325,Catalogo_Causas!$A$2:$A$10,0))</f>
        <v>Falla mecánica</v>
      </c>
      <c r="H325" s="6" t="str">
        <f aca="false">INDEX(Catalogo_Causas!$C$2:$C$10,MATCH(F325,Catalogo_Causas!$A$2:$A$10,0))</f>
        <v>Operacional</v>
      </c>
      <c r="I325" s="5" t="n">
        <v>141</v>
      </c>
      <c r="J325" s="29" t="n">
        <f aca="false">I325/60</f>
        <v>2.35</v>
      </c>
    </row>
    <row r="326" customFormat="false" ht="15" hidden="false" customHeight="false" outlineLevel="0" collapsed="false">
      <c r="A326" s="5" t="s">
        <v>1368</v>
      </c>
      <c r="B326" s="9" t="n">
        <v>45649</v>
      </c>
      <c r="C326" s="9" t="n">
        <v>45652</v>
      </c>
      <c r="D326" s="5" t="s">
        <v>144</v>
      </c>
      <c r="E326" s="5" t="s">
        <v>1032</v>
      </c>
      <c r="F326" s="5" t="s">
        <v>1005</v>
      </c>
      <c r="G326" s="6" t="str">
        <f aca="false">INDEX(Catalogo_Causas!$B$2:$B$10,MATCH(F326,Catalogo_Causas!$A$2:$A$10,0))</f>
        <v>Falla eléctrica / control</v>
      </c>
      <c r="H326" s="6" t="str">
        <f aca="false">INDEX(Catalogo_Causas!$C$2:$C$10,MATCH(F326,Catalogo_Causas!$A$2:$A$10,0))</f>
        <v>Operacional</v>
      </c>
      <c r="I326" s="5" t="n">
        <v>64</v>
      </c>
      <c r="J326" s="29" t="n">
        <f aca="false">I326/60</f>
        <v>1.06666666666667</v>
      </c>
    </row>
    <row r="327" customFormat="false" ht="15" hidden="false" customHeight="false" outlineLevel="0" collapsed="false">
      <c r="A327" s="5" t="s">
        <v>1369</v>
      </c>
      <c r="B327" s="9" t="n">
        <v>45649</v>
      </c>
      <c r="C327" s="9" t="n">
        <v>45653</v>
      </c>
      <c r="D327" s="5" t="s">
        <v>130</v>
      </c>
      <c r="E327" s="5" t="s">
        <v>1045</v>
      </c>
      <c r="F327" s="5" t="s">
        <v>1002</v>
      </c>
      <c r="G327" s="6" t="str">
        <f aca="false">INDEX(Catalogo_Causas!$B$2:$B$10,MATCH(F327,Catalogo_Causas!$A$2:$A$10,0))</f>
        <v>Falla mecánica</v>
      </c>
      <c r="H327" s="6" t="str">
        <f aca="false">INDEX(Catalogo_Causas!$C$2:$C$10,MATCH(F327,Catalogo_Causas!$A$2:$A$10,0))</f>
        <v>Operacional</v>
      </c>
      <c r="I327" s="5" t="n">
        <v>37</v>
      </c>
      <c r="J327" s="29" t="n">
        <f aca="false">I327/60</f>
        <v>0.616666666666667</v>
      </c>
    </row>
    <row r="328" customFormat="false" ht="15" hidden="false" customHeight="false" outlineLevel="0" collapsed="false">
      <c r="A328" s="5" t="s">
        <v>1370</v>
      </c>
      <c r="B328" s="9" t="n">
        <v>45649</v>
      </c>
      <c r="C328" s="9" t="n">
        <v>45653</v>
      </c>
      <c r="D328" s="5" t="s">
        <v>140</v>
      </c>
      <c r="E328" s="5" t="s">
        <v>1045</v>
      </c>
      <c r="F328" s="5" t="s">
        <v>1014</v>
      </c>
      <c r="G328" s="6" t="str">
        <f aca="false">INDEX(Catalogo_Causas!$B$2:$B$10,MATCH(F328,Catalogo_Causas!$A$2:$A$10,0))</f>
        <v>Retención de calidad</v>
      </c>
      <c r="H328" s="6" t="str">
        <f aca="false">INDEX(Catalogo_Causas!$C$2:$C$10,MATCH(F328,Catalogo_Causas!$A$2:$A$10,0))</f>
        <v>Calidad</v>
      </c>
      <c r="I328" s="5" t="n">
        <v>44</v>
      </c>
      <c r="J328" s="29" t="n">
        <f aca="false">I328/60</f>
        <v>0.733333333333333</v>
      </c>
    </row>
    <row r="329" customFormat="false" ht="15" hidden="false" customHeight="false" outlineLevel="0" collapsed="false">
      <c r="A329" s="5" t="s">
        <v>1371</v>
      </c>
      <c r="B329" s="9" t="n">
        <v>45649</v>
      </c>
      <c r="C329" s="9" t="n">
        <v>45653</v>
      </c>
      <c r="D329" s="5" t="s">
        <v>142</v>
      </c>
      <c r="E329" s="5" t="s">
        <v>1051</v>
      </c>
      <c r="F329" s="5" t="s">
        <v>1007</v>
      </c>
      <c r="G329" s="6" t="str">
        <f aca="false">INDEX(Catalogo_Causas!$B$2:$B$10,MATCH(F329,Catalogo_Causas!$A$2:$A$10,0))</f>
        <v>Cambio de formato excedido</v>
      </c>
      <c r="H329" s="6" t="str">
        <f aca="false">INDEX(Catalogo_Causas!$C$2:$C$10,MATCH(F329,Catalogo_Causas!$A$2:$A$10,0))</f>
        <v>Operacional</v>
      </c>
      <c r="I329" s="5" t="n">
        <v>41</v>
      </c>
      <c r="J329" s="29" t="n">
        <f aca="false">I329/60</f>
        <v>0.683333333333333</v>
      </c>
    </row>
    <row r="330" customFormat="false" ht="15" hidden="false" customHeight="false" outlineLevel="0" collapsed="false">
      <c r="A330" s="5" t="s">
        <v>1372</v>
      </c>
      <c r="B330" s="9" t="n">
        <v>45649</v>
      </c>
      <c r="C330" s="9" t="n">
        <v>45654</v>
      </c>
      <c r="D330" s="5" t="s">
        <v>130</v>
      </c>
      <c r="E330" s="5" t="s">
        <v>1045</v>
      </c>
      <c r="F330" s="5" t="s">
        <v>1005</v>
      </c>
      <c r="G330" s="6" t="str">
        <f aca="false">INDEX(Catalogo_Causas!$B$2:$B$10,MATCH(F330,Catalogo_Causas!$A$2:$A$10,0))</f>
        <v>Falla eléctrica / control</v>
      </c>
      <c r="H330" s="6" t="str">
        <f aca="false">INDEX(Catalogo_Causas!$C$2:$C$10,MATCH(F330,Catalogo_Causas!$A$2:$A$10,0))</f>
        <v>Operacional</v>
      </c>
      <c r="I330" s="5" t="n">
        <v>118</v>
      </c>
      <c r="J330" s="29" t="n">
        <f aca="false">I330/60</f>
        <v>1.96666666666667</v>
      </c>
    </row>
    <row r="331" customFormat="false" ht="15" hidden="false" customHeight="false" outlineLevel="0" collapsed="false">
      <c r="A331" s="5" t="s">
        <v>1373</v>
      </c>
      <c r="B331" s="9" t="n">
        <v>45649</v>
      </c>
      <c r="C331" s="9" t="n">
        <v>45654</v>
      </c>
      <c r="D331" s="5" t="s">
        <v>132</v>
      </c>
      <c r="E331" s="5" t="s">
        <v>1073</v>
      </c>
      <c r="F331" s="5" t="s">
        <v>1014</v>
      </c>
      <c r="G331" s="6" t="str">
        <f aca="false">INDEX(Catalogo_Causas!$B$2:$B$10,MATCH(F331,Catalogo_Causas!$A$2:$A$10,0))</f>
        <v>Retención de calidad</v>
      </c>
      <c r="H331" s="6" t="str">
        <f aca="false">INDEX(Catalogo_Causas!$C$2:$C$10,MATCH(F331,Catalogo_Causas!$A$2:$A$10,0))</f>
        <v>Calidad</v>
      </c>
      <c r="I331" s="5" t="n">
        <v>74</v>
      </c>
      <c r="J331" s="29" t="n">
        <f aca="false">I331/60</f>
        <v>1.23333333333333</v>
      </c>
    </row>
    <row r="332" customFormat="false" ht="15" hidden="false" customHeight="false" outlineLevel="0" collapsed="false">
      <c r="A332" s="5" t="s">
        <v>1374</v>
      </c>
      <c r="B332" s="9" t="n">
        <v>45656</v>
      </c>
      <c r="C332" s="9" t="n">
        <v>45656</v>
      </c>
      <c r="D332" s="5" t="s">
        <v>130</v>
      </c>
      <c r="E332" s="5" t="s">
        <v>1078</v>
      </c>
      <c r="F332" s="5" t="s">
        <v>1007</v>
      </c>
      <c r="G332" s="6" t="str">
        <f aca="false">INDEX(Catalogo_Causas!$B$2:$B$10,MATCH(F332,Catalogo_Causas!$A$2:$A$10,0))</f>
        <v>Cambio de formato excedido</v>
      </c>
      <c r="H332" s="6" t="str">
        <f aca="false">INDEX(Catalogo_Causas!$C$2:$C$10,MATCH(F332,Catalogo_Causas!$A$2:$A$10,0))</f>
        <v>Operacional</v>
      </c>
      <c r="I332" s="5" t="n">
        <v>18</v>
      </c>
      <c r="J332" s="29" t="n">
        <f aca="false">I332/60</f>
        <v>0.3</v>
      </c>
    </row>
    <row r="333" customFormat="false" ht="15" hidden="false" customHeight="false" outlineLevel="0" collapsed="false">
      <c r="A333" s="5" t="s">
        <v>1375</v>
      </c>
      <c r="B333" s="9" t="n">
        <v>45656</v>
      </c>
      <c r="C333" s="9" t="n">
        <v>45656</v>
      </c>
      <c r="D333" s="5" t="s">
        <v>130</v>
      </c>
      <c r="E333" s="5" t="s">
        <v>1045</v>
      </c>
      <c r="F333" s="5" t="s">
        <v>1002</v>
      </c>
      <c r="G333" s="6" t="str">
        <f aca="false">INDEX(Catalogo_Causas!$B$2:$B$10,MATCH(F333,Catalogo_Causas!$A$2:$A$10,0))</f>
        <v>Falla mecánica</v>
      </c>
      <c r="H333" s="6" t="str">
        <f aca="false">INDEX(Catalogo_Causas!$C$2:$C$10,MATCH(F333,Catalogo_Causas!$A$2:$A$10,0))</f>
        <v>Operacional</v>
      </c>
      <c r="I333" s="5" t="n">
        <v>170</v>
      </c>
      <c r="J333" s="29" t="n">
        <f aca="false">I333/60</f>
        <v>2.83333333333333</v>
      </c>
    </row>
    <row r="334" customFormat="false" ht="15" hidden="false" customHeight="false" outlineLevel="0" collapsed="false">
      <c r="A334" s="5" t="s">
        <v>1376</v>
      </c>
      <c r="B334" s="9" t="n">
        <v>45656</v>
      </c>
      <c r="C334" s="9" t="n">
        <v>45656</v>
      </c>
      <c r="D334" s="5" t="s">
        <v>130</v>
      </c>
      <c r="E334" s="5" t="s">
        <v>1030</v>
      </c>
      <c r="F334" s="5" t="s">
        <v>1005</v>
      </c>
      <c r="G334" s="6" t="str">
        <f aca="false">INDEX(Catalogo_Causas!$B$2:$B$10,MATCH(F334,Catalogo_Causas!$A$2:$A$10,0))</f>
        <v>Falla eléctrica / control</v>
      </c>
      <c r="H334" s="6" t="str">
        <f aca="false">INDEX(Catalogo_Causas!$C$2:$C$10,MATCH(F334,Catalogo_Causas!$A$2:$A$10,0))</f>
        <v>Operacional</v>
      </c>
      <c r="I334" s="5" t="n">
        <v>43</v>
      </c>
      <c r="J334" s="29" t="n">
        <f aca="false">I334/60</f>
        <v>0.716666666666667</v>
      </c>
    </row>
    <row r="335" customFormat="false" ht="15" hidden="false" customHeight="false" outlineLevel="0" collapsed="false">
      <c r="A335" s="5" t="s">
        <v>1377</v>
      </c>
      <c r="B335" s="9" t="n">
        <v>45656</v>
      </c>
      <c r="C335" s="9" t="n">
        <v>45656</v>
      </c>
      <c r="D335" s="5" t="s">
        <v>132</v>
      </c>
      <c r="E335" s="5" t="s">
        <v>1084</v>
      </c>
      <c r="F335" s="5" t="s">
        <v>1005</v>
      </c>
      <c r="G335" s="6" t="str">
        <f aca="false">INDEX(Catalogo_Causas!$B$2:$B$10,MATCH(F335,Catalogo_Causas!$A$2:$A$10,0))</f>
        <v>Falla eléctrica / control</v>
      </c>
      <c r="H335" s="6" t="str">
        <f aca="false">INDEX(Catalogo_Causas!$C$2:$C$10,MATCH(F335,Catalogo_Causas!$A$2:$A$10,0))</f>
        <v>Operacional</v>
      </c>
      <c r="I335" s="5" t="n">
        <v>33</v>
      </c>
      <c r="J335" s="29" t="n">
        <f aca="false">I335/60</f>
        <v>0.55</v>
      </c>
    </row>
    <row r="336" customFormat="false" ht="15" hidden="false" customHeight="false" outlineLevel="0" collapsed="false">
      <c r="A336" s="5" t="s">
        <v>1378</v>
      </c>
      <c r="B336" s="9" t="n">
        <v>45656</v>
      </c>
      <c r="C336" s="9" t="n">
        <v>45656</v>
      </c>
      <c r="D336" s="5" t="s">
        <v>142</v>
      </c>
      <c r="E336" s="5" t="s">
        <v>1041</v>
      </c>
      <c r="F336" s="5" t="s">
        <v>1014</v>
      </c>
      <c r="G336" s="6" t="str">
        <f aca="false">INDEX(Catalogo_Causas!$B$2:$B$10,MATCH(F336,Catalogo_Causas!$A$2:$A$10,0))</f>
        <v>Retención de calidad</v>
      </c>
      <c r="H336" s="6" t="str">
        <f aca="false">INDEX(Catalogo_Causas!$C$2:$C$10,MATCH(F336,Catalogo_Causas!$A$2:$A$10,0))</f>
        <v>Calidad</v>
      </c>
      <c r="I336" s="5" t="n">
        <v>27</v>
      </c>
      <c r="J336" s="29" t="n">
        <f aca="false">I336/60</f>
        <v>0.45</v>
      </c>
    </row>
    <row r="337" customFormat="false" ht="15" hidden="false" customHeight="false" outlineLevel="0" collapsed="false">
      <c r="A337" s="5" t="s">
        <v>1379</v>
      </c>
      <c r="B337" s="9" t="n">
        <v>45656</v>
      </c>
      <c r="C337" s="9" t="n">
        <v>45656</v>
      </c>
      <c r="D337" s="5" t="s">
        <v>142</v>
      </c>
      <c r="E337" s="5" t="s">
        <v>1041</v>
      </c>
      <c r="F337" s="5" t="s">
        <v>1007</v>
      </c>
      <c r="G337" s="6" t="str">
        <f aca="false">INDEX(Catalogo_Causas!$B$2:$B$10,MATCH(F337,Catalogo_Causas!$A$2:$A$10,0))</f>
        <v>Cambio de formato excedido</v>
      </c>
      <c r="H337" s="6" t="str">
        <f aca="false">INDEX(Catalogo_Causas!$C$2:$C$10,MATCH(F337,Catalogo_Causas!$A$2:$A$10,0))</f>
        <v>Operacional</v>
      </c>
      <c r="I337" s="5" t="n">
        <v>22</v>
      </c>
      <c r="J337" s="29" t="n">
        <f aca="false">I337/60</f>
        <v>0.366666666666667</v>
      </c>
    </row>
    <row r="338" customFormat="false" ht="15" hidden="false" customHeight="false" outlineLevel="0" collapsed="false">
      <c r="A338" s="5" t="s">
        <v>1380</v>
      </c>
      <c r="B338" s="9" t="n">
        <v>45656</v>
      </c>
      <c r="C338" s="9" t="n">
        <v>45656</v>
      </c>
      <c r="D338" s="5" t="s">
        <v>142</v>
      </c>
      <c r="E338" s="5" t="s">
        <v>1030</v>
      </c>
      <c r="F338" s="5" t="s">
        <v>1002</v>
      </c>
      <c r="G338" s="6" t="str">
        <f aca="false">INDEX(Catalogo_Causas!$B$2:$B$10,MATCH(F338,Catalogo_Causas!$A$2:$A$10,0))</f>
        <v>Falla mecánica</v>
      </c>
      <c r="H338" s="6" t="str">
        <f aca="false">INDEX(Catalogo_Causas!$C$2:$C$10,MATCH(F338,Catalogo_Causas!$A$2:$A$10,0))</f>
        <v>Operacional</v>
      </c>
      <c r="I338" s="5" t="n">
        <v>91</v>
      </c>
      <c r="J338" s="29" t="n">
        <f aca="false">I338/60</f>
        <v>1.51666666666667</v>
      </c>
    </row>
    <row r="339" customFormat="false" ht="15" hidden="false" customHeight="false" outlineLevel="0" collapsed="false">
      <c r="A339" s="5" t="s">
        <v>1381</v>
      </c>
      <c r="B339" s="9" t="n">
        <v>45656</v>
      </c>
      <c r="C339" s="9" t="n">
        <v>45656</v>
      </c>
      <c r="D339" s="5" t="s">
        <v>144</v>
      </c>
      <c r="E339" s="5" t="s">
        <v>1032</v>
      </c>
      <c r="F339" s="5" t="s">
        <v>1002</v>
      </c>
      <c r="G339" s="6" t="str">
        <f aca="false">INDEX(Catalogo_Causas!$B$2:$B$10,MATCH(F339,Catalogo_Causas!$A$2:$A$10,0))</f>
        <v>Falla mecánica</v>
      </c>
      <c r="H339" s="6" t="str">
        <f aca="false">INDEX(Catalogo_Causas!$C$2:$C$10,MATCH(F339,Catalogo_Causas!$A$2:$A$10,0))</f>
        <v>Operacional</v>
      </c>
      <c r="I339" s="5" t="n">
        <v>60</v>
      </c>
      <c r="J339" s="29" t="n">
        <f aca="false">I339/60</f>
        <v>1</v>
      </c>
    </row>
    <row r="340" customFormat="false" ht="15" hidden="false" customHeight="false" outlineLevel="0" collapsed="false">
      <c r="A340" s="5" t="s">
        <v>1382</v>
      </c>
      <c r="B340" s="9" t="n">
        <v>45656</v>
      </c>
      <c r="C340" s="9" t="n">
        <v>45656</v>
      </c>
      <c r="D340" s="5" t="s">
        <v>144</v>
      </c>
      <c r="E340" s="5" t="s">
        <v>1032</v>
      </c>
      <c r="F340" s="5" t="s">
        <v>1014</v>
      </c>
      <c r="G340" s="6" t="str">
        <f aca="false">INDEX(Catalogo_Causas!$B$2:$B$10,MATCH(F340,Catalogo_Causas!$A$2:$A$10,0))</f>
        <v>Retención de calidad</v>
      </c>
      <c r="H340" s="6" t="str">
        <f aca="false">INDEX(Catalogo_Causas!$C$2:$C$10,MATCH(F340,Catalogo_Causas!$A$2:$A$10,0))</f>
        <v>Calidad</v>
      </c>
      <c r="I340" s="5" t="n">
        <v>24</v>
      </c>
      <c r="J340" s="29" t="n">
        <f aca="false">I340/60</f>
        <v>0.4</v>
      </c>
    </row>
    <row r="341" customFormat="false" ht="15" hidden="false" customHeight="false" outlineLevel="0" collapsed="false">
      <c r="A341" s="5" t="s">
        <v>1383</v>
      </c>
      <c r="B341" s="9" t="n">
        <v>45656</v>
      </c>
      <c r="C341" s="9" t="n">
        <v>45657</v>
      </c>
      <c r="D341" s="5" t="s">
        <v>130</v>
      </c>
      <c r="E341" s="5" t="s">
        <v>1078</v>
      </c>
      <c r="F341" s="5" t="s">
        <v>1002</v>
      </c>
      <c r="G341" s="6" t="str">
        <f aca="false">INDEX(Catalogo_Causas!$B$2:$B$10,MATCH(F341,Catalogo_Causas!$A$2:$A$10,0))</f>
        <v>Falla mecánica</v>
      </c>
      <c r="H341" s="6" t="str">
        <f aca="false">INDEX(Catalogo_Causas!$C$2:$C$10,MATCH(F341,Catalogo_Causas!$A$2:$A$10,0))</f>
        <v>Operacional</v>
      </c>
      <c r="I341" s="5" t="n">
        <v>76</v>
      </c>
      <c r="J341" s="29" t="n">
        <f aca="false">I341/60</f>
        <v>1.26666666666667</v>
      </c>
    </row>
    <row r="342" customFormat="false" ht="15" hidden="false" customHeight="false" outlineLevel="0" collapsed="false">
      <c r="A342" s="5" t="s">
        <v>1384</v>
      </c>
      <c r="B342" s="9" t="n">
        <v>45656</v>
      </c>
      <c r="C342" s="9" t="n">
        <v>45657</v>
      </c>
      <c r="D342" s="5" t="s">
        <v>142</v>
      </c>
      <c r="E342" s="5" t="s">
        <v>1030</v>
      </c>
      <c r="F342" s="5" t="s">
        <v>1002</v>
      </c>
      <c r="G342" s="6" t="str">
        <f aca="false">INDEX(Catalogo_Causas!$B$2:$B$10,MATCH(F342,Catalogo_Causas!$A$2:$A$10,0))</f>
        <v>Falla mecánica</v>
      </c>
      <c r="H342" s="6" t="str">
        <f aca="false">INDEX(Catalogo_Causas!$C$2:$C$10,MATCH(F342,Catalogo_Causas!$A$2:$A$10,0))</f>
        <v>Operacional</v>
      </c>
      <c r="I342" s="5" t="n">
        <v>58</v>
      </c>
      <c r="J342" s="29" t="n">
        <f aca="false">I342/60</f>
        <v>0.966666666666667</v>
      </c>
    </row>
    <row r="343" customFormat="false" ht="15" hidden="false" customHeight="false" outlineLevel="0" collapsed="false">
      <c r="A343" s="5" t="s">
        <v>1385</v>
      </c>
      <c r="B343" s="9" t="n">
        <v>45656</v>
      </c>
      <c r="C343" s="9" t="n">
        <v>45657</v>
      </c>
      <c r="D343" s="5" t="s">
        <v>142</v>
      </c>
      <c r="E343" s="5" t="s">
        <v>1041</v>
      </c>
      <c r="F343" s="5" t="s">
        <v>1002</v>
      </c>
      <c r="G343" s="6" t="str">
        <f aca="false">INDEX(Catalogo_Causas!$B$2:$B$10,MATCH(F343,Catalogo_Causas!$A$2:$A$10,0))</f>
        <v>Falla mecánica</v>
      </c>
      <c r="H343" s="6" t="str">
        <f aca="false">INDEX(Catalogo_Causas!$C$2:$C$10,MATCH(F343,Catalogo_Causas!$A$2:$A$10,0))</f>
        <v>Operacional</v>
      </c>
      <c r="I343" s="5" t="n">
        <v>122</v>
      </c>
      <c r="J343" s="29" t="n">
        <f aca="false">I343/60</f>
        <v>2.03333333333333</v>
      </c>
    </row>
    <row r="344" customFormat="false" ht="15" hidden="false" customHeight="false" outlineLevel="0" collapsed="false">
      <c r="A344" s="5" t="s">
        <v>1386</v>
      </c>
      <c r="B344" s="9" t="n">
        <v>45656</v>
      </c>
      <c r="C344" s="9" t="n">
        <v>45657</v>
      </c>
      <c r="D344" s="5" t="s">
        <v>144</v>
      </c>
      <c r="E344" s="5" t="s">
        <v>1043</v>
      </c>
      <c r="F344" s="5" t="s">
        <v>1005</v>
      </c>
      <c r="G344" s="6" t="str">
        <f aca="false">INDEX(Catalogo_Causas!$B$2:$B$10,MATCH(F344,Catalogo_Causas!$A$2:$A$10,0))</f>
        <v>Falla eléctrica / control</v>
      </c>
      <c r="H344" s="6" t="str">
        <f aca="false">INDEX(Catalogo_Causas!$C$2:$C$10,MATCH(F344,Catalogo_Causas!$A$2:$A$10,0))</f>
        <v>Operacional</v>
      </c>
      <c r="I344" s="5" t="n">
        <v>19</v>
      </c>
      <c r="J344" s="29" t="n">
        <f aca="false">I344/60</f>
        <v>0.316666666666667</v>
      </c>
    </row>
    <row r="345" customFormat="false" ht="15" hidden="false" customHeight="false" outlineLevel="0" collapsed="false">
      <c r="A345" s="5" t="s">
        <v>1387</v>
      </c>
      <c r="B345" s="9" t="n">
        <v>45656</v>
      </c>
      <c r="C345" s="9" t="n">
        <v>45658</v>
      </c>
      <c r="D345" s="5" t="s">
        <v>130</v>
      </c>
      <c r="E345" s="5" t="s">
        <v>1045</v>
      </c>
      <c r="F345" s="5" t="s">
        <v>1002</v>
      </c>
      <c r="G345" s="6" t="str">
        <f aca="false">INDEX(Catalogo_Causas!$B$2:$B$10,MATCH(F345,Catalogo_Causas!$A$2:$A$10,0))</f>
        <v>Falla mecánica</v>
      </c>
      <c r="H345" s="6" t="str">
        <f aca="false">INDEX(Catalogo_Causas!$C$2:$C$10,MATCH(F345,Catalogo_Causas!$A$2:$A$10,0))</f>
        <v>Operacional</v>
      </c>
      <c r="I345" s="5" t="n">
        <v>73</v>
      </c>
      <c r="J345" s="29" t="n">
        <f aca="false">I345/60</f>
        <v>1.21666666666667</v>
      </c>
    </row>
    <row r="346" customFormat="false" ht="15" hidden="false" customHeight="false" outlineLevel="0" collapsed="false">
      <c r="A346" s="5" t="s">
        <v>1388</v>
      </c>
      <c r="B346" s="9" t="n">
        <v>45656</v>
      </c>
      <c r="C346" s="9" t="n">
        <v>45658</v>
      </c>
      <c r="D346" s="5" t="s">
        <v>134</v>
      </c>
      <c r="E346" s="5" t="s">
        <v>1030</v>
      </c>
      <c r="F346" s="5" t="s">
        <v>1002</v>
      </c>
      <c r="G346" s="6" t="str">
        <f aca="false">INDEX(Catalogo_Causas!$B$2:$B$10,MATCH(F346,Catalogo_Causas!$A$2:$A$10,0))</f>
        <v>Falla mecánica</v>
      </c>
      <c r="H346" s="6" t="str">
        <f aca="false">INDEX(Catalogo_Causas!$C$2:$C$10,MATCH(F346,Catalogo_Causas!$A$2:$A$10,0))</f>
        <v>Operacional</v>
      </c>
      <c r="I346" s="5" t="n">
        <v>98</v>
      </c>
      <c r="J346" s="29" t="n">
        <f aca="false">I346/60</f>
        <v>1.63333333333333</v>
      </c>
    </row>
    <row r="347" customFormat="false" ht="15" hidden="false" customHeight="false" outlineLevel="0" collapsed="false">
      <c r="A347" s="5" t="s">
        <v>1389</v>
      </c>
      <c r="B347" s="9" t="n">
        <v>45656</v>
      </c>
      <c r="C347" s="9" t="n">
        <v>45658</v>
      </c>
      <c r="D347" s="5" t="s">
        <v>134</v>
      </c>
      <c r="E347" s="5" t="s">
        <v>1030</v>
      </c>
      <c r="F347" s="5" t="s">
        <v>1021</v>
      </c>
      <c r="G347" s="6" t="str">
        <f aca="false">INDEX(Catalogo_Causas!$B$2:$B$10,MATCH(F347,Catalogo_Causas!$A$2:$A$10,0))</f>
        <v>Falla de servicios (vapor/amoniaco/aire)</v>
      </c>
      <c r="H347" s="6" t="str">
        <f aca="false">INDEX(Catalogo_Causas!$C$2:$C$10,MATCH(F347,Catalogo_Causas!$A$2:$A$10,0))</f>
        <v>Servicios</v>
      </c>
      <c r="I347" s="5" t="n">
        <v>43</v>
      </c>
      <c r="J347" s="29" t="n">
        <f aca="false">I347/60</f>
        <v>0.716666666666667</v>
      </c>
    </row>
    <row r="348" customFormat="false" ht="15" hidden="false" customHeight="false" outlineLevel="0" collapsed="false">
      <c r="A348" s="5" t="s">
        <v>1390</v>
      </c>
      <c r="B348" s="9" t="n">
        <v>45656</v>
      </c>
      <c r="C348" s="9" t="n">
        <v>45658</v>
      </c>
      <c r="D348" s="5" t="s">
        <v>136</v>
      </c>
      <c r="E348" s="5" t="s">
        <v>1101</v>
      </c>
      <c r="F348" s="5" t="s">
        <v>1007</v>
      </c>
      <c r="G348" s="6" t="str">
        <f aca="false">INDEX(Catalogo_Causas!$B$2:$B$10,MATCH(F348,Catalogo_Causas!$A$2:$A$10,0))</f>
        <v>Cambio de formato excedido</v>
      </c>
      <c r="H348" s="6" t="str">
        <f aca="false">INDEX(Catalogo_Causas!$C$2:$C$10,MATCH(F348,Catalogo_Causas!$A$2:$A$10,0))</f>
        <v>Operacional</v>
      </c>
      <c r="I348" s="5" t="n">
        <v>69</v>
      </c>
      <c r="J348" s="29" t="n">
        <f aca="false">I348/60</f>
        <v>1.15</v>
      </c>
    </row>
    <row r="349" customFormat="false" ht="15" hidden="false" customHeight="false" outlineLevel="0" collapsed="false">
      <c r="A349" s="5" t="s">
        <v>1391</v>
      </c>
      <c r="B349" s="9" t="n">
        <v>45656</v>
      </c>
      <c r="C349" s="9" t="n">
        <v>45658</v>
      </c>
      <c r="D349" s="5" t="s">
        <v>144</v>
      </c>
      <c r="E349" s="5" t="s">
        <v>1030</v>
      </c>
      <c r="F349" s="5" t="s">
        <v>1002</v>
      </c>
      <c r="G349" s="6" t="str">
        <f aca="false">INDEX(Catalogo_Causas!$B$2:$B$10,MATCH(F349,Catalogo_Causas!$A$2:$A$10,0))</f>
        <v>Falla mecánica</v>
      </c>
      <c r="H349" s="6" t="str">
        <f aca="false">INDEX(Catalogo_Causas!$C$2:$C$10,MATCH(F349,Catalogo_Causas!$A$2:$A$10,0))</f>
        <v>Operacional</v>
      </c>
      <c r="I349" s="5" t="n">
        <v>56</v>
      </c>
      <c r="J349" s="29" t="n">
        <f aca="false">I349/60</f>
        <v>0.933333333333333</v>
      </c>
    </row>
    <row r="350" customFormat="false" ht="15" hidden="false" customHeight="false" outlineLevel="0" collapsed="false">
      <c r="A350" s="5" t="s">
        <v>1392</v>
      </c>
      <c r="B350" s="9" t="n">
        <v>45656</v>
      </c>
      <c r="C350" s="9" t="n">
        <v>45659</v>
      </c>
      <c r="D350" s="5" t="s">
        <v>130</v>
      </c>
      <c r="E350" s="5" t="s">
        <v>1045</v>
      </c>
      <c r="F350" s="5" t="s">
        <v>1007</v>
      </c>
      <c r="G350" s="6" t="str">
        <f aca="false">INDEX(Catalogo_Causas!$B$2:$B$10,MATCH(F350,Catalogo_Causas!$A$2:$A$10,0))</f>
        <v>Cambio de formato excedido</v>
      </c>
      <c r="H350" s="6" t="str">
        <f aca="false">INDEX(Catalogo_Causas!$C$2:$C$10,MATCH(F350,Catalogo_Causas!$A$2:$A$10,0))</f>
        <v>Operacional</v>
      </c>
      <c r="I350" s="5" t="n">
        <v>37</v>
      </c>
      <c r="J350" s="29" t="n">
        <f aca="false">I350/60</f>
        <v>0.616666666666667</v>
      </c>
    </row>
    <row r="351" customFormat="false" ht="15" hidden="false" customHeight="false" outlineLevel="0" collapsed="false">
      <c r="A351" s="5" t="s">
        <v>1393</v>
      </c>
      <c r="B351" s="9" t="n">
        <v>45656</v>
      </c>
      <c r="C351" s="9" t="n">
        <v>45659</v>
      </c>
      <c r="D351" s="5" t="s">
        <v>134</v>
      </c>
      <c r="E351" s="5" t="s">
        <v>1054</v>
      </c>
      <c r="F351" s="5" t="s">
        <v>1005</v>
      </c>
      <c r="G351" s="6" t="str">
        <f aca="false">INDEX(Catalogo_Causas!$B$2:$B$10,MATCH(F351,Catalogo_Causas!$A$2:$A$10,0))</f>
        <v>Falla eléctrica / control</v>
      </c>
      <c r="H351" s="6" t="str">
        <f aca="false">INDEX(Catalogo_Causas!$C$2:$C$10,MATCH(F351,Catalogo_Causas!$A$2:$A$10,0))</f>
        <v>Operacional</v>
      </c>
      <c r="I351" s="5" t="n">
        <v>202</v>
      </c>
      <c r="J351" s="29" t="n">
        <f aca="false">I351/60</f>
        <v>3.36666666666667</v>
      </c>
    </row>
    <row r="352" customFormat="false" ht="15" hidden="false" customHeight="false" outlineLevel="0" collapsed="false">
      <c r="A352" s="5" t="s">
        <v>1394</v>
      </c>
      <c r="B352" s="9" t="n">
        <v>45656</v>
      </c>
      <c r="C352" s="9" t="n">
        <v>45660</v>
      </c>
      <c r="D352" s="5" t="s">
        <v>132</v>
      </c>
      <c r="E352" s="5" t="s">
        <v>1084</v>
      </c>
      <c r="F352" s="5" t="s">
        <v>1007</v>
      </c>
      <c r="G352" s="6" t="str">
        <f aca="false">INDEX(Catalogo_Causas!$B$2:$B$10,MATCH(F352,Catalogo_Causas!$A$2:$A$10,0))</f>
        <v>Cambio de formato excedido</v>
      </c>
      <c r="H352" s="6" t="str">
        <f aca="false">INDEX(Catalogo_Causas!$C$2:$C$10,MATCH(F352,Catalogo_Causas!$A$2:$A$10,0))</f>
        <v>Operacional</v>
      </c>
      <c r="I352" s="5" t="n">
        <v>37</v>
      </c>
      <c r="J352" s="29" t="n">
        <f aca="false">I352/60</f>
        <v>0.616666666666667</v>
      </c>
    </row>
    <row r="353" customFormat="false" ht="15" hidden="false" customHeight="false" outlineLevel="0" collapsed="false">
      <c r="A353" s="5" t="s">
        <v>1395</v>
      </c>
      <c r="B353" s="9" t="n">
        <v>45656</v>
      </c>
      <c r="C353" s="9" t="n">
        <v>45660</v>
      </c>
      <c r="D353" s="5" t="s">
        <v>132</v>
      </c>
      <c r="E353" s="5" t="s">
        <v>1084</v>
      </c>
      <c r="F353" s="5" t="s">
        <v>1021</v>
      </c>
      <c r="G353" s="6" t="str">
        <f aca="false">INDEX(Catalogo_Causas!$B$2:$B$10,MATCH(F353,Catalogo_Causas!$A$2:$A$10,0))</f>
        <v>Falla de servicios (vapor/amoniaco/aire)</v>
      </c>
      <c r="H353" s="6" t="str">
        <f aca="false">INDEX(Catalogo_Causas!$C$2:$C$10,MATCH(F353,Catalogo_Causas!$A$2:$A$10,0))</f>
        <v>Servicios</v>
      </c>
      <c r="I353" s="5" t="n">
        <v>210</v>
      </c>
      <c r="J353" s="29" t="n">
        <f aca="false">I353/60</f>
        <v>3.5</v>
      </c>
    </row>
    <row r="354" customFormat="false" ht="15" hidden="false" customHeight="false" outlineLevel="0" collapsed="false">
      <c r="A354" s="5" t="s">
        <v>1396</v>
      </c>
      <c r="B354" s="9" t="n">
        <v>45656</v>
      </c>
      <c r="C354" s="9" t="n">
        <v>45660</v>
      </c>
      <c r="D354" s="5" t="s">
        <v>134</v>
      </c>
      <c r="E354" s="5" t="s">
        <v>1032</v>
      </c>
      <c r="F354" s="5" t="s">
        <v>1002</v>
      </c>
      <c r="G354" s="6" t="str">
        <f aca="false">INDEX(Catalogo_Causas!$B$2:$B$10,MATCH(F354,Catalogo_Causas!$A$2:$A$10,0))</f>
        <v>Falla mecánica</v>
      </c>
      <c r="H354" s="6" t="str">
        <f aca="false">INDEX(Catalogo_Causas!$C$2:$C$10,MATCH(F354,Catalogo_Causas!$A$2:$A$10,0))</f>
        <v>Operacional</v>
      </c>
      <c r="I354" s="5" t="n">
        <v>23</v>
      </c>
      <c r="J354" s="29" t="n">
        <f aca="false">I354/60</f>
        <v>0.383333333333333</v>
      </c>
    </row>
    <row r="355" customFormat="false" ht="15" hidden="false" customHeight="false" outlineLevel="0" collapsed="false">
      <c r="A355" s="5" t="s">
        <v>1397</v>
      </c>
      <c r="B355" s="9" t="n">
        <v>45656</v>
      </c>
      <c r="C355" s="9" t="n">
        <v>45660</v>
      </c>
      <c r="D355" s="5" t="s">
        <v>134</v>
      </c>
      <c r="E355" s="5" t="s">
        <v>1032</v>
      </c>
      <c r="F355" s="5" t="s">
        <v>1002</v>
      </c>
      <c r="G355" s="6" t="str">
        <f aca="false">INDEX(Catalogo_Causas!$B$2:$B$10,MATCH(F355,Catalogo_Causas!$A$2:$A$10,0))</f>
        <v>Falla mecánica</v>
      </c>
      <c r="H355" s="6" t="str">
        <f aca="false">INDEX(Catalogo_Causas!$C$2:$C$10,MATCH(F355,Catalogo_Causas!$A$2:$A$10,0))</f>
        <v>Operacional</v>
      </c>
      <c r="I355" s="5" t="n">
        <v>130</v>
      </c>
      <c r="J355" s="29" t="n">
        <f aca="false">I355/60</f>
        <v>2.16666666666667</v>
      </c>
    </row>
    <row r="356" customFormat="false" ht="15" hidden="false" customHeight="false" outlineLevel="0" collapsed="false">
      <c r="A356" s="5" t="s">
        <v>1398</v>
      </c>
      <c r="B356" s="9" t="n">
        <v>45656</v>
      </c>
      <c r="C356" s="9" t="n">
        <v>45661</v>
      </c>
      <c r="D356" s="5" t="s">
        <v>130</v>
      </c>
      <c r="E356" s="5" t="s">
        <v>1030</v>
      </c>
      <c r="F356" s="5" t="s">
        <v>1002</v>
      </c>
      <c r="G356" s="6" t="str">
        <f aca="false">INDEX(Catalogo_Causas!$B$2:$B$10,MATCH(F356,Catalogo_Causas!$A$2:$A$10,0))</f>
        <v>Falla mecánica</v>
      </c>
      <c r="H356" s="6" t="str">
        <f aca="false">INDEX(Catalogo_Causas!$C$2:$C$10,MATCH(F356,Catalogo_Causas!$A$2:$A$10,0))</f>
        <v>Operacional</v>
      </c>
      <c r="I356" s="5" t="n">
        <v>79</v>
      </c>
      <c r="J356" s="29" t="n">
        <f aca="false">I356/60</f>
        <v>1.31666666666667</v>
      </c>
    </row>
    <row r="357" customFormat="false" ht="15" hidden="false" customHeight="false" outlineLevel="0" collapsed="false">
      <c r="A357" s="5" t="s">
        <v>1399</v>
      </c>
      <c r="B357" s="9" t="n">
        <v>45656</v>
      </c>
      <c r="C357" s="9" t="n">
        <v>45661</v>
      </c>
      <c r="D357" s="5" t="s">
        <v>134</v>
      </c>
      <c r="E357" s="5" t="s">
        <v>1030</v>
      </c>
      <c r="F357" s="5" t="s">
        <v>1021</v>
      </c>
      <c r="G357" s="6" t="str">
        <f aca="false">INDEX(Catalogo_Causas!$B$2:$B$10,MATCH(F357,Catalogo_Causas!$A$2:$A$10,0))</f>
        <v>Falla de servicios (vapor/amoniaco/aire)</v>
      </c>
      <c r="H357" s="6" t="str">
        <f aca="false">INDEX(Catalogo_Causas!$C$2:$C$10,MATCH(F357,Catalogo_Causas!$A$2:$A$10,0))</f>
        <v>Servicios</v>
      </c>
      <c r="I357" s="5" t="n">
        <v>92</v>
      </c>
      <c r="J357" s="29" t="n">
        <f aca="false">I357/60</f>
        <v>1.53333333333333</v>
      </c>
    </row>
    <row r="358" customFormat="false" ht="15" hidden="false" customHeight="false" outlineLevel="0" collapsed="false">
      <c r="A358" s="5" t="s">
        <v>1400</v>
      </c>
      <c r="B358" s="9" t="n">
        <v>45656</v>
      </c>
      <c r="C358" s="9" t="n">
        <v>45661</v>
      </c>
      <c r="D358" s="5" t="s">
        <v>136</v>
      </c>
      <c r="E358" s="5" t="s">
        <v>1101</v>
      </c>
      <c r="F358" s="5" t="s">
        <v>1005</v>
      </c>
      <c r="G358" s="6" t="str">
        <f aca="false">INDEX(Catalogo_Causas!$B$2:$B$10,MATCH(F358,Catalogo_Causas!$A$2:$A$10,0))</f>
        <v>Falla eléctrica / control</v>
      </c>
      <c r="H358" s="6" t="str">
        <f aca="false">INDEX(Catalogo_Causas!$C$2:$C$10,MATCH(F358,Catalogo_Causas!$A$2:$A$10,0))</f>
        <v>Operacional</v>
      </c>
      <c r="I358" s="5" t="n">
        <v>75</v>
      </c>
      <c r="J358" s="29" t="n">
        <f aca="false">I358/60</f>
        <v>1.25</v>
      </c>
    </row>
    <row r="359" customFormat="false" ht="15" hidden="false" customHeight="false" outlineLevel="0" collapsed="false">
      <c r="A359" s="5" t="s">
        <v>1401</v>
      </c>
      <c r="B359" s="9" t="n">
        <v>45656</v>
      </c>
      <c r="C359" s="9" t="n">
        <v>45661</v>
      </c>
      <c r="D359" s="5" t="s">
        <v>138</v>
      </c>
      <c r="E359" s="5" t="s">
        <v>1034</v>
      </c>
      <c r="F359" s="5" t="s">
        <v>1002</v>
      </c>
      <c r="G359" s="6" t="str">
        <f aca="false">INDEX(Catalogo_Causas!$B$2:$B$10,MATCH(F359,Catalogo_Causas!$A$2:$A$10,0))</f>
        <v>Falla mecánica</v>
      </c>
      <c r="H359" s="6" t="str">
        <f aca="false">INDEX(Catalogo_Causas!$C$2:$C$10,MATCH(F359,Catalogo_Causas!$A$2:$A$10,0))</f>
        <v>Operacional</v>
      </c>
      <c r="I359" s="5" t="n">
        <v>29</v>
      </c>
      <c r="J359" s="29" t="n">
        <f aca="false">I359/60</f>
        <v>0.483333333333333</v>
      </c>
    </row>
    <row r="360" customFormat="false" ht="15" hidden="false" customHeight="false" outlineLevel="0" collapsed="false">
      <c r="A360" s="5" t="s">
        <v>1402</v>
      </c>
      <c r="B360" s="9" t="n">
        <v>45656</v>
      </c>
      <c r="C360" s="9" t="n">
        <v>45661</v>
      </c>
      <c r="D360" s="5" t="s">
        <v>142</v>
      </c>
      <c r="E360" s="5" t="s">
        <v>1051</v>
      </c>
      <c r="F360" s="5" t="s">
        <v>1009</v>
      </c>
      <c r="G360" s="6" t="str">
        <f aca="false">INDEX(Catalogo_Causas!$B$2:$B$10,MATCH(F360,Catalogo_Causas!$A$2:$A$10,0))</f>
        <v>Falta de material de empaque</v>
      </c>
      <c r="H360" s="6" t="str">
        <f aca="false">INDEX(Catalogo_Causas!$C$2:$C$10,MATCH(F360,Catalogo_Causas!$A$2:$A$10,0))</f>
        <v>Material / suministro</v>
      </c>
      <c r="I360" s="5" t="n">
        <v>198</v>
      </c>
      <c r="J360" s="29" t="n">
        <f aca="false">I360/60</f>
        <v>3.3</v>
      </c>
    </row>
    <row r="361" customFormat="false" ht="15" hidden="false" customHeight="false" outlineLevel="0" collapsed="false">
      <c r="A361" s="5" t="s">
        <v>1403</v>
      </c>
      <c r="B361" s="9" t="n">
        <v>45656</v>
      </c>
      <c r="C361" s="9" t="n">
        <v>45661</v>
      </c>
      <c r="D361" s="5" t="s">
        <v>144</v>
      </c>
      <c r="E361" s="5" t="s">
        <v>1032</v>
      </c>
      <c r="F361" s="5" t="s">
        <v>1005</v>
      </c>
      <c r="G361" s="6" t="str">
        <f aca="false">INDEX(Catalogo_Causas!$B$2:$B$10,MATCH(F361,Catalogo_Causas!$A$2:$A$10,0))</f>
        <v>Falla eléctrica / control</v>
      </c>
      <c r="H361" s="6" t="str">
        <f aca="false">INDEX(Catalogo_Causas!$C$2:$C$10,MATCH(F361,Catalogo_Causas!$A$2:$A$10,0))</f>
        <v>Operacional</v>
      </c>
      <c r="I361" s="5" t="n">
        <v>37</v>
      </c>
      <c r="J361" s="29" t="n">
        <f aca="false">I361/60</f>
        <v>0.616666666666667</v>
      </c>
    </row>
    <row r="362" customFormat="false" ht="15" hidden="false" customHeight="false" outlineLevel="0" collapsed="false">
      <c r="A362" s="5" t="s">
        <v>1404</v>
      </c>
      <c r="B362" s="9" t="n">
        <v>45656</v>
      </c>
      <c r="C362" s="9" t="n">
        <v>45661</v>
      </c>
      <c r="D362" s="5" t="s">
        <v>144</v>
      </c>
      <c r="E362" s="5" t="s">
        <v>1032</v>
      </c>
      <c r="F362" s="5" t="s">
        <v>1009</v>
      </c>
      <c r="G362" s="6" t="str">
        <f aca="false">INDEX(Catalogo_Causas!$B$2:$B$10,MATCH(F362,Catalogo_Causas!$A$2:$A$10,0))</f>
        <v>Falta de material de empaque</v>
      </c>
      <c r="H362" s="6" t="str">
        <f aca="false">INDEX(Catalogo_Causas!$C$2:$C$10,MATCH(F362,Catalogo_Causas!$A$2:$A$10,0))</f>
        <v>Material / suministro</v>
      </c>
      <c r="I362" s="5" t="n">
        <v>27</v>
      </c>
      <c r="J362" s="29" t="n">
        <f aca="false">I362/60</f>
        <v>0.45</v>
      </c>
    </row>
    <row r="363" customFormat="false" ht="15" hidden="false" customHeight="false" outlineLevel="0" collapsed="false">
      <c r="A363" s="5" t="s">
        <v>1405</v>
      </c>
      <c r="B363" s="9" t="n">
        <v>45663</v>
      </c>
      <c r="C363" s="9" t="n">
        <v>45663</v>
      </c>
      <c r="D363" s="5" t="s">
        <v>130</v>
      </c>
      <c r="E363" s="5" t="s">
        <v>1045</v>
      </c>
      <c r="F363" s="5" t="s">
        <v>1002</v>
      </c>
      <c r="G363" s="6" t="str">
        <f aca="false">INDEX(Catalogo_Causas!$B$2:$B$10,MATCH(F363,Catalogo_Causas!$A$2:$A$10,0))</f>
        <v>Falla mecánica</v>
      </c>
      <c r="H363" s="6" t="str">
        <f aca="false">INDEX(Catalogo_Causas!$C$2:$C$10,MATCH(F363,Catalogo_Causas!$A$2:$A$10,0))</f>
        <v>Operacional</v>
      </c>
      <c r="I363" s="5" t="n">
        <v>153</v>
      </c>
      <c r="J363" s="29" t="n">
        <f aca="false">I363/60</f>
        <v>2.55</v>
      </c>
    </row>
    <row r="364" customFormat="false" ht="15" hidden="false" customHeight="false" outlineLevel="0" collapsed="false">
      <c r="A364" s="5" t="s">
        <v>1406</v>
      </c>
      <c r="B364" s="9" t="n">
        <v>45663</v>
      </c>
      <c r="C364" s="9" t="n">
        <v>45663</v>
      </c>
      <c r="D364" s="5" t="s">
        <v>132</v>
      </c>
      <c r="E364" s="5" t="s">
        <v>1073</v>
      </c>
      <c r="F364" s="5" t="s">
        <v>1002</v>
      </c>
      <c r="G364" s="6" t="str">
        <f aca="false">INDEX(Catalogo_Causas!$B$2:$B$10,MATCH(F364,Catalogo_Causas!$A$2:$A$10,0))</f>
        <v>Falla mecánica</v>
      </c>
      <c r="H364" s="6" t="str">
        <f aca="false">INDEX(Catalogo_Causas!$C$2:$C$10,MATCH(F364,Catalogo_Causas!$A$2:$A$10,0))</f>
        <v>Operacional</v>
      </c>
      <c r="I364" s="5" t="n">
        <v>19</v>
      </c>
      <c r="J364" s="29" t="n">
        <f aca="false">I364/60</f>
        <v>0.316666666666667</v>
      </c>
    </row>
    <row r="365" customFormat="false" ht="15" hidden="false" customHeight="false" outlineLevel="0" collapsed="false">
      <c r="A365" s="5" t="s">
        <v>1407</v>
      </c>
      <c r="B365" s="9" t="n">
        <v>45663</v>
      </c>
      <c r="C365" s="9" t="n">
        <v>45663</v>
      </c>
      <c r="D365" s="5" t="s">
        <v>134</v>
      </c>
      <c r="E365" s="5" t="s">
        <v>1054</v>
      </c>
      <c r="F365" s="5" t="s">
        <v>1005</v>
      </c>
      <c r="G365" s="6" t="str">
        <f aca="false">INDEX(Catalogo_Causas!$B$2:$B$10,MATCH(F365,Catalogo_Causas!$A$2:$A$10,0))</f>
        <v>Falla eléctrica / control</v>
      </c>
      <c r="H365" s="6" t="str">
        <f aca="false">INDEX(Catalogo_Causas!$C$2:$C$10,MATCH(F365,Catalogo_Causas!$A$2:$A$10,0))</f>
        <v>Operacional</v>
      </c>
      <c r="I365" s="5" t="n">
        <v>69</v>
      </c>
      <c r="J365" s="29" t="n">
        <f aca="false">I365/60</f>
        <v>1.15</v>
      </c>
    </row>
    <row r="366" customFormat="false" ht="15" hidden="false" customHeight="false" outlineLevel="0" collapsed="false">
      <c r="A366" s="5" t="s">
        <v>1408</v>
      </c>
      <c r="B366" s="9" t="n">
        <v>45663</v>
      </c>
      <c r="C366" s="9" t="n">
        <v>45663</v>
      </c>
      <c r="D366" s="5" t="s">
        <v>136</v>
      </c>
      <c r="E366" s="5" t="s">
        <v>1051</v>
      </c>
      <c r="F366" s="5" t="s">
        <v>1002</v>
      </c>
      <c r="G366" s="6" t="str">
        <f aca="false">INDEX(Catalogo_Causas!$B$2:$B$10,MATCH(F366,Catalogo_Causas!$A$2:$A$10,0))</f>
        <v>Falla mecánica</v>
      </c>
      <c r="H366" s="6" t="str">
        <f aca="false">INDEX(Catalogo_Causas!$C$2:$C$10,MATCH(F366,Catalogo_Causas!$A$2:$A$10,0))</f>
        <v>Operacional</v>
      </c>
      <c r="I366" s="5" t="n">
        <v>82</v>
      </c>
      <c r="J366" s="29" t="n">
        <f aca="false">I366/60</f>
        <v>1.36666666666667</v>
      </c>
    </row>
    <row r="367" customFormat="false" ht="15" hidden="false" customHeight="false" outlineLevel="0" collapsed="false">
      <c r="A367" s="5" t="s">
        <v>1409</v>
      </c>
      <c r="B367" s="9" t="n">
        <v>45663</v>
      </c>
      <c r="C367" s="9" t="n">
        <v>45663</v>
      </c>
      <c r="D367" s="5" t="s">
        <v>138</v>
      </c>
      <c r="E367" s="5" t="s">
        <v>1056</v>
      </c>
      <c r="F367" s="5" t="s">
        <v>1007</v>
      </c>
      <c r="G367" s="6" t="str">
        <f aca="false">INDEX(Catalogo_Causas!$B$2:$B$10,MATCH(F367,Catalogo_Causas!$A$2:$A$10,0))</f>
        <v>Cambio de formato excedido</v>
      </c>
      <c r="H367" s="6" t="str">
        <f aca="false">INDEX(Catalogo_Causas!$C$2:$C$10,MATCH(F367,Catalogo_Causas!$A$2:$A$10,0))</f>
        <v>Operacional</v>
      </c>
      <c r="I367" s="5" t="n">
        <v>31</v>
      </c>
      <c r="J367" s="29" t="n">
        <f aca="false">I367/60</f>
        <v>0.516666666666667</v>
      </c>
    </row>
    <row r="368" customFormat="false" ht="15" hidden="false" customHeight="false" outlineLevel="0" collapsed="false">
      <c r="A368" s="5" t="s">
        <v>1410</v>
      </c>
      <c r="B368" s="9" t="n">
        <v>45663</v>
      </c>
      <c r="C368" s="9" t="n">
        <v>45663</v>
      </c>
      <c r="D368" s="5" t="s">
        <v>142</v>
      </c>
      <c r="E368" s="5" t="s">
        <v>1051</v>
      </c>
      <c r="F368" s="5" t="s">
        <v>1002</v>
      </c>
      <c r="G368" s="6" t="str">
        <f aca="false">INDEX(Catalogo_Causas!$B$2:$B$10,MATCH(F368,Catalogo_Causas!$A$2:$A$10,0))</f>
        <v>Falla mecánica</v>
      </c>
      <c r="H368" s="6" t="str">
        <f aca="false">INDEX(Catalogo_Causas!$C$2:$C$10,MATCH(F368,Catalogo_Causas!$A$2:$A$10,0))</f>
        <v>Operacional</v>
      </c>
      <c r="I368" s="5" t="n">
        <v>12</v>
      </c>
      <c r="J368" s="29" t="n">
        <f aca="false">I368/60</f>
        <v>0.2</v>
      </c>
    </row>
    <row r="369" customFormat="false" ht="15" hidden="false" customHeight="false" outlineLevel="0" collapsed="false">
      <c r="A369" s="5" t="s">
        <v>1411</v>
      </c>
      <c r="B369" s="9" t="n">
        <v>45663</v>
      </c>
      <c r="C369" s="9" t="n">
        <v>45663</v>
      </c>
      <c r="D369" s="5" t="s">
        <v>142</v>
      </c>
      <c r="E369" s="5" t="s">
        <v>1051</v>
      </c>
      <c r="F369" s="5" t="s">
        <v>1012</v>
      </c>
      <c r="G369" s="6" t="str">
        <f aca="false">INDEX(Catalogo_Causas!$B$2:$B$10,MATCH(F369,Catalogo_Causas!$A$2:$A$10,0))</f>
        <v>Falta de materia prima</v>
      </c>
      <c r="H369" s="6" t="str">
        <f aca="false">INDEX(Catalogo_Causas!$C$2:$C$10,MATCH(F369,Catalogo_Causas!$A$2:$A$10,0))</f>
        <v>Material / suministro</v>
      </c>
      <c r="I369" s="5" t="n">
        <v>29</v>
      </c>
      <c r="J369" s="29" t="n">
        <f aca="false">I369/60</f>
        <v>0.483333333333333</v>
      </c>
    </row>
    <row r="370" customFormat="false" ht="15" hidden="false" customHeight="false" outlineLevel="0" collapsed="false">
      <c r="A370" s="5" t="s">
        <v>1412</v>
      </c>
      <c r="B370" s="9" t="n">
        <v>45663</v>
      </c>
      <c r="C370" s="9" t="n">
        <v>45664</v>
      </c>
      <c r="D370" s="5" t="s">
        <v>134</v>
      </c>
      <c r="E370" s="5" t="s">
        <v>1030</v>
      </c>
      <c r="F370" s="5" t="s">
        <v>1002</v>
      </c>
      <c r="G370" s="6" t="str">
        <f aca="false">INDEX(Catalogo_Causas!$B$2:$B$10,MATCH(F370,Catalogo_Causas!$A$2:$A$10,0))</f>
        <v>Falla mecánica</v>
      </c>
      <c r="H370" s="6" t="str">
        <f aca="false">INDEX(Catalogo_Causas!$C$2:$C$10,MATCH(F370,Catalogo_Causas!$A$2:$A$10,0))</f>
        <v>Operacional</v>
      </c>
      <c r="I370" s="5" t="n">
        <v>131</v>
      </c>
      <c r="J370" s="29" t="n">
        <f aca="false">I370/60</f>
        <v>2.18333333333333</v>
      </c>
    </row>
    <row r="371" customFormat="false" ht="15" hidden="false" customHeight="false" outlineLevel="0" collapsed="false">
      <c r="A371" s="5" t="s">
        <v>1413</v>
      </c>
      <c r="B371" s="9" t="n">
        <v>45663</v>
      </c>
      <c r="C371" s="9" t="n">
        <v>45664</v>
      </c>
      <c r="D371" s="5" t="s">
        <v>142</v>
      </c>
      <c r="E371" s="5" t="s">
        <v>1041</v>
      </c>
      <c r="F371" s="5" t="s">
        <v>1005</v>
      </c>
      <c r="G371" s="6" t="str">
        <f aca="false">INDEX(Catalogo_Causas!$B$2:$B$10,MATCH(F371,Catalogo_Causas!$A$2:$A$10,0))</f>
        <v>Falla eléctrica / control</v>
      </c>
      <c r="H371" s="6" t="str">
        <f aca="false">INDEX(Catalogo_Causas!$C$2:$C$10,MATCH(F371,Catalogo_Causas!$A$2:$A$10,0))</f>
        <v>Operacional</v>
      </c>
      <c r="I371" s="5" t="n">
        <v>24</v>
      </c>
      <c r="J371" s="29" t="n">
        <f aca="false">I371/60</f>
        <v>0.4</v>
      </c>
    </row>
    <row r="372" customFormat="false" ht="15" hidden="false" customHeight="false" outlineLevel="0" collapsed="false">
      <c r="A372" s="5" t="s">
        <v>1414</v>
      </c>
      <c r="B372" s="9" t="n">
        <v>45663</v>
      </c>
      <c r="C372" s="9" t="n">
        <v>45664</v>
      </c>
      <c r="D372" s="5" t="s">
        <v>144</v>
      </c>
      <c r="E372" s="5" t="s">
        <v>1032</v>
      </c>
      <c r="F372" s="5" t="s">
        <v>1014</v>
      </c>
      <c r="G372" s="6" t="str">
        <f aca="false">INDEX(Catalogo_Causas!$B$2:$B$10,MATCH(F372,Catalogo_Causas!$A$2:$A$10,0))</f>
        <v>Retención de calidad</v>
      </c>
      <c r="H372" s="6" t="str">
        <f aca="false">INDEX(Catalogo_Causas!$C$2:$C$10,MATCH(F372,Catalogo_Causas!$A$2:$A$10,0))</f>
        <v>Calidad</v>
      </c>
      <c r="I372" s="5" t="n">
        <v>115</v>
      </c>
      <c r="J372" s="29" t="n">
        <f aca="false">I372/60</f>
        <v>1.91666666666667</v>
      </c>
    </row>
    <row r="373" customFormat="false" ht="15" hidden="false" customHeight="false" outlineLevel="0" collapsed="false">
      <c r="A373" s="5" t="s">
        <v>1415</v>
      </c>
      <c r="B373" s="9" t="n">
        <v>45663</v>
      </c>
      <c r="C373" s="9" t="n">
        <v>45664</v>
      </c>
      <c r="D373" s="5" t="s">
        <v>144</v>
      </c>
      <c r="E373" s="5" t="s">
        <v>1043</v>
      </c>
      <c r="F373" s="5" t="s">
        <v>1014</v>
      </c>
      <c r="G373" s="6" t="str">
        <f aca="false">INDEX(Catalogo_Causas!$B$2:$B$10,MATCH(F373,Catalogo_Causas!$A$2:$A$10,0))</f>
        <v>Retención de calidad</v>
      </c>
      <c r="H373" s="6" t="str">
        <f aca="false">INDEX(Catalogo_Causas!$C$2:$C$10,MATCH(F373,Catalogo_Causas!$A$2:$A$10,0))</f>
        <v>Calidad</v>
      </c>
      <c r="I373" s="5" t="n">
        <v>110</v>
      </c>
      <c r="J373" s="29" t="n">
        <f aca="false">I373/60</f>
        <v>1.83333333333333</v>
      </c>
    </row>
    <row r="374" customFormat="false" ht="15" hidden="false" customHeight="false" outlineLevel="0" collapsed="false">
      <c r="A374" s="5" t="s">
        <v>1416</v>
      </c>
      <c r="B374" s="9" t="n">
        <v>45663</v>
      </c>
      <c r="C374" s="9" t="n">
        <v>45665</v>
      </c>
      <c r="D374" s="5" t="s">
        <v>134</v>
      </c>
      <c r="E374" s="5" t="s">
        <v>1032</v>
      </c>
      <c r="F374" s="5" t="s">
        <v>1007</v>
      </c>
      <c r="G374" s="6" t="str">
        <f aca="false">INDEX(Catalogo_Causas!$B$2:$B$10,MATCH(F374,Catalogo_Causas!$A$2:$A$10,0))</f>
        <v>Cambio de formato excedido</v>
      </c>
      <c r="H374" s="6" t="str">
        <f aca="false">INDEX(Catalogo_Causas!$C$2:$C$10,MATCH(F374,Catalogo_Causas!$A$2:$A$10,0))</f>
        <v>Operacional</v>
      </c>
      <c r="I374" s="5" t="n">
        <v>31</v>
      </c>
      <c r="J374" s="29" t="n">
        <f aca="false">I374/60</f>
        <v>0.516666666666667</v>
      </c>
    </row>
    <row r="375" customFormat="false" ht="15" hidden="false" customHeight="false" outlineLevel="0" collapsed="false">
      <c r="A375" s="5" t="s">
        <v>1417</v>
      </c>
      <c r="B375" s="9" t="n">
        <v>45663</v>
      </c>
      <c r="C375" s="9" t="n">
        <v>45665</v>
      </c>
      <c r="D375" s="5" t="s">
        <v>142</v>
      </c>
      <c r="E375" s="5" t="s">
        <v>1051</v>
      </c>
      <c r="F375" s="5" t="s">
        <v>1002</v>
      </c>
      <c r="G375" s="6" t="str">
        <f aca="false">INDEX(Catalogo_Causas!$B$2:$B$10,MATCH(F375,Catalogo_Causas!$A$2:$A$10,0))</f>
        <v>Falla mecánica</v>
      </c>
      <c r="H375" s="6" t="str">
        <f aca="false">INDEX(Catalogo_Causas!$C$2:$C$10,MATCH(F375,Catalogo_Causas!$A$2:$A$10,0))</f>
        <v>Operacional</v>
      </c>
      <c r="I375" s="5" t="n">
        <v>17</v>
      </c>
      <c r="J375" s="29" t="n">
        <f aca="false">I375/60</f>
        <v>0.283333333333333</v>
      </c>
    </row>
    <row r="376" customFormat="false" ht="15" hidden="false" customHeight="false" outlineLevel="0" collapsed="false">
      <c r="A376" s="5" t="s">
        <v>1418</v>
      </c>
      <c r="B376" s="9" t="n">
        <v>45663</v>
      </c>
      <c r="C376" s="9" t="n">
        <v>45666</v>
      </c>
      <c r="D376" s="5" t="s">
        <v>132</v>
      </c>
      <c r="E376" s="5" t="s">
        <v>1073</v>
      </c>
      <c r="F376" s="5" t="s">
        <v>1018</v>
      </c>
      <c r="G376" s="6" t="str">
        <f aca="false">INDEX(Catalogo_Causas!$B$2:$B$10,MATCH(F376,Catalogo_Causas!$A$2:$A$10,0))</f>
        <v>Falta de personal</v>
      </c>
      <c r="H376" s="6" t="str">
        <f aca="false">INDEX(Catalogo_Causas!$C$2:$C$10,MATCH(F376,Catalogo_Causas!$A$2:$A$10,0))</f>
        <v>Personal</v>
      </c>
      <c r="I376" s="5" t="n">
        <v>50</v>
      </c>
      <c r="J376" s="29" t="n">
        <f aca="false">I376/60</f>
        <v>0.833333333333333</v>
      </c>
    </row>
    <row r="377" customFormat="false" ht="15" hidden="false" customHeight="false" outlineLevel="0" collapsed="false">
      <c r="A377" s="5" t="s">
        <v>1419</v>
      </c>
      <c r="B377" s="9" t="n">
        <v>45663</v>
      </c>
      <c r="C377" s="9" t="n">
        <v>45666</v>
      </c>
      <c r="D377" s="5" t="s">
        <v>134</v>
      </c>
      <c r="E377" s="5" t="s">
        <v>1054</v>
      </c>
      <c r="F377" s="5" t="s">
        <v>1014</v>
      </c>
      <c r="G377" s="6" t="str">
        <f aca="false">INDEX(Catalogo_Causas!$B$2:$B$10,MATCH(F377,Catalogo_Causas!$A$2:$A$10,0))</f>
        <v>Retención de calidad</v>
      </c>
      <c r="H377" s="6" t="str">
        <f aca="false">INDEX(Catalogo_Causas!$C$2:$C$10,MATCH(F377,Catalogo_Causas!$A$2:$A$10,0))</f>
        <v>Calidad</v>
      </c>
      <c r="I377" s="5" t="n">
        <v>14</v>
      </c>
      <c r="J377" s="29" t="n">
        <f aca="false">I377/60</f>
        <v>0.233333333333333</v>
      </c>
    </row>
    <row r="378" customFormat="false" ht="15" hidden="false" customHeight="false" outlineLevel="0" collapsed="false">
      <c r="A378" s="5" t="s">
        <v>1420</v>
      </c>
      <c r="B378" s="9" t="n">
        <v>45663</v>
      </c>
      <c r="C378" s="9" t="n">
        <v>45666</v>
      </c>
      <c r="D378" s="5" t="s">
        <v>138</v>
      </c>
      <c r="E378" s="5" t="s">
        <v>1056</v>
      </c>
      <c r="F378" s="5" t="s">
        <v>1002</v>
      </c>
      <c r="G378" s="6" t="str">
        <f aca="false">INDEX(Catalogo_Causas!$B$2:$B$10,MATCH(F378,Catalogo_Causas!$A$2:$A$10,0))</f>
        <v>Falla mecánica</v>
      </c>
      <c r="H378" s="6" t="str">
        <f aca="false">INDEX(Catalogo_Causas!$C$2:$C$10,MATCH(F378,Catalogo_Causas!$A$2:$A$10,0))</f>
        <v>Operacional</v>
      </c>
      <c r="I378" s="5" t="n">
        <v>84</v>
      </c>
      <c r="J378" s="29" t="n">
        <f aca="false">I378/60</f>
        <v>1.4</v>
      </c>
    </row>
    <row r="379" customFormat="false" ht="15" hidden="false" customHeight="false" outlineLevel="0" collapsed="false">
      <c r="A379" s="5" t="s">
        <v>1421</v>
      </c>
      <c r="B379" s="9" t="n">
        <v>45663</v>
      </c>
      <c r="C379" s="9" t="n">
        <v>45666</v>
      </c>
      <c r="D379" s="5" t="s">
        <v>140</v>
      </c>
      <c r="E379" s="5" t="s">
        <v>1032</v>
      </c>
      <c r="F379" s="5" t="s">
        <v>1016</v>
      </c>
      <c r="G379" s="6" t="str">
        <f aca="false">INDEX(Catalogo_Causas!$B$2:$B$10,MATCH(F379,Catalogo_Causas!$A$2:$A$10,0))</f>
        <v>Limpieza no programada (CIP)</v>
      </c>
      <c r="H379" s="6" t="str">
        <f aca="false">INDEX(Catalogo_Causas!$C$2:$C$10,MATCH(F379,Catalogo_Causas!$A$2:$A$10,0))</f>
        <v>Calidad</v>
      </c>
      <c r="I379" s="5" t="n">
        <v>22</v>
      </c>
      <c r="J379" s="29" t="n">
        <f aca="false">I379/60</f>
        <v>0.366666666666667</v>
      </c>
    </row>
    <row r="380" customFormat="false" ht="15" hidden="false" customHeight="false" outlineLevel="0" collapsed="false">
      <c r="A380" s="5" t="s">
        <v>1422</v>
      </c>
      <c r="B380" s="9" t="n">
        <v>45663</v>
      </c>
      <c r="C380" s="9" t="n">
        <v>45666</v>
      </c>
      <c r="D380" s="5" t="s">
        <v>140</v>
      </c>
      <c r="E380" s="5" t="s">
        <v>1032</v>
      </c>
      <c r="F380" s="5" t="s">
        <v>1014</v>
      </c>
      <c r="G380" s="6" t="str">
        <f aca="false">INDEX(Catalogo_Causas!$B$2:$B$10,MATCH(F380,Catalogo_Causas!$A$2:$A$10,0))</f>
        <v>Retención de calidad</v>
      </c>
      <c r="H380" s="6" t="str">
        <f aca="false">INDEX(Catalogo_Causas!$C$2:$C$10,MATCH(F380,Catalogo_Causas!$A$2:$A$10,0))</f>
        <v>Calidad</v>
      </c>
      <c r="I380" s="5" t="n">
        <v>36</v>
      </c>
      <c r="J380" s="29" t="n">
        <f aca="false">I380/60</f>
        <v>0.6</v>
      </c>
    </row>
    <row r="381" customFormat="false" ht="15" hidden="false" customHeight="false" outlineLevel="0" collapsed="false">
      <c r="A381" s="5" t="s">
        <v>1423</v>
      </c>
      <c r="B381" s="9" t="n">
        <v>45663</v>
      </c>
      <c r="C381" s="9" t="n">
        <v>45666</v>
      </c>
      <c r="D381" s="5" t="s">
        <v>144</v>
      </c>
      <c r="E381" s="5" t="s">
        <v>1043</v>
      </c>
      <c r="F381" s="5" t="s">
        <v>1007</v>
      </c>
      <c r="G381" s="6" t="str">
        <f aca="false">INDEX(Catalogo_Causas!$B$2:$B$10,MATCH(F381,Catalogo_Causas!$A$2:$A$10,0))</f>
        <v>Cambio de formato excedido</v>
      </c>
      <c r="H381" s="6" t="str">
        <f aca="false">INDEX(Catalogo_Causas!$C$2:$C$10,MATCH(F381,Catalogo_Causas!$A$2:$A$10,0))</f>
        <v>Operacional</v>
      </c>
      <c r="I381" s="5" t="n">
        <v>20</v>
      </c>
      <c r="J381" s="29" t="n">
        <f aca="false">I381/60</f>
        <v>0.333333333333333</v>
      </c>
    </row>
    <row r="382" customFormat="false" ht="15" hidden="false" customHeight="false" outlineLevel="0" collapsed="false">
      <c r="A382" s="5" t="s">
        <v>1424</v>
      </c>
      <c r="B382" s="9" t="n">
        <v>45663</v>
      </c>
      <c r="C382" s="9" t="n">
        <v>45667</v>
      </c>
      <c r="D382" s="5" t="s">
        <v>132</v>
      </c>
      <c r="E382" s="5" t="s">
        <v>1032</v>
      </c>
      <c r="F382" s="5" t="s">
        <v>1002</v>
      </c>
      <c r="G382" s="6" t="str">
        <f aca="false">INDEX(Catalogo_Causas!$B$2:$B$10,MATCH(F382,Catalogo_Causas!$A$2:$A$10,0))</f>
        <v>Falla mecánica</v>
      </c>
      <c r="H382" s="6" t="str">
        <f aca="false">INDEX(Catalogo_Causas!$C$2:$C$10,MATCH(F382,Catalogo_Causas!$A$2:$A$10,0))</f>
        <v>Operacional</v>
      </c>
      <c r="I382" s="5" t="n">
        <v>12</v>
      </c>
      <c r="J382" s="29" t="n">
        <f aca="false">I382/60</f>
        <v>0.2</v>
      </c>
    </row>
    <row r="383" customFormat="false" ht="15" hidden="false" customHeight="false" outlineLevel="0" collapsed="false">
      <c r="A383" s="5" t="s">
        <v>1425</v>
      </c>
      <c r="B383" s="9" t="n">
        <v>45663</v>
      </c>
      <c r="C383" s="9" t="n">
        <v>45667</v>
      </c>
      <c r="D383" s="5" t="s">
        <v>132</v>
      </c>
      <c r="E383" s="5" t="s">
        <v>1073</v>
      </c>
      <c r="F383" s="5" t="s">
        <v>1012</v>
      </c>
      <c r="G383" s="6" t="str">
        <f aca="false">INDEX(Catalogo_Causas!$B$2:$B$10,MATCH(F383,Catalogo_Causas!$A$2:$A$10,0))</f>
        <v>Falta de materia prima</v>
      </c>
      <c r="H383" s="6" t="str">
        <f aca="false">INDEX(Catalogo_Causas!$C$2:$C$10,MATCH(F383,Catalogo_Causas!$A$2:$A$10,0))</f>
        <v>Material / suministro</v>
      </c>
      <c r="I383" s="5" t="n">
        <v>23</v>
      </c>
      <c r="J383" s="29" t="n">
        <f aca="false">I383/60</f>
        <v>0.383333333333333</v>
      </c>
    </row>
    <row r="384" customFormat="false" ht="15" hidden="false" customHeight="false" outlineLevel="0" collapsed="false">
      <c r="A384" s="5" t="s">
        <v>1426</v>
      </c>
      <c r="B384" s="9" t="n">
        <v>45663</v>
      </c>
      <c r="C384" s="9" t="n">
        <v>45667</v>
      </c>
      <c r="D384" s="5" t="s">
        <v>134</v>
      </c>
      <c r="E384" s="5" t="s">
        <v>1032</v>
      </c>
      <c r="F384" s="5" t="s">
        <v>1012</v>
      </c>
      <c r="G384" s="6" t="str">
        <f aca="false">INDEX(Catalogo_Causas!$B$2:$B$10,MATCH(F384,Catalogo_Causas!$A$2:$A$10,0))</f>
        <v>Falta de materia prima</v>
      </c>
      <c r="H384" s="6" t="str">
        <f aca="false">INDEX(Catalogo_Causas!$C$2:$C$10,MATCH(F384,Catalogo_Causas!$A$2:$A$10,0))</f>
        <v>Material / suministro</v>
      </c>
      <c r="I384" s="5" t="n">
        <v>10</v>
      </c>
      <c r="J384" s="29" t="n">
        <f aca="false">I384/60</f>
        <v>0.166666666666667</v>
      </c>
    </row>
    <row r="385" customFormat="false" ht="15" hidden="false" customHeight="false" outlineLevel="0" collapsed="false">
      <c r="A385" s="5" t="s">
        <v>1427</v>
      </c>
      <c r="B385" s="9" t="n">
        <v>45663</v>
      </c>
      <c r="C385" s="9" t="n">
        <v>45667</v>
      </c>
      <c r="D385" s="5" t="s">
        <v>136</v>
      </c>
      <c r="E385" s="5" t="s">
        <v>1101</v>
      </c>
      <c r="F385" s="5" t="s">
        <v>1007</v>
      </c>
      <c r="G385" s="6" t="str">
        <f aca="false">INDEX(Catalogo_Causas!$B$2:$B$10,MATCH(F385,Catalogo_Causas!$A$2:$A$10,0))</f>
        <v>Cambio de formato excedido</v>
      </c>
      <c r="H385" s="6" t="str">
        <f aca="false">INDEX(Catalogo_Causas!$C$2:$C$10,MATCH(F385,Catalogo_Causas!$A$2:$A$10,0))</f>
        <v>Operacional</v>
      </c>
      <c r="I385" s="5" t="n">
        <v>79</v>
      </c>
      <c r="J385" s="29" t="n">
        <f aca="false">I385/60</f>
        <v>1.31666666666667</v>
      </c>
    </row>
    <row r="386" customFormat="false" ht="15" hidden="false" customHeight="false" outlineLevel="0" collapsed="false">
      <c r="A386" s="5" t="s">
        <v>1428</v>
      </c>
      <c r="B386" s="9" t="n">
        <v>45663</v>
      </c>
      <c r="C386" s="9" t="n">
        <v>45667</v>
      </c>
      <c r="D386" s="5" t="s">
        <v>140</v>
      </c>
      <c r="E386" s="5" t="s">
        <v>1036</v>
      </c>
      <c r="F386" s="5" t="s">
        <v>1007</v>
      </c>
      <c r="G386" s="6" t="str">
        <f aca="false">INDEX(Catalogo_Causas!$B$2:$B$10,MATCH(F386,Catalogo_Causas!$A$2:$A$10,0))</f>
        <v>Cambio de formato excedido</v>
      </c>
      <c r="H386" s="6" t="str">
        <f aca="false">INDEX(Catalogo_Causas!$C$2:$C$10,MATCH(F386,Catalogo_Causas!$A$2:$A$10,0))</f>
        <v>Operacional</v>
      </c>
      <c r="I386" s="5" t="n">
        <v>62</v>
      </c>
      <c r="J386" s="29" t="n">
        <f aca="false">I386/60</f>
        <v>1.03333333333333</v>
      </c>
    </row>
    <row r="387" customFormat="false" ht="15" hidden="false" customHeight="false" outlineLevel="0" collapsed="false">
      <c r="A387" s="5" t="s">
        <v>1429</v>
      </c>
      <c r="B387" s="9" t="n">
        <v>45663</v>
      </c>
      <c r="C387" s="9" t="n">
        <v>45668</v>
      </c>
      <c r="D387" s="5" t="s">
        <v>130</v>
      </c>
      <c r="E387" s="5" t="s">
        <v>1030</v>
      </c>
      <c r="F387" s="5" t="s">
        <v>1005</v>
      </c>
      <c r="G387" s="6" t="str">
        <f aca="false">INDEX(Catalogo_Causas!$B$2:$B$10,MATCH(F387,Catalogo_Causas!$A$2:$A$10,0))</f>
        <v>Falla eléctrica / control</v>
      </c>
      <c r="H387" s="6" t="str">
        <f aca="false">INDEX(Catalogo_Causas!$C$2:$C$10,MATCH(F387,Catalogo_Causas!$A$2:$A$10,0))</f>
        <v>Operacional</v>
      </c>
      <c r="I387" s="5" t="n">
        <v>130</v>
      </c>
      <c r="J387" s="29" t="n">
        <f aca="false">I387/60</f>
        <v>2.16666666666667</v>
      </c>
    </row>
    <row r="388" customFormat="false" ht="15" hidden="false" customHeight="false" outlineLevel="0" collapsed="false">
      <c r="A388" s="5" t="s">
        <v>1430</v>
      </c>
      <c r="B388" s="9" t="n">
        <v>45663</v>
      </c>
      <c r="C388" s="9" t="n">
        <v>45668</v>
      </c>
      <c r="D388" s="5" t="s">
        <v>138</v>
      </c>
      <c r="E388" s="5" t="s">
        <v>1039</v>
      </c>
      <c r="F388" s="5" t="s">
        <v>1005</v>
      </c>
      <c r="G388" s="6" t="str">
        <f aca="false">INDEX(Catalogo_Causas!$B$2:$B$10,MATCH(F388,Catalogo_Causas!$A$2:$A$10,0))</f>
        <v>Falla eléctrica / control</v>
      </c>
      <c r="H388" s="6" t="str">
        <f aca="false">INDEX(Catalogo_Causas!$C$2:$C$10,MATCH(F388,Catalogo_Causas!$A$2:$A$10,0))</f>
        <v>Operacional</v>
      </c>
      <c r="I388" s="5" t="n">
        <v>116</v>
      </c>
      <c r="J388" s="29" t="n">
        <f aca="false">I388/60</f>
        <v>1.93333333333333</v>
      </c>
    </row>
    <row r="389" customFormat="false" ht="15" hidden="false" customHeight="false" outlineLevel="0" collapsed="false">
      <c r="A389" s="5" t="s">
        <v>1431</v>
      </c>
      <c r="B389" s="9" t="n">
        <v>45663</v>
      </c>
      <c r="C389" s="9" t="n">
        <v>45668</v>
      </c>
      <c r="D389" s="5" t="s">
        <v>144</v>
      </c>
      <c r="E389" s="5" t="s">
        <v>1030</v>
      </c>
      <c r="F389" s="5" t="s">
        <v>1009</v>
      </c>
      <c r="G389" s="6" t="str">
        <f aca="false">INDEX(Catalogo_Causas!$B$2:$B$10,MATCH(F389,Catalogo_Causas!$A$2:$A$10,0))</f>
        <v>Falta de material de empaque</v>
      </c>
      <c r="H389" s="6" t="str">
        <f aca="false">INDEX(Catalogo_Causas!$C$2:$C$10,MATCH(F389,Catalogo_Causas!$A$2:$A$10,0))</f>
        <v>Material / suministro</v>
      </c>
      <c r="I389" s="5" t="n">
        <v>51</v>
      </c>
      <c r="J389" s="29" t="n">
        <f aca="false">I389/60</f>
        <v>0.85</v>
      </c>
    </row>
    <row r="390" customFormat="false" ht="15" hidden="false" customHeight="false" outlineLevel="0" collapsed="false">
      <c r="A390" s="5" t="s">
        <v>1432</v>
      </c>
      <c r="B390" s="9" t="n">
        <v>45663</v>
      </c>
      <c r="C390" s="9" t="n">
        <v>45668</v>
      </c>
      <c r="D390" s="5" t="s">
        <v>144</v>
      </c>
      <c r="E390" s="5" t="s">
        <v>1030</v>
      </c>
      <c r="F390" s="5" t="s">
        <v>1007</v>
      </c>
      <c r="G390" s="6" t="str">
        <f aca="false">INDEX(Catalogo_Causas!$B$2:$B$10,MATCH(F390,Catalogo_Causas!$A$2:$A$10,0))</f>
        <v>Cambio de formato excedido</v>
      </c>
      <c r="H390" s="6" t="str">
        <f aca="false">INDEX(Catalogo_Causas!$C$2:$C$10,MATCH(F390,Catalogo_Causas!$A$2:$A$10,0))</f>
        <v>Operacional</v>
      </c>
      <c r="I390" s="5" t="n">
        <v>145</v>
      </c>
      <c r="J390" s="29" t="n">
        <f aca="false">I390/60</f>
        <v>2.41666666666667</v>
      </c>
    </row>
    <row r="391" customFormat="false" ht="15" hidden="false" customHeight="false" outlineLevel="0" collapsed="false">
      <c r="A391" s="5" t="s">
        <v>1433</v>
      </c>
      <c r="B391" s="9" t="n">
        <v>45670</v>
      </c>
      <c r="C391" s="9" t="n">
        <v>45670</v>
      </c>
      <c r="D391" s="5" t="s">
        <v>132</v>
      </c>
      <c r="E391" s="5" t="s">
        <v>1084</v>
      </c>
      <c r="F391" s="5" t="s">
        <v>1009</v>
      </c>
      <c r="G391" s="6" t="str">
        <f aca="false">INDEX(Catalogo_Causas!$B$2:$B$10,MATCH(F391,Catalogo_Causas!$A$2:$A$10,0))</f>
        <v>Falta de material de empaque</v>
      </c>
      <c r="H391" s="6" t="str">
        <f aca="false">INDEX(Catalogo_Causas!$C$2:$C$10,MATCH(F391,Catalogo_Causas!$A$2:$A$10,0))</f>
        <v>Material / suministro</v>
      </c>
      <c r="I391" s="5" t="n">
        <v>65</v>
      </c>
      <c r="J391" s="29" t="n">
        <f aca="false">I391/60</f>
        <v>1.08333333333333</v>
      </c>
    </row>
    <row r="392" customFormat="false" ht="15" hidden="false" customHeight="false" outlineLevel="0" collapsed="false">
      <c r="A392" s="5" t="s">
        <v>1434</v>
      </c>
      <c r="B392" s="9" t="n">
        <v>45670</v>
      </c>
      <c r="C392" s="9" t="n">
        <v>45670</v>
      </c>
      <c r="D392" s="5" t="s">
        <v>142</v>
      </c>
      <c r="E392" s="5" t="s">
        <v>1030</v>
      </c>
      <c r="F392" s="5" t="s">
        <v>1002</v>
      </c>
      <c r="G392" s="6" t="str">
        <f aca="false">INDEX(Catalogo_Causas!$B$2:$B$10,MATCH(F392,Catalogo_Causas!$A$2:$A$10,0))</f>
        <v>Falla mecánica</v>
      </c>
      <c r="H392" s="6" t="str">
        <f aca="false">INDEX(Catalogo_Causas!$C$2:$C$10,MATCH(F392,Catalogo_Causas!$A$2:$A$10,0))</f>
        <v>Operacional</v>
      </c>
      <c r="I392" s="5" t="n">
        <v>32</v>
      </c>
      <c r="J392" s="29" t="n">
        <f aca="false">I392/60</f>
        <v>0.533333333333333</v>
      </c>
    </row>
    <row r="393" customFormat="false" ht="15" hidden="false" customHeight="false" outlineLevel="0" collapsed="false">
      <c r="A393" s="5" t="s">
        <v>1435</v>
      </c>
      <c r="B393" s="9" t="n">
        <v>45670</v>
      </c>
      <c r="C393" s="9" t="n">
        <v>45670</v>
      </c>
      <c r="D393" s="5" t="s">
        <v>142</v>
      </c>
      <c r="E393" s="5" t="s">
        <v>1051</v>
      </c>
      <c r="F393" s="5" t="s">
        <v>1002</v>
      </c>
      <c r="G393" s="6" t="str">
        <f aca="false">INDEX(Catalogo_Causas!$B$2:$B$10,MATCH(F393,Catalogo_Causas!$A$2:$A$10,0))</f>
        <v>Falla mecánica</v>
      </c>
      <c r="H393" s="6" t="str">
        <f aca="false">INDEX(Catalogo_Causas!$C$2:$C$10,MATCH(F393,Catalogo_Causas!$A$2:$A$10,0))</f>
        <v>Operacional</v>
      </c>
      <c r="I393" s="5" t="n">
        <v>62</v>
      </c>
      <c r="J393" s="29" t="n">
        <f aca="false">I393/60</f>
        <v>1.03333333333333</v>
      </c>
    </row>
    <row r="394" customFormat="false" ht="15" hidden="false" customHeight="false" outlineLevel="0" collapsed="false">
      <c r="A394" s="5" t="s">
        <v>1436</v>
      </c>
      <c r="B394" s="9" t="n">
        <v>45670</v>
      </c>
      <c r="C394" s="9" t="n">
        <v>45670</v>
      </c>
      <c r="D394" s="5" t="s">
        <v>142</v>
      </c>
      <c r="E394" s="5" t="s">
        <v>1051</v>
      </c>
      <c r="F394" s="5" t="s">
        <v>1014</v>
      </c>
      <c r="G394" s="6" t="str">
        <f aca="false">INDEX(Catalogo_Causas!$B$2:$B$10,MATCH(F394,Catalogo_Causas!$A$2:$A$10,0))</f>
        <v>Retención de calidad</v>
      </c>
      <c r="H394" s="6" t="str">
        <f aca="false">INDEX(Catalogo_Causas!$C$2:$C$10,MATCH(F394,Catalogo_Causas!$A$2:$A$10,0))</f>
        <v>Calidad</v>
      </c>
      <c r="I394" s="5" t="n">
        <v>98</v>
      </c>
      <c r="J394" s="29" t="n">
        <f aca="false">I394/60</f>
        <v>1.63333333333333</v>
      </c>
    </row>
    <row r="395" customFormat="false" ht="15" hidden="false" customHeight="false" outlineLevel="0" collapsed="false">
      <c r="A395" s="5" t="s">
        <v>1437</v>
      </c>
      <c r="B395" s="9" t="n">
        <v>45670</v>
      </c>
      <c r="C395" s="9" t="n">
        <v>45671</v>
      </c>
      <c r="D395" s="5" t="s">
        <v>130</v>
      </c>
      <c r="E395" s="5" t="s">
        <v>1030</v>
      </c>
      <c r="F395" s="5" t="s">
        <v>1002</v>
      </c>
      <c r="G395" s="6" t="str">
        <f aca="false">INDEX(Catalogo_Causas!$B$2:$B$10,MATCH(F395,Catalogo_Causas!$A$2:$A$10,0))</f>
        <v>Falla mecánica</v>
      </c>
      <c r="H395" s="6" t="str">
        <f aca="false">INDEX(Catalogo_Causas!$C$2:$C$10,MATCH(F395,Catalogo_Causas!$A$2:$A$10,0))</f>
        <v>Operacional</v>
      </c>
      <c r="I395" s="5" t="n">
        <v>32</v>
      </c>
      <c r="J395" s="29" t="n">
        <f aca="false">I395/60</f>
        <v>0.533333333333333</v>
      </c>
    </row>
    <row r="396" customFormat="false" ht="15" hidden="false" customHeight="false" outlineLevel="0" collapsed="false">
      <c r="A396" s="5" t="s">
        <v>1438</v>
      </c>
      <c r="B396" s="9" t="n">
        <v>45670</v>
      </c>
      <c r="C396" s="9" t="n">
        <v>45671</v>
      </c>
      <c r="D396" s="5" t="s">
        <v>132</v>
      </c>
      <c r="E396" s="5" t="s">
        <v>1032</v>
      </c>
      <c r="F396" s="5" t="s">
        <v>1016</v>
      </c>
      <c r="G396" s="6" t="str">
        <f aca="false">INDEX(Catalogo_Causas!$B$2:$B$10,MATCH(F396,Catalogo_Causas!$A$2:$A$10,0))</f>
        <v>Limpieza no programada (CIP)</v>
      </c>
      <c r="H396" s="6" t="str">
        <f aca="false">INDEX(Catalogo_Causas!$C$2:$C$10,MATCH(F396,Catalogo_Causas!$A$2:$A$10,0))</f>
        <v>Calidad</v>
      </c>
      <c r="I396" s="5" t="n">
        <v>74</v>
      </c>
      <c r="J396" s="29" t="n">
        <f aca="false">I396/60</f>
        <v>1.23333333333333</v>
      </c>
    </row>
    <row r="397" customFormat="false" ht="15" hidden="false" customHeight="false" outlineLevel="0" collapsed="false">
      <c r="A397" s="5" t="s">
        <v>1439</v>
      </c>
      <c r="B397" s="9" t="n">
        <v>45670</v>
      </c>
      <c r="C397" s="9" t="n">
        <v>45672</v>
      </c>
      <c r="D397" s="5" t="s">
        <v>130</v>
      </c>
      <c r="E397" s="5" t="s">
        <v>1078</v>
      </c>
      <c r="F397" s="5" t="s">
        <v>1002</v>
      </c>
      <c r="G397" s="6" t="str">
        <f aca="false">INDEX(Catalogo_Causas!$B$2:$B$10,MATCH(F397,Catalogo_Causas!$A$2:$A$10,0))</f>
        <v>Falla mecánica</v>
      </c>
      <c r="H397" s="6" t="str">
        <f aca="false">INDEX(Catalogo_Causas!$C$2:$C$10,MATCH(F397,Catalogo_Causas!$A$2:$A$10,0))</f>
        <v>Operacional</v>
      </c>
      <c r="I397" s="5" t="n">
        <v>17</v>
      </c>
      <c r="J397" s="29" t="n">
        <f aca="false">I397/60</f>
        <v>0.283333333333333</v>
      </c>
    </row>
    <row r="398" customFormat="false" ht="15" hidden="false" customHeight="false" outlineLevel="0" collapsed="false">
      <c r="A398" s="5" t="s">
        <v>1440</v>
      </c>
      <c r="B398" s="9" t="n">
        <v>45670</v>
      </c>
      <c r="C398" s="9" t="n">
        <v>45672</v>
      </c>
      <c r="D398" s="5" t="s">
        <v>132</v>
      </c>
      <c r="E398" s="5" t="s">
        <v>1084</v>
      </c>
      <c r="F398" s="5" t="s">
        <v>1002</v>
      </c>
      <c r="G398" s="6" t="str">
        <f aca="false">INDEX(Catalogo_Causas!$B$2:$B$10,MATCH(F398,Catalogo_Causas!$A$2:$A$10,0))</f>
        <v>Falla mecánica</v>
      </c>
      <c r="H398" s="6" t="str">
        <f aca="false">INDEX(Catalogo_Causas!$C$2:$C$10,MATCH(F398,Catalogo_Causas!$A$2:$A$10,0))</f>
        <v>Operacional</v>
      </c>
      <c r="I398" s="5" t="n">
        <v>114</v>
      </c>
      <c r="J398" s="29" t="n">
        <f aca="false">I398/60</f>
        <v>1.9</v>
      </c>
    </row>
    <row r="399" customFormat="false" ht="15" hidden="false" customHeight="false" outlineLevel="0" collapsed="false">
      <c r="A399" s="5" t="s">
        <v>1441</v>
      </c>
      <c r="B399" s="9" t="n">
        <v>45670</v>
      </c>
      <c r="C399" s="9" t="n">
        <v>45672</v>
      </c>
      <c r="D399" s="5" t="s">
        <v>140</v>
      </c>
      <c r="E399" s="5" t="s">
        <v>1036</v>
      </c>
      <c r="F399" s="5" t="s">
        <v>1016</v>
      </c>
      <c r="G399" s="6" t="str">
        <f aca="false">INDEX(Catalogo_Causas!$B$2:$B$10,MATCH(F399,Catalogo_Causas!$A$2:$A$10,0))</f>
        <v>Limpieza no programada (CIP)</v>
      </c>
      <c r="H399" s="6" t="str">
        <f aca="false">INDEX(Catalogo_Causas!$C$2:$C$10,MATCH(F399,Catalogo_Causas!$A$2:$A$10,0))</f>
        <v>Calidad</v>
      </c>
      <c r="I399" s="5" t="n">
        <v>39</v>
      </c>
      <c r="J399" s="29" t="n">
        <f aca="false">I399/60</f>
        <v>0.65</v>
      </c>
    </row>
    <row r="400" customFormat="false" ht="15" hidden="false" customHeight="false" outlineLevel="0" collapsed="false">
      <c r="A400" s="5" t="s">
        <v>1442</v>
      </c>
      <c r="B400" s="9" t="n">
        <v>45670</v>
      </c>
      <c r="C400" s="9" t="n">
        <v>45672</v>
      </c>
      <c r="D400" s="5" t="s">
        <v>142</v>
      </c>
      <c r="E400" s="5" t="s">
        <v>1041</v>
      </c>
      <c r="F400" s="5" t="s">
        <v>1002</v>
      </c>
      <c r="G400" s="6" t="str">
        <f aca="false">INDEX(Catalogo_Causas!$B$2:$B$10,MATCH(F400,Catalogo_Causas!$A$2:$A$10,0))</f>
        <v>Falla mecánica</v>
      </c>
      <c r="H400" s="6" t="str">
        <f aca="false">INDEX(Catalogo_Causas!$C$2:$C$10,MATCH(F400,Catalogo_Causas!$A$2:$A$10,0))</f>
        <v>Operacional</v>
      </c>
      <c r="I400" s="5" t="n">
        <v>73</v>
      </c>
      <c r="J400" s="29" t="n">
        <f aca="false">I400/60</f>
        <v>1.21666666666667</v>
      </c>
    </row>
    <row r="401" customFormat="false" ht="15" hidden="false" customHeight="false" outlineLevel="0" collapsed="false">
      <c r="A401" s="5" t="s">
        <v>1443</v>
      </c>
      <c r="B401" s="9" t="n">
        <v>45670</v>
      </c>
      <c r="C401" s="9" t="n">
        <v>45672</v>
      </c>
      <c r="D401" s="5" t="s">
        <v>144</v>
      </c>
      <c r="E401" s="5" t="s">
        <v>1032</v>
      </c>
      <c r="F401" s="5" t="s">
        <v>1005</v>
      </c>
      <c r="G401" s="6" t="str">
        <f aca="false">INDEX(Catalogo_Causas!$B$2:$B$10,MATCH(F401,Catalogo_Causas!$A$2:$A$10,0))</f>
        <v>Falla eléctrica / control</v>
      </c>
      <c r="H401" s="6" t="str">
        <f aca="false">INDEX(Catalogo_Causas!$C$2:$C$10,MATCH(F401,Catalogo_Causas!$A$2:$A$10,0))</f>
        <v>Operacional</v>
      </c>
      <c r="I401" s="5" t="n">
        <v>243</v>
      </c>
      <c r="J401" s="29" t="n">
        <f aca="false">I401/60</f>
        <v>4.05</v>
      </c>
    </row>
    <row r="402" customFormat="false" ht="15" hidden="false" customHeight="false" outlineLevel="0" collapsed="false">
      <c r="A402" s="5" t="s">
        <v>1444</v>
      </c>
      <c r="B402" s="9" t="n">
        <v>45670</v>
      </c>
      <c r="C402" s="9" t="n">
        <v>45672</v>
      </c>
      <c r="D402" s="5" t="s">
        <v>144</v>
      </c>
      <c r="E402" s="5" t="s">
        <v>1043</v>
      </c>
      <c r="F402" s="5" t="s">
        <v>1012</v>
      </c>
      <c r="G402" s="6" t="str">
        <f aca="false">INDEX(Catalogo_Causas!$B$2:$B$10,MATCH(F402,Catalogo_Causas!$A$2:$A$10,0))</f>
        <v>Falta de materia prima</v>
      </c>
      <c r="H402" s="6" t="str">
        <f aca="false">INDEX(Catalogo_Causas!$C$2:$C$10,MATCH(F402,Catalogo_Causas!$A$2:$A$10,0))</f>
        <v>Material / suministro</v>
      </c>
      <c r="I402" s="5" t="n">
        <v>14</v>
      </c>
      <c r="J402" s="29" t="n">
        <f aca="false">I402/60</f>
        <v>0.233333333333333</v>
      </c>
    </row>
    <row r="403" customFormat="false" ht="15" hidden="false" customHeight="false" outlineLevel="0" collapsed="false">
      <c r="A403" s="5" t="s">
        <v>1445</v>
      </c>
      <c r="B403" s="9" t="n">
        <v>45670</v>
      </c>
      <c r="C403" s="9" t="n">
        <v>45673</v>
      </c>
      <c r="D403" s="5" t="s">
        <v>134</v>
      </c>
      <c r="E403" s="5" t="s">
        <v>1032</v>
      </c>
      <c r="F403" s="5" t="s">
        <v>1002</v>
      </c>
      <c r="G403" s="6" t="str">
        <f aca="false">INDEX(Catalogo_Causas!$B$2:$B$10,MATCH(F403,Catalogo_Causas!$A$2:$A$10,0))</f>
        <v>Falla mecánica</v>
      </c>
      <c r="H403" s="6" t="str">
        <f aca="false">INDEX(Catalogo_Causas!$C$2:$C$10,MATCH(F403,Catalogo_Causas!$A$2:$A$10,0))</f>
        <v>Operacional</v>
      </c>
      <c r="I403" s="5" t="n">
        <v>45</v>
      </c>
      <c r="J403" s="29" t="n">
        <f aca="false">I403/60</f>
        <v>0.75</v>
      </c>
    </row>
    <row r="404" customFormat="false" ht="15" hidden="false" customHeight="false" outlineLevel="0" collapsed="false">
      <c r="A404" s="5" t="s">
        <v>1446</v>
      </c>
      <c r="B404" s="9" t="n">
        <v>45670</v>
      </c>
      <c r="C404" s="9" t="n">
        <v>45673</v>
      </c>
      <c r="D404" s="5" t="s">
        <v>138</v>
      </c>
      <c r="E404" s="5" t="s">
        <v>1056</v>
      </c>
      <c r="F404" s="5" t="s">
        <v>1009</v>
      </c>
      <c r="G404" s="6" t="str">
        <f aca="false">INDEX(Catalogo_Causas!$B$2:$B$10,MATCH(F404,Catalogo_Causas!$A$2:$A$10,0))</f>
        <v>Falta de material de empaque</v>
      </c>
      <c r="H404" s="6" t="str">
        <f aca="false">INDEX(Catalogo_Causas!$C$2:$C$10,MATCH(F404,Catalogo_Causas!$A$2:$A$10,0))</f>
        <v>Material / suministro</v>
      </c>
      <c r="I404" s="5" t="n">
        <v>74</v>
      </c>
      <c r="J404" s="29" t="n">
        <f aca="false">I404/60</f>
        <v>1.23333333333333</v>
      </c>
    </row>
    <row r="405" customFormat="false" ht="15" hidden="false" customHeight="false" outlineLevel="0" collapsed="false">
      <c r="A405" s="5" t="s">
        <v>1447</v>
      </c>
      <c r="B405" s="9" t="n">
        <v>45670</v>
      </c>
      <c r="C405" s="9" t="n">
        <v>45673</v>
      </c>
      <c r="D405" s="5" t="s">
        <v>142</v>
      </c>
      <c r="E405" s="5" t="s">
        <v>1030</v>
      </c>
      <c r="F405" s="5" t="s">
        <v>1007</v>
      </c>
      <c r="G405" s="6" t="str">
        <f aca="false">INDEX(Catalogo_Causas!$B$2:$B$10,MATCH(F405,Catalogo_Causas!$A$2:$A$10,0))</f>
        <v>Cambio de formato excedido</v>
      </c>
      <c r="H405" s="6" t="str">
        <f aca="false">INDEX(Catalogo_Causas!$C$2:$C$10,MATCH(F405,Catalogo_Causas!$A$2:$A$10,0))</f>
        <v>Operacional</v>
      </c>
      <c r="I405" s="5" t="n">
        <v>29</v>
      </c>
      <c r="J405" s="29" t="n">
        <f aca="false">I405/60</f>
        <v>0.483333333333333</v>
      </c>
    </row>
    <row r="406" customFormat="false" ht="15" hidden="false" customHeight="false" outlineLevel="0" collapsed="false">
      <c r="A406" s="5" t="s">
        <v>1448</v>
      </c>
      <c r="B406" s="9" t="n">
        <v>45670</v>
      </c>
      <c r="C406" s="9" t="n">
        <v>45673</v>
      </c>
      <c r="D406" s="5" t="s">
        <v>144</v>
      </c>
      <c r="E406" s="5" t="s">
        <v>1032</v>
      </c>
      <c r="F406" s="5" t="s">
        <v>1009</v>
      </c>
      <c r="G406" s="6" t="str">
        <f aca="false">INDEX(Catalogo_Causas!$B$2:$B$10,MATCH(F406,Catalogo_Causas!$A$2:$A$10,0))</f>
        <v>Falta de material de empaque</v>
      </c>
      <c r="H406" s="6" t="str">
        <f aca="false">INDEX(Catalogo_Causas!$C$2:$C$10,MATCH(F406,Catalogo_Causas!$A$2:$A$10,0))</f>
        <v>Material / suministro</v>
      </c>
      <c r="I406" s="5" t="n">
        <v>101</v>
      </c>
      <c r="J406" s="29" t="n">
        <f aca="false">I406/60</f>
        <v>1.68333333333333</v>
      </c>
    </row>
    <row r="407" customFormat="false" ht="15" hidden="false" customHeight="false" outlineLevel="0" collapsed="false">
      <c r="A407" s="5" t="s">
        <v>1449</v>
      </c>
      <c r="B407" s="9" t="n">
        <v>45670</v>
      </c>
      <c r="C407" s="9" t="n">
        <v>45674</v>
      </c>
      <c r="D407" s="5" t="s">
        <v>138</v>
      </c>
      <c r="E407" s="5" t="s">
        <v>1034</v>
      </c>
      <c r="F407" s="5" t="s">
        <v>1007</v>
      </c>
      <c r="G407" s="6" t="str">
        <f aca="false">INDEX(Catalogo_Causas!$B$2:$B$10,MATCH(F407,Catalogo_Causas!$A$2:$A$10,0))</f>
        <v>Cambio de formato excedido</v>
      </c>
      <c r="H407" s="6" t="str">
        <f aca="false">INDEX(Catalogo_Causas!$C$2:$C$10,MATCH(F407,Catalogo_Causas!$A$2:$A$10,0))</f>
        <v>Operacional</v>
      </c>
      <c r="I407" s="5" t="n">
        <v>49</v>
      </c>
      <c r="J407" s="29" t="n">
        <f aca="false">I407/60</f>
        <v>0.816666666666667</v>
      </c>
    </row>
    <row r="408" customFormat="false" ht="15" hidden="false" customHeight="false" outlineLevel="0" collapsed="false">
      <c r="A408" s="5" t="s">
        <v>1450</v>
      </c>
      <c r="B408" s="9" t="n">
        <v>45670</v>
      </c>
      <c r="C408" s="9" t="n">
        <v>45674</v>
      </c>
      <c r="D408" s="5" t="s">
        <v>138</v>
      </c>
      <c r="E408" s="5" t="s">
        <v>1056</v>
      </c>
      <c r="F408" s="5" t="s">
        <v>1005</v>
      </c>
      <c r="G408" s="6" t="str">
        <f aca="false">INDEX(Catalogo_Causas!$B$2:$B$10,MATCH(F408,Catalogo_Causas!$A$2:$A$10,0))</f>
        <v>Falla eléctrica / control</v>
      </c>
      <c r="H408" s="6" t="str">
        <f aca="false">INDEX(Catalogo_Causas!$C$2:$C$10,MATCH(F408,Catalogo_Causas!$A$2:$A$10,0))</f>
        <v>Operacional</v>
      </c>
      <c r="I408" s="5" t="n">
        <v>13</v>
      </c>
      <c r="J408" s="29" t="n">
        <f aca="false">I408/60</f>
        <v>0.216666666666667</v>
      </c>
    </row>
    <row r="409" customFormat="false" ht="15" hidden="false" customHeight="false" outlineLevel="0" collapsed="false">
      <c r="A409" s="5" t="s">
        <v>1451</v>
      </c>
      <c r="B409" s="9" t="n">
        <v>45670</v>
      </c>
      <c r="C409" s="9" t="n">
        <v>45675</v>
      </c>
      <c r="D409" s="5" t="s">
        <v>140</v>
      </c>
      <c r="E409" s="5" t="s">
        <v>1045</v>
      </c>
      <c r="F409" s="5" t="s">
        <v>1016</v>
      </c>
      <c r="G409" s="6" t="str">
        <f aca="false">INDEX(Catalogo_Causas!$B$2:$B$10,MATCH(F409,Catalogo_Causas!$A$2:$A$10,0))</f>
        <v>Limpieza no programada (CIP)</v>
      </c>
      <c r="H409" s="6" t="str">
        <f aca="false">INDEX(Catalogo_Causas!$C$2:$C$10,MATCH(F409,Catalogo_Causas!$A$2:$A$10,0))</f>
        <v>Calidad</v>
      </c>
      <c r="I409" s="5" t="n">
        <v>59</v>
      </c>
      <c r="J409" s="29" t="n">
        <f aca="false">I409/60</f>
        <v>0.983333333333333</v>
      </c>
    </row>
    <row r="410" customFormat="false" ht="15" hidden="false" customHeight="false" outlineLevel="0" collapsed="false">
      <c r="A410" s="5" t="s">
        <v>1452</v>
      </c>
      <c r="B410" s="9" t="n">
        <v>45670</v>
      </c>
      <c r="C410" s="9" t="n">
        <v>45675</v>
      </c>
      <c r="D410" s="5" t="s">
        <v>142</v>
      </c>
      <c r="E410" s="5" t="s">
        <v>1030</v>
      </c>
      <c r="F410" s="5" t="s">
        <v>1002</v>
      </c>
      <c r="G410" s="6" t="str">
        <f aca="false">INDEX(Catalogo_Causas!$B$2:$B$10,MATCH(F410,Catalogo_Causas!$A$2:$A$10,0))</f>
        <v>Falla mecánica</v>
      </c>
      <c r="H410" s="6" t="str">
        <f aca="false">INDEX(Catalogo_Causas!$C$2:$C$10,MATCH(F410,Catalogo_Causas!$A$2:$A$10,0))</f>
        <v>Operacional</v>
      </c>
      <c r="I410" s="5" t="n">
        <v>36</v>
      </c>
      <c r="J410" s="29" t="n">
        <f aca="false">I410/60</f>
        <v>0.6</v>
      </c>
    </row>
    <row r="411" customFormat="false" ht="15" hidden="false" customHeight="false" outlineLevel="0" collapsed="false">
      <c r="A411" s="5" t="s">
        <v>1453</v>
      </c>
      <c r="B411" s="9" t="n">
        <v>45670</v>
      </c>
      <c r="C411" s="9" t="n">
        <v>45675</v>
      </c>
      <c r="D411" s="5" t="s">
        <v>142</v>
      </c>
      <c r="E411" s="5" t="s">
        <v>1030</v>
      </c>
      <c r="F411" s="5" t="s">
        <v>1002</v>
      </c>
      <c r="G411" s="6" t="str">
        <f aca="false">INDEX(Catalogo_Causas!$B$2:$B$10,MATCH(F411,Catalogo_Causas!$A$2:$A$10,0))</f>
        <v>Falla mecánica</v>
      </c>
      <c r="H411" s="6" t="str">
        <f aca="false">INDEX(Catalogo_Causas!$C$2:$C$10,MATCH(F411,Catalogo_Causas!$A$2:$A$10,0))</f>
        <v>Operacional</v>
      </c>
      <c r="I411" s="5" t="n">
        <v>48</v>
      </c>
      <c r="J411" s="29" t="n">
        <f aca="false">I411/60</f>
        <v>0.8</v>
      </c>
    </row>
    <row r="412" customFormat="false" ht="15" hidden="false" customHeight="false" outlineLevel="0" collapsed="false">
      <c r="A412" s="5" t="s">
        <v>1454</v>
      </c>
      <c r="B412" s="9" t="n">
        <v>45670</v>
      </c>
      <c r="C412" s="9" t="n">
        <v>45675</v>
      </c>
      <c r="D412" s="5" t="s">
        <v>144</v>
      </c>
      <c r="E412" s="5" t="s">
        <v>1043</v>
      </c>
      <c r="F412" s="5" t="s">
        <v>1002</v>
      </c>
      <c r="G412" s="6" t="str">
        <f aca="false">INDEX(Catalogo_Causas!$B$2:$B$10,MATCH(F412,Catalogo_Causas!$A$2:$A$10,0))</f>
        <v>Falla mecánica</v>
      </c>
      <c r="H412" s="6" t="str">
        <f aca="false">INDEX(Catalogo_Causas!$C$2:$C$10,MATCH(F412,Catalogo_Causas!$A$2:$A$10,0))</f>
        <v>Operacional</v>
      </c>
      <c r="I412" s="5" t="n">
        <v>57</v>
      </c>
      <c r="J412" s="29" t="n">
        <f aca="false">I412/60</f>
        <v>0.95</v>
      </c>
    </row>
    <row r="413" customFormat="false" ht="15" hidden="false" customHeight="false" outlineLevel="0" collapsed="false">
      <c r="A413" s="5" t="s">
        <v>1455</v>
      </c>
      <c r="B413" s="9" t="n">
        <v>45677</v>
      </c>
      <c r="C413" s="9" t="n">
        <v>45677</v>
      </c>
      <c r="D413" s="5" t="s">
        <v>132</v>
      </c>
      <c r="E413" s="5" t="s">
        <v>1073</v>
      </c>
      <c r="F413" s="5" t="s">
        <v>1016</v>
      </c>
      <c r="G413" s="6" t="str">
        <f aca="false">INDEX(Catalogo_Causas!$B$2:$B$10,MATCH(F413,Catalogo_Causas!$A$2:$A$10,0))</f>
        <v>Limpieza no programada (CIP)</v>
      </c>
      <c r="H413" s="6" t="str">
        <f aca="false">INDEX(Catalogo_Causas!$C$2:$C$10,MATCH(F413,Catalogo_Causas!$A$2:$A$10,0))</f>
        <v>Calidad</v>
      </c>
      <c r="I413" s="5" t="n">
        <v>41</v>
      </c>
      <c r="J413" s="29" t="n">
        <f aca="false">I413/60</f>
        <v>0.683333333333333</v>
      </c>
    </row>
    <row r="414" customFormat="false" ht="15" hidden="false" customHeight="false" outlineLevel="0" collapsed="false">
      <c r="A414" s="5" t="s">
        <v>1456</v>
      </c>
      <c r="B414" s="9" t="n">
        <v>45677</v>
      </c>
      <c r="C414" s="9" t="n">
        <v>45677</v>
      </c>
      <c r="D414" s="5" t="s">
        <v>136</v>
      </c>
      <c r="E414" s="5" t="s">
        <v>1032</v>
      </c>
      <c r="F414" s="5" t="s">
        <v>1012</v>
      </c>
      <c r="G414" s="6" t="str">
        <f aca="false">INDEX(Catalogo_Causas!$B$2:$B$10,MATCH(F414,Catalogo_Causas!$A$2:$A$10,0))</f>
        <v>Falta de materia prima</v>
      </c>
      <c r="H414" s="6" t="str">
        <f aca="false">INDEX(Catalogo_Causas!$C$2:$C$10,MATCH(F414,Catalogo_Causas!$A$2:$A$10,0))</f>
        <v>Material / suministro</v>
      </c>
      <c r="I414" s="5" t="n">
        <v>49</v>
      </c>
      <c r="J414" s="29" t="n">
        <f aca="false">I414/60</f>
        <v>0.816666666666667</v>
      </c>
    </row>
    <row r="415" customFormat="false" ht="15" hidden="false" customHeight="false" outlineLevel="0" collapsed="false">
      <c r="A415" s="5" t="s">
        <v>1457</v>
      </c>
      <c r="B415" s="9" t="n">
        <v>45677</v>
      </c>
      <c r="C415" s="9" t="n">
        <v>45677</v>
      </c>
      <c r="D415" s="5" t="s">
        <v>136</v>
      </c>
      <c r="E415" s="5" t="s">
        <v>1101</v>
      </c>
      <c r="F415" s="5" t="s">
        <v>1018</v>
      </c>
      <c r="G415" s="6" t="str">
        <f aca="false">INDEX(Catalogo_Causas!$B$2:$B$10,MATCH(F415,Catalogo_Causas!$A$2:$A$10,0))</f>
        <v>Falta de personal</v>
      </c>
      <c r="H415" s="6" t="str">
        <f aca="false">INDEX(Catalogo_Causas!$C$2:$C$10,MATCH(F415,Catalogo_Causas!$A$2:$A$10,0))</f>
        <v>Personal</v>
      </c>
      <c r="I415" s="5" t="n">
        <v>37</v>
      </c>
      <c r="J415" s="29" t="n">
        <f aca="false">I415/60</f>
        <v>0.616666666666667</v>
      </c>
    </row>
    <row r="416" customFormat="false" ht="15" hidden="false" customHeight="false" outlineLevel="0" collapsed="false">
      <c r="A416" s="5" t="s">
        <v>1458</v>
      </c>
      <c r="B416" s="9" t="n">
        <v>45677</v>
      </c>
      <c r="C416" s="9" t="n">
        <v>45677</v>
      </c>
      <c r="D416" s="5" t="s">
        <v>142</v>
      </c>
      <c r="E416" s="5" t="s">
        <v>1030</v>
      </c>
      <c r="F416" s="5" t="s">
        <v>1005</v>
      </c>
      <c r="G416" s="6" t="str">
        <f aca="false">INDEX(Catalogo_Causas!$B$2:$B$10,MATCH(F416,Catalogo_Causas!$A$2:$A$10,0))</f>
        <v>Falla eléctrica / control</v>
      </c>
      <c r="H416" s="6" t="str">
        <f aca="false">INDEX(Catalogo_Causas!$C$2:$C$10,MATCH(F416,Catalogo_Causas!$A$2:$A$10,0))</f>
        <v>Operacional</v>
      </c>
      <c r="I416" s="5" t="n">
        <v>181</v>
      </c>
      <c r="J416" s="29" t="n">
        <f aca="false">I416/60</f>
        <v>3.01666666666667</v>
      </c>
    </row>
    <row r="417" customFormat="false" ht="15" hidden="false" customHeight="false" outlineLevel="0" collapsed="false">
      <c r="A417" s="5" t="s">
        <v>1459</v>
      </c>
      <c r="B417" s="9" t="n">
        <v>45677</v>
      </c>
      <c r="C417" s="9" t="n">
        <v>45678</v>
      </c>
      <c r="D417" s="5" t="s">
        <v>132</v>
      </c>
      <c r="E417" s="5" t="s">
        <v>1073</v>
      </c>
      <c r="F417" s="5" t="s">
        <v>1005</v>
      </c>
      <c r="G417" s="6" t="str">
        <f aca="false">INDEX(Catalogo_Causas!$B$2:$B$10,MATCH(F417,Catalogo_Causas!$A$2:$A$10,0))</f>
        <v>Falla eléctrica / control</v>
      </c>
      <c r="H417" s="6" t="str">
        <f aca="false">INDEX(Catalogo_Causas!$C$2:$C$10,MATCH(F417,Catalogo_Causas!$A$2:$A$10,0))</f>
        <v>Operacional</v>
      </c>
      <c r="I417" s="5" t="n">
        <v>36</v>
      </c>
      <c r="J417" s="29" t="n">
        <f aca="false">I417/60</f>
        <v>0.6</v>
      </c>
    </row>
    <row r="418" customFormat="false" ht="15" hidden="false" customHeight="false" outlineLevel="0" collapsed="false">
      <c r="A418" s="5" t="s">
        <v>1460</v>
      </c>
      <c r="B418" s="9" t="n">
        <v>45677</v>
      </c>
      <c r="C418" s="9" t="n">
        <v>45679</v>
      </c>
      <c r="D418" s="5" t="s">
        <v>140</v>
      </c>
      <c r="E418" s="5" t="s">
        <v>1032</v>
      </c>
      <c r="F418" s="5" t="s">
        <v>1002</v>
      </c>
      <c r="G418" s="6" t="str">
        <f aca="false">INDEX(Catalogo_Causas!$B$2:$B$10,MATCH(F418,Catalogo_Causas!$A$2:$A$10,0))</f>
        <v>Falla mecánica</v>
      </c>
      <c r="H418" s="6" t="str">
        <f aca="false">INDEX(Catalogo_Causas!$C$2:$C$10,MATCH(F418,Catalogo_Causas!$A$2:$A$10,0))</f>
        <v>Operacional</v>
      </c>
      <c r="I418" s="5" t="n">
        <v>42</v>
      </c>
      <c r="J418" s="29" t="n">
        <f aca="false">I418/60</f>
        <v>0.7</v>
      </c>
    </row>
    <row r="419" customFormat="false" ht="15" hidden="false" customHeight="false" outlineLevel="0" collapsed="false">
      <c r="A419" s="5" t="s">
        <v>1461</v>
      </c>
      <c r="B419" s="9" t="n">
        <v>45677</v>
      </c>
      <c r="C419" s="9" t="n">
        <v>45679</v>
      </c>
      <c r="D419" s="5" t="s">
        <v>140</v>
      </c>
      <c r="E419" s="5" t="s">
        <v>1036</v>
      </c>
      <c r="F419" s="5" t="s">
        <v>1014</v>
      </c>
      <c r="G419" s="6" t="str">
        <f aca="false">INDEX(Catalogo_Causas!$B$2:$B$10,MATCH(F419,Catalogo_Causas!$A$2:$A$10,0))</f>
        <v>Retención de calidad</v>
      </c>
      <c r="H419" s="6" t="str">
        <f aca="false">INDEX(Catalogo_Causas!$C$2:$C$10,MATCH(F419,Catalogo_Causas!$A$2:$A$10,0))</f>
        <v>Calidad</v>
      </c>
      <c r="I419" s="5" t="n">
        <v>11</v>
      </c>
      <c r="J419" s="29" t="n">
        <f aca="false">I419/60</f>
        <v>0.183333333333333</v>
      </c>
    </row>
    <row r="420" customFormat="false" ht="15" hidden="false" customHeight="false" outlineLevel="0" collapsed="false">
      <c r="A420" s="5" t="s">
        <v>1462</v>
      </c>
      <c r="B420" s="9" t="n">
        <v>45677</v>
      </c>
      <c r="C420" s="9" t="n">
        <v>45679</v>
      </c>
      <c r="D420" s="5" t="s">
        <v>140</v>
      </c>
      <c r="E420" s="5" t="s">
        <v>1045</v>
      </c>
      <c r="F420" s="5" t="s">
        <v>1007</v>
      </c>
      <c r="G420" s="6" t="str">
        <f aca="false">INDEX(Catalogo_Causas!$B$2:$B$10,MATCH(F420,Catalogo_Causas!$A$2:$A$10,0))</f>
        <v>Cambio de formato excedido</v>
      </c>
      <c r="H420" s="6" t="str">
        <f aca="false">INDEX(Catalogo_Causas!$C$2:$C$10,MATCH(F420,Catalogo_Causas!$A$2:$A$10,0))</f>
        <v>Operacional</v>
      </c>
      <c r="I420" s="5" t="n">
        <v>53</v>
      </c>
      <c r="J420" s="29" t="n">
        <f aca="false">I420/60</f>
        <v>0.883333333333333</v>
      </c>
    </row>
    <row r="421" customFormat="false" ht="15" hidden="false" customHeight="false" outlineLevel="0" collapsed="false">
      <c r="A421" s="5" t="s">
        <v>1463</v>
      </c>
      <c r="B421" s="9" t="n">
        <v>45677</v>
      </c>
      <c r="C421" s="9" t="n">
        <v>45679</v>
      </c>
      <c r="D421" s="5" t="s">
        <v>144</v>
      </c>
      <c r="E421" s="5" t="s">
        <v>1030</v>
      </c>
      <c r="F421" s="5" t="s">
        <v>1009</v>
      </c>
      <c r="G421" s="6" t="str">
        <f aca="false">INDEX(Catalogo_Causas!$B$2:$B$10,MATCH(F421,Catalogo_Causas!$A$2:$A$10,0))</f>
        <v>Falta de material de empaque</v>
      </c>
      <c r="H421" s="6" t="str">
        <f aca="false">INDEX(Catalogo_Causas!$C$2:$C$10,MATCH(F421,Catalogo_Causas!$A$2:$A$10,0))</f>
        <v>Material / suministro</v>
      </c>
      <c r="I421" s="5" t="n">
        <v>83</v>
      </c>
      <c r="J421" s="29" t="n">
        <f aca="false">I421/60</f>
        <v>1.38333333333333</v>
      </c>
    </row>
    <row r="422" customFormat="false" ht="15" hidden="false" customHeight="false" outlineLevel="0" collapsed="false">
      <c r="A422" s="5" t="s">
        <v>1464</v>
      </c>
      <c r="B422" s="9" t="n">
        <v>45677</v>
      </c>
      <c r="C422" s="9" t="n">
        <v>45680</v>
      </c>
      <c r="D422" s="5" t="s">
        <v>132</v>
      </c>
      <c r="E422" s="5" t="s">
        <v>1032</v>
      </c>
      <c r="F422" s="5" t="s">
        <v>1002</v>
      </c>
      <c r="G422" s="6" t="str">
        <f aca="false">INDEX(Catalogo_Causas!$B$2:$B$10,MATCH(F422,Catalogo_Causas!$A$2:$A$10,0))</f>
        <v>Falla mecánica</v>
      </c>
      <c r="H422" s="6" t="str">
        <f aca="false">INDEX(Catalogo_Causas!$C$2:$C$10,MATCH(F422,Catalogo_Causas!$A$2:$A$10,0))</f>
        <v>Operacional</v>
      </c>
      <c r="I422" s="5" t="n">
        <v>50</v>
      </c>
      <c r="J422" s="29" t="n">
        <f aca="false">I422/60</f>
        <v>0.833333333333333</v>
      </c>
    </row>
    <row r="423" customFormat="false" ht="15" hidden="false" customHeight="false" outlineLevel="0" collapsed="false">
      <c r="A423" s="5" t="s">
        <v>1465</v>
      </c>
      <c r="B423" s="9" t="n">
        <v>45677</v>
      </c>
      <c r="C423" s="9" t="n">
        <v>45680</v>
      </c>
      <c r="D423" s="5" t="s">
        <v>134</v>
      </c>
      <c r="E423" s="5" t="s">
        <v>1030</v>
      </c>
      <c r="F423" s="5" t="s">
        <v>1018</v>
      </c>
      <c r="G423" s="6" t="str">
        <f aca="false">INDEX(Catalogo_Causas!$B$2:$B$10,MATCH(F423,Catalogo_Causas!$A$2:$A$10,0))</f>
        <v>Falta de personal</v>
      </c>
      <c r="H423" s="6" t="str">
        <f aca="false">INDEX(Catalogo_Causas!$C$2:$C$10,MATCH(F423,Catalogo_Causas!$A$2:$A$10,0))</f>
        <v>Personal</v>
      </c>
      <c r="I423" s="5" t="n">
        <v>33</v>
      </c>
      <c r="J423" s="29" t="n">
        <f aca="false">I423/60</f>
        <v>0.55</v>
      </c>
    </row>
    <row r="424" customFormat="false" ht="15" hidden="false" customHeight="false" outlineLevel="0" collapsed="false">
      <c r="A424" s="5" t="s">
        <v>1466</v>
      </c>
      <c r="B424" s="9" t="n">
        <v>45677</v>
      </c>
      <c r="C424" s="9" t="n">
        <v>45680</v>
      </c>
      <c r="D424" s="5" t="s">
        <v>138</v>
      </c>
      <c r="E424" s="5" t="s">
        <v>1056</v>
      </c>
      <c r="F424" s="5" t="s">
        <v>1002</v>
      </c>
      <c r="G424" s="6" t="str">
        <f aca="false">INDEX(Catalogo_Causas!$B$2:$B$10,MATCH(F424,Catalogo_Causas!$A$2:$A$10,0))</f>
        <v>Falla mecánica</v>
      </c>
      <c r="H424" s="6" t="str">
        <f aca="false">INDEX(Catalogo_Causas!$C$2:$C$10,MATCH(F424,Catalogo_Causas!$A$2:$A$10,0))</f>
        <v>Operacional</v>
      </c>
      <c r="I424" s="5" t="n">
        <v>10</v>
      </c>
      <c r="J424" s="29" t="n">
        <f aca="false">I424/60</f>
        <v>0.166666666666667</v>
      </c>
    </row>
    <row r="425" customFormat="false" ht="15" hidden="false" customHeight="false" outlineLevel="0" collapsed="false">
      <c r="A425" s="5" t="s">
        <v>1467</v>
      </c>
      <c r="B425" s="9" t="n">
        <v>45677</v>
      </c>
      <c r="C425" s="9" t="n">
        <v>45680</v>
      </c>
      <c r="D425" s="5" t="s">
        <v>142</v>
      </c>
      <c r="E425" s="5" t="s">
        <v>1041</v>
      </c>
      <c r="F425" s="5" t="s">
        <v>1014</v>
      </c>
      <c r="G425" s="6" t="str">
        <f aca="false">INDEX(Catalogo_Causas!$B$2:$B$10,MATCH(F425,Catalogo_Causas!$A$2:$A$10,0))</f>
        <v>Retención de calidad</v>
      </c>
      <c r="H425" s="6" t="str">
        <f aca="false">INDEX(Catalogo_Causas!$C$2:$C$10,MATCH(F425,Catalogo_Causas!$A$2:$A$10,0))</f>
        <v>Calidad</v>
      </c>
      <c r="I425" s="5" t="n">
        <v>154</v>
      </c>
      <c r="J425" s="29" t="n">
        <f aca="false">I425/60</f>
        <v>2.56666666666667</v>
      </c>
    </row>
    <row r="426" customFormat="false" ht="15" hidden="false" customHeight="false" outlineLevel="0" collapsed="false">
      <c r="A426" s="5" t="s">
        <v>1468</v>
      </c>
      <c r="B426" s="9" t="n">
        <v>45677</v>
      </c>
      <c r="C426" s="9" t="n">
        <v>45681</v>
      </c>
      <c r="D426" s="5" t="s">
        <v>130</v>
      </c>
      <c r="E426" s="5" t="s">
        <v>1045</v>
      </c>
      <c r="F426" s="5" t="s">
        <v>1012</v>
      </c>
      <c r="G426" s="6" t="str">
        <f aca="false">INDEX(Catalogo_Causas!$B$2:$B$10,MATCH(F426,Catalogo_Causas!$A$2:$A$10,0))</f>
        <v>Falta de materia prima</v>
      </c>
      <c r="H426" s="6" t="str">
        <f aca="false">INDEX(Catalogo_Causas!$C$2:$C$10,MATCH(F426,Catalogo_Causas!$A$2:$A$10,0))</f>
        <v>Material / suministro</v>
      </c>
      <c r="I426" s="5" t="n">
        <v>49</v>
      </c>
      <c r="J426" s="29" t="n">
        <f aca="false">I426/60</f>
        <v>0.816666666666667</v>
      </c>
    </row>
    <row r="427" customFormat="false" ht="15" hidden="false" customHeight="false" outlineLevel="0" collapsed="false">
      <c r="A427" s="5" t="s">
        <v>1469</v>
      </c>
      <c r="B427" s="9" t="n">
        <v>45677</v>
      </c>
      <c r="C427" s="9" t="n">
        <v>45681</v>
      </c>
      <c r="D427" s="5" t="s">
        <v>138</v>
      </c>
      <c r="E427" s="5" t="s">
        <v>1056</v>
      </c>
      <c r="F427" s="5" t="s">
        <v>1007</v>
      </c>
      <c r="G427" s="6" t="str">
        <f aca="false">INDEX(Catalogo_Causas!$B$2:$B$10,MATCH(F427,Catalogo_Causas!$A$2:$A$10,0))</f>
        <v>Cambio de formato excedido</v>
      </c>
      <c r="H427" s="6" t="str">
        <f aca="false">INDEX(Catalogo_Causas!$C$2:$C$10,MATCH(F427,Catalogo_Causas!$A$2:$A$10,0))</f>
        <v>Operacional</v>
      </c>
      <c r="I427" s="5" t="n">
        <v>52</v>
      </c>
      <c r="J427" s="29" t="n">
        <f aca="false">I427/60</f>
        <v>0.866666666666667</v>
      </c>
    </row>
    <row r="428" customFormat="false" ht="15" hidden="false" customHeight="false" outlineLevel="0" collapsed="false">
      <c r="A428" s="5" t="s">
        <v>1470</v>
      </c>
      <c r="B428" s="9" t="n">
        <v>45677</v>
      </c>
      <c r="C428" s="9" t="n">
        <v>45682</v>
      </c>
      <c r="D428" s="5" t="s">
        <v>130</v>
      </c>
      <c r="E428" s="5" t="s">
        <v>1078</v>
      </c>
      <c r="F428" s="5" t="s">
        <v>1014</v>
      </c>
      <c r="G428" s="6" t="str">
        <f aca="false">INDEX(Catalogo_Causas!$B$2:$B$10,MATCH(F428,Catalogo_Causas!$A$2:$A$10,0))</f>
        <v>Retención de calidad</v>
      </c>
      <c r="H428" s="6" t="str">
        <f aca="false">INDEX(Catalogo_Causas!$C$2:$C$10,MATCH(F428,Catalogo_Causas!$A$2:$A$10,0))</f>
        <v>Calidad</v>
      </c>
      <c r="I428" s="5" t="n">
        <v>58</v>
      </c>
      <c r="J428" s="29" t="n">
        <f aca="false">I428/60</f>
        <v>0.966666666666667</v>
      </c>
    </row>
    <row r="429" customFormat="false" ht="15" hidden="false" customHeight="false" outlineLevel="0" collapsed="false">
      <c r="A429" s="5" t="s">
        <v>1471</v>
      </c>
      <c r="B429" s="9" t="n">
        <v>45677</v>
      </c>
      <c r="C429" s="9" t="n">
        <v>45682</v>
      </c>
      <c r="D429" s="5" t="s">
        <v>134</v>
      </c>
      <c r="E429" s="5" t="s">
        <v>1054</v>
      </c>
      <c r="F429" s="5" t="s">
        <v>1007</v>
      </c>
      <c r="G429" s="6" t="str">
        <f aca="false">INDEX(Catalogo_Causas!$B$2:$B$10,MATCH(F429,Catalogo_Causas!$A$2:$A$10,0))</f>
        <v>Cambio de formato excedido</v>
      </c>
      <c r="H429" s="6" t="str">
        <f aca="false">INDEX(Catalogo_Causas!$C$2:$C$10,MATCH(F429,Catalogo_Causas!$A$2:$A$10,0))</f>
        <v>Operacional</v>
      </c>
      <c r="I429" s="5" t="n">
        <v>143</v>
      </c>
      <c r="J429" s="29" t="n">
        <f aca="false">I429/60</f>
        <v>2.38333333333333</v>
      </c>
    </row>
    <row r="430" customFormat="false" ht="15" hidden="false" customHeight="false" outlineLevel="0" collapsed="false">
      <c r="A430" s="5" t="s">
        <v>1472</v>
      </c>
      <c r="B430" s="9" t="n">
        <v>45677</v>
      </c>
      <c r="C430" s="9" t="n">
        <v>45682</v>
      </c>
      <c r="D430" s="5" t="s">
        <v>134</v>
      </c>
      <c r="E430" s="5" t="s">
        <v>1054</v>
      </c>
      <c r="F430" s="5" t="s">
        <v>1012</v>
      </c>
      <c r="G430" s="6" t="str">
        <f aca="false">INDEX(Catalogo_Causas!$B$2:$B$10,MATCH(F430,Catalogo_Causas!$A$2:$A$10,0))</f>
        <v>Falta de materia prima</v>
      </c>
      <c r="H430" s="6" t="str">
        <f aca="false">INDEX(Catalogo_Causas!$C$2:$C$10,MATCH(F430,Catalogo_Causas!$A$2:$A$10,0))</f>
        <v>Material / suministro</v>
      </c>
      <c r="I430" s="5" t="n">
        <v>27</v>
      </c>
      <c r="J430" s="29" t="n">
        <f aca="false">I430/60</f>
        <v>0.45</v>
      </c>
    </row>
    <row r="431" customFormat="false" ht="15" hidden="false" customHeight="false" outlineLevel="0" collapsed="false">
      <c r="A431" s="5" t="s">
        <v>1473</v>
      </c>
      <c r="B431" s="9" t="n">
        <v>45684</v>
      </c>
      <c r="C431" s="9" t="n">
        <v>45684</v>
      </c>
      <c r="D431" s="5" t="s">
        <v>132</v>
      </c>
      <c r="E431" s="5" t="s">
        <v>1073</v>
      </c>
      <c r="F431" s="5" t="s">
        <v>1021</v>
      </c>
      <c r="G431" s="6" t="str">
        <f aca="false">INDEX(Catalogo_Causas!$B$2:$B$10,MATCH(F431,Catalogo_Causas!$A$2:$A$10,0))</f>
        <v>Falla de servicios (vapor/amoniaco/aire)</v>
      </c>
      <c r="H431" s="6" t="str">
        <f aca="false">INDEX(Catalogo_Causas!$C$2:$C$10,MATCH(F431,Catalogo_Causas!$A$2:$A$10,0))</f>
        <v>Servicios</v>
      </c>
      <c r="I431" s="5" t="n">
        <v>83</v>
      </c>
      <c r="J431" s="29" t="n">
        <f aca="false">I431/60</f>
        <v>1.38333333333333</v>
      </c>
    </row>
    <row r="432" customFormat="false" ht="15" hidden="false" customHeight="false" outlineLevel="0" collapsed="false">
      <c r="A432" s="5" t="s">
        <v>1474</v>
      </c>
      <c r="B432" s="9" t="n">
        <v>45684</v>
      </c>
      <c r="C432" s="9" t="n">
        <v>45684</v>
      </c>
      <c r="D432" s="5" t="s">
        <v>134</v>
      </c>
      <c r="E432" s="5" t="s">
        <v>1054</v>
      </c>
      <c r="F432" s="5" t="s">
        <v>1005</v>
      </c>
      <c r="G432" s="6" t="str">
        <f aca="false">INDEX(Catalogo_Causas!$B$2:$B$10,MATCH(F432,Catalogo_Causas!$A$2:$A$10,0))</f>
        <v>Falla eléctrica / control</v>
      </c>
      <c r="H432" s="6" t="str">
        <f aca="false">INDEX(Catalogo_Causas!$C$2:$C$10,MATCH(F432,Catalogo_Causas!$A$2:$A$10,0))</f>
        <v>Operacional</v>
      </c>
      <c r="I432" s="5" t="n">
        <v>93</v>
      </c>
      <c r="J432" s="29" t="n">
        <f aca="false">I432/60</f>
        <v>1.55</v>
      </c>
    </row>
    <row r="433" customFormat="false" ht="15" hidden="false" customHeight="false" outlineLevel="0" collapsed="false">
      <c r="A433" s="5" t="s">
        <v>1475</v>
      </c>
      <c r="B433" s="9" t="n">
        <v>45684</v>
      </c>
      <c r="C433" s="9" t="n">
        <v>45684</v>
      </c>
      <c r="D433" s="5" t="s">
        <v>136</v>
      </c>
      <c r="E433" s="5" t="s">
        <v>1051</v>
      </c>
      <c r="F433" s="5" t="s">
        <v>1002</v>
      </c>
      <c r="G433" s="6" t="str">
        <f aca="false">INDEX(Catalogo_Causas!$B$2:$B$10,MATCH(F433,Catalogo_Causas!$A$2:$A$10,0))</f>
        <v>Falla mecánica</v>
      </c>
      <c r="H433" s="6" t="str">
        <f aca="false">INDEX(Catalogo_Causas!$C$2:$C$10,MATCH(F433,Catalogo_Causas!$A$2:$A$10,0))</f>
        <v>Operacional</v>
      </c>
      <c r="I433" s="5" t="n">
        <v>36</v>
      </c>
      <c r="J433" s="29" t="n">
        <f aca="false">I433/60</f>
        <v>0.6</v>
      </c>
    </row>
    <row r="434" customFormat="false" ht="15" hidden="false" customHeight="false" outlineLevel="0" collapsed="false">
      <c r="A434" s="5" t="s">
        <v>1476</v>
      </c>
      <c r="B434" s="9" t="n">
        <v>45684</v>
      </c>
      <c r="C434" s="9" t="n">
        <v>45684</v>
      </c>
      <c r="D434" s="5" t="s">
        <v>138</v>
      </c>
      <c r="E434" s="5" t="s">
        <v>1056</v>
      </c>
      <c r="F434" s="5" t="s">
        <v>1005</v>
      </c>
      <c r="G434" s="6" t="str">
        <f aca="false">INDEX(Catalogo_Causas!$B$2:$B$10,MATCH(F434,Catalogo_Causas!$A$2:$A$10,0))</f>
        <v>Falla eléctrica / control</v>
      </c>
      <c r="H434" s="6" t="str">
        <f aca="false">INDEX(Catalogo_Causas!$C$2:$C$10,MATCH(F434,Catalogo_Causas!$A$2:$A$10,0))</f>
        <v>Operacional</v>
      </c>
      <c r="I434" s="5" t="n">
        <v>29</v>
      </c>
      <c r="J434" s="29" t="n">
        <f aca="false">I434/60</f>
        <v>0.483333333333333</v>
      </c>
    </row>
    <row r="435" customFormat="false" ht="15" hidden="false" customHeight="false" outlineLevel="0" collapsed="false">
      <c r="A435" s="5" t="s">
        <v>1477</v>
      </c>
      <c r="B435" s="9" t="n">
        <v>45684</v>
      </c>
      <c r="C435" s="9" t="n">
        <v>45685</v>
      </c>
      <c r="D435" s="5" t="s">
        <v>132</v>
      </c>
      <c r="E435" s="5" t="s">
        <v>1073</v>
      </c>
      <c r="F435" s="5" t="s">
        <v>1018</v>
      </c>
      <c r="G435" s="6" t="str">
        <f aca="false">INDEX(Catalogo_Causas!$B$2:$B$10,MATCH(F435,Catalogo_Causas!$A$2:$A$10,0))</f>
        <v>Falta de personal</v>
      </c>
      <c r="H435" s="6" t="str">
        <f aca="false">INDEX(Catalogo_Causas!$C$2:$C$10,MATCH(F435,Catalogo_Causas!$A$2:$A$10,0))</f>
        <v>Personal</v>
      </c>
      <c r="I435" s="5" t="n">
        <v>75</v>
      </c>
      <c r="J435" s="29" t="n">
        <f aca="false">I435/60</f>
        <v>1.25</v>
      </c>
    </row>
    <row r="436" customFormat="false" ht="15" hidden="false" customHeight="false" outlineLevel="0" collapsed="false">
      <c r="A436" s="5" t="s">
        <v>1478</v>
      </c>
      <c r="B436" s="9" t="n">
        <v>45684</v>
      </c>
      <c r="C436" s="9" t="n">
        <v>45685</v>
      </c>
      <c r="D436" s="5" t="s">
        <v>132</v>
      </c>
      <c r="E436" s="5" t="s">
        <v>1084</v>
      </c>
      <c r="F436" s="5" t="s">
        <v>1002</v>
      </c>
      <c r="G436" s="6" t="str">
        <f aca="false">INDEX(Catalogo_Causas!$B$2:$B$10,MATCH(F436,Catalogo_Causas!$A$2:$A$10,0))</f>
        <v>Falla mecánica</v>
      </c>
      <c r="H436" s="6" t="str">
        <f aca="false">INDEX(Catalogo_Causas!$C$2:$C$10,MATCH(F436,Catalogo_Causas!$A$2:$A$10,0))</f>
        <v>Operacional</v>
      </c>
      <c r="I436" s="5" t="n">
        <v>11</v>
      </c>
      <c r="J436" s="29" t="n">
        <f aca="false">I436/60</f>
        <v>0.183333333333333</v>
      </c>
    </row>
    <row r="437" customFormat="false" ht="15" hidden="false" customHeight="false" outlineLevel="0" collapsed="false">
      <c r="A437" s="5" t="s">
        <v>1479</v>
      </c>
      <c r="B437" s="9" t="n">
        <v>45684</v>
      </c>
      <c r="C437" s="9" t="n">
        <v>45686</v>
      </c>
      <c r="D437" s="5" t="s">
        <v>132</v>
      </c>
      <c r="E437" s="5" t="s">
        <v>1073</v>
      </c>
      <c r="F437" s="5" t="s">
        <v>1007</v>
      </c>
      <c r="G437" s="6" t="str">
        <f aca="false">INDEX(Catalogo_Causas!$B$2:$B$10,MATCH(F437,Catalogo_Causas!$A$2:$A$10,0))</f>
        <v>Cambio de formato excedido</v>
      </c>
      <c r="H437" s="6" t="str">
        <f aca="false">INDEX(Catalogo_Causas!$C$2:$C$10,MATCH(F437,Catalogo_Causas!$A$2:$A$10,0))</f>
        <v>Operacional</v>
      </c>
      <c r="I437" s="5" t="n">
        <v>28</v>
      </c>
      <c r="J437" s="29" t="n">
        <f aca="false">I437/60</f>
        <v>0.466666666666667</v>
      </c>
    </row>
    <row r="438" customFormat="false" ht="15" hidden="false" customHeight="false" outlineLevel="0" collapsed="false">
      <c r="A438" s="5" t="s">
        <v>1480</v>
      </c>
      <c r="B438" s="9" t="n">
        <v>45684</v>
      </c>
      <c r="C438" s="9" t="n">
        <v>45686</v>
      </c>
      <c r="D438" s="5" t="s">
        <v>134</v>
      </c>
      <c r="E438" s="5" t="s">
        <v>1054</v>
      </c>
      <c r="F438" s="5" t="s">
        <v>1002</v>
      </c>
      <c r="G438" s="6" t="str">
        <f aca="false">INDEX(Catalogo_Causas!$B$2:$B$10,MATCH(F438,Catalogo_Causas!$A$2:$A$10,0))</f>
        <v>Falla mecánica</v>
      </c>
      <c r="H438" s="6" t="str">
        <f aca="false">INDEX(Catalogo_Causas!$C$2:$C$10,MATCH(F438,Catalogo_Causas!$A$2:$A$10,0))</f>
        <v>Operacional</v>
      </c>
      <c r="I438" s="5" t="n">
        <v>69</v>
      </c>
      <c r="J438" s="29" t="n">
        <f aca="false">I438/60</f>
        <v>1.15</v>
      </c>
    </row>
    <row r="439" customFormat="false" ht="15" hidden="false" customHeight="false" outlineLevel="0" collapsed="false">
      <c r="A439" s="5" t="s">
        <v>1481</v>
      </c>
      <c r="B439" s="9" t="n">
        <v>45684</v>
      </c>
      <c r="C439" s="9" t="n">
        <v>45686</v>
      </c>
      <c r="D439" s="5" t="s">
        <v>136</v>
      </c>
      <c r="E439" s="5" t="s">
        <v>1101</v>
      </c>
      <c r="F439" s="5" t="s">
        <v>1005</v>
      </c>
      <c r="G439" s="6" t="str">
        <f aca="false">INDEX(Catalogo_Causas!$B$2:$B$10,MATCH(F439,Catalogo_Causas!$A$2:$A$10,0))</f>
        <v>Falla eléctrica / control</v>
      </c>
      <c r="H439" s="6" t="str">
        <f aca="false">INDEX(Catalogo_Causas!$C$2:$C$10,MATCH(F439,Catalogo_Causas!$A$2:$A$10,0))</f>
        <v>Operacional</v>
      </c>
      <c r="I439" s="5" t="n">
        <v>71</v>
      </c>
      <c r="J439" s="29" t="n">
        <f aca="false">I439/60</f>
        <v>1.18333333333333</v>
      </c>
    </row>
    <row r="440" customFormat="false" ht="15" hidden="false" customHeight="false" outlineLevel="0" collapsed="false">
      <c r="A440" s="5" t="s">
        <v>1482</v>
      </c>
      <c r="B440" s="9" t="n">
        <v>45684</v>
      </c>
      <c r="C440" s="9" t="n">
        <v>45686</v>
      </c>
      <c r="D440" s="5" t="s">
        <v>136</v>
      </c>
      <c r="E440" s="5" t="s">
        <v>1051</v>
      </c>
      <c r="F440" s="5" t="s">
        <v>1002</v>
      </c>
      <c r="G440" s="6" t="str">
        <f aca="false">INDEX(Catalogo_Causas!$B$2:$B$10,MATCH(F440,Catalogo_Causas!$A$2:$A$10,0))</f>
        <v>Falla mecánica</v>
      </c>
      <c r="H440" s="6" t="str">
        <f aca="false">INDEX(Catalogo_Causas!$C$2:$C$10,MATCH(F440,Catalogo_Causas!$A$2:$A$10,0))</f>
        <v>Operacional</v>
      </c>
      <c r="I440" s="5" t="n">
        <v>69</v>
      </c>
      <c r="J440" s="29" t="n">
        <f aca="false">I440/60</f>
        <v>1.15</v>
      </c>
    </row>
    <row r="441" customFormat="false" ht="15" hidden="false" customHeight="false" outlineLevel="0" collapsed="false">
      <c r="A441" s="5" t="s">
        <v>1483</v>
      </c>
      <c r="B441" s="9" t="n">
        <v>45684</v>
      </c>
      <c r="C441" s="9" t="n">
        <v>45686</v>
      </c>
      <c r="D441" s="5" t="s">
        <v>136</v>
      </c>
      <c r="E441" s="5" t="s">
        <v>1032</v>
      </c>
      <c r="F441" s="5" t="s">
        <v>1007</v>
      </c>
      <c r="G441" s="6" t="str">
        <f aca="false">INDEX(Catalogo_Causas!$B$2:$B$10,MATCH(F441,Catalogo_Causas!$A$2:$A$10,0))</f>
        <v>Cambio de formato excedido</v>
      </c>
      <c r="H441" s="6" t="str">
        <f aca="false">INDEX(Catalogo_Causas!$C$2:$C$10,MATCH(F441,Catalogo_Causas!$A$2:$A$10,0))</f>
        <v>Operacional</v>
      </c>
      <c r="I441" s="5" t="n">
        <v>139</v>
      </c>
      <c r="J441" s="29" t="n">
        <f aca="false">I441/60</f>
        <v>2.31666666666667</v>
      </c>
    </row>
    <row r="442" customFormat="false" ht="15" hidden="false" customHeight="false" outlineLevel="0" collapsed="false">
      <c r="A442" s="5" t="s">
        <v>1484</v>
      </c>
      <c r="B442" s="9" t="n">
        <v>45684</v>
      </c>
      <c r="C442" s="9" t="n">
        <v>45686</v>
      </c>
      <c r="D442" s="5" t="s">
        <v>138</v>
      </c>
      <c r="E442" s="5" t="s">
        <v>1056</v>
      </c>
      <c r="F442" s="5" t="s">
        <v>1007</v>
      </c>
      <c r="G442" s="6" t="str">
        <f aca="false">INDEX(Catalogo_Causas!$B$2:$B$10,MATCH(F442,Catalogo_Causas!$A$2:$A$10,0))</f>
        <v>Cambio de formato excedido</v>
      </c>
      <c r="H442" s="6" t="str">
        <f aca="false">INDEX(Catalogo_Causas!$C$2:$C$10,MATCH(F442,Catalogo_Causas!$A$2:$A$10,0))</f>
        <v>Operacional</v>
      </c>
      <c r="I442" s="5" t="n">
        <v>18</v>
      </c>
      <c r="J442" s="29" t="n">
        <f aca="false">I442/60</f>
        <v>0.3</v>
      </c>
    </row>
    <row r="443" customFormat="false" ht="15" hidden="false" customHeight="false" outlineLevel="0" collapsed="false">
      <c r="A443" s="5" t="s">
        <v>1485</v>
      </c>
      <c r="B443" s="9" t="n">
        <v>45684</v>
      </c>
      <c r="C443" s="9" t="n">
        <v>45686</v>
      </c>
      <c r="D443" s="5" t="s">
        <v>144</v>
      </c>
      <c r="E443" s="5" t="s">
        <v>1030</v>
      </c>
      <c r="F443" s="5" t="s">
        <v>1009</v>
      </c>
      <c r="G443" s="6" t="str">
        <f aca="false">INDEX(Catalogo_Causas!$B$2:$B$10,MATCH(F443,Catalogo_Causas!$A$2:$A$10,0))</f>
        <v>Falta de material de empaque</v>
      </c>
      <c r="H443" s="6" t="str">
        <f aca="false">INDEX(Catalogo_Causas!$C$2:$C$10,MATCH(F443,Catalogo_Causas!$A$2:$A$10,0))</f>
        <v>Material / suministro</v>
      </c>
      <c r="I443" s="5" t="n">
        <v>49</v>
      </c>
      <c r="J443" s="29" t="n">
        <f aca="false">I443/60</f>
        <v>0.816666666666667</v>
      </c>
    </row>
    <row r="444" customFormat="false" ht="15" hidden="false" customHeight="false" outlineLevel="0" collapsed="false">
      <c r="A444" s="5" t="s">
        <v>1486</v>
      </c>
      <c r="B444" s="9" t="n">
        <v>45684</v>
      </c>
      <c r="C444" s="9" t="n">
        <v>45687</v>
      </c>
      <c r="D444" s="5" t="s">
        <v>134</v>
      </c>
      <c r="E444" s="5" t="s">
        <v>1032</v>
      </c>
      <c r="F444" s="5" t="s">
        <v>1012</v>
      </c>
      <c r="G444" s="6" t="str">
        <f aca="false">INDEX(Catalogo_Causas!$B$2:$B$10,MATCH(F444,Catalogo_Causas!$A$2:$A$10,0))</f>
        <v>Falta de materia prima</v>
      </c>
      <c r="H444" s="6" t="str">
        <f aca="false">INDEX(Catalogo_Causas!$C$2:$C$10,MATCH(F444,Catalogo_Causas!$A$2:$A$10,0))</f>
        <v>Material / suministro</v>
      </c>
      <c r="I444" s="5" t="n">
        <v>36</v>
      </c>
      <c r="J444" s="29" t="n">
        <f aca="false">I444/60</f>
        <v>0.6</v>
      </c>
    </row>
    <row r="445" customFormat="false" ht="15" hidden="false" customHeight="false" outlineLevel="0" collapsed="false">
      <c r="A445" s="5" t="s">
        <v>1487</v>
      </c>
      <c r="B445" s="9" t="n">
        <v>45684</v>
      </c>
      <c r="C445" s="9" t="n">
        <v>45687</v>
      </c>
      <c r="D445" s="5" t="s">
        <v>138</v>
      </c>
      <c r="E445" s="5" t="s">
        <v>1039</v>
      </c>
      <c r="F445" s="5" t="s">
        <v>1021</v>
      </c>
      <c r="G445" s="6" t="str">
        <f aca="false">INDEX(Catalogo_Causas!$B$2:$B$10,MATCH(F445,Catalogo_Causas!$A$2:$A$10,0))</f>
        <v>Falla de servicios (vapor/amoniaco/aire)</v>
      </c>
      <c r="H445" s="6" t="str">
        <f aca="false">INDEX(Catalogo_Causas!$C$2:$C$10,MATCH(F445,Catalogo_Causas!$A$2:$A$10,0))</f>
        <v>Servicios</v>
      </c>
      <c r="I445" s="5" t="n">
        <v>84</v>
      </c>
      <c r="J445" s="29" t="n">
        <f aca="false">I445/60</f>
        <v>1.4</v>
      </c>
    </row>
    <row r="446" customFormat="false" ht="15" hidden="false" customHeight="false" outlineLevel="0" collapsed="false">
      <c r="A446" s="5" t="s">
        <v>1488</v>
      </c>
      <c r="B446" s="9" t="n">
        <v>45684</v>
      </c>
      <c r="C446" s="9" t="n">
        <v>45687</v>
      </c>
      <c r="D446" s="5" t="s">
        <v>140</v>
      </c>
      <c r="E446" s="5" t="s">
        <v>1036</v>
      </c>
      <c r="F446" s="5" t="s">
        <v>1005</v>
      </c>
      <c r="G446" s="6" t="str">
        <f aca="false">INDEX(Catalogo_Causas!$B$2:$B$10,MATCH(F446,Catalogo_Causas!$A$2:$A$10,0))</f>
        <v>Falla eléctrica / control</v>
      </c>
      <c r="H446" s="6" t="str">
        <f aca="false">INDEX(Catalogo_Causas!$C$2:$C$10,MATCH(F446,Catalogo_Causas!$A$2:$A$10,0))</f>
        <v>Operacional</v>
      </c>
      <c r="I446" s="5" t="n">
        <v>13</v>
      </c>
      <c r="J446" s="29" t="n">
        <f aca="false">I446/60</f>
        <v>0.216666666666667</v>
      </c>
    </row>
    <row r="447" customFormat="false" ht="15" hidden="false" customHeight="false" outlineLevel="0" collapsed="false">
      <c r="A447" s="5" t="s">
        <v>1489</v>
      </c>
      <c r="B447" s="9" t="n">
        <v>45684</v>
      </c>
      <c r="C447" s="9" t="n">
        <v>45687</v>
      </c>
      <c r="D447" s="5" t="s">
        <v>142</v>
      </c>
      <c r="E447" s="5" t="s">
        <v>1041</v>
      </c>
      <c r="F447" s="5" t="s">
        <v>1018</v>
      </c>
      <c r="G447" s="6" t="str">
        <f aca="false">INDEX(Catalogo_Causas!$B$2:$B$10,MATCH(F447,Catalogo_Causas!$A$2:$A$10,0))</f>
        <v>Falta de personal</v>
      </c>
      <c r="H447" s="6" t="str">
        <f aca="false">INDEX(Catalogo_Causas!$C$2:$C$10,MATCH(F447,Catalogo_Causas!$A$2:$A$10,0))</f>
        <v>Personal</v>
      </c>
      <c r="I447" s="5" t="n">
        <v>15</v>
      </c>
      <c r="J447" s="29" t="n">
        <f aca="false">I447/60</f>
        <v>0.25</v>
      </c>
    </row>
    <row r="448" customFormat="false" ht="15" hidden="false" customHeight="false" outlineLevel="0" collapsed="false">
      <c r="A448" s="5" t="s">
        <v>1490</v>
      </c>
      <c r="B448" s="9" t="n">
        <v>45684</v>
      </c>
      <c r="C448" s="9" t="n">
        <v>45688</v>
      </c>
      <c r="D448" s="5" t="s">
        <v>134</v>
      </c>
      <c r="E448" s="5" t="s">
        <v>1032</v>
      </c>
      <c r="F448" s="5" t="s">
        <v>1009</v>
      </c>
      <c r="G448" s="6" t="str">
        <f aca="false">INDEX(Catalogo_Causas!$B$2:$B$10,MATCH(F448,Catalogo_Causas!$A$2:$A$10,0))</f>
        <v>Falta de material de empaque</v>
      </c>
      <c r="H448" s="6" t="str">
        <f aca="false">INDEX(Catalogo_Causas!$C$2:$C$10,MATCH(F448,Catalogo_Causas!$A$2:$A$10,0))</f>
        <v>Material / suministro</v>
      </c>
      <c r="I448" s="5" t="n">
        <v>15</v>
      </c>
      <c r="J448" s="29" t="n">
        <f aca="false">I448/60</f>
        <v>0.25</v>
      </c>
    </row>
    <row r="449" customFormat="false" ht="15" hidden="false" customHeight="false" outlineLevel="0" collapsed="false">
      <c r="A449" s="5" t="s">
        <v>1491</v>
      </c>
      <c r="B449" s="9" t="n">
        <v>45684</v>
      </c>
      <c r="C449" s="9" t="n">
        <v>45688</v>
      </c>
      <c r="D449" s="5" t="s">
        <v>142</v>
      </c>
      <c r="E449" s="5" t="s">
        <v>1051</v>
      </c>
      <c r="F449" s="5" t="s">
        <v>1002</v>
      </c>
      <c r="G449" s="6" t="str">
        <f aca="false">INDEX(Catalogo_Causas!$B$2:$B$10,MATCH(F449,Catalogo_Causas!$A$2:$A$10,0))</f>
        <v>Falla mecánica</v>
      </c>
      <c r="H449" s="6" t="str">
        <f aca="false">INDEX(Catalogo_Causas!$C$2:$C$10,MATCH(F449,Catalogo_Causas!$A$2:$A$10,0))</f>
        <v>Operacional</v>
      </c>
      <c r="I449" s="5" t="n">
        <v>69</v>
      </c>
      <c r="J449" s="29" t="n">
        <f aca="false">I449/60</f>
        <v>1.15</v>
      </c>
    </row>
    <row r="450" customFormat="false" ht="15" hidden="false" customHeight="false" outlineLevel="0" collapsed="false">
      <c r="A450" s="5" t="s">
        <v>1492</v>
      </c>
      <c r="B450" s="9" t="n">
        <v>45684</v>
      </c>
      <c r="C450" s="9" t="n">
        <v>45689</v>
      </c>
      <c r="D450" s="5" t="s">
        <v>130</v>
      </c>
      <c r="E450" s="5" t="s">
        <v>1045</v>
      </c>
      <c r="F450" s="5" t="s">
        <v>1018</v>
      </c>
      <c r="G450" s="6" t="str">
        <f aca="false">INDEX(Catalogo_Causas!$B$2:$B$10,MATCH(F450,Catalogo_Causas!$A$2:$A$10,0))</f>
        <v>Falta de personal</v>
      </c>
      <c r="H450" s="6" t="str">
        <f aca="false">INDEX(Catalogo_Causas!$C$2:$C$10,MATCH(F450,Catalogo_Causas!$A$2:$A$10,0))</f>
        <v>Personal</v>
      </c>
      <c r="I450" s="5" t="n">
        <v>24</v>
      </c>
      <c r="J450" s="29" t="n">
        <f aca="false">I450/60</f>
        <v>0.4</v>
      </c>
    </row>
    <row r="451" customFormat="false" ht="15" hidden="false" customHeight="false" outlineLevel="0" collapsed="false">
      <c r="A451" s="5" t="s">
        <v>1493</v>
      </c>
      <c r="B451" s="9" t="n">
        <v>45684</v>
      </c>
      <c r="C451" s="9" t="n">
        <v>45689</v>
      </c>
      <c r="D451" s="5" t="s">
        <v>140</v>
      </c>
      <c r="E451" s="5" t="s">
        <v>1036</v>
      </c>
      <c r="F451" s="5" t="s">
        <v>1007</v>
      </c>
      <c r="G451" s="6" t="str">
        <f aca="false">INDEX(Catalogo_Causas!$B$2:$B$10,MATCH(F451,Catalogo_Causas!$A$2:$A$10,0))</f>
        <v>Cambio de formato excedido</v>
      </c>
      <c r="H451" s="6" t="str">
        <f aca="false">INDEX(Catalogo_Causas!$C$2:$C$10,MATCH(F451,Catalogo_Causas!$A$2:$A$10,0))</f>
        <v>Operacional</v>
      </c>
      <c r="I451" s="5" t="n">
        <v>27</v>
      </c>
      <c r="J451" s="29" t="n">
        <f aca="false">I451/60</f>
        <v>0.45</v>
      </c>
    </row>
    <row r="452" customFormat="false" ht="15" hidden="false" customHeight="false" outlineLevel="0" collapsed="false">
      <c r="A452" s="5" t="s">
        <v>1494</v>
      </c>
      <c r="B452" s="9" t="n">
        <v>45684</v>
      </c>
      <c r="C452" s="9" t="n">
        <v>45689</v>
      </c>
      <c r="D452" s="5" t="s">
        <v>142</v>
      </c>
      <c r="E452" s="5" t="s">
        <v>1030</v>
      </c>
      <c r="F452" s="5" t="s">
        <v>1014</v>
      </c>
      <c r="G452" s="6" t="str">
        <f aca="false">INDEX(Catalogo_Causas!$B$2:$B$10,MATCH(F452,Catalogo_Causas!$A$2:$A$10,0))</f>
        <v>Retención de calidad</v>
      </c>
      <c r="H452" s="6" t="str">
        <f aca="false">INDEX(Catalogo_Causas!$C$2:$C$10,MATCH(F452,Catalogo_Causas!$A$2:$A$10,0))</f>
        <v>Calidad</v>
      </c>
      <c r="I452" s="5" t="n">
        <v>43</v>
      </c>
      <c r="J452" s="29" t="n">
        <f aca="false">I452/60</f>
        <v>0.716666666666667</v>
      </c>
    </row>
    <row r="453" customFormat="false" ht="15" hidden="false" customHeight="false" outlineLevel="0" collapsed="false">
      <c r="A453" s="5" t="s">
        <v>1495</v>
      </c>
      <c r="B453" s="9" t="n">
        <v>45684</v>
      </c>
      <c r="C453" s="9" t="n">
        <v>45689</v>
      </c>
      <c r="D453" s="5" t="s">
        <v>144</v>
      </c>
      <c r="E453" s="5" t="s">
        <v>1043</v>
      </c>
      <c r="F453" s="5" t="s">
        <v>1005</v>
      </c>
      <c r="G453" s="6" t="str">
        <f aca="false">INDEX(Catalogo_Causas!$B$2:$B$10,MATCH(F453,Catalogo_Causas!$A$2:$A$10,0))</f>
        <v>Falla eléctrica / control</v>
      </c>
      <c r="H453" s="6" t="str">
        <f aca="false">INDEX(Catalogo_Causas!$C$2:$C$10,MATCH(F453,Catalogo_Causas!$A$2:$A$10,0))</f>
        <v>Operacional</v>
      </c>
      <c r="I453" s="5" t="n">
        <v>131</v>
      </c>
      <c r="J453" s="29" t="n">
        <f aca="false">I453/60</f>
        <v>2.18333333333333</v>
      </c>
    </row>
    <row r="454" customFormat="false" ht="15" hidden="false" customHeight="false" outlineLevel="0" collapsed="false">
      <c r="A454" s="5" t="s">
        <v>1496</v>
      </c>
      <c r="B454" s="9" t="n">
        <v>45691</v>
      </c>
      <c r="C454" s="9" t="n">
        <v>45691</v>
      </c>
      <c r="D454" s="5" t="s">
        <v>130</v>
      </c>
      <c r="E454" s="5" t="s">
        <v>1078</v>
      </c>
      <c r="F454" s="5" t="s">
        <v>1014</v>
      </c>
      <c r="G454" s="6" t="str">
        <f aca="false">INDEX(Catalogo_Causas!$B$2:$B$10,MATCH(F454,Catalogo_Causas!$A$2:$A$10,0))</f>
        <v>Retención de calidad</v>
      </c>
      <c r="H454" s="6" t="str">
        <f aca="false">INDEX(Catalogo_Causas!$C$2:$C$10,MATCH(F454,Catalogo_Causas!$A$2:$A$10,0))</f>
        <v>Calidad</v>
      </c>
      <c r="I454" s="5" t="n">
        <v>49</v>
      </c>
      <c r="J454" s="29" t="n">
        <f aca="false">I454/60</f>
        <v>0.816666666666667</v>
      </c>
    </row>
    <row r="455" customFormat="false" ht="15" hidden="false" customHeight="false" outlineLevel="0" collapsed="false">
      <c r="A455" s="5" t="s">
        <v>1497</v>
      </c>
      <c r="B455" s="9" t="n">
        <v>45691</v>
      </c>
      <c r="C455" s="9" t="n">
        <v>45691</v>
      </c>
      <c r="D455" s="5" t="s">
        <v>132</v>
      </c>
      <c r="E455" s="5" t="s">
        <v>1073</v>
      </c>
      <c r="F455" s="5" t="s">
        <v>1021</v>
      </c>
      <c r="G455" s="6" t="str">
        <f aca="false">INDEX(Catalogo_Causas!$B$2:$B$10,MATCH(F455,Catalogo_Causas!$A$2:$A$10,0))</f>
        <v>Falla de servicios (vapor/amoniaco/aire)</v>
      </c>
      <c r="H455" s="6" t="str">
        <f aca="false">INDEX(Catalogo_Causas!$C$2:$C$10,MATCH(F455,Catalogo_Causas!$A$2:$A$10,0))</f>
        <v>Servicios</v>
      </c>
      <c r="I455" s="5" t="n">
        <v>81</v>
      </c>
      <c r="J455" s="29" t="n">
        <f aca="false">I455/60</f>
        <v>1.35</v>
      </c>
    </row>
    <row r="456" customFormat="false" ht="15" hidden="false" customHeight="false" outlineLevel="0" collapsed="false">
      <c r="A456" s="5" t="s">
        <v>1498</v>
      </c>
      <c r="B456" s="9" t="n">
        <v>45691</v>
      </c>
      <c r="C456" s="9" t="n">
        <v>45691</v>
      </c>
      <c r="D456" s="5" t="s">
        <v>136</v>
      </c>
      <c r="E456" s="5" t="s">
        <v>1032</v>
      </c>
      <c r="F456" s="5" t="s">
        <v>1014</v>
      </c>
      <c r="G456" s="6" t="str">
        <f aca="false">INDEX(Catalogo_Causas!$B$2:$B$10,MATCH(F456,Catalogo_Causas!$A$2:$A$10,0))</f>
        <v>Retención de calidad</v>
      </c>
      <c r="H456" s="6" t="str">
        <f aca="false">INDEX(Catalogo_Causas!$C$2:$C$10,MATCH(F456,Catalogo_Causas!$A$2:$A$10,0))</f>
        <v>Calidad</v>
      </c>
      <c r="I456" s="5" t="n">
        <v>32</v>
      </c>
      <c r="J456" s="29" t="n">
        <f aca="false">I456/60</f>
        <v>0.533333333333333</v>
      </c>
    </row>
    <row r="457" customFormat="false" ht="15" hidden="false" customHeight="false" outlineLevel="0" collapsed="false">
      <c r="A457" s="5" t="s">
        <v>1499</v>
      </c>
      <c r="B457" s="9" t="n">
        <v>45691</v>
      </c>
      <c r="C457" s="9" t="n">
        <v>45691</v>
      </c>
      <c r="D457" s="5" t="s">
        <v>136</v>
      </c>
      <c r="E457" s="5" t="s">
        <v>1101</v>
      </c>
      <c r="F457" s="5" t="s">
        <v>1002</v>
      </c>
      <c r="G457" s="6" t="str">
        <f aca="false">INDEX(Catalogo_Causas!$B$2:$B$10,MATCH(F457,Catalogo_Causas!$A$2:$A$10,0))</f>
        <v>Falla mecánica</v>
      </c>
      <c r="H457" s="6" t="str">
        <f aca="false">INDEX(Catalogo_Causas!$C$2:$C$10,MATCH(F457,Catalogo_Causas!$A$2:$A$10,0))</f>
        <v>Operacional</v>
      </c>
      <c r="I457" s="5" t="n">
        <v>45</v>
      </c>
      <c r="J457" s="29" t="n">
        <f aca="false">I457/60</f>
        <v>0.75</v>
      </c>
    </row>
    <row r="458" customFormat="false" ht="15" hidden="false" customHeight="false" outlineLevel="0" collapsed="false">
      <c r="A458" s="5" t="s">
        <v>1500</v>
      </c>
      <c r="B458" s="9" t="n">
        <v>45691</v>
      </c>
      <c r="C458" s="9" t="n">
        <v>45691</v>
      </c>
      <c r="D458" s="5" t="s">
        <v>144</v>
      </c>
      <c r="E458" s="5" t="s">
        <v>1043</v>
      </c>
      <c r="F458" s="5" t="s">
        <v>1005</v>
      </c>
      <c r="G458" s="6" t="str">
        <f aca="false">INDEX(Catalogo_Causas!$B$2:$B$10,MATCH(F458,Catalogo_Causas!$A$2:$A$10,0))</f>
        <v>Falla eléctrica / control</v>
      </c>
      <c r="H458" s="6" t="str">
        <f aca="false">INDEX(Catalogo_Causas!$C$2:$C$10,MATCH(F458,Catalogo_Causas!$A$2:$A$10,0))</f>
        <v>Operacional</v>
      </c>
      <c r="I458" s="5" t="n">
        <v>25</v>
      </c>
      <c r="J458" s="29" t="n">
        <f aca="false">I458/60</f>
        <v>0.416666666666667</v>
      </c>
    </row>
    <row r="459" customFormat="false" ht="15" hidden="false" customHeight="false" outlineLevel="0" collapsed="false">
      <c r="A459" s="5" t="s">
        <v>1501</v>
      </c>
      <c r="B459" s="9" t="n">
        <v>45691</v>
      </c>
      <c r="C459" s="9" t="n">
        <v>45692</v>
      </c>
      <c r="D459" s="5" t="s">
        <v>140</v>
      </c>
      <c r="E459" s="5" t="s">
        <v>1032</v>
      </c>
      <c r="F459" s="5" t="s">
        <v>1002</v>
      </c>
      <c r="G459" s="6" t="str">
        <f aca="false">INDEX(Catalogo_Causas!$B$2:$B$10,MATCH(F459,Catalogo_Causas!$A$2:$A$10,0))</f>
        <v>Falla mecánica</v>
      </c>
      <c r="H459" s="6" t="str">
        <f aca="false">INDEX(Catalogo_Causas!$C$2:$C$10,MATCH(F459,Catalogo_Causas!$A$2:$A$10,0))</f>
        <v>Operacional</v>
      </c>
      <c r="I459" s="5" t="n">
        <v>62</v>
      </c>
      <c r="J459" s="29" t="n">
        <f aca="false">I459/60</f>
        <v>1.03333333333333</v>
      </c>
    </row>
    <row r="460" customFormat="false" ht="15" hidden="false" customHeight="false" outlineLevel="0" collapsed="false">
      <c r="A460" s="5" t="s">
        <v>1502</v>
      </c>
      <c r="B460" s="9" t="n">
        <v>45691</v>
      </c>
      <c r="C460" s="9" t="n">
        <v>45692</v>
      </c>
      <c r="D460" s="5" t="s">
        <v>140</v>
      </c>
      <c r="E460" s="5" t="s">
        <v>1045</v>
      </c>
      <c r="F460" s="5" t="s">
        <v>1009</v>
      </c>
      <c r="G460" s="6" t="str">
        <f aca="false">INDEX(Catalogo_Causas!$B$2:$B$10,MATCH(F460,Catalogo_Causas!$A$2:$A$10,0))</f>
        <v>Falta de material de empaque</v>
      </c>
      <c r="H460" s="6" t="str">
        <f aca="false">INDEX(Catalogo_Causas!$C$2:$C$10,MATCH(F460,Catalogo_Causas!$A$2:$A$10,0))</f>
        <v>Material / suministro</v>
      </c>
      <c r="I460" s="5" t="n">
        <v>14</v>
      </c>
      <c r="J460" s="29" t="n">
        <f aca="false">I460/60</f>
        <v>0.233333333333333</v>
      </c>
    </row>
    <row r="461" customFormat="false" ht="15" hidden="false" customHeight="false" outlineLevel="0" collapsed="false">
      <c r="A461" s="5" t="s">
        <v>1503</v>
      </c>
      <c r="B461" s="9" t="n">
        <v>45691</v>
      </c>
      <c r="C461" s="9" t="n">
        <v>45692</v>
      </c>
      <c r="D461" s="5" t="s">
        <v>142</v>
      </c>
      <c r="E461" s="5" t="s">
        <v>1051</v>
      </c>
      <c r="F461" s="5" t="s">
        <v>1012</v>
      </c>
      <c r="G461" s="6" t="str">
        <f aca="false">INDEX(Catalogo_Causas!$B$2:$B$10,MATCH(F461,Catalogo_Causas!$A$2:$A$10,0))</f>
        <v>Falta de materia prima</v>
      </c>
      <c r="H461" s="6" t="str">
        <f aca="false">INDEX(Catalogo_Causas!$C$2:$C$10,MATCH(F461,Catalogo_Causas!$A$2:$A$10,0))</f>
        <v>Material / suministro</v>
      </c>
      <c r="I461" s="5" t="n">
        <v>24</v>
      </c>
      <c r="J461" s="29" t="n">
        <f aca="false">I461/60</f>
        <v>0.4</v>
      </c>
    </row>
    <row r="462" customFormat="false" ht="15" hidden="false" customHeight="false" outlineLevel="0" collapsed="false">
      <c r="A462" s="5" t="s">
        <v>1504</v>
      </c>
      <c r="B462" s="9" t="n">
        <v>45691</v>
      </c>
      <c r="C462" s="9" t="n">
        <v>45693</v>
      </c>
      <c r="D462" s="5" t="s">
        <v>138</v>
      </c>
      <c r="E462" s="5" t="s">
        <v>1056</v>
      </c>
      <c r="F462" s="5" t="s">
        <v>1002</v>
      </c>
      <c r="G462" s="6" t="str">
        <f aca="false">INDEX(Catalogo_Causas!$B$2:$B$10,MATCH(F462,Catalogo_Causas!$A$2:$A$10,0))</f>
        <v>Falla mecánica</v>
      </c>
      <c r="H462" s="6" t="str">
        <f aca="false">INDEX(Catalogo_Causas!$C$2:$C$10,MATCH(F462,Catalogo_Causas!$A$2:$A$10,0))</f>
        <v>Operacional</v>
      </c>
      <c r="I462" s="5" t="n">
        <v>19</v>
      </c>
      <c r="J462" s="29" t="n">
        <f aca="false">I462/60</f>
        <v>0.316666666666667</v>
      </c>
    </row>
    <row r="463" customFormat="false" ht="15" hidden="false" customHeight="false" outlineLevel="0" collapsed="false">
      <c r="A463" s="5" t="s">
        <v>1505</v>
      </c>
      <c r="B463" s="9" t="n">
        <v>45691</v>
      </c>
      <c r="C463" s="9" t="n">
        <v>45693</v>
      </c>
      <c r="D463" s="5" t="s">
        <v>144</v>
      </c>
      <c r="E463" s="5" t="s">
        <v>1032</v>
      </c>
      <c r="F463" s="5" t="s">
        <v>1018</v>
      </c>
      <c r="G463" s="6" t="str">
        <f aca="false">INDEX(Catalogo_Causas!$B$2:$B$10,MATCH(F463,Catalogo_Causas!$A$2:$A$10,0))</f>
        <v>Falta de personal</v>
      </c>
      <c r="H463" s="6" t="str">
        <f aca="false">INDEX(Catalogo_Causas!$C$2:$C$10,MATCH(F463,Catalogo_Causas!$A$2:$A$10,0))</f>
        <v>Personal</v>
      </c>
      <c r="I463" s="5" t="n">
        <v>100</v>
      </c>
      <c r="J463" s="29" t="n">
        <f aca="false">I463/60</f>
        <v>1.66666666666667</v>
      </c>
    </row>
    <row r="464" customFormat="false" ht="15" hidden="false" customHeight="false" outlineLevel="0" collapsed="false">
      <c r="A464" s="5" t="s">
        <v>1506</v>
      </c>
      <c r="B464" s="9" t="n">
        <v>45691</v>
      </c>
      <c r="C464" s="9" t="n">
        <v>45693</v>
      </c>
      <c r="D464" s="5" t="s">
        <v>144</v>
      </c>
      <c r="E464" s="5" t="s">
        <v>1043</v>
      </c>
      <c r="F464" s="5" t="s">
        <v>1018</v>
      </c>
      <c r="G464" s="6" t="str">
        <f aca="false">INDEX(Catalogo_Causas!$B$2:$B$10,MATCH(F464,Catalogo_Causas!$A$2:$A$10,0))</f>
        <v>Falta de personal</v>
      </c>
      <c r="H464" s="6" t="str">
        <f aca="false">INDEX(Catalogo_Causas!$C$2:$C$10,MATCH(F464,Catalogo_Causas!$A$2:$A$10,0))</f>
        <v>Personal</v>
      </c>
      <c r="I464" s="5" t="n">
        <v>61</v>
      </c>
      <c r="J464" s="29" t="n">
        <f aca="false">I464/60</f>
        <v>1.01666666666667</v>
      </c>
    </row>
    <row r="465" customFormat="false" ht="15" hidden="false" customHeight="false" outlineLevel="0" collapsed="false">
      <c r="A465" s="5" t="s">
        <v>1507</v>
      </c>
      <c r="B465" s="9" t="n">
        <v>45691</v>
      </c>
      <c r="C465" s="9" t="n">
        <v>45694</v>
      </c>
      <c r="D465" s="5" t="s">
        <v>136</v>
      </c>
      <c r="E465" s="5" t="s">
        <v>1051</v>
      </c>
      <c r="F465" s="5" t="s">
        <v>1002</v>
      </c>
      <c r="G465" s="6" t="str">
        <f aca="false">INDEX(Catalogo_Causas!$B$2:$B$10,MATCH(F465,Catalogo_Causas!$A$2:$A$10,0))</f>
        <v>Falla mecánica</v>
      </c>
      <c r="H465" s="6" t="str">
        <f aca="false">INDEX(Catalogo_Causas!$C$2:$C$10,MATCH(F465,Catalogo_Causas!$A$2:$A$10,0))</f>
        <v>Operacional</v>
      </c>
      <c r="I465" s="5" t="n">
        <v>40</v>
      </c>
      <c r="J465" s="29" t="n">
        <f aca="false">I465/60</f>
        <v>0.666666666666667</v>
      </c>
    </row>
    <row r="466" customFormat="false" ht="15" hidden="false" customHeight="false" outlineLevel="0" collapsed="false">
      <c r="A466" s="5" t="s">
        <v>1508</v>
      </c>
      <c r="B466" s="9" t="n">
        <v>45691</v>
      </c>
      <c r="C466" s="9" t="n">
        <v>45694</v>
      </c>
      <c r="D466" s="5" t="s">
        <v>144</v>
      </c>
      <c r="E466" s="5" t="s">
        <v>1032</v>
      </c>
      <c r="F466" s="5" t="s">
        <v>1002</v>
      </c>
      <c r="G466" s="6" t="str">
        <f aca="false">INDEX(Catalogo_Causas!$B$2:$B$10,MATCH(F466,Catalogo_Causas!$A$2:$A$10,0))</f>
        <v>Falla mecánica</v>
      </c>
      <c r="H466" s="6" t="str">
        <f aca="false">INDEX(Catalogo_Causas!$C$2:$C$10,MATCH(F466,Catalogo_Causas!$A$2:$A$10,0))</f>
        <v>Operacional</v>
      </c>
      <c r="I466" s="5" t="n">
        <v>34</v>
      </c>
      <c r="J466" s="29" t="n">
        <f aca="false">I466/60</f>
        <v>0.566666666666667</v>
      </c>
    </row>
    <row r="467" customFormat="false" ht="15" hidden="false" customHeight="false" outlineLevel="0" collapsed="false">
      <c r="A467" s="5" t="s">
        <v>1509</v>
      </c>
      <c r="B467" s="9" t="n">
        <v>45691</v>
      </c>
      <c r="C467" s="9" t="n">
        <v>45694</v>
      </c>
      <c r="D467" s="5" t="s">
        <v>144</v>
      </c>
      <c r="E467" s="5" t="s">
        <v>1043</v>
      </c>
      <c r="F467" s="5" t="s">
        <v>1018</v>
      </c>
      <c r="G467" s="6" t="str">
        <f aca="false">INDEX(Catalogo_Causas!$B$2:$B$10,MATCH(F467,Catalogo_Causas!$A$2:$A$10,0))</f>
        <v>Falta de personal</v>
      </c>
      <c r="H467" s="6" t="str">
        <f aca="false">INDEX(Catalogo_Causas!$C$2:$C$10,MATCH(F467,Catalogo_Causas!$A$2:$A$10,0))</f>
        <v>Personal</v>
      </c>
      <c r="I467" s="5" t="n">
        <v>29</v>
      </c>
      <c r="J467" s="29" t="n">
        <f aca="false">I467/60</f>
        <v>0.483333333333333</v>
      </c>
    </row>
    <row r="468" customFormat="false" ht="15" hidden="false" customHeight="false" outlineLevel="0" collapsed="false">
      <c r="A468" s="5" t="s">
        <v>1510</v>
      </c>
      <c r="B468" s="9" t="n">
        <v>45691</v>
      </c>
      <c r="C468" s="9" t="n">
        <v>45695</v>
      </c>
      <c r="D468" s="5" t="s">
        <v>134</v>
      </c>
      <c r="E468" s="5" t="s">
        <v>1054</v>
      </c>
      <c r="F468" s="5" t="s">
        <v>1005</v>
      </c>
      <c r="G468" s="6" t="str">
        <f aca="false">INDEX(Catalogo_Causas!$B$2:$B$10,MATCH(F468,Catalogo_Causas!$A$2:$A$10,0))</f>
        <v>Falla eléctrica / control</v>
      </c>
      <c r="H468" s="6" t="str">
        <f aca="false">INDEX(Catalogo_Causas!$C$2:$C$10,MATCH(F468,Catalogo_Causas!$A$2:$A$10,0))</f>
        <v>Operacional</v>
      </c>
      <c r="I468" s="5" t="n">
        <v>64</v>
      </c>
      <c r="J468" s="29" t="n">
        <f aca="false">I468/60</f>
        <v>1.06666666666667</v>
      </c>
    </row>
    <row r="469" customFormat="false" ht="15" hidden="false" customHeight="false" outlineLevel="0" collapsed="false">
      <c r="A469" s="5" t="s">
        <v>1511</v>
      </c>
      <c r="B469" s="9" t="n">
        <v>45691</v>
      </c>
      <c r="C469" s="9" t="n">
        <v>45695</v>
      </c>
      <c r="D469" s="5" t="s">
        <v>134</v>
      </c>
      <c r="E469" s="5" t="s">
        <v>1032</v>
      </c>
      <c r="F469" s="5" t="s">
        <v>1009</v>
      </c>
      <c r="G469" s="6" t="str">
        <f aca="false">INDEX(Catalogo_Causas!$B$2:$B$10,MATCH(F469,Catalogo_Causas!$A$2:$A$10,0))</f>
        <v>Falta de material de empaque</v>
      </c>
      <c r="H469" s="6" t="str">
        <f aca="false">INDEX(Catalogo_Causas!$C$2:$C$10,MATCH(F469,Catalogo_Causas!$A$2:$A$10,0))</f>
        <v>Material / suministro</v>
      </c>
      <c r="I469" s="5" t="n">
        <v>17</v>
      </c>
      <c r="J469" s="29" t="n">
        <f aca="false">I469/60</f>
        <v>0.283333333333333</v>
      </c>
    </row>
    <row r="470" customFormat="false" ht="15" hidden="false" customHeight="false" outlineLevel="0" collapsed="false">
      <c r="A470" s="5" t="s">
        <v>1512</v>
      </c>
      <c r="B470" s="9" t="n">
        <v>45691</v>
      </c>
      <c r="C470" s="9" t="n">
        <v>45695</v>
      </c>
      <c r="D470" s="5" t="s">
        <v>138</v>
      </c>
      <c r="E470" s="5" t="s">
        <v>1034</v>
      </c>
      <c r="F470" s="5" t="s">
        <v>1002</v>
      </c>
      <c r="G470" s="6" t="str">
        <f aca="false">INDEX(Catalogo_Causas!$B$2:$B$10,MATCH(F470,Catalogo_Causas!$A$2:$A$10,0))</f>
        <v>Falla mecánica</v>
      </c>
      <c r="H470" s="6" t="str">
        <f aca="false">INDEX(Catalogo_Causas!$C$2:$C$10,MATCH(F470,Catalogo_Causas!$A$2:$A$10,0))</f>
        <v>Operacional</v>
      </c>
      <c r="I470" s="5" t="n">
        <v>145</v>
      </c>
      <c r="J470" s="29" t="n">
        <f aca="false">I470/60</f>
        <v>2.41666666666667</v>
      </c>
    </row>
    <row r="471" customFormat="false" ht="15" hidden="false" customHeight="false" outlineLevel="0" collapsed="false">
      <c r="A471" s="5" t="s">
        <v>1513</v>
      </c>
      <c r="B471" s="9" t="n">
        <v>45691</v>
      </c>
      <c r="C471" s="9" t="n">
        <v>45695</v>
      </c>
      <c r="D471" s="5" t="s">
        <v>138</v>
      </c>
      <c r="E471" s="5" t="s">
        <v>1034</v>
      </c>
      <c r="F471" s="5" t="s">
        <v>1021</v>
      </c>
      <c r="G471" s="6" t="str">
        <f aca="false">INDEX(Catalogo_Causas!$B$2:$B$10,MATCH(F471,Catalogo_Causas!$A$2:$A$10,0))</f>
        <v>Falla de servicios (vapor/amoniaco/aire)</v>
      </c>
      <c r="H471" s="6" t="str">
        <f aca="false">INDEX(Catalogo_Causas!$C$2:$C$10,MATCH(F471,Catalogo_Causas!$A$2:$A$10,0))</f>
        <v>Servicios</v>
      </c>
      <c r="I471" s="5" t="n">
        <v>52</v>
      </c>
      <c r="J471" s="29" t="n">
        <f aca="false">I471/60</f>
        <v>0.866666666666667</v>
      </c>
    </row>
    <row r="472" customFormat="false" ht="15" hidden="false" customHeight="false" outlineLevel="0" collapsed="false">
      <c r="A472" s="5" t="s">
        <v>1514</v>
      </c>
      <c r="B472" s="9" t="n">
        <v>45691</v>
      </c>
      <c r="C472" s="9" t="n">
        <v>45696</v>
      </c>
      <c r="D472" s="5" t="s">
        <v>130</v>
      </c>
      <c r="E472" s="5" t="s">
        <v>1045</v>
      </c>
      <c r="F472" s="5" t="s">
        <v>1002</v>
      </c>
      <c r="G472" s="6" t="str">
        <f aca="false">INDEX(Catalogo_Causas!$B$2:$B$10,MATCH(F472,Catalogo_Causas!$A$2:$A$10,0))</f>
        <v>Falla mecánica</v>
      </c>
      <c r="H472" s="6" t="str">
        <f aca="false">INDEX(Catalogo_Causas!$C$2:$C$10,MATCH(F472,Catalogo_Causas!$A$2:$A$10,0))</f>
        <v>Operacional</v>
      </c>
      <c r="I472" s="5" t="n">
        <v>182</v>
      </c>
      <c r="J472" s="29" t="n">
        <f aca="false">I472/60</f>
        <v>3.03333333333333</v>
      </c>
    </row>
    <row r="473" customFormat="false" ht="15" hidden="false" customHeight="false" outlineLevel="0" collapsed="false">
      <c r="A473" s="5" t="s">
        <v>1515</v>
      </c>
      <c r="B473" s="9" t="n">
        <v>45691</v>
      </c>
      <c r="C473" s="9" t="n">
        <v>45696</v>
      </c>
      <c r="D473" s="5" t="s">
        <v>132</v>
      </c>
      <c r="E473" s="5" t="s">
        <v>1084</v>
      </c>
      <c r="F473" s="5" t="s">
        <v>1007</v>
      </c>
      <c r="G473" s="6" t="str">
        <f aca="false">INDEX(Catalogo_Causas!$B$2:$B$10,MATCH(F473,Catalogo_Causas!$A$2:$A$10,0))</f>
        <v>Cambio de formato excedido</v>
      </c>
      <c r="H473" s="6" t="str">
        <f aca="false">INDEX(Catalogo_Causas!$C$2:$C$10,MATCH(F473,Catalogo_Causas!$A$2:$A$10,0))</f>
        <v>Operacional</v>
      </c>
      <c r="I473" s="5" t="n">
        <v>30</v>
      </c>
      <c r="J473" s="29" t="n">
        <f aca="false">I473/60</f>
        <v>0.5</v>
      </c>
    </row>
    <row r="474" customFormat="false" ht="15" hidden="false" customHeight="false" outlineLevel="0" collapsed="false">
      <c r="A474" s="5" t="s">
        <v>1516</v>
      </c>
      <c r="B474" s="9" t="n">
        <v>45691</v>
      </c>
      <c r="C474" s="9" t="n">
        <v>45696</v>
      </c>
      <c r="D474" s="5" t="s">
        <v>136</v>
      </c>
      <c r="E474" s="5" t="s">
        <v>1032</v>
      </c>
      <c r="F474" s="5" t="s">
        <v>1005</v>
      </c>
      <c r="G474" s="6" t="str">
        <f aca="false">INDEX(Catalogo_Causas!$B$2:$B$10,MATCH(F474,Catalogo_Causas!$A$2:$A$10,0))</f>
        <v>Falla eléctrica / control</v>
      </c>
      <c r="H474" s="6" t="str">
        <f aca="false">INDEX(Catalogo_Causas!$C$2:$C$10,MATCH(F474,Catalogo_Causas!$A$2:$A$10,0))</f>
        <v>Operacional</v>
      </c>
      <c r="I474" s="5" t="n">
        <v>67</v>
      </c>
      <c r="J474" s="29" t="n">
        <f aca="false">I474/60</f>
        <v>1.11666666666667</v>
      </c>
    </row>
    <row r="475" customFormat="false" ht="15" hidden="false" customHeight="false" outlineLevel="0" collapsed="false">
      <c r="A475" s="5" t="s">
        <v>1517</v>
      </c>
      <c r="B475" s="9" t="n">
        <v>45691</v>
      </c>
      <c r="C475" s="9" t="n">
        <v>45696</v>
      </c>
      <c r="D475" s="5" t="s">
        <v>144</v>
      </c>
      <c r="E475" s="5" t="s">
        <v>1032</v>
      </c>
      <c r="F475" s="5" t="s">
        <v>1002</v>
      </c>
      <c r="G475" s="6" t="str">
        <f aca="false">INDEX(Catalogo_Causas!$B$2:$B$10,MATCH(F475,Catalogo_Causas!$A$2:$A$10,0))</f>
        <v>Falla mecánica</v>
      </c>
      <c r="H475" s="6" t="str">
        <f aca="false">INDEX(Catalogo_Causas!$C$2:$C$10,MATCH(F475,Catalogo_Causas!$A$2:$A$10,0))</f>
        <v>Operacional</v>
      </c>
      <c r="I475" s="5" t="n">
        <v>19</v>
      </c>
      <c r="J475" s="29" t="n">
        <f aca="false">I475/60</f>
        <v>0.316666666666667</v>
      </c>
    </row>
    <row r="476" customFormat="false" ht="15" hidden="false" customHeight="false" outlineLevel="0" collapsed="false">
      <c r="A476" s="5" t="s">
        <v>1518</v>
      </c>
      <c r="B476" s="9" t="n">
        <v>45698</v>
      </c>
      <c r="C476" s="9" t="n">
        <v>45698</v>
      </c>
      <c r="D476" s="5" t="s">
        <v>142</v>
      </c>
      <c r="E476" s="5" t="s">
        <v>1051</v>
      </c>
      <c r="F476" s="5" t="s">
        <v>1018</v>
      </c>
      <c r="G476" s="6" t="str">
        <f aca="false">INDEX(Catalogo_Causas!$B$2:$B$10,MATCH(F476,Catalogo_Causas!$A$2:$A$10,0))</f>
        <v>Falta de personal</v>
      </c>
      <c r="H476" s="6" t="str">
        <f aca="false">INDEX(Catalogo_Causas!$C$2:$C$10,MATCH(F476,Catalogo_Causas!$A$2:$A$10,0))</f>
        <v>Personal</v>
      </c>
      <c r="I476" s="5" t="n">
        <v>48</v>
      </c>
      <c r="J476" s="29" t="n">
        <f aca="false">I476/60</f>
        <v>0.8</v>
      </c>
    </row>
    <row r="477" customFormat="false" ht="15" hidden="false" customHeight="false" outlineLevel="0" collapsed="false">
      <c r="A477" s="5" t="s">
        <v>1519</v>
      </c>
      <c r="B477" s="9" t="n">
        <v>45698</v>
      </c>
      <c r="C477" s="9" t="n">
        <v>45698</v>
      </c>
      <c r="D477" s="5" t="s">
        <v>142</v>
      </c>
      <c r="E477" s="5" t="s">
        <v>1030</v>
      </c>
      <c r="F477" s="5" t="s">
        <v>1005</v>
      </c>
      <c r="G477" s="6" t="str">
        <f aca="false">INDEX(Catalogo_Causas!$B$2:$B$10,MATCH(F477,Catalogo_Causas!$A$2:$A$10,0))</f>
        <v>Falla eléctrica / control</v>
      </c>
      <c r="H477" s="6" t="str">
        <f aca="false">INDEX(Catalogo_Causas!$C$2:$C$10,MATCH(F477,Catalogo_Causas!$A$2:$A$10,0))</f>
        <v>Operacional</v>
      </c>
      <c r="I477" s="5" t="n">
        <v>44</v>
      </c>
      <c r="J477" s="29" t="n">
        <f aca="false">I477/60</f>
        <v>0.733333333333333</v>
      </c>
    </row>
    <row r="478" customFormat="false" ht="15" hidden="false" customHeight="false" outlineLevel="0" collapsed="false">
      <c r="A478" s="5" t="s">
        <v>1520</v>
      </c>
      <c r="B478" s="9" t="n">
        <v>45698</v>
      </c>
      <c r="C478" s="9" t="n">
        <v>45699</v>
      </c>
      <c r="D478" s="5" t="s">
        <v>132</v>
      </c>
      <c r="E478" s="5" t="s">
        <v>1032</v>
      </c>
      <c r="F478" s="5" t="s">
        <v>1014</v>
      </c>
      <c r="G478" s="6" t="str">
        <f aca="false">INDEX(Catalogo_Causas!$B$2:$B$10,MATCH(F478,Catalogo_Causas!$A$2:$A$10,0))</f>
        <v>Retención de calidad</v>
      </c>
      <c r="H478" s="6" t="str">
        <f aca="false">INDEX(Catalogo_Causas!$C$2:$C$10,MATCH(F478,Catalogo_Causas!$A$2:$A$10,0))</f>
        <v>Calidad</v>
      </c>
      <c r="I478" s="5" t="n">
        <v>58</v>
      </c>
      <c r="J478" s="29" t="n">
        <f aca="false">I478/60</f>
        <v>0.966666666666667</v>
      </c>
    </row>
    <row r="479" customFormat="false" ht="15" hidden="false" customHeight="false" outlineLevel="0" collapsed="false">
      <c r="A479" s="5" t="s">
        <v>1521</v>
      </c>
      <c r="B479" s="9" t="n">
        <v>45698</v>
      </c>
      <c r="C479" s="9" t="n">
        <v>45700</v>
      </c>
      <c r="D479" s="5" t="s">
        <v>130</v>
      </c>
      <c r="E479" s="5" t="s">
        <v>1030</v>
      </c>
      <c r="F479" s="5" t="s">
        <v>1002</v>
      </c>
      <c r="G479" s="6" t="str">
        <f aca="false">INDEX(Catalogo_Causas!$B$2:$B$10,MATCH(F479,Catalogo_Causas!$A$2:$A$10,0))</f>
        <v>Falla mecánica</v>
      </c>
      <c r="H479" s="6" t="str">
        <f aca="false">INDEX(Catalogo_Causas!$C$2:$C$10,MATCH(F479,Catalogo_Causas!$A$2:$A$10,0))</f>
        <v>Operacional</v>
      </c>
      <c r="I479" s="5" t="n">
        <v>17</v>
      </c>
      <c r="J479" s="29" t="n">
        <f aca="false">I479/60</f>
        <v>0.283333333333333</v>
      </c>
    </row>
    <row r="480" customFormat="false" ht="15" hidden="false" customHeight="false" outlineLevel="0" collapsed="false">
      <c r="A480" s="5" t="s">
        <v>1522</v>
      </c>
      <c r="B480" s="9" t="n">
        <v>45698</v>
      </c>
      <c r="C480" s="9" t="n">
        <v>45700</v>
      </c>
      <c r="D480" s="5" t="s">
        <v>132</v>
      </c>
      <c r="E480" s="5" t="s">
        <v>1084</v>
      </c>
      <c r="F480" s="5" t="s">
        <v>1007</v>
      </c>
      <c r="G480" s="6" t="str">
        <f aca="false">INDEX(Catalogo_Causas!$B$2:$B$10,MATCH(F480,Catalogo_Causas!$A$2:$A$10,0))</f>
        <v>Cambio de formato excedido</v>
      </c>
      <c r="H480" s="6" t="str">
        <f aca="false">INDEX(Catalogo_Causas!$C$2:$C$10,MATCH(F480,Catalogo_Causas!$A$2:$A$10,0))</f>
        <v>Operacional</v>
      </c>
      <c r="I480" s="5" t="n">
        <v>90</v>
      </c>
      <c r="J480" s="29" t="n">
        <f aca="false">I480/60</f>
        <v>1.5</v>
      </c>
    </row>
    <row r="481" customFormat="false" ht="15" hidden="false" customHeight="false" outlineLevel="0" collapsed="false">
      <c r="A481" s="5" t="s">
        <v>1523</v>
      </c>
      <c r="B481" s="9" t="n">
        <v>45698</v>
      </c>
      <c r="C481" s="9" t="n">
        <v>45700</v>
      </c>
      <c r="D481" s="5" t="s">
        <v>138</v>
      </c>
      <c r="E481" s="5" t="s">
        <v>1039</v>
      </c>
      <c r="F481" s="5" t="s">
        <v>1021</v>
      </c>
      <c r="G481" s="6" t="str">
        <f aca="false">INDEX(Catalogo_Causas!$B$2:$B$10,MATCH(F481,Catalogo_Causas!$A$2:$A$10,0))</f>
        <v>Falla de servicios (vapor/amoniaco/aire)</v>
      </c>
      <c r="H481" s="6" t="str">
        <f aca="false">INDEX(Catalogo_Causas!$C$2:$C$10,MATCH(F481,Catalogo_Causas!$A$2:$A$10,0))</f>
        <v>Servicios</v>
      </c>
      <c r="I481" s="5" t="n">
        <v>24</v>
      </c>
      <c r="J481" s="29" t="n">
        <f aca="false">I481/60</f>
        <v>0.4</v>
      </c>
    </row>
    <row r="482" customFormat="false" ht="15" hidden="false" customHeight="false" outlineLevel="0" collapsed="false">
      <c r="A482" s="5" t="s">
        <v>1524</v>
      </c>
      <c r="B482" s="9" t="n">
        <v>45698</v>
      </c>
      <c r="C482" s="9" t="n">
        <v>45700</v>
      </c>
      <c r="D482" s="5" t="s">
        <v>140</v>
      </c>
      <c r="E482" s="5" t="s">
        <v>1036</v>
      </c>
      <c r="F482" s="5" t="s">
        <v>1014</v>
      </c>
      <c r="G482" s="6" t="str">
        <f aca="false">INDEX(Catalogo_Causas!$B$2:$B$10,MATCH(F482,Catalogo_Causas!$A$2:$A$10,0))</f>
        <v>Retención de calidad</v>
      </c>
      <c r="H482" s="6" t="str">
        <f aca="false">INDEX(Catalogo_Causas!$C$2:$C$10,MATCH(F482,Catalogo_Causas!$A$2:$A$10,0))</f>
        <v>Calidad</v>
      </c>
      <c r="I482" s="5" t="n">
        <v>18</v>
      </c>
      <c r="J482" s="29" t="n">
        <f aca="false">I482/60</f>
        <v>0.3</v>
      </c>
    </row>
    <row r="483" customFormat="false" ht="15" hidden="false" customHeight="false" outlineLevel="0" collapsed="false">
      <c r="A483" s="5" t="s">
        <v>1525</v>
      </c>
      <c r="B483" s="9" t="n">
        <v>45698</v>
      </c>
      <c r="C483" s="9" t="n">
        <v>45700</v>
      </c>
      <c r="D483" s="5" t="s">
        <v>142</v>
      </c>
      <c r="E483" s="5" t="s">
        <v>1051</v>
      </c>
      <c r="F483" s="5" t="s">
        <v>1002</v>
      </c>
      <c r="G483" s="6" t="str">
        <f aca="false">INDEX(Catalogo_Causas!$B$2:$B$10,MATCH(F483,Catalogo_Causas!$A$2:$A$10,0))</f>
        <v>Falla mecánica</v>
      </c>
      <c r="H483" s="6" t="str">
        <f aca="false">INDEX(Catalogo_Causas!$C$2:$C$10,MATCH(F483,Catalogo_Causas!$A$2:$A$10,0))</f>
        <v>Operacional</v>
      </c>
      <c r="I483" s="5" t="n">
        <v>25</v>
      </c>
      <c r="J483" s="29" t="n">
        <f aca="false">I483/60</f>
        <v>0.416666666666667</v>
      </c>
    </row>
    <row r="484" customFormat="false" ht="15" hidden="false" customHeight="false" outlineLevel="0" collapsed="false">
      <c r="A484" s="5" t="s">
        <v>1526</v>
      </c>
      <c r="B484" s="9" t="n">
        <v>45698</v>
      </c>
      <c r="C484" s="9" t="n">
        <v>45700</v>
      </c>
      <c r="D484" s="5" t="s">
        <v>144</v>
      </c>
      <c r="E484" s="5" t="s">
        <v>1030</v>
      </c>
      <c r="F484" s="5" t="s">
        <v>1009</v>
      </c>
      <c r="G484" s="6" t="str">
        <f aca="false">INDEX(Catalogo_Causas!$B$2:$B$10,MATCH(F484,Catalogo_Causas!$A$2:$A$10,0))</f>
        <v>Falta de material de empaque</v>
      </c>
      <c r="H484" s="6" t="str">
        <f aca="false">INDEX(Catalogo_Causas!$C$2:$C$10,MATCH(F484,Catalogo_Causas!$A$2:$A$10,0))</f>
        <v>Material / suministro</v>
      </c>
      <c r="I484" s="5" t="n">
        <v>30</v>
      </c>
      <c r="J484" s="29" t="n">
        <f aca="false">I484/60</f>
        <v>0.5</v>
      </c>
    </row>
    <row r="485" customFormat="false" ht="15" hidden="false" customHeight="false" outlineLevel="0" collapsed="false">
      <c r="A485" s="5" t="s">
        <v>1527</v>
      </c>
      <c r="B485" s="9" t="n">
        <v>45698</v>
      </c>
      <c r="C485" s="9" t="n">
        <v>45701</v>
      </c>
      <c r="D485" s="5" t="s">
        <v>134</v>
      </c>
      <c r="E485" s="5" t="s">
        <v>1030</v>
      </c>
      <c r="F485" s="5" t="s">
        <v>1005</v>
      </c>
      <c r="G485" s="6" t="str">
        <f aca="false">INDEX(Catalogo_Causas!$B$2:$B$10,MATCH(F485,Catalogo_Causas!$A$2:$A$10,0))</f>
        <v>Falla eléctrica / control</v>
      </c>
      <c r="H485" s="6" t="str">
        <f aca="false">INDEX(Catalogo_Causas!$C$2:$C$10,MATCH(F485,Catalogo_Causas!$A$2:$A$10,0))</f>
        <v>Operacional</v>
      </c>
      <c r="I485" s="5" t="n">
        <v>28</v>
      </c>
      <c r="J485" s="29" t="n">
        <f aca="false">I485/60</f>
        <v>0.466666666666667</v>
      </c>
    </row>
    <row r="486" customFormat="false" ht="15" hidden="false" customHeight="false" outlineLevel="0" collapsed="false">
      <c r="A486" s="5" t="s">
        <v>1528</v>
      </c>
      <c r="B486" s="9" t="n">
        <v>45698</v>
      </c>
      <c r="C486" s="9" t="n">
        <v>45701</v>
      </c>
      <c r="D486" s="5" t="s">
        <v>140</v>
      </c>
      <c r="E486" s="5" t="s">
        <v>1032</v>
      </c>
      <c r="F486" s="5" t="s">
        <v>1002</v>
      </c>
      <c r="G486" s="6" t="str">
        <f aca="false">INDEX(Catalogo_Causas!$B$2:$B$10,MATCH(F486,Catalogo_Causas!$A$2:$A$10,0))</f>
        <v>Falla mecánica</v>
      </c>
      <c r="H486" s="6" t="str">
        <f aca="false">INDEX(Catalogo_Causas!$C$2:$C$10,MATCH(F486,Catalogo_Causas!$A$2:$A$10,0))</f>
        <v>Operacional</v>
      </c>
      <c r="I486" s="5" t="n">
        <v>60</v>
      </c>
      <c r="J486" s="29" t="n">
        <f aca="false">I486/60</f>
        <v>1</v>
      </c>
    </row>
    <row r="487" customFormat="false" ht="15" hidden="false" customHeight="false" outlineLevel="0" collapsed="false">
      <c r="A487" s="5" t="s">
        <v>1529</v>
      </c>
      <c r="B487" s="9" t="n">
        <v>45698</v>
      </c>
      <c r="C487" s="9" t="n">
        <v>45701</v>
      </c>
      <c r="D487" s="5" t="s">
        <v>144</v>
      </c>
      <c r="E487" s="5" t="s">
        <v>1043</v>
      </c>
      <c r="F487" s="5" t="s">
        <v>1007</v>
      </c>
      <c r="G487" s="6" t="str">
        <f aca="false">INDEX(Catalogo_Causas!$B$2:$B$10,MATCH(F487,Catalogo_Causas!$A$2:$A$10,0))</f>
        <v>Cambio de formato excedido</v>
      </c>
      <c r="H487" s="6" t="str">
        <f aca="false">INDEX(Catalogo_Causas!$C$2:$C$10,MATCH(F487,Catalogo_Causas!$A$2:$A$10,0))</f>
        <v>Operacional</v>
      </c>
      <c r="I487" s="5" t="n">
        <v>36</v>
      </c>
      <c r="J487" s="29" t="n">
        <f aca="false">I487/60</f>
        <v>0.6</v>
      </c>
    </row>
    <row r="488" customFormat="false" ht="15" hidden="false" customHeight="false" outlineLevel="0" collapsed="false">
      <c r="A488" s="5" t="s">
        <v>1530</v>
      </c>
      <c r="B488" s="9" t="n">
        <v>45698</v>
      </c>
      <c r="C488" s="9" t="n">
        <v>45703</v>
      </c>
      <c r="D488" s="5" t="s">
        <v>130</v>
      </c>
      <c r="E488" s="5" t="s">
        <v>1078</v>
      </c>
      <c r="F488" s="5" t="s">
        <v>1007</v>
      </c>
      <c r="G488" s="6" t="str">
        <f aca="false">INDEX(Catalogo_Causas!$B$2:$B$10,MATCH(F488,Catalogo_Causas!$A$2:$A$10,0))</f>
        <v>Cambio de formato excedido</v>
      </c>
      <c r="H488" s="6" t="str">
        <f aca="false">INDEX(Catalogo_Causas!$C$2:$C$10,MATCH(F488,Catalogo_Causas!$A$2:$A$10,0))</f>
        <v>Operacional</v>
      </c>
      <c r="I488" s="5" t="n">
        <v>54</v>
      </c>
      <c r="J488" s="29" t="n">
        <f aca="false">I488/60</f>
        <v>0.9</v>
      </c>
    </row>
    <row r="489" customFormat="false" ht="15" hidden="false" customHeight="false" outlineLevel="0" collapsed="false">
      <c r="A489" s="5" t="s">
        <v>1531</v>
      </c>
      <c r="B489" s="9" t="n">
        <v>45698</v>
      </c>
      <c r="C489" s="9" t="n">
        <v>45703</v>
      </c>
      <c r="D489" s="5" t="s">
        <v>130</v>
      </c>
      <c r="E489" s="5" t="s">
        <v>1078</v>
      </c>
      <c r="F489" s="5" t="s">
        <v>1014</v>
      </c>
      <c r="G489" s="6" t="str">
        <f aca="false">INDEX(Catalogo_Causas!$B$2:$B$10,MATCH(F489,Catalogo_Causas!$A$2:$A$10,0))</f>
        <v>Retención de calidad</v>
      </c>
      <c r="H489" s="6" t="str">
        <f aca="false">INDEX(Catalogo_Causas!$C$2:$C$10,MATCH(F489,Catalogo_Causas!$A$2:$A$10,0))</f>
        <v>Calidad</v>
      </c>
      <c r="I489" s="5" t="n">
        <v>177</v>
      </c>
      <c r="J489" s="29" t="n">
        <f aca="false">I489/60</f>
        <v>2.95</v>
      </c>
    </row>
    <row r="490" customFormat="false" ht="15" hidden="false" customHeight="false" outlineLevel="0" collapsed="false">
      <c r="A490" s="5" t="s">
        <v>1532</v>
      </c>
      <c r="B490" s="9" t="n">
        <v>45698</v>
      </c>
      <c r="C490" s="9" t="n">
        <v>45703</v>
      </c>
      <c r="D490" s="5" t="s">
        <v>132</v>
      </c>
      <c r="E490" s="5" t="s">
        <v>1073</v>
      </c>
      <c r="F490" s="5" t="s">
        <v>1007</v>
      </c>
      <c r="G490" s="6" t="str">
        <f aca="false">INDEX(Catalogo_Causas!$B$2:$B$10,MATCH(F490,Catalogo_Causas!$A$2:$A$10,0))</f>
        <v>Cambio de formato excedido</v>
      </c>
      <c r="H490" s="6" t="str">
        <f aca="false">INDEX(Catalogo_Causas!$C$2:$C$10,MATCH(F490,Catalogo_Causas!$A$2:$A$10,0))</f>
        <v>Operacional</v>
      </c>
      <c r="I490" s="5" t="n">
        <v>39</v>
      </c>
      <c r="J490" s="29" t="n">
        <f aca="false">I490/60</f>
        <v>0.65</v>
      </c>
    </row>
    <row r="491" customFormat="false" ht="15" hidden="false" customHeight="false" outlineLevel="0" collapsed="false">
      <c r="A491" s="5" t="s">
        <v>1533</v>
      </c>
      <c r="B491" s="9" t="n">
        <v>45698</v>
      </c>
      <c r="C491" s="9" t="n">
        <v>45703</v>
      </c>
      <c r="D491" s="5" t="s">
        <v>134</v>
      </c>
      <c r="E491" s="5" t="s">
        <v>1030</v>
      </c>
      <c r="F491" s="5" t="s">
        <v>1018</v>
      </c>
      <c r="G491" s="6" t="str">
        <f aca="false">INDEX(Catalogo_Causas!$B$2:$B$10,MATCH(F491,Catalogo_Causas!$A$2:$A$10,0))</f>
        <v>Falta de personal</v>
      </c>
      <c r="H491" s="6" t="str">
        <f aca="false">INDEX(Catalogo_Causas!$C$2:$C$10,MATCH(F491,Catalogo_Causas!$A$2:$A$10,0))</f>
        <v>Personal</v>
      </c>
      <c r="I491" s="5" t="n">
        <v>86</v>
      </c>
      <c r="J491" s="29" t="n">
        <f aca="false">I491/60</f>
        <v>1.43333333333333</v>
      </c>
    </row>
    <row r="492" customFormat="false" ht="15" hidden="false" customHeight="false" outlineLevel="0" collapsed="false">
      <c r="A492" s="5" t="s">
        <v>1534</v>
      </c>
      <c r="B492" s="9" t="n">
        <v>45698</v>
      </c>
      <c r="C492" s="9" t="n">
        <v>45703</v>
      </c>
      <c r="D492" s="5" t="s">
        <v>136</v>
      </c>
      <c r="E492" s="5" t="s">
        <v>1051</v>
      </c>
      <c r="F492" s="5" t="s">
        <v>1014</v>
      </c>
      <c r="G492" s="6" t="str">
        <f aca="false">INDEX(Catalogo_Causas!$B$2:$B$10,MATCH(F492,Catalogo_Causas!$A$2:$A$10,0))</f>
        <v>Retención de calidad</v>
      </c>
      <c r="H492" s="6" t="str">
        <f aca="false">INDEX(Catalogo_Causas!$C$2:$C$10,MATCH(F492,Catalogo_Causas!$A$2:$A$10,0))</f>
        <v>Calidad</v>
      </c>
      <c r="I492" s="5" t="n">
        <v>72</v>
      </c>
      <c r="J492" s="29" t="n">
        <f aca="false">I492/60</f>
        <v>1.2</v>
      </c>
    </row>
    <row r="493" customFormat="false" ht="15" hidden="false" customHeight="false" outlineLevel="0" collapsed="false">
      <c r="A493" s="5" t="s">
        <v>1535</v>
      </c>
      <c r="B493" s="9" t="n">
        <v>45705</v>
      </c>
      <c r="C493" s="9" t="n">
        <v>45705</v>
      </c>
      <c r="D493" s="5" t="s">
        <v>130</v>
      </c>
      <c r="E493" s="5" t="s">
        <v>1045</v>
      </c>
      <c r="F493" s="5" t="s">
        <v>1005</v>
      </c>
      <c r="G493" s="6" t="str">
        <f aca="false">INDEX(Catalogo_Causas!$B$2:$B$10,MATCH(F493,Catalogo_Causas!$A$2:$A$10,0))</f>
        <v>Falla eléctrica / control</v>
      </c>
      <c r="H493" s="6" t="str">
        <f aca="false">INDEX(Catalogo_Causas!$C$2:$C$10,MATCH(F493,Catalogo_Causas!$A$2:$A$10,0))</f>
        <v>Operacional</v>
      </c>
      <c r="I493" s="5" t="n">
        <v>92</v>
      </c>
      <c r="J493" s="29" t="n">
        <f aca="false">I493/60</f>
        <v>1.53333333333333</v>
      </c>
    </row>
    <row r="494" customFormat="false" ht="15" hidden="false" customHeight="false" outlineLevel="0" collapsed="false">
      <c r="A494" s="5" t="s">
        <v>1536</v>
      </c>
      <c r="B494" s="9" t="n">
        <v>45705</v>
      </c>
      <c r="C494" s="9" t="n">
        <v>45705</v>
      </c>
      <c r="D494" s="5" t="s">
        <v>132</v>
      </c>
      <c r="E494" s="5" t="s">
        <v>1084</v>
      </c>
      <c r="F494" s="5" t="s">
        <v>1007</v>
      </c>
      <c r="G494" s="6" t="str">
        <f aca="false">INDEX(Catalogo_Causas!$B$2:$B$10,MATCH(F494,Catalogo_Causas!$A$2:$A$10,0))</f>
        <v>Cambio de formato excedido</v>
      </c>
      <c r="H494" s="6" t="str">
        <f aca="false">INDEX(Catalogo_Causas!$C$2:$C$10,MATCH(F494,Catalogo_Causas!$A$2:$A$10,0))</f>
        <v>Operacional</v>
      </c>
      <c r="I494" s="5" t="n">
        <v>58</v>
      </c>
      <c r="J494" s="29" t="n">
        <f aca="false">I494/60</f>
        <v>0.966666666666667</v>
      </c>
    </row>
    <row r="495" customFormat="false" ht="15" hidden="false" customHeight="false" outlineLevel="0" collapsed="false">
      <c r="A495" s="5" t="s">
        <v>1537</v>
      </c>
      <c r="B495" s="9" t="n">
        <v>45705</v>
      </c>
      <c r="C495" s="9" t="n">
        <v>45705</v>
      </c>
      <c r="D495" s="5" t="s">
        <v>144</v>
      </c>
      <c r="E495" s="5" t="s">
        <v>1030</v>
      </c>
      <c r="F495" s="5" t="s">
        <v>1002</v>
      </c>
      <c r="G495" s="6" t="str">
        <f aca="false">INDEX(Catalogo_Causas!$B$2:$B$10,MATCH(F495,Catalogo_Causas!$A$2:$A$10,0))</f>
        <v>Falla mecánica</v>
      </c>
      <c r="H495" s="6" t="str">
        <f aca="false">INDEX(Catalogo_Causas!$C$2:$C$10,MATCH(F495,Catalogo_Causas!$A$2:$A$10,0))</f>
        <v>Operacional</v>
      </c>
      <c r="I495" s="5" t="n">
        <v>40</v>
      </c>
      <c r="J495" s="29" t="n">
        <f aca="false">I495/60</f>
        <v>0.666666666666667</v>
      </c>
    </row>
    <row r="496" customFormat="false" ht="15" hidden="false" customHeight="false" outlineLevel="0" collapsed="false">
      <c r="A496" s="5" t="s">
        <v>1538</v>
      </c>
      <c r="B496" s="9" t="n">
        <v>45705</v>
      </c>
      <c r="C496" s="9" t="n">
        <v>45706</v>
      </c>
      <c r="D496" s="5" t="s">
        <v>132</v>
      </c>
      <c r="E496" s="5" t="s">
        <v>1032</v>
      </c>
      <c r="F496" s="5" t="s">
        <v>1005</v>
      </c>
      <c r="G496" s="6" t="str">
        <f aca="false">INDEX(Catalogo_Causas!$B$2:$B$10,MATCH(F496,Catalogo_Causas!$A$2:$A$10,0))</f>
        <v>Falla eléctrica / control</v>
      </c>
      <c r="H496" s="6" t="str">
        <f aca="false">INDEX(Catalogo_Causas!$C$2:$C$10,MATCH(F496,Catalogo_Causas!$A$2:$A$10,0))</f>
        <v>Operacional</v>
      </c>
      <c r="I496" s="5" t="n">
        <v>33</v>
      </c>
      <c r="J496" s="29" t="n">
        <f aca="false">I496/60</f>
        <v>0.55</v>
      </c>
    </row>
    <row r="497" customFormat="false" ht="15" hidden="false" customHeight="false" outlineLevel="0" collapsed="false">
      <c r="A497" s="5" t="s">
        <v>1539</v>
      </c>
      <c r="B497" s="9" t="n">
        <v>45705</v>
      </c>
      <c r="C497" s="9" t="n">
        <v>45706</v>
      </c>
      <c r="D497" s="5" t="s">
        <v>144</v>
      </c>
      <c r="E497" s="5" t="s">
        <v>1043</v>
      </c>
      <c r="F497" s="5" t="s">
        <v>1005</v>
      </c>
      <c r="G497" s="6" t="str">
        <f aca="false">INDEX(Catalogo_Causas!$B$2:$B$10,MATCH(F497,Catalogo_Causas!$A$2:$A$10,0))</f>
        <v>Falla eléctrica / control</v>
      </c>
      <c r="H497" s="6" t="str">
        <f aca="false">INDEX(Catalogo_Causas!$C$2:$C$10,MATCH(F497,Catalogo_Causas!$A$2:$A$10,0))</f>
        <v>Operacional</v>
      </c>
      <c r="I497" s="5" t="n">
        <v>62</v>
      </c>
      <c r="J497" s="29" t="n">
        <f aca="false">I497/60</f>
        <v>1.03333333333333</v>
      </c>
    </row>
    <row r="498" customFormat="false" ht="15" hidden="false" customHeight="false" outlineLevel="0" collapsed="false">
      <c r="A498" s="5" t="s">
        <v>1540</v>
      </c>
      <c r="B498" s="9" t="n">
        <v>45705</v>
      </c>
      <c r="C498" s="9" t="n">
        <v>45707</v>
      </c>
      <c r="D498" s="5" t="s">
        <v>130</v>
      </c>
      <c r="E498" s="5" t="s">
        <v>1045</v>
      </c>
      <c r="F498" s="5" t="s">
        <v>1002</v>
      </c>
      <c r="G498" s="6" t="str">
        <f aca="false">INDEX(Catalogo_Causas!$B$2:$B$10,MATCH(F498,Catalogo_Causas!$A$2:$A$10,0))</f>
        <v>Falla mecánica</v>
      </c>
      <c r="H498" s="6" t="str">
        <f aca="false">INDEX(Catalogo_Causas!$C$2:$C$10,MATCH(F498,Catalogo_Causas!$A$2:$A$10,0))</f>
        <v>Operacional</v>
      </c>
      <c r="I498" s="5" t="n">
        <v>71</v>
      </c>
      <c r="J498" s="29" t="n">
        <f aca="false">I498/60</f>
        <v>1.18333333333333</v>
      </c>
    </row>
    <row r="499" customFormat="false" ht="15" hidden="false" customHeight="false" outlineLevel="0" collapsed="false">
      <c r="A499" s="5" t="s">
        <v>1541</v>
      </c>
      <c r="B499" s="9" t="n">
        <v>45705</v>
      </c>
      <c r="C499" s="9" t="n">
        <v>45707</v>
      </c>
      <c r="D499" s="5" t="s">
        <v>132</v>
      </c>
      <c r="E499" s="5" t="s">
        <v>1084</v>
      </c>
      <c r="F499" s="5" t="s">
        <v>1002</v>
      </c>
      <c r="G499" s="6" t="str">
        <f aca="false">INDEX(Catalogo_Causas!$B$2:$B$10,MATCH(F499,Catalogo_Causas!$A$2:$A$10,0))</f>
        <v>Falla mecánica</v>
      </c>
      <c r="H499" s="6" t="str">
        <f aca="false">INDEX(Catalogo_Causas!$C$2:$C$10,MATCH(F499,Catalogo_Causas!$A$2:$A$10,0))</f>
        <v>Operacional</v>
      </c>
      <c r="I499" s="5" t="n">
        <v>267</v>
      </c>
      <c r="J499" s="29" t="n">
        <f aca="false">I499/60</f>
        <v>4.45</v>
      </c>
    </row>
    <row r="500" customFormat="false" ht="15" hidden="false" customHeight="false" outlineLevel="0" collapsed="false">
      <c r="A500" s="5" t="s">
        <v>1542</v>
      </c>
      <c r="B500" s="9" t="n">
        <v>45705</v>
      </c>
      <c r="C500" s="9" t="n">
        <v>45707</v>
      </c>
      <c r="D500" s="5" t="s">
        <v>140</v>
      </c>
      <c r="E500" s="5" t="s">
        <v>1045</v>
      </c>
      <c r="F500" s="5" t="s">
        <v>1002</v>
      </c>
      <c r="G500" s="6" t="str">
        <f aca="false">INDEX(Catalogo_Causas!$B$2:$B$10,MATCH(F500,Catalogo_Causas!$A$2:$A$10,0))</f>
        <v>Falla mecánica</v>
      </c>
      <c r="H500" s="6" t="str">
        <f aca="false">INDEX(Catalogo_Causas!$C$2:$C$10,MATCH(F500,Catalogo_Causas!$A$2:$A$10,0))</f>
        <v>Operacional</v>
      </c>
      <c r="I500" s="5" t="n">
        <v>24</v>
      </c>
      <c r="J500" s="29" t="n">
        <f aca="false">I500/60</f>
        <v>0.4</v>
      </c>
    </row>
    <row r="501" customFormat="false" ht="15" hidden="false" customHeight="false" outlineLevel="0" collapsed="false">
      <c r="A501" s="5" t="s">
        <v>1543</v>
      </c>
      <c r="B501" s="9" t="n">
        <v>45705</v>
      </c>
      <c r="C501" s="9" t="n">
        <v>45708</v>
      </c>
      <c r="D501" s="5" t="s">
        <v>130</v>
      </c>
      <c r="E501" s="5" t="s">
        <v>1030</v>
      </c>
      <c r="F501" s="5" t="s">
        <v>1002</v>
      </c>
      <c r="G501" s="6" t="str">
        <f aca="false">INDEX(Catalogo_Causas!$B$2:$B$10,MATCH(F501,Catalogo_Causas!$A$2:$A$10,0))</f>
        <v>Falla mecánica</v>
      </c>
      <c r="H501" s="6" t="str">
        <f aca="false">INDEX(Catalogo_Causas!$C$2:$C$10,MATCH(F501,Catalogo_Causas!$A$2:$A$10,0))</f>
        <v>Operacional</v>
      </c>
      <c r="I501" s="5" t="n">
        <v>44</v>
      </c>
      <c r="J501" s="29" t="n">
        <f aca="false">I501/60</f>
        <v>0.733333333333333</v>
      </c>
    </row>
    <row r="502" customFormat="false" ht="15" hidden="false" customHeight="false" outlineLevel="0" collapsed="false">
      <c r="A502" s="5" t="s">
        <v>1544</v>
      </c>
      <c r="B502" s="9" t="n">
        <v>45705</v>
      </c>
      <c r="C502" s="9" t="n">
        <v>45708</v>
      </c>
      <c r="D502" s="5" t="s">
        <v>132</v>
      </c>
      <c r="E502" s="5" t="s">
        <v>1032</v>
      </c>
      <c r="F502" s="5" t="s">
        <v>1002</v>
      </c>
      <c r="G502" s="6" t="str">
        <f aca="false">INDEX(Catalogo_Causas!$B$2:$B$10,MATCH(F502,Catalogo_Causas!$A$2:$A$10,0))</f>
        <v>Falla mecánica</v>
      </c>
      <c r="H502" s="6" t="str">
        <f aca="false">INDEX(Catalogo_Causas!$C$2:$C$10,MATCH(F502,Catalogo_Causas!$A$2:$A$10,0))</f>
        <v>Operacional</v>
      </c>
      <c r="I502" s="5" t="n">
        <v>60</v>
      </c>
      <c r="J502" s="29" t="n">
        <f aca="false">I502/60</f>
        <v>1</v>
      </c>
    </row>
    <row r="503" customFormat="false" ht="15" hidden="false" customHeight="false" outlineLevel="0" collapsed="false">
      <c r="A503" s="5" t="s">
        <v>1545</v>
      </c>
      <c r="B503" s="9" t="n">
        <v>45705</v>
      </c>
      <c r="C503" s="9" t="n">
        <v>45708</v>
      </c>
      <c r="D503" s="5" t="s">
        <v>140</v>
      </c>
      <c r="E503" s="5" t="s">
        <v>1045</v>
      </c>
      <c r="F503" s="5" t="s">
        <v>1005</v>
      </c>
      <c r="G503" s="6" t="str">
        <f aca="false">INDEX(Catalogo_Causas!$B$2:$B$10,MATCH(F503,Catalogo_Causas!$A$2:$A$10,0))</f>
        <v>Falla eléctrica / control</v>
      </c>
      <c r="H503" s="6" t="str">
        <f aca="false">INDEX(Catalogo_Causas!$C$2:$C$10,MATCH(F503,Catalogo_Causas!$A$2:$A$10,0))</f>
        <v>Operacional</v>
      </c>
      <c r="I503" s="5" t="n">
        <v>36</v>
      </c>
      <c r="J503" s="29" t="n">
        <f aca="false">I503/60</f>
        <v>0.6</v>
      </c>
    </row>
    <row r="504" customFormat="false" ht="15" hidden="false" customHeight="false" outlineLevel="0" collapsed="false">
      <c r="A504" s="5" t="s">
        <v>1546</v>
      </c>
      <c r="B504" s="9" t="n">
        <v>45705</v>
      </c>
      <c r="C504" s="9" t="n">
        <v>45708</v>
      </c>
      <c r="D504" s="5" t="s">
        <v>140</v>
      </c>
      <c r="E504" s="5" t="s">
        <v>1032</v>
      </c>
      <c r="F504" s="5" t="s">
        <v>1002</v>
      </c>
      <c r="G504" s="6" t="str">
        <f aca="false">INDEX(Catalogo_Causas!$B$2:$B$10,MATCH(F504,Catalogo_Causas!$A$2:$A$10,0))</f>
        <v>Falla mecánica</v>
      </c>
      <c r="H504" s="6" t="str">
        <f aca="false">INDEX(Catalogo_Causas!$C$2:$C$10,MATCH(F504,Catalogo_Causas!$A$2:$A$10,0))</f>
        <v>Operacional</v>
      </c>
      <c r="I504" s="5" t="n">
        <v>27</v>
      </c>
      <c r="J504" s="29" t="n">
        <f aca="false">I504/60</f>
        <v>0.45</v>
      </c>
    </row>
    <row r="505" customFormat="false" ht="15" hidden="false" customHeight="false" outlineLevel="0" collapsed="false">
      <c r="A505" s="5" t="s">
        <v>1547</v>
      </c>
      <c r="B505" s="9" t="n">
        <v>45705</v>
      </c>
      <c r="C505" s="9" t="n">
        <v>45708</v>
      </c>
      <c r="D505" s="5" t="s">
        <v>142</v>
      </c>
      <c r="E505" s="5" t="s">
        <v>1041</v>
      </c>
      <c r="F505" s="5" t="s">
        <v>1002</v>
      </c>
      <c r="G505" s="6" t="str">
        <f aca="false">INDEX(Catalogo_Causas!$B$2:$B$10,MATCH(F505,Catalogo_Causas!$A$2:$A$10,0))</f>
        <v>Falla mecánica</v>
      </c>
      <c r="H505" s="6" t="str">
        <f aca="false">INDEX(Catalogo_Causas!$C$2:$C$10,MATCH(F505,Catalogo_Causas!$A$2:$A$10,0))</f>
        <v>Operacional</v>
      </c>
      <c r="I505" s="5" t="n">
        <v>140</v>
      </c>
      <c r="J505" s="29" t="n">
        <f aca="false">I505/60</f>
        <v>2.33333333333333</v>
      </c>
    </row>
    <row r="506" customFormat="false" ht="15" hidden="false" customHeight="false" outlineLevel="0" collapsed="false">
      <c r="A506" s="5" t="s">
        <v>1548</v>
      </c>
      <c r="B506" s="9" t="n">
        <v>45705</v>
      </c>
      <c r="C506" s="9" t="n">
        <v>45709</v>
      </c>
      <c r="D506" s="5" t="s">
        <v>130</v>
      </c>
      <c r="E506" s="5" t="s">
        <v>1030</v>
      </c>
      <c r="F506" s="5" t="s">
        <v>1007</v>
      </c>
      <c r="G506" s="6" t="str">
        <f aca="false">INDEX(Catalogo_Causas!$B$2:$B$10,MATCH(F506,Catalogo_Causas!$A$2:$A$10,0))</f>
        <v>Cambio de formato excedido</v>
      </c>
      <c r="H506" s="6" t="str">
        <f aca="false">INDEX(Catalogo_Causas!$C$2:$C$10,MATCH(F506,Catalogo_Causas!$A$2:$A$10,0))</f>
        <v>Operacional</v>
      </c>
      <c r="I506" s="5" t="n">
        <v>19</v>
      </c>
      <c r="J506" s="29" t="n">
        <f aca="false">I506/60</f>
        <v>0.316666666666667</v>
      </c>
    </row>
    <row r="507" customFormat="false" ht="15" hidden="false" customHeight="false" outlineLevel="0" collapsed="false">
      <c r="A507" s="5" t="s">
        <v>1549</v>
      </c>
      <c r="B507" s="9" t="n">
        <v>45705</v>
      </c>
      <c r="C507" s="9" t="n">
        <v>45709</v>
      </c>
      <c r="D507" s="5" t="s">
        <v>136</v>
      </c>
      <c r="E507" s="5" t="s">
        <v>1101</v>
      </c>
      <c r="F507" s="5" t="s">
        <v>1002</v>
      </c>
      <c r="G507" s="6" t="str">
        <f aca="false">INDEX(Catalogo_Causas!$B$2:$B$10,MATCH(F507,Catalogo_Causas!$A$2:$A$10,0))</f>
        <v>Falla mecánica</v>
      </c>
      <c r="H507" s="6" t="str">
        <f aca="false">INDEX(Catalogo_Causas!$C$2:$C$10,MATCH(F507,Catalogo_Causas!$A$2:$A$10,0))</f>
        <v>Operacional</v>
      </c>
      <c r="I507" s="5" t="n">
        <v>30</v>
      </c>
      <c r="J507" s="29" t="n">
        <f aca="false">I507/60</f>
        <v>0.5</v>
      </c>
    </row>
    <row r="508" customFormat="false" ht="15" hidden="false" customHeight="false" outlineLevel="0" collapsed="false">
      <c r="A508" s="5" t="s">
        <v>1550</v>
      </c>
      <c r="B508" s="9" t="n">
        <v>45705</v>
      </c>
      <c r="C508" s="9" t="n">
        <v>45709</v>
      </c>
      <c r="D508" s="5" t="s">
        <v>136</v>
      </c>
      <c r="E508" s="5" t="s">
        <v>1032</v>
      </c>
      <c r="F508" s="5" t="s">
        <v>1014</v>
      </c>
      <c r="G508" s="6" t="str">
        <f aca="false">INDEX(Catalogo_Causas!$B$2:$B$10,MATCH(F508,Catalogo_Causas!$A$2:$A$10,0))</f>
        <v>Retención de calidad</v>
      </c>
      <c r="H508" s="6" t="str">
        <f aca="false">INDEX(Catalogo_Causas!$C$2:$C$10,MATCH(F508,Catalogo_Causas!$A$2:$A$10,0))</f>
        <v>Calidad</v>
      </c>
      <c r="I508" s="5" t="n">
        <v>127</v>
      </c>
      <c r="J508" s="29" t="n">
        <f aca="false">I508/60</f>
        <v>2.11666666666667</v>
      </c>
    </row>
    <row r="509" customFormat="false" ht="15" hidden="false" customHeight="false" outlineLevel="0" collapsed="false">
      <c r="A509" s="5" t="s">
        <v>1551</v>
      </c>
      <c r="B509" s="9" t="n">
        <v>45705</v>
      </c>
      <c r="C509" s="9" t="n">
        <v>45709</v>
      </c>
      <c r="D509" s="5" t="s">
        <v>138</v>
      </c>
      <c r="E509" s="5" t="s">
        <v>1039</v>
      </c>
      <c r="F509" s="5" t="s">
        <v>1009</v>
      </c>
      <c r="G509" s="6" t="str">
        <f aca="false">INDEX(Catalogo_Causas!$B$2:$B$10,MATCH(F509,Catalogo_Causas!$A$2:$A$10,0))</f>
        <v>Falta de material de empaque</v>
      </c>
      <c r="H509" s="6" t="str">
        <f aca="false">INDEX(Catalogo_Causas!$C$2:$C$10,MATCH(F509,Catalogo_Causas!$A$2:$A$10,0))</f>
        <v>Material / suministro</v>
      </c>
      <c r="I509" s="5" t="n">
        <v>47</v>
      </c>
      <c r="J509" s="29" t="n">
        <f aca="false">I509/60</f>
        <v>0.783333333333333</v>
      </c>
    </row>
    <row r="510" customFormat="false" ht="15" hidden="false" customHeight="false" outlineLevel="0" collapsed="false">
      <c r="A510" s="5" t="s">
        <v>1552</v>
      </c>
      <c r="B510" s="9" t="n">
        <v>45705</v>
      </c>
      <c r="C510" s="9" t="n">
        <v>45709</v>
      </c>
      <c r="D510" s="5" t="s">
        <v>140</v>
      </c>
      <c r="E510" s="5" t="s">
        <v>1045</v>
      </c>
      <c r="F510" s="5" t="s">
        <v>1002</v>
      </c>
      <c r="G510" s="6" t="str">
        <f aca="false">INDEX(Catalogo_Causas!$B$2:$B$10,MATCH(F510,Catalogo_Causas!$A$2:$A$10,0))</f>
        <v>Falla mecánica</v>
      </c>
      <c r="H510" s="6" t="str">
        <f aca="false">INDEX(Catalogo_Causas!$C$2:$C$10,MATCH(F510,Catalogo_Causas!$A$2:$A$10,0))</f>
        <v>Operacional</v>
      </c>
      <c r="I510" s="5" t="n">
        <v>46</v>
      </c>
      <c r="J510" s="29" t="n">
        <f aca="false">I510/60</f>
        <v>0.766666666666667</v>
      </c>
    </row>
    <row r="511" customFormat="false" ht="15" hidden="false" customHeight="false" outlineLevel="0" collapsed="false">
      <c r="A511" s="5" t="s">
        <v>1553</v>
      </c>
      <c r="B511" s="9" t="n">
        <v>45705</v>
      </c>
      <c r="C511" s="9" t="n">
        <v>45709</v>
      </c>
      <c r="D511" s="5" t="s">
        <v>142</v>
      </c>
      <c r="E511" s="5" t="s">
        <v>1041</v>
      </c>
      <c r="F511" s="5" t="s">
        <v>1007</v>
      </c>
      <c r="G511" s="6" t="str">
        <f aca="false">INDEX(Catalogo_Causas!$B$2:$B$10,MATCH(F511,Catalogo_Causas!$A$2:$A$10,0))</f>
        <v>Cambio de formato excedido</v>
      </c>
      <c r="H511" s="6" t="str">
        <f aca="false">INDEX(Catalogo_Causas!$C$2:$C$10,MATCH(F511,Catalogo_Causas!$A$2:$A$10,0))</f>
        <v>Operacional</v>
      </c>
      <c r="I511" s="5" t="n">
        <v>20</v>
      </c>
      <c r="J511" s="29" t="n">
        <f aca="false">I511/60</f>
        <v>0.333333333333333</v>
      </c>
    </row>
    <row r="512" customFormat="false" ht="15" hidden="false" customHeight="false" outlineLevel="0" collapsed="false">
      <c r="A512" s="5" t="s">
        <v>1554</v>
      </c>
      <c r="B512" s="9" t="n">
        <v>45705</v>
      </c>
      <c r="C512" s="9" t="n">
        <v>45709</v>
      </c>
      <c r="D512" s="5" t="s">
        <v>142</v>
      </c>
      <c r="E512" s="5" t="s">
        <v>1051</v>
      </c>
      <c r="F512" s="5" t="s">
        <v>1016</v>
      </c>
      <c r="G512" s="6" t="str">
        <f aca="false">INDEX(Catalogo_Causas!$B$2:$B$10,MATCH(F512,Catalogo_Causas!$A$2:$A$10,0))</f>
        <v>Limpieza no programada (CIP)</v>
      </c>
      <c r="H512" s="6" t="str">
        <f aca="false">INDEX(Catalogo_Causas!$C$2:$C$10,MATCH(F512,Catalogo_Causas!$A$2:$A$10,0))</f>
        <v>Calidad</v>
      </c>
      <c r="I512" s="5" t="n">
        <v>35</v>
      </c>
      <c r="J512" s="29" t="n">
        <f aca="false">I512/60</f>
        <v>0.583333333333333</v>
      </c>
    </row>
    <row r="513" customFormat="false" ht="15" hidden="false" customHeight="false" outlineLevel="0" collapsed="false">
      <c r="A513" s="5" t="s">
        <v>1555</v>
      </c>
      <c r="B513" s="9" t="n">
        <v>45705</v>
      </c>
      <c r="C513" s="9" t="n">
        <v>45710</v>
      </c>
      <c r="D513" s="5" t="s">
        <v>134</v>
      </c>
      <c r="E513" s="5" t="s">
        <v>1054</v>
      </c>
      <c r="F513" s="5" t="s">
        <v>1002</v>
      </c>
      <c r="G513" s="6" t="str">
        <f aca="false">INDEX(Catalogo_Causas!$B$2:$B$10,MATCH(F513,Catalogo_Causas!$A$2:$A$10,0))</f>
        <v>Falla mecánica</v>
      </c>
      <c r="H513" s="6" t="str">
        <f aca="false">INDEX(Catalogo_Causas!$C$2:$C$10,MATCH(F513,Catalogo_Causas!$A$2:$A$10,0))</f>
        <v>Operacional</v>
      </c>
      <c r="I513" s="5" t="n">
        <v>15</v>
      </c>
      <c r="J513" s="29" t="n">
        <f aca="false">I513/60</f>
        <v>0.25</v>
      </c>
    </row>
    <row r="514" customFormat="false" ht="15" hidden="false" customHeight="false" outlineLevel="0" collapsed="false">
      <c r="A514" s="5" t="s">
        <v>1556</v>
      </c>
      <c r="B514" s="9" t="n">
        <v>45705</v>
      </c>
      <c r="C514" s="9" t="n">
        <v>45710</v>
      </c>
      <c r="D514" s="5" t="s">
        <v>134</v>
      </c>
      <c r="E514" s="5" t="s">
        <v>1030</v>
      </c>
      <c r="F514" s="5" t="s">
        <v>1005</v>
      </c>
      <c r="G514" s="6" t="str">
        <f aca="false">INDEX(Catalogo_Causas!$B$2:$B$10,MATCH(F514,Catalogo_Causas!$A$2:$A$10,0))</f>
        <v>Falla eléctrica / control</v>
      </c>
      <c r="H514" s="6" t="str">
        <f aca="false">INDEX(Catalogo_Causas!$C$2:$C$10,MATCH(F514,Catalogo_Causas!$A$2:$A$10,0))</f>
        <v>Operacional</v>
      </c>
      <c r="I514" s="5" t="n">
        <v>10</v>
      </c>
      <c r="J514" s="29" t="n">
        <f aca="false">I514/60</f>
        <v>0.166666666666667</v>
      </c>
    </row>
    <row r="515" customFormat="false" ht="15" hidden="false" customHeight="false" outlineLevel="0" collapsed="false">
      <c r="A515" s="5" t="s">
        <v>1557</v>
      </c>
      <c r="B515" s="9" t="n">
        <v>45705</v>
      </c>
      <c r="C515" s="9" t="n">
        <v>45710</v>
      </c>
      <c r="D515" s="5" t="s">
        <v>138</v>
      </c>
      <c r="E515" s="5" t="s">
        <v>1056</v>
      </c>
      <c r="F515" s="5" t="s">
        <v>1002</v>
      </c>
      <c r="G515" s="6" t="str">
        <f aca="false">INDEX(Catalogo_Causas!$B$2:$B$10,MATCH(F515,Catalogo_Causas!$A$2:$A$10,0))</f>
        <v>Falla mecánica</v>
      </c>
      <c r="H515" s="6" t="str">
        <f aca="false">INDEX(Catalogo_Causas!$C$2:$C$10,MATCH(F515,Catalogo_Causas!$A$2:$A$10,0))</f>
        <v>Operacional</v>
      </c>
      <c r="I515" s="5" t="n">
        <v>68</v>
      </c>
      <c r="J515" s="29" t="n">
        <f aca="false">I515/60</f>
        <v>1.13333333333333</v>
      </c>
    </row>
    <row r="516" customFormat="false" ht="15" hidden="false" customHeight="false" outlineLevel="0" collapsed="false">
      <c r="A516" s="5" t="s">
        <v>1558</v>
      </c>
      <c r="B516" s="9" t="n">
        <v>45705</v>
      </c>
      <c r="C516" s="9" t="n">
        <v>45710</v>
      </c>
      <c r="D516" s="5" t="s">
        <v>142</v>
      </c>
      <c r="E516" s="5" t="s">
        <v>1030</v>
      </c>
      <c r="F516" s="5" t="s">
        <v>1012</v>
      </c>
      <c r="G516" s="6" t="str">
        <f aca="false">INDEX(Catalogo_Causas!$B$2:$B$10,MATCH(F516,Catalogo_Causas!$A$2:$A$10,0))</f>
        <v>Falta de materia prima</v>
      </c>
      <c r="H516" s="6" t="str">
        <f aca="false">INDEX(Catalogo_Causas!$C$2:$C$10,MATCH(F516,Catalogo_Causas!$A$2:$A$10,0))</f>
        <v>Material / suministro</v>
      </c>
      <c r="I516" s="5" t="n">
        <v>111</v>
      </c>
      <c r="J516" s="29" t="n">
        <f aca="false">I516/60</f>
        <v>1.85</v>
      </c>
    </row>
    <row r="517" customFormat="false" ht="15" hidden="false" customHeight="false" outlineLevel="0" collapsed="false">
      <c r="A517" s="5" t="s">
        <v>1559</v>
      </c>
      <c r="B517" s="9" t="n">
        <v>45705</v>
      </c>
      <c r="C517" s="9" t="n">
        <v>45710</v>
      </c>
      <c r="D517" s="5" t="s">
        <v>142</v>
      </c>
      <c r="E517" s="5" t="s">
        <v>1041</v>
      </c>
      <c r="F517" s="5" t="s">
        <v>1002</v>
      </c>
      <c r="G517" s="6" t="str">
        <f aca="false">INDEX(Catalogo_Causas!$B$2:$B$10,MATCH(F517,Catalogo_Causas!$A$2:$A$10,0))</f>
        <v>Falla mecánica</v>
      </c>
      <c r="H517" s="6" t="str">
        <f aca="false">INDEX(Catalogo_Causas!$C$2:$C$10,MATCH(F517,Catalogo_Causas!$A$2:$A$10,0))</f>
        <v>Operacional</v>
      </c>
      <c r="I517" s="5" t="n">
        <v>20</v>
      </c>
      <c r="J517" s="29" t="n">
        <f aca="false">I517/60</f>
        <v>0.333333333333333</v>
      </c>
    </row>
    <row r="518" customFormat="false" ht="15" hidden="false" customHeight="false" outlineLevel="0" collapsed="false">
      <c r="A518" s="5" t="s">
        <v>1560</v>
      </c>
      <c r="B518" s="9" t="n">
        <v>45705</v>
      </c>
      <c r="C518" s="9" t="n">
        <v>45710</v>
      </c>
      <c r="D518" s="5" t="s">
        <v>142</v>
      </c>
      <c r="E518" s="5" t="s">
        <v>1051</v>
      </c>
      <c r="F518" s="5" t="s">
        <v>1016</v>
      </c>
      <c r="G518" s="6" t="str">
        <f aca="false">INDEX(Catalogo_Causas!$B$2:$B$10,MATCH(F518,Catalogo_Causas!$A$2:$A$10,0))</f>
        <v>Limpieza no programada (CIP)</v>
      </c>
      <c r="H518" s="6" t="str">
        <f aca="false">INDEX(Catalogo_Causas!$C$2:$C$10,MATCH(F518,Catalogo_Causas!$A$2:$A$10,0))</f>
        <v>Calidad</v>
      </c>
      <c r="I518" s="5" t="n">
        <v>41</v>
      </c>
      <c r="J518" s="29" t="n">
        <f aca="false">I518/60</f>
        <v>0.683333333333333</v>
      </c>
    </row>
    <row r="519" customFormat="false" ht="15" hidden="false" customHeight="false" outlineLevel="0" collapsed="false">
      <c r="A519" s="5" t="s">
        <v>1561</v>
      </c>
      <c r="B519" s="9" t="n">
        <v>45705</v>
      </c>
      <c r="C519" s="9" t="n">
        <v>45710</v>
      </c>
      <c r="D519" s="5" t="s">
        <v>144</v>
      </c>
      <c r="E519" s="5" t="s">
        <v>1043</v>
      </c>
      <c r="F519" s="5" t="s">
        <v>1009</v>
      </c>
      <c r="G519" s="6" t="str">
        <f aca="false">INDEX(Catalogo_Causas!$B$2:$B$10,MATCH(F519,Catalogo_Causas!$A$2:$A$10,0))</f>
        <v>Falta de material de empaque</v>
      </c>
      <c r="H519" s="6" t="str">
        <f aca="false">INDEX(Catalogo_Causas!$C$2:$C$10,MATCH(F519,Catalogo_Causas!$A$2:$A$10,0))</f>
        <v>Material / suministro</v>
      </c>
      <c r="I519" s="5" t="n">
        <v>69</v>
      </c>
      <c r="J519" s="29" t="n">
        <f aca="false">I519/60</f>
        <v>1.15</v>
      </c>
    </row>
    <row r="520" customFormat="false" ht="15" hidden="false" customHeight="false" outlineLevel="0" collapsed="false">
      <c r="A520" s="5" t="s">
        <v>1562</v>
      </c>
      <c r="B520" s="9" t="n">
        <v>45705</v>
      </c>
      <c r="C520" s="9" t="n">
        <v>45710</v>
      </c>
      <c r="D520" s="5" t="s">
        <v>144</v>
      </c>
      <c r="E520" s="5" t="s">
        <v>1043</v>
      </c>
      <c r="F520" s="5" t="s">
        <v>1009</v>
      </c>
      <c r="G520" s="6" t="str">
        <f aca="false">INDEX(Catalogo_Causas!$B$2:$B$10,MATCH(F520,Catalogo_Causas!$A$2:$A$10,0))</f>
        <v>Falta de material de empaque</v>
      </c>
      <c r="H520" s="6" t="str">
        <f aca="false">INDEX(Catalogo_Causas!$C$2:$C$10,MATCH(F520,Catalogo_Causas!$A$2:$A$10,0))</f>
        <v>Material / suministro</v>
      </c>
      <c r="I520" s="5" t="n">
        <v>31</v>
      </c>
      <c r="J520" s="29" t="n">
        <f aca="false">I520/60</f>
        <v>0.516666666666667</v>
      </c>
    </row>
    <row r="521" customFormat="false" ht="15" hidden="false" customHeight="false" outlineLevel="0" collapsed="false">
      <c r="A521" s="5" t="s">
        <v>1563</v>
      </c>
      <c r="B521" s="9" t="n">
        <v>45712</v>
      </c>
      <c r="C521" s="9" t="n">
        <v>45712</v>
      </c>
      <c r="D521" s="5" t="s">
        <v>130</v>
      </c>
      <c r="E521" s="5" t="s">
        <v>1078</v>
      </c>
      <c r="F521" s="5" t="s">
        <v>1002</v>
      </c>
      <c r="G521" s="6" t="str">
        <f aca="false">INDEX(Catalogo_Causas!$B$2:$B$10,MATCH(F521,Catalogo_Causas!$A$2:$A$10,0))</f>
        <v>Falla mecánica</v>
      </c>
      <c r="H521" s="6" t="str">
        <f aca="false">INDEX(Catalogo_Causas!$C$2:$C$10,MATCH(F521,Catalogo_Causas!$A$2:$A$10,0))</f>
        <v>Operacional</v>
      </c>
      <c r="I521" s="5" t="n">
        <v>42</v>
      </c>
      <c r="J521" s="29" t="n">
        <f aca="false">I521/60</f>
        <v>0.7</v>
      </c>
    </row>
    <row r="522" customFormat="false" ht="15" hidden="false" customHeight="false" outlineLevel="0" collapsed="false">
      <c r="A522" s="5" t="s">
        <v>1564</v>
      </c>
      <c r="B522" s="9" t="n">
        <v>45712</v>
      </c>
      <c r="C522" s="9" t="n">
        <v>45712</v>
      </c>
      <c r="D522" s="5" t="s">
        <v>132</v>
      </c>
      <c r="E522" s="5" t="s">
        <v>1073</v>
      </c>
      <c r="F522" s="5" t="s">
        <v>1002</v>
      </c>
      <c r="G522" s="6" t="str">
        <f aca="false">INDEX(Catalogo_Causas!$B$2:$B$10,MATCH(F522,Catalogo_Causas!$A$2:$A$10,0))</f>
        <v>Falla mecánica</v>
      </c>
      <c r="H522" s="6" t="str">
        <f aca="false">INDEX(Catalogo_Causas!$C$2:$C$10,MATCH(F522,Catalogo_Causas!$A$2:$A$10,0))</f>
        <v>Operacional</v>
      </c>
      <c r="I522" s="5" t="n">
        <v>74</v>
      </c>
      <c r="J522" s="29" t="n">
        <f aca="false">I522/60</f>
        <v>1.23333333333333</v>
      </c>
    </row>
    <row r="523" customFormat="false" ht="15" hidden="false" customHeight="false" outlineLevel="0" collapsed="false">
      <c r="A523" s="5" t="s">
        <v>1565</v>
      </c>
      <c r="B523" s="9" t="n">
        <v>45712</v>
      </c>
      <c r="C523" s="9" t="n">
        <v>45712</v>
      </c>
      <c r="D523" s="5" t="s">
        <v>132</v>
      </c>
      <c r="E523" s="5" t="s">
        <v>1032</v>
      </c>
      <c r="F523" s="5" t="s">
        <v>1005</v>
      </c>
      <c r="G523" s="6" t="str">
        <f aca="false">INDEX(Catalogo_Causas!$B$2:$B$10,MATCH(F523,Catalogo_Causas!$A$2:$A$10,0))</f>
        <v>Falla eléctrica / control</v>
      </c>
      <c r="H523" s="6" t="str">
        <f aca="false">INDEX(Catalogo_Causas!$C$2:$C$10,MATCH(F523,Catalogo_Causas!$A$2:$A$10,0))</f>
        <v>Operacional</v>
      </c>
      <c r="I523" s="5" t="n">
        <v>17</v>
      </c>
      <c r="J523" s="29" t="n">
        <f aca="false">I523/60</f>
        <v>0.283333333333333</v>
      </c>
    </row>
    <row r="524" customFormat="false" ht="15" hidden="false" customHeight="false" outlineLevel="0" collapsed="false">
      <c r="A524" s="5" t="s">
        <v>1566</v>
      </c>
      <c r="B524" s="9" t="n">
        <v>45712</v>
      </c>
      <c r="C524" s="9" t="n">
        <v>45712</v>
      </c>
      <c r="D524" s="5" t="s">
        <v>136</v>
      </c>
      <c r="E524" s="5" t="s">
        <v>1101</v>
      </c>
      <c r="F524" s="5" t="s">
        <v>1002</v>
      </c>
      <c r="G524" s="6" t="str">
        <f aca="false">INDEX(Catalogo_Causas!$B$2:$B$10,MATCH(F524,Catalogo_Causas!$A$2:$A$10,0))</f>
        <v>Falla mecánica</v>
      </c>
      <c r="H524" s="6" t="str">
        <f aca="false">INDEX(Catalogo_Causas!$C$2:$C$10,MATCH(F524,Catalogo_Causas!$A$2:$A$10,0))</f>
        <v>Operacional</v>
      </c>
      <c r="I524" s="5" t="n">
        <v>29</v>
      </c>
      <c r="J524" s="29" t="n">
        <f aca="false">I524/60</f>
        <v>0.483333333333333</v>
      </c>
    </row>
    <row r="525" customFormat="false" ht="15" hidden="false" customHeight="false" outlineLevel="0" collapsed="false">
      <c r="A525" s="5" t="s">
        <v>1567</v>
      </c>
      <c r="B525" s="9" t="n">
        <v>45712</v>
      </c>
      <c r="C525" s="9" t="n">
        <v>45712</v>
      </c>
      <c r="D525" s="5" t="s">
        <v>138</v>
      </c>
      <c r="E525" s="5" t="s">
        <v>1034</v>
      </c>
      <c r="F525" s="5" t="s">
        <v>1002</v>
      </c>
      <c r="G525" s="6" t="str">
        <f aca="false">INDEX(Catalogo_Causas!$B$2:$B$10,MATCH(F525,Catalogo_Causas!$A$2:$A$10,0))</f>
        <v>Falla mecánica</v>
      </c>
      <c r="H525" s="6" t="str">
        <f aca="false">INDEX(Catalogo_Causas!$C$2:$C$10,MATCH(F525,Catalogo_Causas!$A$2:$A$10,0))</f>
        <v>Operacional</v>
      </c>
      <c r="I525" s="5" t="n">
        <v>89</v>
      </c>
      <c r="J525" s="29" t="n">
        <f aca="false">I525/60</f>
        <v>1.48333333333333</v>
      </c>
    </row>
    <row r="526" customFormat="false" ht="15" hidden="false" customHeight="false" outlineLevel="0" collapsed="false">
      <c r="A526" s="5" t="s">
        <v>1568</v>
      </c>
      <c r="B526" s="9" t="n">
        <v>45712</v>
      </c>
      <c r="C526" s="9" t="n">
        <v>45712</v>
      </c>
      <c r="D526" s="5" t="s">
        <v>142</v>
      </c>
      <c r="E526" s="5" t="s">
        <v>1041</v>
      </c>
      <c r="F526" s="5" t="s">
        <v>1021</v>
      </c>
      <c r="G526" s="6" t="str">
        <f aca="false">INDEX(Catalogo_Causas!$B$2:$B$10,MATCH(F526,Catalogo_Causas!$A$2:$A$10,0))</f>
        <v>Falla de servicios (vapor/amoniaco/aire)</v>
      </c>
      <c r="H526" s="6" t="str">
        <f aca="false">INDEX(Catalogo_Causas!$C$2:$C$10,MATCH(F526,Catalogo_Causas!$A$2:$A$10,0))</f>
        <v>Servicios</v>
      </c>
      <c r="I526" s="5" t="n">
        <v>19</v>
      </c>
      <c r="J526" s="29" t="n">
        <f aca="false">I526/60</f>
        <v>0.316666666666667</v>
      </c>
    </row>
    <row r="527" customFormat="false" ht="15" hidden="false" customHeight="false" outlineLevel="0" collapsed="false">
      <c r="A527" s="5" t="s">
        <v>1569</v>
      </c>
      <c r="B527" s="9" t="n">
        <v>45712</v>
      </c>
      <c r="C527" s="9" t="n">
        <v>45712</v>
      </c>
      <c r="D527" s="5" t="s">
        <v>142</v>
      </c>
      <c r="E527" s="5" t="s">
        <v>1051</v>
      </c>
      <c r="F527" s="5" t="s">
        <v>1002</v>
      </c>
      <c r="G527" s="6" t="str">
        <f aca="false">INDEX(Catalogo_Causas!$B$2:$B$10,MATCH(F527,Catalogo_Causas!$A$2:$A$10,0))</f>
        <v>Falla mecánica</v>
      </c>
      <c r="H527" s="6" t="str">
        <f aca="false">INDEX(Catalogo_Causas!$C$2:$C$10,MATCH(F527,Catalogo_Causas!$A$2:$A$10,0))</f>
        <v>Operacional</v>
      </c>
      <c r="I527" s="5" t="n">
        <v>24</v>
      </c>
      <c r="J527" s="29" t="n">
        <f aca="false">I527/60</f>
        <v>0.4</v>
      </c>
    </row>
    <row r="528" customFormat="false" ht="15" hidden="false" customHeight="false" outlineLevel="0" collapsed="false">
      <c r="A528" s="5" t="s">
        <v>1570</v>
      </c>
      <c r="B528" s="9" t="n">
        <v>45712</v>
      </c>
      <c r="C528" s="9" t="n">
        <v>45713</v>
      </c>
      <c r="D528" s="5" t="s">
        <v>130</v>
      </c>
      <c r="E528" s="5" t="s">
        <v>1030</v>
      </c>
      <c r="F528" s="5" t="s">
        <v>1002</v>
      </c>
      <c r="G528" s="6" t="str">
        <f aca="false">INDEX(Catalogo_Causas!$B$2:$B$10,MATCH(F528,Catalogo_Causas!$A$2:$A$10,0))</f>
        <v>Falla mecánica</v>
      </c>
      <c r="H528" s="6" t="str">
        <f aca="false">INDEX(Catalogo_Causas!$C$2:$C$10,MATCH(F528,Catalogo_Causas!$A$2:$A$10,0))</f>
        <v>Operacional</v>
      </c>
      <c r="I528" s="5" t="n">
        <v>15</v>
      </c>
      <c r="J528" s="29" t="n">
        <f aca="false">I528/60</f>
        <v>0.25</v>
      </c>
    </row>
    <row r="529" customFormat="false" ht="15" hidden="false" customHeight="false" outlineLevel="0" collapsed="false">
      <c r="A529" s="5" t="s">
        <v>1571</v>
      </c>
      <c r="B529" s="9" t="n">
        <v>45712</v>
      </c>
      <c r="C529" s="9" t="n">
        <v>45713</v>
      </c>
      <c r="D529" s="5" t="s">
        <v>134</v>
      </c>
      <c r="E529" s="5" t="s">
        <v>1032</v>
      </c>
      <c r="F529" s="5" t="s">
        <v>1014</v>
      </c>
      <c r="G529" s="6" t="str">
        <f aca="false">INDEX(Catalogo_Causas!$B$2:$B$10,MATCH(F529,Catalogo_Causas!$A$2:$A$10,0))</f>
        <v>Retención de calidad</v>
      </c>
      <c r="H529" s="6" t="str">
        <f aca="false">INDEX(Catalogo_Causas!$C$2:$C$10,MATCH(F529,Catalogo_Causas!$A$2:$A$10,0))</f>
        <v>Calidad</v>
      </c>
      <c r="I529" s="5" t="n">
        <v>13</v>
      </c>
      <c r="J529" s="29" t="n">
        <f aca="false">I529/60</f>
        <v>0.216666666666667</v>
      </c>
    </row>
    <row r="530" customFormat="false" ht="15" hidden="false" customHeight="false" outlineLevel="0" collapsed="false">
      <c r="A530" s="5" t="s">
        <v>1572</v>
      </c>
      <c r="B530" s="9" t="n">
        <v>45712</v>
      </c>
      <c r="C530" s="9" t="n">
        <v>45713</v>
      </c>
      <c r="D530" s="5" t="s">
        <v>142</v>
      </c>
      <c r="E530" s="5" t="s">
        <v>1030</v>
      </c>
      <c r="F530" s="5" t="s">
        <v>1002</v>
      </c>
      <c r="G530" s="6" t="str">
        <f aca="false">INDEX(Catalogo_Causas!$B$2:$B$10,MATCH(F530,Catalogo_Causas!$A$2:$A$10,0))</f>
        <v>Falla mecánica</v>
      </c>
      <c r="H530" s="6" t="str">
        <f aca="false">INDEX(Catalogo_Causas!$C$2:$C$10,MATCH(F530,Catalogo_Causas!$A$2:$A$10,0))</f>
        <v>Operacional</v>
      </c>
      <c r="I530" s="5" t="n">
        <v>132</v>
      </c>
      <c r="J530" s="29" t="n">
        <f aca="false">I530/60</f>
        <v>2.2</v>
      </c>
    </row>
    <row r="531" customFormat="false" ht="15" hidden="false" customHeight="false" outlineLevel="0" collapsed="false">
      <c r="A531" s="5" t="s">
        <v>1573</v>
      </c>
      <c r="B531" s="9" t="n">
        <v>45712</v>
      </c>
      <c r="C531" s="9" t="n">
        <v>45714</v>
      </c>
      <c r="D531" s="5" t="s">
        <v>132</v>
      </c>
      <c r="E531" s="5" t="s">
        <v>1073</v>
      </c>
      <c r="F531" s="5" t="s">
        <v>1016</v>
      </c>
      <c r="G531" s="6" t="str">
        <f aca="false">INDEX(Catalogo_Causas!$B$2:$B$10,MATCH(F531,Catalogo_Causas!$A$2:$A$10,0))</f>
        <v>Limpieza no programada (CIP)</v>
      </c>
      <c r="H531" s="6" t="str">
        <f aca="false">INDEX(Catalogo_Causas!$C$2:$C$10,MATCH(F531,Catalogo_Causas!$A$2:$A$10,0))</f>
        <v>Calidad</v>
      </c>
      <c r="I531" s="5" t="n">
        <v>96</v>
      </c>
      <c r="J531" s="29" t="n">
        <f aca="false">I531/60</f>
        <v>1.6</v>
      </c>
    </row>
    <row r="532" customFormat="false" ht="15" hidden="false" customHeight="false" outlineLevel="0" collapsed="false">
      <c r="A532" s="5" t="s">
        <v>1574</v>
      </c>
      <c r="B532" s="9" t="n">
        <v>45712</v>
      </c>
      <c r="C532" s="9" t="n">
        <v>45714</v>
      </c>
      <c r="D532" s="5" t="s">
        <v>140</v>
      </c>
      <c r="E532" s="5" t="s">
        <v>1032</v>
      </c>
      <c r="F532" s="5" t="s">
        <v>1002</v>
      </c>
      <c r="G532" s="6" t="str">
        <f aca="false">INDEX(Catalogo_Causas!$B$2:$B$10,MATCH(F532,Catalogo_Causas!$A$2:$A$10,0))</f>
        <v>Falla mecánica</v>
      </c>
      <c r="H532" s="6" t="str">
        <f aca="false">INDEX(Catalogo_Causas!$C$2:$C$10,MATCH(F532,Catalogo_Causas!$A$2:$A$10,0))</f>
        <v>Operacional</v>
      </c>
      <c r="I532" s="5" t="n">
        <v>29</v>
      </c>
      <c r="J532" s="29" t="n">
        <f aca="false">I532/60</f>
        <v>0.483333333333333</v>
      </c>
    </row>
    <row r="533" customFormat="false" ht="15" hidden="false" customHeight="false" outlineLevel="0" collapsed="false">
      <c r="A533" s="5" t="s">
        <v>1575</v>
      </c>
      <c r="B533" s="9" t="n">
        <v>45712</v>
      </c>
      <c r="C533" s="9" t="n">
        <v>45714</v>
      </c>
      <c r="D533" s="5" t="s">
        <v>140</v>
      </c>
      <c r="E533" s="5" t="s">
        <v>1032</v>
      </c>
      <c r="F533" s="5" t="s">
        <v>1009</v>
      </c>
      <c r="G533" s="6" t="str">
        <f aca="false">INDEX(Catalogo_Causas!$B$2:$B$10,MATCH(F533,Catalogo_Causas!$A$2:$A$10,0))</f>
        <v>Falta de material de empaque</v>
      </c>
      <c r="H533" s="6" t="str">
        <f aca="false">INDEX(Catalogo_Causas!$C$2:$C$10,MATCH(F533,Catalogo_Causas!$A$2:$A$10,0))</f>
        <v>Material / suministro</v>
      </c>
      <c r="I533" s="5" t="n">
        <v>22</v>
      </c>
      <c r="J533" s="29" t="n">
        <f aca="false">I533/60</f>
        <v>0.366666666666667</v>
      </c>
    </row>
    <row r="534" customFormat="false" ht="15" hidden="false" customHeight="false" outlineLevel="0" collapsed="false">
      <c r="A534" s="5" t="s">
        <v>1576</v>
      </c>
      <c r="B534" s="9" t="n">
        <v>45712</v>
      </c>
      <c r="C534" s="9" t="n">
        <v>45714</v>
      </c>
      <c r="D534" s="5" t="s">
        <v>140</v>
      </c>
      <c r="E534" s="5" t="s">
        <v>1036</v>
      </c>
      <c r="F534" s="5" t="s">
        <v>1002</v>
      </c>
      <c r="G534" s="6" t="str">
        <f aca="false">INDEX(Catalogo_Causas!$B$2:$B$10,MATCH(F534,Catalogo_Causas!$A$2:$A$10,0))</f>
        <v>Falla mecánica</v>
      </c>
      <c r="H534" s="6" t="str">
        <f aca="false">INDEX(Catalogo_Causas!$C$2:$C$10,MATCH(F534,Catalogo_Causas!$A$2:$A$10,0))</f>
        <v>Operacional</v>
      </c>
      <c r="I534" s="5" t="n">
        <v>77</v>
      </c>
      <c r="J534" s="29" t="n">
        <f aca="false">I534/60</f>
        <v>1.28333333333333</v>
      </c>
    </row>
    <row r="535" customFormat="false" ht="15" hidden="false" customHeight="false" outlineLevel="0" collapsed="false">
      <c r="A535" s="5" t="s">
        <v>1577</v>
      </c>
      <c r="B535" s="9" t="n">
        <v>45712</v>
      </c>
      <c r="C535" s="9" t="n">
        <v>45714</v>
      </c>
      <c r="D535" s="5" t="s">
        <v>144</v>
      </c>
      <c r="E535" s="5" t="s">
        <v>1043</v>
      </c>
      <c r="F535" s="5" t="s">
        <v>1021</v>
      </c>
      <c r="G535" s="6" t="str">
        <f aca="false">INDEX(Catalogo_Causas!$B$2:$B$10,MATCH(F535,Catalogo_Causas!$A$2:$A$10,0))</f>
        <v>Falla de servicios (vapor/amoniaco/aire)</v>
      </c>
      <c r="H535" s="6" t="str">
        <f aca="false">INDEX(Catalogo_Causas!$C$2:$C$10,MATCH(F535,Catalogo_Causas!$A$2:$A$10,0))</f>
        <v>Servicios</v>
      </c>
      <c r="I535" s="5" t="n">
        <v>34</v>
      </c>
      <c r="J535" s="29" t="n">
        <f aca="false">I535/60</f>
        <v>0.566666666666667</v>
      </c>
    </row>
    <row r="536" customFormat="false" ht="15" hidden="false" customHeight="false" outlineLevel="0" collapsed="false">
      <c r="A536" s="5" t="s">
        <v>1578</v>
      </c>
      <c r="B536" s="9" t="n">
        <v>45712</v>
      </c>
      <c r="C536" s="9" t="n">
        <v>45715</v>
      </c>
      <c r="D536" s="5" t="s">
        <v>132</v>
      </c>
      <c r="E536" s="5" t="s">
        <v>1032</v>
      </c>
      <c r="F536" s="5" t="s">
        <v>1007</v>
      </c>
      <c r="G536" s="6" t="str">
        <f aca="false">INDEX(Catalogo_Causas!$B$2:$B$10,MATCH(F536,Catalogo_Causas!$A$2:$A$10,0))</f>
        <v>Cambio de formato excedido</v>
      </c>
      <c r="H536" s="6" t="str">
        <f aca="false">INDEX(Catalogo_Causas!$C$2:$C$10,MATCH(F536,Catalogo_Causas!$A$2:$A$10,0))</f>
        <v>Operacional</v>
      </c>
      <c r="I536" s="5" t="n">
        <v>12</v>
      </c>
      <c r="J536" s="29" t="n">
        <f aca="false">I536/60</f>
        <v>0.2</v>
      </c>
    </row>
    <row r="537" customFormat="false" ht="15" hidden="false" customHeight="false" outlineLevel="0" collapsed="false">
      <c r="A537" s="5" t="s">
        <v>1579</v>
      </c>
      <c r="B537" s="9" t="n">
        <v>45712</v>
      </c>
      <c r="C537" s="9" t="n">
        <v>45715</v>
      </c>
      <c r="D537" s="5" t="s">
        <v>134</v>
      </c>
      <c r="E537" s="5" t="s">
        <v>1054</v>
      </c>
      <c r="F537" s="5" t="s">
        <v>1012</v>
      </c>
      <c r="G537" s="6" t="str">
        <f aca="false">INDEX(Catalogo_Causas!$B$2:$B$10,MATCH(F537,Catalogo_Causas!$A$2:$A$10,0))</f>
        <v>Falta de materia prima</v>
      </c>
      <c r="H537" s="6" t="str">
        <f aca="false">INDEX(Catalogo_Causas!$C$2:$C$10,MATCH(F537,Catalogo_Causas!$A$2:$A$10,0))</f>
        <v>Material / suministro</v>
      </c>
      <c r="I537" s="5" t="n">
        <v>61</v>
      </c>
      <c r="J537" s="29" t="n">
        <f aca="false">I537/60</f>
        <v>1.01666666666667</v>
      </c>
    </row>
    <row r="538" customFormat="false" ht="15" hidden="false" customHeight="false" outlineLevel="0" collapsed="false">
      <c r="A538" s="5" t="s">
        <v>1580</v>
      </c>
      <c r="B538" s="9" t="n">
        <v>45712</v>
      </c>
      <c r="C538" s="9" t="n">
        <v>45715</v>
      </c>
      <c r="D538" s="5" t="s">
        <v>134</v>
      </c>
      <c r="E538" s="5" t="s">
        <v>1030</v>
      </c>
      <c r="F538" s="5" t="s">
        <v>1014</v>
      </c>
      <c r="G538" s="6" t="str">
        <f aca="false">INDEX(Catalogo_Causas!$B$2:$B$10,MATCH(F538,Catalogo_Causas!$A$2:$A$10,0))</f>
        <v>Retención de calidad</v>
      </c>
      <c r="H538" s="6" t="str">
        <f aca="false">INDEX(Catalogo_Causas!$C$2:$C$10,MATCH(F538,Catalogo_Causas!$A$2:$A$10,0))</f>
        <v>Calidad</v>
      </c>
      <c r="I538" s="5" t="n">
        <v>38</v>
      </c>
      <c r="J538" s="29" t="n">
        <f aca="false">I538/60</f>
        <v>0.633333333333333</v>
      </c>
    </row>
    <row r="539" customFormat="false" ht="15" hidden="false" customHeight="false" outlineLevel="0" collapsed="false">
      <c r="A539" s="5" t="s">
        <v>1581</v>
      </c>
      <c r="B539" s="9" t="n">
        <v>45712</v>
      </c>
      <c r="C539" s="9" t="n">
        <v>45715</v>
      </c>
      <c r="D539" s="5" t="s">
        <v>138</v>
      </c>
      <c r="E539" s="5" t="s">
        <v>1034</v>
      </c>
      <c r="F539" s="5" t="s">
        <v>1014</v>
      </c>
      <c r="G539" s="6" t="str">
        <f aca="false">INDEX(Catalogo_Causas!$B$2:$B$10,MATCH(F539,Catalogo_Causas!$A$2:$A$10,0))</f>
        <v>Retención de calidad</v>
      </c>
      <c r="H539" s="6" t="str">
        <f aca="false">INDEX(Catalogo_Causas!$C$2:$C$10,MATCH(F539,Catalogo_Causas!$A$2:$A$10,0))</f>
        <v>Calidad</v>
      </c>
      <c r="I539" s="5" t="n">
        <v>125</v>
      </c>
      <c r="J539" s="29" t="n">
        <f aca="false">I539/60</f>
        <v>2.08333333333333</v>
      </c>
    </row>
    <row r="540" customFormat="false" ht="15" hidden="false" customHeight="false" outlineLevel="0" collapsed="false">
      <c r="A540" s="5" t="s">
        <v>1582</v>
      </c>
      <c r="B540" s="9" t="n">
        <v>45712</v>
      </c>
      <c r="C540" s="9" t="n">
        <v>45715</v>
      </c>
      <c r="D540" s="5" t="s">
        <v>142</v>
      </c>
      <c r="E540" s="5" t="s">
        <v>1051</v>
      </c>
      <c r="F540" s="5" t="s">
        <v>1012</v>
      </c>
      <c r="G540" s="6" t="str">
        <f aca="false">INDEX(Catalogo_Causas!$B$2:$B$10,MATCH(F540,Catalogo_Causas!$A$2:$A$10,0))</f>
        <v>Falta de materia prima</v>
      </c>
      <c r="H540" s="6" t="str">
        <f aca="false">INDEX(Catalogo_Causas!$C$2:$C$10,MATCH(F540,Catalogo_Causas!$A$2:$A$10,0))</f>
        <v>Material / suministro</v>
      </c>
      <c r="I540" s="5" t="n">
        <v>75</v>
      </c>
      <c r="J540" s="29" t="n">
        <f aca="false">I540/60</f>
        <v>1.25</v>
      </c>
    </row>
    <row r="541" customFormat="false" ht="15" hidden="false" customHeight="false" outlineLevel="0" collapsed="false">
      <c r="A541" s="5" t="s">
        <v>1583</v>
      </c>
      <c r="B541" s="9" t="n">
        <v>45712</v>
      </c>
      <c r="C541" s="9" t="n">
        <v>45716</v>
      </c>
      <c r="D541" s="5" t="s">
        <v>134</v>
      </c>
      <c r="E541" s="5" t="s">
        <v>1054</v>
      </c>
      <c r="F541" s="5" t="s">
        <v>1007</v>
      </c>
      <c r="G541" s="6" t="str">
        <f aca="false">INDEX(Catalogo_Causas!$B$2:$B$10,MATCH(F541,Catalogo_Causas!$A$2:$A$10,0))</f>
        <v>Cambio de formato excedido</v>
      </c>
      <c r="H541" s="6" t="str">
        <f aca="false">INDEX(Catalogo_Causas!$C$2:$C$10,MATCH(F541,Catalogo_Causas!$A$2:$A$10,0))</f>
        <v>Operacional</v>
      </c>
      <c r="I541" s="5" t="n">
        <v>14</v>
      </c>
      <c r="J541" s="29" t="n">
        <f aca="false">I541/60</f>
        <v>0.233333333333333</v>
      </c>
    </row>
    <row r="542" customFormat="false" ht="15" hidden="false" customHeight="false" outlineLevel="0" collapsed="false">
      <c r="A542" s="5" t="s">
        <v>1584</v>
      </c>
      <c r="B542" s="9" t="n">
        <v>45712</v>
      </c>
      <c r="C542" s="9" t="n">
        <v>45717</v>
      </c>
      <c r="D542" s="5" t="s">
        <v>130</v>
      </c>
      <c r="E542" s="5" t="s">
        <v>1045</v>
      </c>
      <c r="F542" s="5" t="s">
        <v>1002</v>
      </c>
      <c r="G542" s="6" t="str">
        <f aca="false">INDEX(Catalogo_Causas!$B$2:$B$10,MATCH(F542,Catalogo_Causas!$A$2:$A$10,0))</f>
        <v>Falla mecánica</v>
      </c>
      <c r="H542" s="6" t="str">
        <f aca="false">INDEX(Catalogo_Causas!$C$2:$C$10,MATCH(F542,Catalogo_Causas!$A$2:$A$10,0))</f>
        <v>Operacional</v>
      </c>
      <c r="I542" s="5" t="n">
        <v>64</v>
      </c>
      <c r="J542" s="29" t="n">
        <f aca="false">I542/60</f>
        <v>1.06666666666667</v>
      </c>
    </row>
    <row r="543" customFormat="false" ht="15" hidden="false" customHeight="false" outlineLevel="0" collapsed="false">
      <c r="A543" s="5" t="s">
        <v>1585</v>
      </c>
      <c r="B543" s="9" t="n">
        <v>45712</v>
      </c>
      <c r="C543" s="9" t="n">
        <v>45717</v>
      </c>
      <c r="D543" s="5" t="s">
        <v>132</v>
      </c>
      <c r="E543" s="5" t="s">
        <v>1073</v>
      </c>
      <c r="F543" s="5" t="s">
        <v>1007</v>
      </c>
      <c r="G543" s="6" t="str">
        <f aca="false">INDEX(Catalogo_Causas!$B$2:$B$10,MATCH(F543,Catalogo_Causas!$A$2:$A$10,0))</f>
        <v>Cambio de formato excedido</v>
      </c>
      <c r="H543" s="6" t="str">
        <f aca="false">INDEX(Catalogo_Causas!$C$2:$C$10,MATCH(F543,Catalogo_Causas!$A$2:$A$10,0))</f>
        <v>Operacional</v>
      </c>
      <c r="I543" s="5" t="n">
        <v>42</v>
      </c>
      <c r="J543" s="29" t="n">
        <f aca="false">I543/60</f>
        <v>0.7</v>
      </c>
    </row>
    <row r="544" customFormat="false" ht="15" hidden="false" customHeight="false" outlineLevel="0" collapsed="false">
      <c r="A544" s="5" t="s">
        <v>1586</v>
      </c>
      <c r="B544" s="9" t="n">
        <v>45712</v>
      </c>
      <c r="C544" s="9" t="n">
        <v>45717</v>
      </c>
      <c r="D544" s="5" t="s">
        <v>136</v>
      </c>
      <c r="E544" s="5" t="s">
        <v>1101</v>
      </c>
      <c r="F544" s="5" t="s">
        <v>1007</v>
      </c>
      <c r="G544" s="6" t="str">
        <f aca="false">INDEX(Catalogo_Causas!$B$2:$B$10,MATCH(F544,Catalogo_Causas!$A$2:$A$10,0))</f>
        <v>Cambio de formato excedido</v>
      </c>
      <c r="H544" s="6" t="str">
        <f aca="false">INDEX(Catalogo_Causas!$C$2:$C$10,MATCH(F544,Catalogo_Causas!$A$2:$A$10,0))</f>
        <v>Operacional</v>
      </c>
      <c r="I544" s="5" t="n">
        <v>75</v>
      </c>
      <c r="J544" s="29" t="n">
        <f aca="false">I544/60</f>
        <v>1.25</v>
      </c>
    </row>
    <row r="545" customFormat="false" ht="15" hidden="false" customHeight="false" outlineLevel="0" collapsed="false">
      <c r="A545" s="5" t="s">
        <v>1587</v>
      </c>
      <c r="B545" s="9" t="n">
        <v>45712</v>
      </c>
      <c r="C545" s="9" t="n">
        <v>45717</v>
      </c>
      <c r="D545" s="5" t="s">
        <v>138</v>
      </c>
      <c r="E545" s="5" t="s">
        <v>1056</v>
      </c>
      <c r="F545" s="5" t="s">
        <v>1016</v>
      </c>
      <c r="G545" s="6" t="str">
        <f aca="false">INDEX(Catalogo_Causas!$B$2:$B$10,MATCH(F545,Catalogo_Causas!$A$2:$A$10,0))</f>
        <v>Limpieza no programada (CIP)</v>
      </c>
      <c r="H545" s="6" t="str">
        <f aca="false">INDEX(Catalogo_Causas!$C$2:$C$10,MATCH(F545,Catalogo_Causas!$A$2:$A$10,0))</f>
        <v>Calidad</v>
      </c>
      <c r="I545" s="5" t="n">
        <v>52</v>
      </c>
      <c r="J545" s="29" t="n">
        <f aca="false">I545/60</f>
        <v>0.866666666666667</v>
      </c>
    </row>
    <row r="546" customFormat="false" ht="15" hidden="false" customHeight="false" outlineLevel="0" collapsed="false">
      <c r="A546" s="5" t="s">
        <v>1588</v>
      </c>
      <c r="B546" s="9" t="n">
        <v>45712</v>
      </c>
      <c r="C546" s="9" t="n">
        <v>45717</v>
      </c>
      <c r="D546" s="5" t="s">
        <v>140</v>
      </c>
      <c r="E546" s="5" t="s">
        <v>1045</v>
      </c>
      <c r="F546" s="5" t="s">
        <v>1009</v>
      </c>
      <c r="G546" s="6" t="str">
        <f aca="false">INDEX(Catalogo_Causas!$B$2:$B$10,MATCH(F546,Catalogo_Causas!$A$2:$A$10,0))</f>
        <v>Falta de material de empaque</v>
      </c>
      <c r="H546" s="6" t="str">
        <f aca="false">INDEX(Catalogo_Causas!$C$2:$C$10,MATCH(F546,Catalogo_Causas!$A$2:$A$10,0))</f>
        <v>Material / suministro</v>
      </c>
      <c r="I546" s="5" t="n">
        <v>65</v>
      </c>
      <c r="J546" s="29" t="n">
        <f aca="false">I546/60</f>
        <v>1.08333333333333</v>
      </c>
    </row>
    <row r="547" customFormat="false" ht="15" hidden="false" customHeight="false" outlineLevel="0" collapsed="false">
      <c r="A547" s="5" t="s">
        <v>1589</v>
      </c>
      <c r="B547" s="9" t="n">
        <v>45719</v>
      </c>
      <c r="C547" s="9" t="n">
        <v>45719</v>
      </c>
      <c r="D547" s="5" t="s">
        <v>134</v>
      </c>
      <c r="E547" s="5" t="s">
        <v>1030</v>
      </c>
      <c r="F547" s="5" t="s">
        <v>1009</v>
      </c>
      <c r="G547" s="6" t="str">
        <f aca="false">INDEX(Catalogo_Causas!$B$2:$B$10,MATCH(F547,Catalogo_Causas!$A$2:$A$10,0))</f>
        <v>Falta de material de empaque</v>
      </c>
      <c r="H547" s="6" t="str">
        <f aca="false">INDEX(Catalogo_Causas!$C$2:$C$10,MATCH(F547,Catalogo_Causas!$A$2:$A$10,0))</f>
        <v>Material / suministro</v>
      </c>
      <c r="I547" s="5" t="n">
        <v>103</v>
      </c>
      <c r="J547" s="29" t="n">
        <f aca="false">I547/60</f>
        <v>1.71666666666667</v>
      </c>
    </row>
    <row r="548" customFormat="false" ht="15" hidden="false" customHeight="false" outlineLevel="0" collapsed="false">
      <c r="A548" s="5" t="s">
        <v>1590</v>
      </c>
      <c r="B548" s="9" t="n">
        <v>45719</v>
      </c>
      <c r="C548" s="9" t="n">
        <v>45719</v>
      </c>
      <c r="D548" s="5" t="s">
        <v>136</v>
      </c>
      <c r="E548" s="5" t="s">
        <v>1032</v>
      </c>
      <c r="F548" s="5" t="s">
        <v>1002</v>
      </c>
      <c r="G548" s="6" t="str">
        <f aca="false">INDEX(Catalogo_Causas!$B$2:$B$10,MATCH(F548,Catalogo_Causas!$A$2:$A$10,0))</f>
        <v>Falla mecánica</v>
      </c>
      <c r="H548" s="6" t="str">
        <f aca="false">INDEX(Catalogo_Causas!$C$2:$C$10,MATCH(F548,Catalogo_Causas!$A$2:$A$10,0))</f>
        <v>Operacional</v>
      </c>
      <c r="I548" s="5" t="n">
        <v>84</v>
      </c>
      <c r="J548" s="29" t="n">
        <f aca="false">I548/60</f>
        <v>1.4</v>
      </c>
    </row>
    <row r="549" customFormat="false" ht="15" hidden="false" customHeight="false" outlineLevel="0" collapsed="false">
      <c r="A549" s="5" t="s">
        <v>1591</v>
      </c>
      <c r="B549" s="9" t="n">
        <v>45719</v>
      </c>
      <c r="C549" s="9" t="n">
        <v>45719</v>
      </c>
      <c r="D549" s="5" t="s">
        <v>140</v>
      </c>
      <c r="E549" s="5" t="s">
        <v>1045</v>
      </c>
      <c r="F549" s="5" t="s">
        <v>1007</v>
      </c>
      <c r="G549" s="6" t="str">
        <f aca="false">INDEX(Catalogo_Causas!$B$2:$B$10,MATCH(F549,Catalogo_Causas!$A$2:$A$10,0))</f>
        <v>Cambio de formato excedido</v>
      </c>
      <c r="H549" s="6" t="str">
        <f aca="false">INDEX(Catalogo_Causas!$C$2:$C$10,MATCH(F549,Catalogo_Causas!$A$2:$A$10,0))</f>
        <v>Operacional</v>
      </c>
      <c r="I549" s="5" t="n">
        <v>38</v>
      </c>
      <c r="J549" s="29" t="n">
        <f aca="false">I549/60</f>
        <v>0.633333333333333</v>
      </c>
    </row>
    <row r="550" customFormat="false" ht="15" hidden="false" customHeight="false" outlineLevel="0" collapsed="false">
      <c r="A550" s="5" t="s">
        <v>1592</v>
      </c>
      <c r="B550" s="9" t="n">
        <v>45719</v>
      </c>
      <c r="C550" s="9" t="n">
        <v>45719</v>
      </c>
      <c r="D550" s="5" t="s">
        <v>144</v>
      </c>
      <c r="E550" s="5" t="s">
        <v>1043</v>
      </c>
      <c r="F550" s="5" t="s">
        <v>1012</v>
      </c>
      <c r="G550" s="6" t="str">
        <f aca="false">INDEX(Catalogo_Causas!$B$2:$B$10,MATCH(F550,Catalogo_Causas!$A$2:$A$10,0))</f>
        <v>Falta de materia prima</v>
      </c>
      <c r="H550" s="6" t="str">
        <f aca="false">INDEX(Catalogo_Causas!$C$2:$C$10,MATCH(F550,Catalogo_Causas!$A$2:$A$10,0))</f>
        <v>Material / suministro</v>
      </c>
      <c r="I550" s="5" t="n">
        <v>126</v>
      </c>
      <c r="J550" s="29" t="n">
        <f aca="false">I550/60</f>
        <v>2.1</v>
      </c>
    </row>
    <row r="551" customFormat="false" ht="15" hidden="false" customHeight="false" outlineLevel="0" collapsed="false">
      <c r="A551" s="5" t="s">
        <v>1593</v>
      </c>
      <c r="B551" s="9" t="n">
        <v>45719</v>
      </c>
      <c r="C551" s="9" t="n">
        <v>45720</v>
      </c>
      <c r="D551" s="5" t="s">
        <v>142</v>
      </c>
      <c r="E551" s="5" t="s">
        <v>1041</v>
      </c>
      <c r="F551" s="5" t="s">
        <v>1002</v>
      </c>
      <c r="G551" s="6" t="str">
        <f aca="false">INDEX(Catalogo_Causas!$B$2:$B$10,MATCH(F551,Catalogo_Causas!$A$2:$A$10,0))</f>
        <v>Falla mecánica</v>
      </c>
      <c r="H551" s="6" t="str">
        <f aca="false">INDEX(Catalogo_Causas!$C$2:$C$10,MATCH(F551,Catalogo_Causas!$A$2:$A$10,0))</f>
        <v>Operacional</v>
      </c>
      <c r="I551" s="5" t="n">
        <v>46</v>
      </c>
      <c r="J551" s="29" t="n">
        <f aca="false">I551/60</f>
        <v>0.766666666666667</v>
      </c>
    </row>
    <row r="552" customFormat="false" ht="15" hidden="false" customHeight="false" outlineLevel="0" collapsed="false">
      <c r="A552" s="5" t="s">
        <v>1594</v>
      </c>
      <c r="B552" s="9" t="n">
        <v>45719</v>
      </c>
      <c r="C552" s="9" t="n">
        <v>45720</v>
      </c>
      <c r="D552" s="5" t="s">
        <v>142</v>
      </c>
      <c r="E552" s="5" t="s">
        <v>1030</v>
      </c>
      <c r="F552" s="5" t="s">
        <v>1009</v>
      </c>
      <c r="G552" s="6" t="str">
        <f aca="false">INDEX(Catalogo_Causas!$B$2:$B$10,MATCH(F552,Catalogo_Causas!$A$2:$A$10,0))</f>
        <v>Falta de material de empaque</v>
      </c>
      <c r="H552" s="6" t="str">
        <f aca="false">INDEX(Catalogo_Causas!$C$2:$C$10,MATCH(F552,Catalogo_Causas!$A$2:$A$10,0))</f>
        <v>Material / suministro</v>
      </c>
      <c r="I552" s="5" t="n">
        <v>155</v>
      </c>
      <c r="J552" s="29" t="n">
        <f aca="false">I552/60</f>
        <v>2.58333333333333</v>
      </c>
    </row>
    <row r="553" customFormat="false" ht="15" hidden="false" customHeight="false" outlineLevel="0" collapsed="false">
      <c r="A553" s="5" t="s">
        <v>1595</v>
      </c>
      <c r="B553" s="9" t="n">
        <v>45719</v>
      </c>
      <c r="C553" s="9" t="n">
        <v>45720</v>
      </c>
      <c r="D553" s="5" t="s">
        <v>144</v>
      </c>
      <c r="E553" s="5" t="s">
        <v>1032</v>
      </c>
      <c r="F553" s="5" t="s">
        <v>1012</v>
      </c>
      <c r="G553" s="6" t="str">
        <f aca="false">INDEX(Catalogo_Causas!$B$2:$B$10,MATCH(F553,Catalogo_Causas!$A$2:$A$10,0))</f>
        <v>Falta de materia prima</v>
      </c>
      <c r="H553" s="6" t="str">
        <f aca="false">INDEX(Catalogo_Causas!$C$2:$C$10,MATCH(F553,Catalogo_Causas!$A$2:$A$10,0))</f>
        <v>Material / suministro</v>
      </c>
      <c r="I553" s="5" t="n">
        <v>13</v>
      </c>
      <c r="J553" s="29" t="n">
        <f aca="false">I553/60</f>
        <v>0.216666666666667</v>
      </c>
    </row>
    <row r="554" customFormat="false" ht="15" hidden="false" customHeight="false" outlineLevel="0" collapsed="false">
      <c r="A554" s="5" t="s">
        <v>1596</v>
      </c>
      <c r="B554" s="9" t="n">
        <v>45719</v>
      </c>
      <c r="C554" s="9" t="n">
        <v>45721</v>
      </c>
      <c r="D554" s="5" t="s">
        <v>130</v>
      </c>
      <c r="E554" s="5" t="s">
        <v>1030</v>
      </c>
      <c r="F554" s="5" t="s">
        <v>1002</v>
      </c>
      <c r="G554" s="6" t="str">
        <f aca="false">INDEX(Catalogo_Causas!$B$2:$B$10,MATCH(F554,Catalogo_Causas!$A$2:$A$10,0))</f>
        <v>Falla mecánica</v>
      </c>
      <c r="H554" s="6" t="str">
        <f aca="false">INDEX(Catalogo_Causas!$C$2:$C$10,MATCH(F554,Catalogo_Causas!$A$2:$A$10,0))</f>
        <v>Operacional</v>
      </c>
      <c r="I554" s="5" t="n">
        <v>58</v>
      </c>
      <c r="J554" s="29" t="n">
        <f aca="false">I554/60</f>
        <v>0.966666666666667</v>
      </c>
    </row>
    <row r="555" customFormat="false" ht="15" hidden="false" customHeight="false" outlineLevel="0" collapsed="false">
      <c r="A555" s="5" t="s">
        <v>1597</v>
      </c>
      <c r="B555" s="9" t="n">
        <v>45719</v>
      </c>
      <c r="C555" s="9" t="n">
        <v>45721</v>
      </c>
      <c r="D555" s="5" t="s">
        <v>138</v>
      </c>
      <c r="E555" s="5" t="s">
        <v>1034</v>
      </c>
      <c r="F555" s="5" t="s">
        <v>1018</v>
      </c>
      <c r="G555" s="6" t="str">
        <f aca="false">INDEX(Catalogo_Causas!$B$2:$B$10,MATCH(F555,Catalogo_Causas!$A$2:$A$10,0))</f>
        <v>Falta de personal</v>
      </c>
      <c r="H555" s="6" t="str">
        <f aca="false">INDEX(Catalogo_Causas!$C$2:$C$10,MATCH(F555,Catalogo_Causas!$A$2:$A$10,0))</f>
        <v>Personal</v>
      </c>
      <c r="I555" s="5" t="n">
        <v>61</v>
      </c>
      <c r="J555" s="29" t="n">
        <f aca="false">I555/60</f>
        <v>1.01666666666667</v>
      </c>
    </row>
    <row r="556" customFormat="false" ht="15" hidden="false" customHeight="false" outlineLevel="0" collapsed="false">
      <c r="A556" s="5" t="s">
        <v>1598</v>
      </c>
      <c r="B556" s="9" t="n">
        <v>45719</v>
      </c>
      <c r="C556" s="9" t="n">
        <v>45721</v>
      </c>
      <c r="D556" s="5" t="s">
        <v>138</v>
      </c>
      <c r="E556" s="5" t="s">
        <v>1034</v>
      </c>
      <c r="F556" s="5" t="s">
        <v>1012</v>
      </c>
      <c r="G556" s="6" t="str">
        <f aca="false">INDEX(Catalogo_Causas!$B$2:$B$10,MATCH(F556,Catalogo_Causas!$A$2:$A$10,0))</f>
        <v>Falta de materia prima</v>
      </c>
      <c r="H556" s="6" t="str">
        <f aca="false">INDEX(Catalogo_Causas!$C$2:$C$10,MATCH(F556,Catalogo_Causas!$A$2:$A$10,0))</f>
        <v>Material / suministro</v>
      </c>
      <c r="I556" s="5" t="n">
        <v>32</v>
      </c>
      <c r="J556" s="29" t="n">
        <f aca="false">I556/60</f>
        <v>0.533333333333333</v>
      </c>
    </row>
    <row r="557" customFormat="false" ht="15" hidden="false" customHeight="false" outlineLevel="0" collapsed="false">
      <c r="A557" s="5" t="s">
        <v>1599</v>
      </c>
      <c r="B557" s="9" t="n">
        <v>45719</v>
      </c>
      <c r="C557" s="9" t="n">
        <v>45721</v>
      </c>
      <c r="D557" s="5" t="s">
        <v>140</v>
      </c>
      <c r="E557" s="5" t="s">
        <v>1032</v>
      </c>
      <c r="F557" s="5" t="s">
        <v>1002</v>
      </c>
      <c r="G557" s="6" t="str">
        <f aca="false">INDEX(Catalogo_Causas!$B$2:$B$10,MATCH(F557,Catalogo_Causas!$A$2:$A$10,0))</f>
        <v>Falla mecánica</v>
      </c>
      <c r="H557" s="6" t="str">
        <f aca="false">INDEX(Catalogo_Causas!$C$2:$C$10,MATCH(F557,Catalogo_Causas!$A$2:$A$10,0))</f>
        <v>Operacional</v>
      </c>
      <c r="I557" s="5" t="n">
        <v>64</v>
      </c>
      <c r="J557" s="29" t="n">
        <f aca="false">I557/60</f>
        <v>1.06666666666667</v>
      </c>
    </row>
    <row r="558" customFormat="false" ht="15" hidden="false" customHeight="false" outlineLevel="0" collapsed="false">
      <c r="A558" s="5" t="s">
        <v>1600</v>
      </c>
      <c r="B558" s="9" t="n">
        <v>45719</v>
      </c>
      <c r="C558" s="9" t="n">
        <v>45722</v>
      </c>
      <c r="D558" s="5" t="s">
        <v>130</v>
      </c>
      <c r="E558" s="5" t="s">
        <v>1078</v>
      </c>
      <c r="F558" s="5" t="s">
        <v>1021</v>
      </c>
      <c r="G558" s="6" t="str">
        <f aca="false">INDEX(Catalogo_Causas!$B$2:$B$10,MATCH(F558,Catalogo_Causas!$A$2:$A$10,0))</f>
        <v>Falla de servicios (vapor/amoniaco/aire)</v>
      </c>
      <c r="H558" s="6" t="str">
        <f aca="false">INDEX(Catalogo_Causas!$C$2:$C$10,MATCH(F558,Catalogo_Causas!$A$2:$A$10,0))</f>
        <v>Servicios</v>
      </c>
      <c r="I558" s="5" t="n">
        <v>75</v>
      </c>
      <c r="J558" s="29" t="n">
        <f aca="false">I558/60</f>
        <v>1.25</v>
      </c>
    </row>
    <row r="559" customFormat="false" ht="15" hidden="false" customHeight="false" outlineLevel="0" collapsed="false">
      <c r="A559" s="5" t="s">
        <v>1601</v>
      </c>
      <c r="B559" s="9" t="n">
        <v>45719</v>
      </c>
      <c r="C559" s="9" t="n">
        <v>45722</v>
      </c>
      <c r="D559" s="5" t="s">
        <v>142</v>
      </c>
      <c r="E559" s="5" t="s">
        <v>1051</v>
      </c>
      <c r="F559" s="5" t="s">
        <v>1009</v>
      </c>
      <c r="G559" s="6" t="str">
        <f aca="false">INDEX(Catalogo_Causas!$B$2:$B$10,MATCH(F559,Catalogo_Causas!$A$2:$A$10,0))</f>
        <v>Falta de material de empaque</v>
      </c>
      <c r="H559" s="6" t="str">
        <f aca="false">INDEX(Catalogo_Causas!$C$2:$C$10,MATCH(F559,Catalogo_Causas!$A$2:$A$10,0))</f>
        <v>Material / suministro</v>
      </c>
      <c r="I559" s="5" t="n">
        <v>135</v>
      </c>
      <c r="J559" s="29" t="n">
        <f aca="false">I559/60</f>
        <v>2.25</v>
      </c>
    </row>
    <row r="560" customFormat="false" ht="15" hidden="false" customHeight="false" outlineLevel="0" collapsed="false">
      <c r="A560" s="5" t="s">
        <v>1602</v>
      </c>
      <c r="B560" s="9" t="n">
        <v>45719</v>
      </c>
      <c r="C560" s="9" t="n">
        <v>45723</v>
      </c>
      <c r="D560" s="5" t="s">
        <v>132</v>
      </c>
      <c r="E560" s="5" t="s">
        <v>1084</v>
      </c>
      <c r="F560" s="5" t="s">
        <v>1002</v>
      </c>
      <c r="G560" s="6" t="str">
        <f aca="false">INDEX(Catalogo_Causas!$B$2:$B$10,MATCH(F560,Catalogo_Causas!$A$2:$A$10,0))</f>
        <v>Falla mecánica</v>
      </c>
      <c r="H560" s="6" t="str">
        <f aca="false">INDEX(Catalogo_Causas!$C$2:$C$10,MATCH(F560,Catalogo_Causas!$A$2:$A$10,0))</f>
        <v>Operacional</v>
      </c>
      <c r="I560" s="5" t="n">
        <v>110</v>
      </c>
      <c r="J560" s="29" t="n">
        <f aca="false">I560/60</f>
        <v>1.83333333333333</v>
      </c>
    </row>
    <row r="561" customFormat="false" ht="15" hidden="false" customHeight="false" outlineLevel="0" collapsed="false">
      <c r="A561" s="5" t="s">
        <v>1603</v>
      </c>
      <c r="B561" s="9" t="n">
        <v>45719</v>
      </c>
      <c r="C561" s="9" t="n">
        <v>45723</v>
      </c>
      <c r="D561" s="5" t="s">
        <v>140</v>
      </c>
      <c r="E561" s="5" t="s">
        <v>1045</v>
      </c>
      <c r="F561" s="5" t="s">
        <v>1014</v>
      </c>
      <c r="G561" s="6" t="str">
        <f aca="false">INDEX(Catalogo_Causas!$B$2:$B$10,MATCH(F561,Catalogo_Causas!$A$2:$A$10,0))</f>
        <v>Retención de calidad</v>
      </c>
      <c r="H561" s="6" t="str">
        <f aca="false">INDEX(Catalogo_Causas!$C$2:$C$10,MATCH(F561,Catalogo_Causas!$A$2:$A$10,0))</f>
        <v>Calidad</v>
      </c>
      <c r="I561" s="5" t="n">
        <v>25</v>
      </c>
      <c r="J561" s="29" t="n">
        <f aca="false">I561/60</f>
        <v>0.416666666666667</v>
      </c>
    </row>
    <row r="562" customFormat="false" ht="15" hidden="false" customHeight="false" outlineLevel="0" collapsed="false">
      <c r="A562" s="5" t="s">
        <v>1604</v>
      </c>
      <c r="B562" s="9" t="n">
        <v>45719</v>
      </c>
      <c r="C562" s="9" t="n">
        <v>45723</v>
      </c>
      <c r="D562" s="5" t="s">
        <v>142</v>
      </c>
      <c r="E562" s="5" t="s">
        <v>1041</v>
      </c>
      <c r="F562" s="5" t="s">
        <v>1002</v>
      </c>
      <c r="G562" s="6" t="str">
        <f aca="false">INDEX(Catalogo_Causas!$B$2:$B$10,MATCH(F562,Catalogo_Causas!$A$2:$A$10,0))</f>
        <v>Falla mecánica</v>
      </c>
      <c r="H562" s="6" t="str">
        <f aca="false">INDEX(Catalogo_Causas!$C$2:$C$10,MATCH(F562,Catalogo_Causas!$A$2:$A$10,0))</f>
        <v>Operacional</v>
      </c>
      <c r="I562" s="5" t="n">
        <v>51</v>
      </c>
      <c r="J562" s="29" t="n">
        <f aca="false">I562/60</f>
        <v>0.85</v>
      </c>
    </row>
    <row r="563" customFormat="false" ht="15" hidden="false" customHeight="false" outlineLevel="0" collapsed="false">
      <c r="A563" s="5" t="s">
        <v>1605</v>
      </c>
      <c r="B563" s="9" t="n">
        <v>45719</v>
      </c>
      <c r="C563" s="9" t="n">
        <v>45723</v>
      </c>
      <c r="D563" s="5" t="s">
        <v>142</v>
      </c>
      <c r="E563" s="5" t="s">
        <v>1051</v>
      </c>
      <c r="F563" s="5" t="s">
        <v>1002</v>
      </c>
      <c r="G563" s="6" t="str">
        <f aca="false">INDEX(Catalogo_Causas!$B$2:$B$10,MATCH(F563,Catalogo_Causas!$A$2:$A$10,0))</f>
        <v>Falla mecánica</v>
      </c>
      <c r="H563" s="6" t="str">
        <f aca="false">INDEX(Catalogo_Causas!$C$2:$C$10,MATCH(F563,Catalogo_Causas!$A$2:$A$10,0))</f>
        <v>Operacional</v>
      </c>
      <c r="I563" s="5" t="n">
        <v>16</v>
      </c>
      <c r="J563" s="29" t="n">
        <f aca="false">I563/60</f>
        <v>0.266666666666667</v>
      </c>
    </row>
    <row r="564" customFormat="false" ht="15" hidden="false" customHeight="false" outlineLevel="0" collapsed="false">
      <c r="A564" s="5" t="s">
        <v>1606</v>
      </c>
      <c r="B564" s="9" t="n">
        <v>45719</v>
      </c>
      <c r="C564" s="9" t="n">
        <v>45723</v>
      </c>
      <c r="D564" s="5" t="s">
        <v>142</v>
      </c>
      <c r="E564" s="5" t="s">
        <v>1051</v>
      </c>
      <c r="F564" s="5" t="s">
        <v>1012</v>
      </c>
      <c r="G564" s="6" t="str">
        <f aca="false">INDEX(Catalogo_Causas!$B$2:$B$10,MATCH(F564,Catalogo_Causas!$A$2:$A$10,0))</f>
        <v>Falta de materia prima</v>
      </c>
      <c r="H564" s="6" t="str">
        <f aca="false">INDEX(Catalogo_Causas!$C$2:$C$10,MATCH(F564,Catalogo_Causas!$A$2:$A$10,0))</f>
        <v>Material / suministro</v>
      </c>
      <c r="I564" s="5" t="n">
        <v>10</v>
      </c>
      <c r="J564" s="29" t="n">
        <f aca="false">I564/60</f>
        <v>0.166666666666667</v>
      </c>
    </row>
    <row r="565" customFormat="false" ht="15" hidden="false" customHeight="false" outlineLevel="0" collapsed="false">
      <c r="A565" s="5" t="s">
        <v>1607</v>
      </c>
      <c r="B565" s="9" t="n">
        <v>45726</v>
      </c>
      <c r="C565" s="9" t="n">
        <v>45726</v>
      </c>
      <c r="D565" s="5" t="s">
        <v>132</v>
      </c>
      <c r="E565" s="5" t="s">
        <v>1084</v>
      </c>
      <c r="F565" s="5" t="s">
        <v>1005</v>
      </c>
      <c r="G565" s="6" t="str">
        <f aca="false">INDEX(Catalogo_Causas!$B$2:$B$10,MATCH(F565,Catalogo_Causas!$A$2:$A$10,0))</f>
        <v>Falla eléctrica / control</v>
      </c>
      <c r="H565" s="6" t="str">
        <f aca="false">INDEX(Catalogo_Causas!$C$2:$C$10,MATCH(F565,Catalogo_Causas!$A$2:$A$10,0))</f>
        <v>Operacional</v>
      </c>
      <c r="I565" s="5" t="n">
        <v>45</v>
      </c>
      <c r="J565" s="29" t="n">
        <f aca="false">I565/60</f>
        <v>0.75</v>
      </c>
    </row>
    <row r="566" customFormat="false" ht="15" hidden="false" customHeight="false" outlineLevel="0" collapsed="false">
      <c r="A566" s="5" t="s">
        <v>1608</v>
      </c>
      <c r="B566" s="9" t="n">
        <v>45726</v>
      </c>
      <c r="C566" s="9" t="n">
        <v>45726</v>
      </c>
      <c r="D566" s="5" t="s">
        <v>132</v>
      </c>
      <c r="E566" s="5" t="s">
        <v>1084</v>
      </c>
      <c r="F566" s="5" t="s">
        <v>1007</v>
      </c>
      <c r="G566" s="6" t="str">
        <f aca="false">INDEX(Catalogo_Causas!$B$2:$B$10,MATCH(F566,Catalogo_Causas!$A$2:$A$10,0))</f>
        <v>Cambio de formato excedido</v>
      </c>
      <c r="H566" s="6" t="str">
        <f aca="false">INDEX(Catalogo_Causas!$C$2:$C$10,MATCH(F566,Catalogo_Causas!$A$2:$A$10,0))</f>
        <v>Operacional</v>
      </c>
      <c r="I566" s="5" t="n">
        <v>67</v>
      </c>
      <c r="J566" s="29" t="n">
        <f aca="false">I566/60</f>
        <v>1.11666666666667</v>
      </c>
    </row>
    <row r="567" customFormat="false" ht="15" hidden="false" customHeight="false" outlineLevel="0" collapsed="false">
      <c r="A567" s="5" t="s">
        <v>1609</v>
      </c>
      <c r="B567" s="9" t="n">
        <v>45726</v>
      </c>
      <c r="C567" s="9" t="n">
        <v>45726</v>
      </c>
      <c r="D567" s="5" t="s">
        <v>142</v>
      </c>
      <c r="E567" s="5" t="s">
        <v>1041</v>
      </c>
      <c r="F567" s="5" t="s">
        <v>1012</v>
      </c>
      <c r="G567" s="6" t="str">
        <f aca="false">INDEX(Catalogo_Causas!$B$2:$B$10,MATCH(F567,Catalogo_Causas!$A$2:$A$10,0))</f>
        <v>Falta de materia prima</v>
      </c>
      <c r="H567" s="6" t="str">
        <f aca="false">INDEX(Catalogo_Causas!$C$2:$C$10,MATCH(F567,Catalogo_Causas!$A$2:$A$10,0))</f>
        <v>Material / suministro</v>
      </c>
      <c r="I567" s="5" t="n">
        <v>53</v>
      </c>
      <c r="J567" s="29" t="n">
        <f aca="false">I567/60</f>
        <v>0.883333333333333</v>
      </c>
    </row>
    <row r="568" customFormat="false" ht="15" hidden="false" customHeight="false" outlineLevel="0" collapsed="false">
      <c r="A568" s="5" t="s">
        <v>1610</v>
      </c>
      <c r="B568" s="9" t="n">
        <v>45726</v>
      </c>
      <c r="C568" s="9" t="n">
        <v>45726</v>
      </c>
      <c r="D568" s="5" t="s">
        <v>144</v>
      </c>
      <c r="E568" s="5" t="s">
        <v>1032</v>
      </c>
      <c r="F568" s="5" t="s">
        <v>1005</v>
      </c>
      <c r="G568" s="6" t="str">
        <f aca="false">INDEX(Catalogo_Causas!$B$2:$B$10,MATCH(F568,Catalogo_Causas!$A$2:$A$10,0))</f>
        <v>Falla eléctrica / control</v>
      </c>
      <c r="H568" s="6" t="str">
        <f aca="false">INDEX(Catalogo_Causas!$C$2:$C$10,MATCH(F568,Catalogo_Causas!$A$2:$A$10,0))</f>
        <v>Operacional</v>
      </c>
      <c r="I568" s="5" t="n">
        <v>67</v>
      </c>
      <c r="J568" s="29" t="n">
        <f aca="false">I568/60</f>
        <v>1.11666666666667</v>
      </c>
    </row>
    <row r="569" customFormat="false" ht="15" hidden="false" customHeight="false" outlineLevel="0" collapsed="false">
      <c r="A569" s="5" t="s">
        <v>1611</v>
      </c>
      <c r="B569" s="9" t="n">
        <v>45726</v>
      </c>
      <c r="C569" s="9" t="n">
        <v>45726</v>
      </c>
      <c r="D569" s="5" t="s">
        <v>144</v>
      </c>
      <c r="E569" s="5" t="s">
        <v>1030</v>
      </c>
      <c r="F569" s="5" t="s">
        <v>1005</v>
      </c>
      <c r="G569" s="6" t="str">
        <f aca="false">INDEX(Catalogo_Causas!$B$2:$B$10,MATCH(F569,Catalogo_Causas!$A$2:$A$10,0))</f>
        <v>Falla eléctrica / control</v>
      </c>
      <c r="H569" s="6" t="str">
        <f aca="false">INDEX(Catalogo_Causas!$C$2:$C$10,MATCH(F569,Catalogo_Causas!$A$2:$A$10,0))</f>
        <v>Operacional</v>
      </c>
      <c r="I569" s="5" t="n">
        <v>82</v>
      </c>
      <c r="J569" s="29" t="n">
        <f aca="false">I569/60</f>
        <v>1.36666666666667</v>
      </c>
    </row>
    <row r="570" customFormat="false" ht="15" hidden="false" customHeight="false" outlineLevel="0" collapsed="false">
      <c r="A570" s="5" t="s">
        <v>1612</v>
      </c>
      <c r="B570" s="9" t="n">
        <v>45726</v>
      </c>
      <c r="C570" s="9" t="n">
        <v>45727</v>
      </c>
      <c r="D570" s="5" t="s">
        <v>130</v>
      </c>
      <c r="E570" s="5" t="s">
        <v>1030</v>
      </c>
      <c r="F570" s="5" t="s">
        <v>1016</v>
      </c>
      <c r="G570" s="6" t="str">
        <f aca="false">INDEX(Catalogo_Causas!$B$2:$B$10,MATCH(F570,Catalogo_Causas!$A$2:$A$10,0))</f>
        <v>Limpieza no programada (CIP)</v>
      </c>
      <c r="H570" s="6" t="str">
        <f aca="false">INDEX(Catalogo_Causas!$C$2:$C$10,MATCH(F570,Catalogo_Causas!$A$2:$A$10,0))</f>
        <v>Calidad</v>
      </c>
      <c r="I570" s="5" t="n">
        <v>68</v>
      </c>
      <c r="J570" s="29" t="n">
        <f aca="false">I570/60</f>
        <v>1.13333333333333</v>
      </c>
    </row>
    <row r="571" customFormat="false" ht="15" hidden="false" customHeight="false" outlineLevel="0" collapsed="false">
      <c r="A571" s="5" t="s">
        <v>1613</v>
      </c>
      <c r="B571" s="9" t="n">
        <v>45726</v>
      </c>
      <c r="C571" s="9" t="n">
        <v>45727</v>
      </c>
      <c r="D571" s="5" t="s">
        <v>132</v>
      </c>
      <c r="E571" s="5" t="s">
        <v>1084</v>
      </c>
      <c r="F571" s="5" t="s">
        <v>1005</v>
      </c>
      <c r="G571" s="6" t="str">
        <f aca="false">INDEX(Catalogo_Causas!$B$2:$B$10,MATCH(F571,Catalogo_Causas!$A$2:$A$10,0))</f>
        <v>Falla eléctrica / control</v>
      </c>
      <c r="H571" s="6" t="str">
        <f aca="false">INDEX(Catalogo_Causas!$C$2:$C$10,MATCH(F571,Catalogo_Causas!$A$2:$A$10,0))</f>
        <v>Operacional</v>
      </c>
      <c r="I571" s="5" t="n">
        <v>210</v>
      </c>
      <c r="J571" s="29" t="n">
        <f aca="false">I571/60</f>
        <v>3.5</v>
      </c>
    </row>
    <row r="572" customFormat="false" ht="15" hidden="false" customHeight="false" outlineLevel="0" collapsed="false">
      <c r="A572" s="5" t="s">
        <v>1614</v>
      </c>
      <c r="B572" s="9" t="n">
        <v>45726</v>
      </c>
      <c r="C572" s="9" t="n">
        <v>45727</v>
      </c>
      <c r="D572" s="5" t="s">
        <v>134</v>
      </c>
      <c r="E572" s="5" t="s">
        <v>1032</v>
      </c>
      <c r="F572" s="5" t="s">
        <v>1005</v>
      </c>
      <c r="G572" s="6" t="str">
        <f aca="false">INDEX(Catalogo_Causas!$B$2:$B$10,MATCH(F572,Catalogo_Causas!$A$2:$A$10,0))</f>
        <v>Falla eléctrica / control</v>
      </c>
      <c r="H572" s="6" t="str">
        <f aca="false">INDEX(Catalogo_Causas!$C$2:$C$10,MATCH(F572,Catalogo_Causas!$A$2:$A$10,0))</f>
        <v>Operacional</v>
      </c>
      <c r="I572" s="5" t="n">
        <v>62</v>
      </c>
      <c r="J572" s="29" t="n">
        <f aca="false">I572/60</f>
        <v>1.03333333333333</v>
      </c>
    </row>
    <row r="573" customFormat="false" ht="15" hidden="false" customHeight="false" outlineLevel="0" collapsed="false">
      <c r="A573" s="5" t="s">
        <v>1615</v>
      </c>
      <c r="B573" s="9" t="n">
        <v>45726</v>
      </c>
      <c r="C573" s="9" t="n">
        <v>45727</v>
      </c>
      <c r="D573" s="5" t="s">
        <v>136</v>
      </c>
      <c r="E573" s="5" t="s">
        <v>1032</v>
      </c>
      <c r="F573" s="5" t="s">
        <v>1005</v>
      </c>
      <c r="G573" s="6" t="str">
        <f aca="false">INDEX(Catalogo_Causas!$B$2:$B$10,MATCH(F573,Catalogo_Causas!$A$2:$A$10,0))</f>
        <v>Falla eléctrica / control</v>
      </c>
      <c r="H573" s="6" t="str">
        <f aca="false">INDEX(Catalogo_Causas!$C$2:$C$10,MATCH(F573,Catalogo_Causas!$A$2:$A$10,0))</f>
        <v>Operacional</v>
      </c>
      <c r="I573" s="5" t="n">
        <v>40</v>
      </c>
      <c r="J573" s="29" t="n">
        <f aca="false">I573/60</f>
        <v>0.666666666666667</v>
      </c>
    </row>
    <row r="574" customFormat="false" ht="15" hidden="false" customHeight="false" outlineLevel="0" collapsed="false">
      <c r="A574" s="5" t="s">
        <v>1616</v>
      </c>
      <c r="B574" s="9" t="n">
        <v>45726</v>
      </c>
      <c r="C574" s="9" t="n">
        <v>45728</v>
      </c>
      <c r="D574" s="5" t="s">
        <v>130</v>
      </c>
      <c r="E574" s="5" t="s">
        <v>1030</v>
      </c>
      <c r="F574" s="5" t="s">
        <v>1002</v>
      </c>
      <c r="G574" s="6" t="str">
        <f aca="false">INDEX(Catalogo_Causas!$B$2:$B$10,MATCH(F574,Catalogo_Causas!$A$2:$A$10,0))</f>
        <v>Falla mecánica</v>
      </c>
      <c r="H574" s="6" t="str">
        <f aca="false">INDEX(Catalogo_Causas!$C$2:$C$10,MATCH(F574,Catalogo_Causas!$A$2:$A$10,0))</f>
        <v>Operacional</v>
      </c>
      <c r="I574" s="5" t="n">
        <v>40</v>
      </c>
      <c r="J574" s="29" t="n">
        <f aca="false">I574/60</f>
        <v>0.666666666666667</v>
      </c>
    </row>
    <row r="575" customFormat="false" ht="15" hidden="false" customHeight="false" outlineLevel="0" collapsed="false">
      <c r="A575" s="5" t="s">
        <v>1617</v>
      </c>
      <c r="B575" s="9" t="n">
        <v>45726</v>
      </c>
      <c r="C575" s="9" t="n">
        <v>45728</v>
      </c>
      <c r="D575" s="5" t="s">
        <v>130</v>
      </c>
      <c r="E575" s="5" t="s">
        <v>1045</v>
      </c>
      <c r="F575" s="5" t="s">
        <v>1009</v>
      </c>
      <c r="G575" s="6" t="str">
        <f aca="false">INDEX(Catalogo_Causas!$B$2:$B$10,MATCH(F575,Catalogo_Causas!$A$2:$A$10,0))</f>
        <v>Falta de material de empaque</v>
      </c>
      <c r="H575" s="6" t="str">
        <f aca="false">INDEX(Catalogo_Causas!$C$2:$C$10,MATCH(F575,Catalogo_Causas!$A$2:$A$10,0))</f>
        <v>Material / suministro</v>
      </c>
      <c r="I575" s="5" t="n">
        <v>24</v>
      </c>
      <c r="J575" s="29" t="n">
        <f aca="false">I575/60</f>
        <v>0.4</v>
      </c>
    </row>
    <row r="576" customFormat="false" ht="15" hidden="false" customHeight="false" outlineLevel="0" collapsed="false">
      <c r="A576" s="5" t="s">
        <v>1618</v>
      </c>
      <c r="B576" s="9" t="n">
        <v>45726</v>
      </c>
      <c r="C576" s="9" t="n">
        <v>45729</v>
      </c>
      <c r="D576" s="5" t="s">
        <v>134</v>
      </c>
      <c r="E576" s="5" t="s">
        <v>1032</v>
      </c>
      <c r="F576" s="5" t="s">
        <v>1016</v>
      </c>
      <c r="G576" s="6" t="str">
        <f aca="false">INDEX(Catalogo_Causas!$B$2:$B$10,MATCH(F576,Catalogo_Causas!$A$2:$A$10,0))</f>
        <v>Limpieza no programada (CIP)</v>
      </c>
      <c r="H576" s="6" t="str">
        <f aca="false">INDEX(Catalogo_Causas!$C$2:$C$10,MATCH(F576,Catalogo_Causas!$A$2:$A$10,0))</f>
        <v>Calidad</v>
      </c>
      <c r="I576" s="5" t="n">
        <v>61</v>
      </c>
      <c r="J576" s="29" t="n">
        <f aca="false">I576/60</f>
        <v>1.01666666666667</v>
      </c>
    </row>
    <row r="577" customFormat="false" ht="15" hidden="false" customHeight="false" outlineLevel="0" collapsed="false">
      <c r="A577" s="5" t="s">
        <v>1619</v>
      </c>
      <c r="B577" s="9" t="n">
        <v>45726</v>
      </c>
      <c r="C577" s="9" t="n">
        <v>45729</v>
      </c>
      <c r="D577" s="5" t="s">
        <v>142</v>
      </c>
      <c r="E577" s="5" t="s">
        <v>1051</v>
      </c>
      <c r="F577" s="5" t="s">
        <v>1002</v>
      </c>
      <c r="G577" s="6" t="str">
        <f aca="false">INDEX(Catalogo_Causas!$B$2:$B$10,MATCH(F577,Catalogo_Causas!$A$2:$A$10,0))</f>
        <v>Falla mecánica</v>
      </c>
      <c r="H577" s="6" t="str">
        <f aca="false">INDEX(Catalogo_Causas!$C$2:$C$10,MATCH(F577,Catalogo_Causas!$A$2:$A$10,0))</f>
        <v>Operacional</v>
      </c>
      <c r="I577" s="5" t="n">
        <v>30</v>
      </c>
      <c r="J577" s="29" t="n">
        <f aca="false">I577/60</f>
        <v>0.5</v>
      </c>
    </row>
    <row r="578" customFormat="false" ht="15" hidden="false" customHeight="false" outlineLevel="0" collapsed="false">
      <c r="A578" s="5" t="s">
        <v>1620</v>
      </c>
      <c r="B578" s="9" t="n">
        <v>45726</v>
      </c>
      <c r="C578" s="9" t="n">
        <v>45729</v>
      </c>
      <c r="D578" s="5" t="s">
        <v>144</v>
      </c>
      <c r="E578" s="5" t="s">
        <v>1043</v>
      </c>
      <c r="F578" s="5" t="s">
        <v>1002</v>
      </c>
      <c r="G578" s="6" t="str">
        <f aca="false">INDEX(Catalogo_Causas!$B$2:$B$10,MATCH(F578,Catalogo_Causas!$A$2:$A$10,0))</f>
        <v>Falla mecánica</v>
      </c>
      <c r="H578" s="6" t="str">
        <f aca="false">INDEX(Catalogo_Causas!$C$2:$C$10,MATCH(F578,Catalogo_Causas!$A$2:$A$10,0))</f>
        <v>Operacional</v>
      </c>
      <c r="I578" s="5" t="n">
        <v>30</v>
      </c>
      <c r="J578" s="29" t="n">
        <f aca="false">I578/60</f>
        <v>0.5</v>
      </c>
    </row>
    <row r="579" customFormat="false" ht="15" hidden="false" customHeight="false" outlineLevel="0" collapsed="false">
      <c r="A579" s="5" t="s">
        <v>1621</v>
      </c>
      <c r="B579" s="9" t="n">
        <v>45726</v>
      </c>
      <c r="C579" s="9" t="n">
        <v>45730</v>
      </c>
      <c r="D579" s="5" t="s">
        <v>132</v>
      </c>
      <c r="E579" s="5" t="s">
        <v>1032</v>
      </c>
      <c r="F579" s="5" t="s">
        <v>1007</v>
      </c>
      <c r="G579" s="6" t="str">
        <f aca="false">INDEX(Catalogo_Causas!$B$2:$B$10,MATCH(F579,Catalogo_Causas!$A$2:$A$10,0))</f>
        <v>Cambio de formato excedido</v>
      </c>
      <c r="H579" s="6" t="str">
        <f aca="false">INDEX(Catalogo_Causas!$C$2:$C$10,MATCH(F579,Catalogo_Causas!$A$2:$A$10,0))</f>
        <v>Operacional</v>
      </c>
      <c r="I579" s="5" t="n">
        <v>79</v>
      </c>
      <c r="J579" s="29" t="n">
        <f aca="false">I579/60</f>
        <v>1.31666666666667</v>
      </c>
    </row>
    <row r="580" customFormat="false" ht="15" hidden="false" customHeight="false" outlineLevel="0" collapsed="false">
      <c r="A580" s="5" t="s">
        <v>1622</v>
      </c>
      <c r="B580" s="9" t="n">
        <v>45726</v>
      </c>
      <c r="C580" s="9" t="n">
        <v>45730</v>
      </c>
      <c r="D580" s="5" t="s">
        <v>136</v>
      </c>
      <c r="E580" s="5" t="s">
        <v>1032</v>
      </c>
      <c r="F580" s="5" t="s">
        <v>1007</v>
      </c>
      <c r="G580" s="6" t="str">
        <f aca="false">INDEX(Catalogo_Causas!$B$2:$B$10,MATCH(F580,Catalogo_Causas!$A$2:$A$10,0))</f>
        <v>Cambio de formato excedido</v>
      </c>
      <c r="H580" s="6" t="str">
        <f aca="false">INDEX(Catalogo_Causas!$C$2:$C$10,MATCH(F580,Catalogo_Causas!$A$2:$A$10,0))</f>
        <v>Operacional</v>
      </c>
      <c r="I580" s="5" t="n">
        <v>11</v>
      </c>
      <c r="J580" s="29" t="n">
        <f aca="false">I580/60</f>
        <v>0.183333333333333</v>
      </c>
    </row>
    <row r="581" customFormat="false" ht="15" hidden="false" customHeight="false" outlineLevel="0" collapsed="false">
      <c r="A581" s="5" t="s">
        <v>1623</v>
      </c>
      <c r="B581" s="9" t="n">
        <v>45726</v>
      </c>
      <c r="C581" s="9" t="n">
        <v>45730</v>
      </c>
      <c r="D581" s="5" t="s">
        <v>142</v>
      </c>
      <c r="E581" s="5" t="s">
        <v>1041</v>
      </c>
      <c r="F581" s="5" t="s">
        <v>1007</v>
      </c>
      <c r="G581" s="6" t="str">
        <f aca="false">INDEX(Catalogo_Causas!$B$2:$B$10,MATCH(F581,Catalogo_Causas!$A$2:$A$10,0))</f>
        <v>Cambio de formato excedido</v>
      </c>
      <c r="H581" s="6" t="str">
        <f aca="false">INDEX(Catalogo_Causas!$C$2:$C$10,MATCH(F581,Catalogo_Causas!$A$2:$A$10,0))</f>
        <v>Operacional</v>
      </c>
      <c r="I581" s="5" t="n">
        <v>41</v>
      </c>
      <c r="J581" s="29" t="n">
        <f aca="false">I581/60</f>
        <v>0.683333333333333</v>
      </c>
    </row>
    <row r="582" customFormat="false" ht="15" hidden="false" customHeight="false" outlineLevel="0" collapsed="false">
      <c r="A582" s="5" t="s">
        <v>1624</v>
      </c>
      <c r="B582" s="9" t="n">
        <v>45726</v>
      </c>
      <c r="C582" s="9" t="n">
        <v>45730</v>
      </c>
      <c r="D582" s="5" t="s">
        <v>144</v>
      </c>
      <c r="E582" s="5" t="s">
        <v>1032</v>
      </c>
      <c r="F582" s="5" t="s">
        <v>1002</v>
      </c>
      <c r="G582" s="6" t="str">
        <f aca="false">INDEX(Catalogo_Causas!$B$2:$B$10,MATCH(F582,Catalogo_Causas!$A$2:$A$10,0))</f>
        <v>Falla mecánica</v>
      </c>
      <c r="H582" s="6" t="str">
        <f aca="false">INDEX(Catalogo_Causas!$C$2:$C$10,MATCH(F582,Catalogo_Causas!$A$2:$A$10,0))</f>
        <v>Operacional</v>
      </c>
      <c r="I582" s="5" t="n">
        <v>81</v>
      </c>
      <c r="J582" s="29" t="n">
        <f aca="false">I582/60</f>
        <v>1.35</v>
      </c>
    </row>
    <row r="583" customFormat="false" ht="15" hidden="false" customHeight="false" outlineLevel="0" collapsed="false">
      <c r="A583" s="5" t="s">
        <v>1625</v>
      </c>
      <c r="B583" s="9" t="n">
        <v>45726</v>
      </c>
      <c r="C583" s="9" t="n">
        <v>45730</v>
      </c>
      <c r="D583" s="5" t="s">
        <v>144</v>
      </c>
      <c r="E583" s="5" t="s">
        <v>1030</v>
      </c>
      <c r="F583" s="5" t="s">
        <v>1002</v>
      </c>
      <c r="G583" s="6" t="str">
        <f aca="false">INDEX(Catalogo_Causas!$B$2:$B$10,MATCH(F583,Catalogo_Causas!$A$2:$A$10,0))</f>
        <v>Falla mecánica</v>
      </c>
      <c r="H583" s="6" t="str">
        <f aca="false">INDEX(Catalogo_Causas!$C$2:$C$10,MATCH(F583,Catalogo_Causas!$A$2:$A$10,0))</f>
        <v>Operacional</v>
      </c>
      <c r="I583" s="5" t="n">
        <v>78</v>
      </c>
      <c r="J583" s="29" t="n">
        <f aca="false">I583/60</f>
        <v>1.3</v>
      </c>
    </row>
    <row r="584" customFormat="false" ht="15" hidden="false" customHeight="false" outlineLevel="0" collapsed="false">
      <c r="A584" s="5" t="s">
        <v>1626</v>
      </c>
      <c r="B584" s="9" t="n">
        <v>45726</v>
      </c>
      <c r="C584" s="9" t="n">
        <v>45731</v>
      </c>
      <c r="D584" s="5" t="s">
        <v>132</v>
      </c>
      <c r="E584" s="5" t="s">
        <v>1084</v>
      </c>
      <c r="F584" s="5" t="s">
        <v>1014</v>
      </c>
      <c r="G584" s="6" t="str">
        <f aca="false">INDEX(Catalogo_Causas!$B$2:$B$10,MATCH(F584,Catalogo_Causas!$A$2:$A$10,0))</f>
        <v>Retención de calidad</v>
      </c>
      <c r="H584" s="6" t="str">
        <f aca="false">INDEX(Catalogo_Causas!$C$2:$C$10,MATCH(F584,Catalogo_Causas!$A$2:$A$10,0))</f>
        <v>Calidad</v>
      </c>
      <c r="I584" s="5" t="n">
        <v>98</v>
      </c>
      <c r="J584" s="29" t="n">
        <f aca="false">I584/60</f>
        <v>1.63333333333333</v>
      </c>
    </row>
    <row r="585" customFormat="false" ht="15" hidden="false" customHeight="false" outlineLevel="0" collapsed="false">
      <c r="A585" s="5" t="s">
        <v>1627</v>
      </c>
      <c r="B585" s="9" t="n">
        <v>45726</v>
      </c>
      <c r="C585" s="9" t="n">
        <v>45731</v>
      </c>
      <c r="D585" s="5" t="s">
        <v>132</v>
      </c>
      <c r="E585" s="5" t="s">
        <v>1084</v>
      </c>
      <c r="F585" s="5" t="s">
        <v>1021</v>
      </c>
      <c r="G585" s="6" t="str">
        <f aca="false">INDEX(Catalogo_Causas!$B$2:$B$10,MATCH(F585,Catalogo_Causas!$A$2:$A$10,0))</f>
        <v>Falla de servicios (vapor/amoniaco/aire)</v>
      </c>
      <c r="H585" s="6" t="str">
        <f aca="false">INDEX(Catalogo_Causas!$C$2:$C$10,MATCH(F585,Catalogo_Causas!$A$2:$A$10,0))</f>
        <v>Servicios</v>
      </c>
      <c r="I585" s="5" t="n">
        <v>32</v>
      </c>
      <c r="J585" s="29" t="n">
        <f aca="false">I585/60</f>
        <v>0.533333333333333</v>
      </c>
    </row>
    <row r="586" customFormat="false" ht="15" hidden="false" customHeight="false" outlineLevel="0" collapsed="false">
      <c r="A586" s="5" t="s">
        <v>1628</v>
      </c>
      <c r="B586" s="9" t="n">
        <v>45733</v>
      </c>
      <c r="C586" s="9" t="n">
        <v>45733</v>
      </c>
      <c r="D586" s="5" t="s">
        <v>138</v>
      </c>
      <c r="E586" s="5" t="s">
        <v>1034</v>
      </c>
      <c r="F586" s="5" t="s">
        <v>1016</v>
      </c>
      <c r="G586" s="6" t="str">
        <f aca="false">INDEX(Catalogo_Causas!$B$2:$B$10,MATCH(F586,Catalogo_Causas!$A$2:$A$10,0))</f>
        <v>Limpieza no programada (CIP)</v>
      </c>
      <c r="H586" s="6" t="str">
        <f aca="false">INDEX(Catalogo_Causas!$C$2:$C$10,MATCH(F586,Catalogo_Causas!$A$2:$A$10,0))</f>
        <v>Calidad</v>
      </c>
      <c r="I586" s="5" t="n">
        <v>31</v>
      </c>
      <c r="J586" s="29" t="n">
        <f aca="false">I586/60</f>
        <v>0.516666666666667</v>
      </c>
    </row>
    <row r="587" customFormat="false" ht="15" hidden="false" customHeight="false" outlineLevel="0" collapsed="false">
      <c r="A587" s="5" t="s">
        <v>1629</v>
      </c>
      <c r="B587" s="9" t="n">
        <v>45733</v>
      </c>
      <c r="C587" s="9" t="n">
        <v>45734</v>
      </c>
      <c r="D587" s="5" t="s">
        <v>134</v>
      </c>
      <c r="E587" s="5" t="s">
        <v>1030</v>
      </c>
      <c r="F587" s="5" t="s">
        <v>1005</v>
      </c>
      <c r="G587" s="6" t="str">
        <f aca="false">INDEX(Catalogo_Causas!$B$2:$B$10,MATCH(F587,Catalogo_Causas!$A$2:$A$10,0))</f>
        <v>Falla eléctrica / control</v>
      </c>
      <c r="H587" s="6" t="str">
        <f aca="false">INDEX(Catalogo_Causas!$C$2:$C$10,MATCH(F587,Catalogo_Causas!$A$2:$A$10,0))</f>
        <v>Operacional</v>
      </c>
      <c r="I587" s="5" t="n">
        <v>54</v>
      </c>
      <c r="J587" s="29" t="n">
        <f aca="false">I587/60</f>
        <v>0.9</v>
      </c>
    </row>
    <row r="588" customFormat="false" ht="15" hidden="false" customHeight="false" outlineLevel="0" collapsed="false">
      <c r="A588" s="5" t="s">
        <v>1630</v>
      </c>
      <c r="B588" s="9" t="n">
        <v>45733</v>
      </c>
      <c r="C588" s="9" t="n">
        <v>45734</v>
      </c>
      <c r="D588" s="5" t="s">
        <v>138</v>
      </c>
      <c r="E588" s="5" t="s">
        <v>1034</v>
      </c>
      <c r="F588" s="5" t="s">
        <v>1018</v>
      </c>
      <c r="G588" s="6" t="str">
        <f aca="false">INDEX(Catalogo_Causas!$B$2:$B$10,MATCH(F588,Catalogo_Causas!$A$2:$A$10,0))</f>
        <v>Falta de personal</v>
      </c>
      <c r="H588" s="6" t="str">
        <f aca="false">INDEX(Catalogo_Causas!$C$2:$C$10,MATCH(F588,Catalogo_Causas!$A$2:$A$10,0))</f>
        <v>Personal</v>
      </c>
      <c r="I588" s="5" t="n">
        <v>178</v>
      </c>
      <c r="J588" s="29" t="n">
        <f aca="false">I588/60</f>
        <v>2.96666666666667</v>
      </c>
    </row>
    <row r="589" customFormat="false" ht="15" hidden="false" customHeight="false" outlineLevel="0" collapsed="false">
      <c r="A589" s="5" t="s">
        <v>1631</v>
      </c>
      <c r="B589" s="9" t="n">
        <v>45733</v>
      </c>
      <c r="C589" s="9" t="n">
        <v>45735</v>
      </c>
      <c r="D589" s="5" t="s">
        <v>136</v>
      </c>
      <c r="E589" s="5" t="s">
        <v>1051</v>
      </c>
      <c r="F589" s="5" t="s">
        <v>1007</v>
      </c>
      <c r="G589" s="6" t="str">
        <f aca="false">INDEX(Catalogo_Causas!$B$2:$B$10,MATCH(F589,Catalogo_Causas!$A$2:$A$10,0))</f>
        <v>Cambio de formato excedido</v>
      </c>
      <c r="H589" s="6" t="str">
        <f aca="false">INDEX(Catalogo_Causas!$C$2:$C$10,MATCH(F589,Catalogo_Causas!$A$2:$A$10,0))</f>
        <v>Operacional</v>
      </c>
      <c r="I589" s="5" t="n">
        <v>104</v>
      </c>
      <c r="J589" s="29" t="n">
        <f aca="false">I589/60</f>
        <v>1.73333333333333</v>
      </c>
    </row>
    <row r="590" customFormat="false" ht="15" hidden="false" customHeight="false" outlineLevel="0" collapsed="false">
      <c r="A590" s="5" t="s">
        <v>1632</v>
      </c>
      <c r="B590" s="9" t="n">
        <v>45733</v>
      </c>
      <c r="C590" s="9" t="n">
        <v>45735</v>
      </c>
      <c r="D590" s="5" t="s">
        <v>138</v>
      </c>
      <c r="E590" s="5" t="s">
        <v>1034</v>
      </c>
      <c r="F590" s="5" t="s">
        <v>1002</v>
      </c>
      <c r="G590" s="6" t="str">
        <f aca="false">INDEX(Catalogo_Causas!$B$2:$B$10,MATCH(F590,Catalogo_Causas!$A$2:$A$10,0))</f>
        <v>Falla mecánica</v>
      </c>
      <c r="H590" s="6" t="str">
        <f aca="false">INDEX(Catalogo_Causas!$C$2:$C$10,MATCH(F590,Catalogo_Causas!$A$2:$A$10,0))</f>
        <v>Operacional</v>
      </c>
      <c r="I590" s="5" t="n">
        <v>56</v>
      </c>
      <c r="J590" s="29" t="n">
        <f aca="false">I590/60</f>
        <v>0.933333333333333</v>
      </c>
    </row>
    <row r="591" customFormat="false" ht="15" hidden="false" customHeight="false" outlineLevel="0" collapsed="false">
      <c r="A591" s="5" t="s">
        <v>1633</v>
      </c>
      <c r="B591" s="9" t="n">
        <v>45733</v>
      </c>
      <c r="C591" s="9" t="n">
        <v>45736</v>
      </c>
      <c r="D591" s="5" t="s">
        <v>130</v>
      </c>
      <c r="E591" s="5" t="s">
        <v>1078</v>
      </c>
      <c r="F591" s="5" t="s">
        <v>1005</v>
      </c>
      <c r="G591" s="6" t="str">
        <f aca="false">INDEX(Catalogo_Causas!$B$2:$B$10,MATCH(F591,Catalogo_Causas!$A$2:$A$10,0))</f>
        <v>Falla eléctrica / control</v>
      </c>
      <c r="H591" s="6" t="str">
        <f aca="false">INDEX(Catalogo_Causas!$C$2:$C$10,MATCH(F591,Catalogo_Causas!$A$2:$A$10,0))</f>
        <v>Operacional</v>
      </c>
      <c r="I591" s="5" t="n">
        <v>27</v>
      </c>
      <c r="J591" s="29" t="n">
        <f aca="false">I591/60</f>
        <v>0.45</v>
      </c>
    </row>
    <row r="592" customFormat="false" ht="15" hidden="false" customHeight="false" outlineLevel="0" collapsed="false">
      <c r="A592" s="5" t="s">
        <v>1634</v>
      </c>
      <c r="B592" s="9" t="n">
        <v>45733</v>
      </c>
      <c r="C592" s="9" t="n">
        <v>45736</v>
      </c>
      <c r="D592" s="5" t="s">
        <v>134</v>
      </c>
      <c r="E592" s="5" t="s">
        <v>1030</v>
      </c>
      <c r="F592" s="5" t="s">
        <v>1014</v>
      </c>
      <c r="G592" s="6" t="str">
        <f aca="false">INDEX(Catalogo_Causas!$B$2:$B$10,MATCH(F592,Catalogo_Causas!$A$2:$A$10,0))</f>
        <v>Retención de calidad</v>
      </c>
      <c r="H592" s="6" t="str">
        <f aca="false">INDEX(Catalogo_Causas!$C$2:$C$10,MATCH(F592,Catalogo_Causas!$A$2:$A$10,0))</f>
        <v>Calidad</v>
      </c>
      <c r="I592" s="5" t="n">
        <v>54</v>
      </c>
      <c r="J592" s="29" t="n">
        <f aca="false">I592/60</f>
        <v>0.9</v>
      </c>
    </row>
    <row r="593" customFormat="false" ht="15" hidden="false" customHeight="false" outlineLevel="0" collapsed="false">
      <c r="A593" s="5" t="s">
        <v>1635</v>
      </c>
      <c r="B593" s="9" t="n">
        <v>45733</v>
      </c>
      <c r="C593" s="9" t="n">
        <v>45736</v>
      </c>
      <c r="D593" s="5" t="s">
        <v>134</v>
      </c>
      <c r="E593" s="5" t="s">
        <v>1030</v>
      </c>
      <c r="F593" s="5" t="s">
        <v>1002</v>
      </c>
      <c r="G593" s="6" t="str">
        <f aca="false">INDEX(Catalogo_Causas!$B$2:$B$10,MATCH(F593,Catalogo_Causas!$A$2:$A$10,0))</f>
        <v>Falla mecánica</v>
      </c>
      <c r="H593" s="6" t="str">
        <f aca="false">INDEX(Catalogo_Causas!$C$2:$C$10,MATCH(F593,Catalogo_Causas!$A$2:$A$10,0))</f>
        <v>Operacional</v>
      </c>
      <c r="I593" s="5" t="n">
        <v>71</v>
      </c>
      <c r="J593" s="29" t="n">
        <f aca="false">I593/60</f>
        <v>1.18333333333333</v>
      </c>
    </row>
    <row r="594" customFormat="false" ht="15" hidden="false" customHeight="false" outlineLevel="0" collapsed="false">
      <c r="A594" s="5" t="s">
        <v>1636</v>
      </c>
      <c r="B594" s="9" t="n">
        <v>45733</v>
      </c>
      <c r="C594" s="9" t="n">
        <v>45736</v>
      </c>
      <c r="D594" s="5" t="s">
        <v>144</v>
      </c>
      <c r="E594" s="5" t="s">
        <v>1030</v>
      </c>
      <c r="F594" s="5" t="s">
        <v>1014</v>
      </c>
      <c r="G594" s="6" t="str">
        <f aca="false">INDEX(Catalogo_Causas!$B$2:$B$10,MATCH(F594,Catalogo_Causas!$A$2:$A$10,0))</f>
        <v>Retención de calidad</v>
      </c>
      <c r="H594" s="6" t="str">
        <f aca="false">INDEX(Catalogo_Causas!$C$2:$C$10,MATCH(F594,Catalogo_Causas!$A$2:$A$10,0))</f>
        <v>Calidad</v>
      </c>
      <c r="I594" s="5" t="n">
        <v>12</v>
      </c>
      <c r="J594" s="29" t="n">
        <f aca="false">I594/60</f>
        <v>0.2</v>
      </c>
    </row>
    <row r="595" customFormat="false" ht="15" hidden="false" customHeight="false" outlineLevel="0" collapsed="false">
      <c r="A595" s="5" t="s">
        <v>1637</v>
      </c>
      <c r="B595" s="9" t="n">
        <v>45733</v>
      </c>
      <c r="C595" s="9" t="n">
        <v>45737</v>
      </c>
      <c r="D595" s="5" t="s">
        <v>130</v>
      </c>
      <c r="E595" s="5" t="s">
        <v>1078</v>
      </c>
      <c r="F595" s="5" t="s">
        <v>1012</v>
      </c>
      <c r="G595" s="6" t="str">
        <f aca="false">INDEX(Catalogo_Causas!$B$2:$B$10,MATCH(F595,Catalogo_Causas!$A$2:$A$10,0))</f>
        <v>Falta de materia prima</v>
      </c>
      <c r="H595" s="6" t="str">
        <f aca="false">INDEX(Catalogo_Causas!$C$2:$C$10,MATCH(F595,Catalogo_Causas!$A$2:$A$10,0))</f>
        <v>Material / suministro</v>
      </c>
      <c r="I595" s="5" t="n">
        <v>80</v>
      </c>
      <c r="J595" s="29" t="n">
        <f aca="false">I595/60</f>
        <v>1.33333333333333</v>
      </c>
    </row>
    <row r="596" customFormat="false" ht="15" hidden="false" customHeight="false" outlineLevel="0" collapsed="false">
      <c r="A596" s="5" t="s">
        <v>1638</v>
      </c>
      <c r="B596" s="9" t="n">
        <v>45733</v>
      </c>
      <c r="C596" s="9" t="n">
        <v>45737</v>
      </c>
      <c r="D596" s="5" t="s">
        <v>132</v>
      </c>
      <c r="E596" s="5" t="s">
        <v>1073</v>
      </c>
      <c r="F596" s="5" t="s">
        <v>1009</v>
      </c>
      <c r="G596" s="6" t="str">
        <f aca="false">INDEX(Catalogo_Causas!$B$2:$B$10,MATCH(F596,Catalogo_Causas!$A$2:$A$10,0))</f>
        <v>Falta de material de empaque</v>
      </c>
      <c r="H596" s="6" t="str">
        <f aca="false">INDEX(Catalogo_Causas!$C$2:$C$10,MATCH(F596,Catalogo_Causas!$A$2:$A$10,0))</f>
        <v>Material / suministro</v>
      </c>
      <c r="I596" s="5" t="n">
        <v>14</v>
      </c>
      <c r="J596" s="29" t="n">
        <f aca="false">I596/60</f>
        <v>0.233333333333333</v>
      </c>
    </row>
    <row r="597" customFormat="false" ht="15" hidden="false" customHeight="false" outlineLevel="0" collapsed="false">
      <c r="A597" s="5" t="s">
        <v>1639</v>
      </c>
      <c r="B597" s="9" t="n">
        <v>45733</v>
      </c>
      <c r="C597" s="9" t="n">
        <v>45737</v>
      </c>
      <c r="D597" s="5" t="s">
        <v>136</v>
      </c>
      <c r="E597" s="5" t="s">
        <v>1032</v>
      </c>
      <c r="F597" s="5" t="s">
        <v>1007</v>
      </c>
      <c r="G597" s="6" t="str">
        <f aca="false">INDEX(Catalogo_Causas!$B$2:$B$10,MATCH(F597,Catalogo_Causas!$A$2:$A$10,0))</f>
        <v>Cambio de formato excedido</v>
      </c>
      <c r="H597" s="6" t="str">
        <f aca="false">INDEX(Catalogo_Causas!$C$2:$C$10,MATCH(F597,Catalogo_Causas!$A$2:$A$10,0))</f>
        <v>Operacional</v>
      </c>
      <c r="I597" s="5" t="n">
        <v>38</v>
      </c>
      <c r="J597" s="29" t="n">
        <f aca="false">I597/60</f>
        <v>0.633333333333333</v>
      </c>
    </row>
    <row r="598" customFormat="false" ht="15" hidden="false" customHeight="false" outlineLevel="0" collapsed="false">
      <c r="A598" s="5" t="s">
        <v>1640</v>
      </c>
      <c r="B598" s="9" t="n">
        <v>45733</v>
      </c>
      <c r="C598" s="9" t="n">
        <v>45737</v>
      </c>
      <c r="D598" s="5" t="s">
        <v>142</v>
      </c>
      <c r="E598" s="5" t="s">
        <v>1041</v>
      </c>
      <c r="F598" s="5" t="s">
        <v>1009</v>
      </c>
      <c r="G598" s="6" t="str">
        <f aca="false">INDEX(Catalogo_Causas!$B$2:$B$10,MATCH(F598,Catalogo_Causas!$A$2:$A$10,0))</f>
        <v>Falta de material de empaque</v>
      </c>
      <c r="H598" s="6" t="str">
        <f aca="false">INDEX(Catalogo_Causas!$C$2:$C$10,MATCH(F598,Catalogo_Causas!$A$2:$A$10,0))</f>
        <v>Material / suministro</v>
      </c>
      <c r="I598" s="5" t="n">
        <v>75</v>
      </c>
      <c r="J598" s="29" t="n">
        <f aca="false">I598/60</f>
        <v>1.25</v>
      </c>
    </row>
    <row r="599" customFormat="false" ht="15" hidden="false" customHeight="false" outlineLevel="0" collapsed="false">
      <c r="A599" s="5" t="s">
        <v>1641</v>
      </c>
      <c r="B599" s="9" t="n">
        <v>45733</v>
      </c>
      <c r="C599" s="9" t="n">
        <v>45737</v>
      </c>
      <c r="D599" s="5" t="s">
        <v>144</v>
      </c>
      <c r="E599" s="5" t="s">
        <v>1032</v>
      </c>
      <c r="F599" s="5" t="s">
        <v>1016</v>
      </c>
      <c r="G599" s="6" t="str">
        <f aca="false">INDEX(Catalogo_Causas!$B$2:$B$10,MATCH(F599,Catalogo_Causas!$A$2:$A$10,0))</f>
        <v>Limpieza no programada (CIP)</v>
      </c>
      <c r="H599" s="6" t="str">
        <f aca="false">INDEX(Catalogo_Causas!$C$2:$C$10,MATCH(F599,Catalogo_Causas!$A$2:$A$10,0))</f>
        <v>Calidad</v>
      </c>
      <c r="I599" s="5" t="n">
        <v>37</v>
      </c>
      <c r="J599" s="29" t="n">
        <f aca="false">I599/60</f>
        <v>0.616666666666667</v>
      </c>
    </row>
    <row r="600" customFormat="false" ht="15" hidden="false" customHeight="false" outlineLevel="0" collapsed="false">
      <c r="A600" s="5" t="s">
        <v>1642</v>
      </c>
      <c r="B600" s="9" t="n">
        <v>45733</v>
      </c>
      <c r="C600" s="9" t="n">
        <v>45737</v>
      </c>
      <c r="D600" s="5" t="s">
        <v>144</v>
      </c>
      <c r="E600" s="5" t="s">
        <v>1032</v>
      </c>
      <c r="F600" s="5" t="s">
        <v>1021</v>
      </c>
      <c r="G600" s="6" t="str">
        <f aca="false">INDEX(Catalogo_Causas!$B$2:$B$10,MATCH(F600,Catalogo_Causas!$A$2:$A$10,0))</f>
        <v>Falla de servicios (vapor/amoniaco/aire)</v>
      </c>
      <c r="H600" s="6" t="str">
        <f aca="false">INDEX(Catalogo_Causas!$C$2:$C$10,MATCH(F600,Catalogo_Causas!$A$2:$A$10,0))</f>
        <v>Servicios</v>
      </c>
      <c r="I600" s="5" t="n">
        <v>54</v>
      </c>
      <c r="J600" s="29" t="n">
        <f aca="false">I600/60</f>
        <v>0.9</v>
      </c>
    </row>
    <row r="601" customFormat="false" ht="15" hidden="false" customHeight="false" outlineLevel="0" collapsed="false">
      <c r="A601" s="5" t="s">
        <v>1643</v>
      </c>
      <c r="B601" s="9" t="n">
        <v>45733</v>
      </c>
      <c r="C601" s="9" t="n">
        <v>45737</v>
      </c>
      <c r="D601" s="5" t="s">
        <v>144</v>
      </c>
      <c r="E601" s="5" t="s">
        <v>1032</v>
      </c>
      <c r="F601" s="5" t="s">
        <v>1002</v>
      </c>
      <c r="G601" s="6" t="str">
        <f aca="false">INDEX(Catalogo_Causas!$B$2:$B$10,MATCH(F601,Catalogo_Causas!$A$2:$A$10,0))</f>
        <v>Falla mecánica</v>
      </c>
      <c r="H601" s="6" t="str">
        <f aca="false">INDEX(Catalogo_Causas!$C$2:$C$10,MATCH(F601,Catalogo_Causas!$A$2:$A$10,0))</f>
        <v>Operacional</v>
      </c>
      <c r="I601" s="5" t="n">
        <v>89</v>
      </c>
      <c r="J601" s="29" t="n">
        <f aca="false">I601/60</f>
        <v>1.48333333333333</v>
      </c>
    </row>
    <row r="602" customFormat="false" ht="15" hidden="false" customHeight="false" outlineLevel="0" collapsed="false">
      <c r="A602" s="5" t="s">
        <v>1644</v>
      </c>
      <c r="B602" s="9" t="n">
        <v>45733</v>
      </c>
      <c r="C602" s="9" t="n">
        <v>45738</v>
      </c>
      <c r="D602" s="5" t="s">
        <v>138</v>
      </c>
      <c r="E602" s="5" t="s">
        <v>1034</v>
      </c>
      <c r="F602" s="5" t="s">
        <v>1005</v>
      </c>
      <c r="G602" s="6" t="str">
        <f aca="false">INDEX(Catalogo_Causas!$B$2:$B$10,MATCH(F602,Catalogo_Causas!$A$2:$A$10,0))</f>
        <v>Falla eléctrica / control</v>
      </c>
      <c r="H602" s="6" t="str">
        <f aca="false">INDEX(Catalogo_Causas!$C$2:$C$10,MATCH(F602,Catalogo_Causas!$A$2:$A$10,0))</f>
        <v>Operacional</v>
      </c>
      <c r="I602" s="5" t="n">
        <v>37</v>
      </c>
      <c r="J602" s="29" t="n">
        <f aca="false">I602/60</f>
        <v>0.616666666666667</v>
      </c>
    </row>
    <row r="603" customFormat="false" ht="15" hidden="false" customHeight="false" outlineLevel="0" collapsed="false">
      <c r="A603" s="5" t="s">
        <v>1645</v>
      </c>
      <c r="B603" s="9" t="n">
        <v>45733</v>
      </c>
      <c r="C603" s="9" t="n">
        <v>45738</v>
      </c>
      <c r="D603" s="5" t="s">
        <v>138</v>
      </c>
      <c r="E603" s="5" t="s">
        <v>1034</v>
      </c>
      <c r="F603" s="5" t="s">
        <v>1021</v>
      </c>
      <c r="G603" s="6" t="str">
        <f aca="false">INDEX(Catalogo_Causas!$B$2:$B$10,MATCH(F603,Catalogo_Causas!$A$2:$A$10,0))</f>
        <v>Falla de servicios (vapor/amoniaco/aire)</v>
      </c>
      <c r="H603" s="6" t="str">
        <f aca="false">INDEX(Catalogo_Causas!$C$2:$C$10,MATCH(F603,Catalogo_Causas!$A$2:$A$10,0))</f>
        <v>Servicios</v>
      </c>
      <c r="I603" s="5" t="n">
        <v>96</v>
      </c>
      <c r="J603" s="29" t="n">
        <f aca="false">I603/60</f>
        <v>1.6</v>
      </c>
    </row>
    <row r="604" customFormat="false" ht="15" hidden="false" customHeight="false" outlineLevel="0" collapsed="false">
      <c r="A604" s="5" t="s">
        <v>1646</v>
      </c>
      <c r="B604" s="9" t="n">
        <v>45733</v>
      </c>
      <c r="C604" s="9" t="n">
        <v>45738</v>
      </c>
      <c r="D604" s="5" t="s">
        <v>144</v>
      </c>
      <c r="E604" s="5" t="s">
        <v>1032</v>
      </c>
      <c r="F604" s="5" t="s">
        <v>1021</v>
      </c>
      <c r="G604" s="6" t="str">
        <f aca="false">INDEX(Catalogo_Causas!$B$2:$B$10,MATCH(F604,Catalogo_Causas!$A$2:$A$10,0))</f>
        <v>Falla de servicios (vapor/amoniaco/aire)</v>
      </c>
      <c r="H604" s="6" t="str">
        <f aca="false">INDEX(Catalogo_Causas!$C$2:$C$10,MATCH(F604,Catalogo_Causas!$A$2:$A$10,0))</f>
        <v>Servicios</v>
      </c>
      <c r="I604" s="5" t="n">
        <v>26</v>
      </c>
      <c r="J604" s="29" t="n">
        <f aca="false">I604/60</f>
        <v>0.433333333333333</v>
      </c>
    </row>
    <row r="605" customFormat="false" ht="15" hidden="false" customHeight="false" outlineLevel="0" collapsed="false">
      <c r="A605" s="5" t="s">
        <v>1647</v>
      </c>
      <c r="B605" s="9" t="n">
        <v>45740</v>
      </c>
      <c r="C605" s="9" t="n">
        <v>45740</v>
      </c>
      <c r="D605" s="5" t="s">
        <v>130</v>
      </c>
      <c r="E605" s="5" t="s">
        <v>1045</v>
      </c>
      <c r="F605" s="5" t="s">
        <v>1002</v>
      </c>
      <c r="G605" s="6" t="str">
        <f aca="false">INDEX(Catalogo_Causas!$B$2:$B$10,MATCH(F605,Catalogo_Causas!$A$2:$A$10,0))</f>
        <v>Falla mecánica</v>
      </c>
      <c r="H605" s="6" t="str">
        <f aca="false">INDEX(Catalogo_Causas!$C$2:$C$10,MATCH(F605,Catalogo_Causas!$A$2:$A$10,0))</f>
        <v>Operacional</v>
      </c>
      <c r="I605" s="5" t="n">
        <v>21</v>
      </c>
      <c r="J605" s="29" t="n">
        <f aca="false">I605/60</f>
        <v>0.35</v>
      </c>
    </row>
    <row r="606" customFormat="false" ht="15" hidden="false" customHeight="false" outlineLevel="0" collapsed="false">
      <c r="A606" s="5" t="s">
        <v>1648</v>
      </c>
      <c r="B606" s="9" t="n">
        <v>45740</v>
      </c>
      <c r="C606" s="9" t="n">
        <v>45740</v>
      </c>
      <c r="D606" s="5" t="s">
        <v>130</v>
      </c>
      <c r="E606" s="5" t="s">
        <v>1078</v>
      </c>
      <c r="F606" s="5" t="s">
        <v>1007</v>
      </c>
      <c r="G606" s="6" t="str">
        <f aca="false">INDEX(Catalogo_Causas!$B$2:$B$10,MATCH(F606,Catalogo_Causas!$A$2:$A$10,0))</f>
        <v>Cambio de formato excedido</v>
      </c>
      <c r="H606" s="6" t="str">
        <f aca="false">INDEX(Catalogo_Causas!$C$2:$C$10,MATCH(F606,Catalogo_Causas!$A$2:$A$10,0))</f>
        <v>Operacional</v>
      </c>
      <c r="I606" s="5" t="n">
        <v>77</v>
      </c>
      <c r="J606" s="29" t="n">
        <f aca="false">I606/60</f>
        <v>1.28333333333333</v>
      </c>
    </row>
    <row r="607" customFormat="false" ht="15" hidden="false" customHeight="false" outlineLevel="0" collapsed="false">
      <c r="A607" s="5" t="s">
        <v>1649</v>
      </c>
      <c r="B607" s="9" t="n">
        <v>45740</v>
      </c>
      <c r="C607" s="9" t="n">
        <v>45741</v>
      </c>
      <c r="D607" s="5" t="s">
        <v>130</v>
      </c>
      <c r="E607" s="5" t="s">
        <v>1045</v>
      </c>
      <c r="F607" s="5" t="s">
        <v>1002</v>
      </c>
      <c r="G607" s="6" t="str">
        <f aca="false">INDEX(Catalogo_Causas!$B$2:$B$10,MATCH(F607,Catalogo_Causas!$A$2:$A$10,0))</f>
        <v>Falla mecánica</v>
      </c>
      <c r="H607" s="6" t="str">
        <f aca="false">INDEX(Catalogo_Causas!$C$2:$C$10,MATCH(F607,Catalogo_Causas!$A$2:$A$10,0))</f>
        <v>Operacional</v>
      </c>
      <c r="I607" s="5" t="n">
        <v>138</v>
      </c>
      <c r="J607" s="29" t="n">
        <f aca="false">I607/60</f>
        <v>2.3</v>
      </c>
    </row>
    <row r="608" customFormat="false" ht="15" hidden="false" customHeight="false" outlineLevel="0" collapsed="false">
      <c r="A608" s="5" t="s">
        <v>1650</v>
      </c>
      <c r="B608" s="9" t="n">
        <v>45740</v>
      </c>
      <c r="C608" s="9" t="n">
        <v>45741</v>
      </c>
      <c r="D608" s="5" t="s">
        <v>134</v>
      </c>
      <c r="E608" s="5" t="s">
        <v>1054</v>
      </c>
      <c r="F608" s="5" t="s">
        <v>1002</v>
      </c>
      <c r="G608" s="6" t="str">
        <f aca="false">INDEX(Catalogo_Causas!$B$2:$B$10,MATCH(F608,Catalogo_Causas!$A$2:$A$10,0))</f>
        <v>Falla mecánica</v>
      </c>
      <c r="H608" s="6" t="str">
        <f aca="false">INDEX(Catalogo_Causas!$C$2:$C$10,MATCH(F608,Catalogo_Causas!$A$2:$A$10,0))</f>
        <v>Operacional</v>
      </c>
      <c r="I608" s="5" t="n">
        <v>30</v>
      </c>
      <c r="J608" s="29" t="n">
        <f aca="false">I608/60</f>
        <v>0.5</v>
      </c>
    </row>
    <row r="609" customFormat="false" ht="15" hidden="false" customHeight="false" outlineLevel="0" collapsed="false">
      <c r="A609" s="5" t="s">
        <v>1651</v>
      </c>
      <c r="B609" s="9" t="n">
        <v>45740</v>
      </c>
      <c r="C609" s="9" t="n">
        <v>45741</v>
      </c>
      <c r="D609" s="5" t="s">
        <v>136</v>
      </c>
      <c r="E609" s="5" t="s">
        <v>1101</v>
      </c>
      <c r="F609" s="5" t="s">
        <v>1002</v>
      </c>
      <c r="G609" s="6" t="str">
        <f aca="false">INDEX(Catalogo_Causas!$B$2:$B$10,MATCH(F609,Catalogo_Causas!$A$2:$A$10,0))</f>
        <v>Falla mecánica</v>
      </c>
      <c r="H609" s="6" t="str">
        <f aca="false">INDEX(Catalogo_Causas!$C$2:$C$10,MATCH(F609,Catalogo_Causas!$A$2:$A$10,0))</f>
        <v>Operacional</v>
      </c>
      <c r="I609" s="5" t="n">
        <v>10</v>
      </c>
      <c r="J609" s="29" t="n">
        <f aca="false">I609/60</f>
        <v>0.166666666666667</v>
      </c>
    </row>
    <row r="610" customFormat="false" ht="15" hidden="false" customHeight="false" outlineLevel="0" collapsed="false">
      <c r="A610" s="5" t="s">
        <v>1652</v>
      </c>
      <c r="B610" s="9" t="n">
        <v>45740</v>
      </c>
      <c r="C610" s="9" t="n">
        <v>45741</v>
      </c>
      <c r="D610" s="5" t="s">
        <v>138</v>
      </c>
      <c r="E610" s="5" t="s">
        <v>1039</v>
      </c>
      <c r="F610" s="5" t="s">
        <v>1002</v>
      </c>
      <c r="G610" s="6" t="str">
        <f aca="false">INDEX(Catalogo_Causas!$B$2:$B$10,MATCH(F610,Catalogo_Causas!$A$2:$A$10,0))</f>
        <v>Falla mecánica</v>
      </c>
      <c r="H610" s="6" t="str">
        <f aca="false">INDEX(Catalogo_Causas!$C$2:$C$10,MATCH(F610,Catalogo_Causas!$A$2:$A$10,0))</f>
        <v>Operacional</v>
      </c>
      <c r="I610" s="5" t="n">
        <v>10</v>
      </c>
      <c r="J610" s="29" t="n">
        <f aca="false">I610/60</f>
        <v>0.166666666666667</v>
      </c>
    </row>
    <row r="611" customFormat="false" ht="15" hidden="false" customHeight="false" outlineLevel="0" collapsed="false">
      <c r="A611" s="5" t="s">
        <v>1653</v>
      </c>
      <c r="B611" s="9" t="n">
        <v>45740</v>
      </c>
      <c r="C611" s="9" t="n">
        <v>45741</v>
      </c>
      <c r="D611" s="5" t="s">
        <v>140</v>
      </c>
      <c r="E611" s="5" t="s">
        <v>1045</v>
      </c>
      <c r="F611" s="5" t="s">
        <v>1005</v>
      </c>
      <c r="G611" s="6" t="str">
        <f aca="false">INDEX(Catalogo_Causas!$B$2:$B$10,MATCH(F611,Catalogo_Causas!$A$2:$A$10,0))</f>
        <v>Falla eléctrica / control</v>
      </c>
      <c r="H611" s="6" t="str">
        <f aca="false">INDEX(Catalogo_Causas!$C$2:$C$10,MATCH(F611,Catalogo_Causas!$A$2:$A$10,0))</f>
        <v>Operacional</v>
      </c>
      <c r="I611" s="5" t="n">
        <v>19</v>
      </c>
      <c r="J611" s="29" t="n">
        <f aca="false">I611/60</f>
        <v>0.316666666666667</v>
      </c>
    </row>
    <row r="612" customFormat="false" ht="15" hidden="false" customHeight="false" outlineLevel="0" collapsed="false">
      <c r="A612" s="5" t="s">
        <v>1654</v>
      </c>
      <c r="B612" s="9" t="n">
        <v>45740</v>
      </c>
      <c r="C612" s="9" t="n">
        <v>45742</v>
      </c>
      <c r="D612" s="5" t="s">
        <v>130</v>
      </c>
      <c r="E612" s="5" t="s">
        <v>1030</v>
      </c>
      <c r="F612" s="5" t="s">
        <v>1009</v>
      </c>
      <c r="G612" s="6" t="str">
        <f aca="false">INDEX(Catalogo_Causas!$B$2:$B$10,MATCH(F612,Catalogo_Causas!$A$2:$A$10,0))</f>
        <v>Falta de material de empaque</v>
      </c>
      <c r="H612" s="6" t="str">
        <f aca="false">INDEX(Catalogo_Causas!$C$2:$C$10,MATCH(F612,Catalogo_Causas!$A$2:$A$10,0))</f>
        <v>Material / suministro</v>
      </c>
      <c r="I612" s="5" t="n">
        <v>67</v>
      </c>
      <c r="J612" s="29" t="n">
        <f aca="false">I612/60</f>
        <v>1.11666666666667</v>
      </c>
    </row>
    <row r="613" customFormat="false" ht="15" hidden="false" customHeight="false" outlineLevel="0" collapsed="false">
      <c r="A613" s="5" t="s">
        <v>1655</v>
      </c>
      <c r="B613" s="9" t="n">
        <v>45740</v>
      </c>
      <c r="C613" s="9" t="n">
        <v>45742</v>
      </c>
      <c r="D613" s="5" t="s">
        <v>132</v>
      </c>
      <c r="E613" s="5" t="s">
        <v>1032</v>
      </c>
      <c r="F613" s="5" t="s">
        <v>1021</v>
      </c>
      <c r="G613" s="6" t="str">
        <f aca="false">INDEX(Catalogo_Causas!$B$2:$B$10,MATCH(F613,Catalogo_Causas!$A$2:$A$10,0))</f>
        <v>Falla de servicios (vapor/amoniaco/aire)</v>
      </c>
      <c r="H613" s="6" t="str">
        <f aca="false">INDEX(Catalogo_Causas!$C$2:$C$10,MATCH(F613,Catalogo_Causas!$A$2:$A$10,0))</f>
        <v>Servicios</v>
      </c>
      <c r="I613" s="5" t="n">
        <v>15</v>
      </c>
      <c r="J613" s="29" t="n">
        <f aca="false">I613/60</f>
        <v>0.25</v>
      </c>
    </row>
    <row r="614" customFormat="false" ht="15" hidden="false" customHeight="false" outlineLevel="0" collapsed="false">
      <c r="A614" s="5" t="s">
        <v>1656</v>
      </c>
      <c r="B614" s="9" t="n">
        <v>45740</v>
      </c>
      <c r="C614" s="9" t="n">
        <v>45742</v>
      </c>
      <c r="D614" s="5" t="s">
        <v>136</v>
      </c>
      <c r="E614" s="5" t="s">
        <v>1032</v>
      </c>
      <c r="F614" s="5" t="s">
        <v>1002</v>
      </c>
      <c r="G614" s="6" t="str">
        <f aca="false">INDEX(Catalogo_Causas!$B$2:$B$10,MATCH(F614,Catalogo_Causas!$A$2:$A$10,0))</f>
        <v>Falla mecánica</v>
      </c>
      <c r="H614" s="6" t="str">
        <f aca="false">INDEX(Catalogo_Causas!$C$2:$C$10,MATCH(F614,Catalogo_Causas!$A$2:$A$10,0))</f>
        <v>Operacional</v>
      </c>
      <c r="I614" s="5" t="n">
        <v>134</v>
      </c>
      <c r="J614" s="29" t="n">
        <f aca="false">I614/60</f>
        <v>2.23333333333333</v>
      </c>
    </row>
    <row r="615" customFormat="false" ht="15" hidden="false" customHeight="false" outlineLevel="0" collapsed="false">
      <c r="A615" s="5" t="s">
        <v>1657</v>
      </c>
      <c r="B615" s="9" t="n">
        <v>45740</v>
      </c>
      <c r="C615" s="9" t="n">
        <v>45742</v>
      </c>
      <c r="D615" s="5" t="s">
        <v>142</v>
      </c>
      <c r="E615" s="5" t="s">
        <v>1041</v>
      </c>
      <c r="F615" s="5" t="s">
        <v>1012</v>
      </c>
      <c r="G615" s="6" t="str">
        <f aca="false">INDEX(Catalogo_Causas!$B$2:$B$10,MATCH(F615,Catalogo_Causas!$A$2:$A$10,0))</f>
        <v>Falta de materia prima</v>
      </c>
      <c r="H615" s="6" t="str">
        <f aca="false">INDEX(Catalogo_Causas!$C$2:$C$10,MATCH(F615,Catalogo_Causas!$A$2:$A$10,0))</f>
        <v>Material / suministro</v>
      </c>
      <c r="I615" s="5" t="n">
        <v>40</v>
      </c>
      <c r="J615" s="29" t="n">
        <f aca="false">I615/60</f>
        <v>0.666666666666667</v>
      </c>
    </row>
    <row r="616" customFormat="false" ht="15" hidden="false" customHeight="false" outlineLevel="0" collapsed="false">
      <c r="A616" s="5" t="s">
        <v>1658</v>
      </c>
      <c r="B616" s="9" t="n">
        <v>45740</v>
      </c>
      <c r="C616" s="9" t="n">
        <v>45742</v>
      </c>
      <c r="D616" s="5" t="s">
        <v>144</v>
      </c>
      <c r="E616" s="5" t="s">
        <v>1043</v>
      </c>
      <c r="F616" s="5" t="s">
        <v>1002</v>
      </c>
      <c r="G616" s="6" t="str">
        <f aca="false">INDEX(Catalogo_Causas!$B$2:$B$10,MATCH(F616,Catalogo_Causas!$A$2:$A$10,0))</f>
        <v>Falla mecánica</v>
      </c>
      <c r="H616" s="6" t="str">
        <f aca="false">INDEX(Catalogo_Causas!$C$2:$C$10,MATCH(F616,Catalogo_Causas!$A$2:$A$10,0))</f>
        <v>Operacional</v>
      </c>
      <c r="I616" s="5" t="n">
        <v>27</v>
      </c>
      <c r="J616" s="29" t="n">
        <f aca="false">I616/60</f>
        <v>0.45</v>
      </c>
    </row>
    <row r="617" customFormat="false" ht="15" hidden="false" customHeight="false" outlineLevel="0" collapsed="false">
      <c r="A617" s="5" t="s">
        <v>1659</v>
      </c>
      <c r="B617" s="9" t="n">
        <v>45740</v>
      </c>
      <c r="C617" s="9" t="n">
        <v>45743</v>
      </c>
      <c r="D617" s="5" t="s">
        <v>136</v>
      </c>
      <c r="E617" s="5" t="s">
        <v>1051</v>
      </c>
      <c r="F617" s="5" t="s">
        <v>1007</v>
      </c>
      <c r="G617" s="6" t="str">
        <f aca="false">INDEX(Catalogo_Causas!$B$2:$B$10,MATCH(F617,Catalogo_Causas!$A$2:$A$10,0))</f>
        <v>Cambio de formato excedido</v>
      </c>
      <c r="H617" s="6" t="str">
        <f aca="false">INDEX(Catalogo_Causas!$C$2:$C$10,MATCH(F617,Catalogo_Causas!$A$2:$A$10,0))</f>
        <v>Operacional</v>
      </c>
      <c r="I617" s="5" t="n">
        <v>146</v>
      </c>
      <c r="J617" s="29" t="n">
        <f aca="false">I617/60</f>
        <v>2.43333333333333</v>
      </c>
    </row>
    <row r="618" customFormat="false" ht="15" hidden="false" customHeight="false" outlineLevel="0" collapsed="false">
      <c r="A618" s="5" t="s">
        <v>1660</v>
      </c>
      <c r="B618" s="9" t="n">
        <v>45740</v>
      </c>
      <c r="C618" s="9" t="n">
        <v>45743</v>
      </c>
      <c r="D618" s="5" t="s">
        <v>136</v>
      </c>
      <c r="E618" s="5" t="s">
        <v>1051</v>
      </c>
      <c r="F618" s="5" t="s">
        <v>1009</v>
      </c>
      <c r="G618" s="6" t="str">
        <f aca="false">INDEX(Catalogo_Causas!$B$2:$B$10,MATCH(F618,Catalogo_Causas!$A$2:$A$10,0))</f>
        <v>Falta de material de empaque</v>
      </c>
      <c r="H618" s="6" t="str">
        <f aca="false">INDEX(Catalogo_Causas!$C$2:$C$10,MATCH(F618,Catalogo_Causas!$A$2:$A$10,0))</f>
        <v>Material / suministro</v>
      </c>
      <c r="I618" s="5" t="n">
        <v>68</v>
      </c>
      <c r="J618" s="29" t="n">
        <f aca="false">I618/60</f>
        <v>1.13333333333333</v>
      </c>
    </row>
    <row r="619" customFormat="false" ht="15" hidden="false" customHeight="false" outlineLevel="0" collapsed="false">
      <c r="A619" s="5" t="s">
        <v>1661</v>
      </c>
      <c r="B619" s="9" t="n">
        <v>45740</v>
      </c>
      <c r="C619" s="9" t="n">
        <v>45743</v>
      </c>
      <c r="D619" s="5" t="s">
        <v>136</v>
      </c>
      <c r="E619" s="5" t="s">
        <v>1101</v>
      </c>
      <c r="F619" s="5" t="s">
        <v>1005</v>
      </c>
      <c r="G619" s="6" t="str">
        <f aca="false">INDEX(Catalogo_Causas!$B$2:$B$10,MATCH(F619,Catalogo_Causas!$A$2:$A$10,0))</f>
        <v>Falla eléctrica / control</v>
      </c>
      <c r="H619" s="6" t="str">
        <f aca="false">INDEX(Catalogo_Causas!$C$2:$C$10,MATCH(F619,Catalogo_Causas!$A$2:$A$10,0))</f>
        <v>Operacional</v>
      </c>
      <c r="I619" s="5" t="n">
        <v>45</v>
      </c>
      <c r="J619" s="29" t="n">
        <f aca="false">I619/60</f>
        <v>0.75</v>
      </c>
    </row>
    <row r="620" customFormat="false" ht="15" hidden="false" customHeight="false" outlineLevel="0" collapsed="false">
      <c r="A620" s="5" t="s">
        <v>1662</v>
      </c>
      <c r="B620" s="9" t="n">
        <v>45740</v>
      </c>
      <c r="C620" s="9" t="n">
        <v>45743</v>
      </c>
      <c r="D620" s="5" t="s">
        <v>138</v>
      </c>
      <c r="E620" s="5" t="s">
        <v>1039</v>
      </c>
      <c r="F620" s="5" t="s">
        <v>1016</v>
      </c>
      <c r="G620" s="6" t="str">
        <f aca="false">INDEX(Catalogo_Causas!$B$2:$B$10,MATCH(F620,Catalogo_Causas!$A$2:$A$10,0))</f>
        <v>Limpieza no programada (CIP)</v>
      </c>
      <c r="H620" s="6" t="str">
        <f aca="false">INDEX(Catalogo_Causas!$C$2:$C$10,MATCH(F620,Catalogo_Causas!$A$2:$A$10,0))</f>
        <v>Calidad</v>
      </c>
      <c r="I620" s="5" t="n">
        <v>18</v>
      </c>
      <c r="J620" s="29" t="n">
        <f aca="false">I620/60</f>
        <v>0.3</v>
      </c>
    </row>
    <row r="621" customFormat="false" ht="15" hidden="false" customHeight="false" outlineLevel="0" collapsed="false">
      <c r="A621" s="5" t="s">
        <v>1663</v>
      </c>
      <c r="B621" s="9" t="n">
        <v>45740</v>
      </c>
      <c r="C621" s="9" t="n">
        <v>45744</v>
      </c>
      <c r="D621" s="5" t="s">
        <v>132</v>
      </c>
      <c r="E621" s="5" t="s">
        <v>1032</v>
      </c>
      <c r="F621" s="5" t="s">
        <v>1002</v>
      </c>
      <c r="G621" s="6" t="str">
        <f aca="false">INDEX(Catalogo_Causas!$B$2:$B$10,MATCH(F621,Catalogo_Causas!$A$2:$A$10,0))</f>
        <v>Falla mecánica</v>
      </c>
      <c r="H621" s="6" t="str">
        <f aca="false">INDEX(Catalogo_Causas!$C$2:$C$10,MATCH(F621,Catalogo_Causas!$A$2:$A$10,0))</f>
        <v>Operacional</v>
      </c>
      <c r="I621" s="5" t="n">
        <v>173</v>
      </c>
      <c r="J621" s="29" t="n">
        <f aca="false">I621/60</f>
        <v>2.88333333333333</v>
      </c>
    </row>
    <row r="622" customFormat="false" ht="15" hidden="false" customHeight="false" outlineLevel="0" collapsed="false">
      <c r="A622" s="5" t="s">
        <v>1664</v>
      </c>
      <c r="B622" s="9" t="n">
        <v>45740</v>
      </c>
      <c r="C622" s="9" t="n">
        <v>45745</v>
      </c>
      <c r="D622" s="5" t="s">
        <v>134</v>
      </c>
      <c r="E622" s="5" t="s">
        <v>1032</v>
      </c>
      <c r="F622" s="5" t="s">
        <v>1021</v>
      </c>
      <c r="G622" s="6" t="str">
        <f aca="false">INDEX(Catalogo_Causas!$B$2:$B$10,MATCH(F622,Catalogo_Causas!$A$2:$A$10,0))</f>
        <v>Falla de servicios (vapor/amoniaco/aire)</v>
      </c>
      <c r="H622" s="6" t="str">
        <f aca="false">INDEX(Catalogo_Causas!$C$2:$C$10,MATCH(F622,Catalogo_Causas!$A$2:$A$10,0))</f>
        <v>Servicios</v>
      </c>
      <c r="I622" s="5" t="n">
        <v>23</v>
      </c>
      <c r="J622" s="29" t="n">
        <f aca="false">I622/60</f>
        <v>0.383333333333333</v>
      </c>
    </row>
    <row r="623" customFormat="false" ht="15" hidden="false" customHeight="false" outlineLevel="0" collapsed="false">
      <c r="A623" s="5" t="s">
        <v>1665</v>
      </c>
      <c r="B623" s="9" t="n">
        <v>45740</v>
      </c>
      <c r="C623" s="9" t="n">
        <v>45745</v>
      </c>
      <c r="D623" s="5" t="s">
        <v>136</v>
      </c>
      <c r="E623" s="5" t="s">
        <v>1101</v>
      </c>
      <c r="F623" s="5" t="s">
        <v>1007</v>
      </c>
      <c r="G623" s="6" t="str">
        <f aca="false">INDEX(Catalogo_Causas!$B$2:$B$10,MATCH(F623,Catalogo_Causas!$A$2:$A$10,0))</f>
        <v>Cambio de formato excedido</v>
      </c>
      <c r="H623" s="6" t="str">
        <f aca="false">INDEX(Catalogo_Causas!$C$2:$C$10,MATCH(F623,Catalogo_Causas!$A$2:$A$10,0))</f>
        <v>Operacional</v>
      </c>
      <c r="I623" s="5" t="n">
        <v>63</v>
      </c>
      <c r="J623" s="29" t="n">
        <f aca="false">I623/60</f>
        <v>1.05</v>
      </c>
    </row>
    <row r="624" customFormat="false" ht="15" hidden="false" customHeight="false" outlineLevel="0" collapsed="false">
      <c r="A624" s="5" t="s">
        <v>1666</v>
      </c>
      <c r="B624" s="9" t="n">
        <v>45740</v>
      </c>
      <c r="C624" s="9" t="n">
        <v>45745</v>
      </c>
      <c r="D624" s="5" t="s">
        <v>140</v>
      </c>
      <c r="E624" s="5" t="s">
        <v>1045</v>
      </c>
      <c r="F624" s="5" t="s">
        <v>1009</v>
      </c>
      <c r="G624" s="6" t="str">
        <f aca="false">INDEX(Catalogo_Causas!$B$2:$B$10,MATCH(F624,Catalogo_Causas!$A$2:$A$10,0))</f>
        <v>Falta de material de empaque</v>
      </c>
      <c r="H624" s="6" t="str">
        <f aca="false">INDEX(Catalogo_Causas!$C$2:$C$10,MATCH(F624,Catalogo_Causas!$A$2:$A$10,0))</f>
        <v>Material / suministro</v>
      </c>
      <c r="I624" s="5" t="n">
        <v>35</v>
      </c>
      <c r="J624" s="29" t="n">
        <f aca="false">I624/60</f>
        <v>0.583333333333333</v>
      </c>
    </row>
    <row r="625" customFormat="false" ht="15" hidden="false" customHeight="false" outlineLevel="0" collapsed="false">
      <c r="A625" s="5" t="s">
        <v>1667</v>
      </c>
      <c r="B625" s="9" t="n">
        <v>45747</v>
      </c>
      <c r="C625" s="9" t="n">
        <v>45747</v>
      </c>
      <c r="D625" s="5" t="s">
        <v>130</v>
      </c>
      <c r="E625" s="5" t="s">
        <v>1045</v>
      </c>
      <c r="F625" s="5" t="s">
        <v>1005</v>
      </c>
      <c r="G625" s="6" t="str">
        <f aca="false">INDEX(Catalogo_Causas!$B$2:$B$10,MATCH(F625,Catalogo_Causas!$A$2:$A$10,0))</f>
        <v>Falla eléctrica / control</v>
      </c>
      <c r="H625" s="6" t="str">
        <f aca="false">INDEX(Catalogo_Causas!$C$2:$C$10,MATCH(F625,Catalogo_Causas!$A$2:$A$10,0))</f>
        <v>Operacional</v>
      </c>
      <c r="I625" s="5" t="n">
        <v>19</v>
      </c>
      <c r="J625" s="29" t="n">
        <f aca="false">I625/60</f>
        <v>0.316666666666667</v>
      </c>
    </row>
    <row r="626" customFormat="false" ht="15" hidden="false" customHeight="false" outlineLevel="0" collapsed="false">
      <c r="A626" s="5" t="s">
        <v>1668</v>
      </c>
      <c r="B626" s="9" t="n">
        <v>45747</v>
      </c>
      <c r="C626" s="9" t="n">
        <v>45747</v>
      </c>
      <c r="D626" s="5" t="s">
        <v>132</v>
      </c>
      <c r="E626" s="5" t="s">
        <v>1073</v>
      </c>
      <c r="F626" s="5" t="s">
        <v>1012</v>
      </c>
      <c r="G626" s="6" t="str">
        <f aca="false">INDEX(Catalogo_Causas!$B$2:$B$10,MATCH(F626,Catalogo_Causas!$A$2:$A$10,0))</f>
        <v>Falta de materia prima</v>
      </c>
      <c r="H626" s="6" t="str">
        <f aca="false">INDEX(Catalogo_Causas!$C$2:$C$10,MATCH(F626,Catalogo_Causas!$A$2:$A$10,0))</f>
        <v>Material / suministro</v>
      </c>
      <c r="I626" s="5" t="n">
        <v>33</v>
      </c>
      <c r="J626" s="29" t="n">
        <f aca="false">I626/60</f>
        <v>0.55</v>
      </c>
    </row>
    <row r="627" customFormat="false" ht="15" hidden="false" customHeight="false" outlineLevel="0" collapsed="false">
      <c r="A627" s="5" t="s">
        <v>1669</v>
      </c>
      <c r="B627" s="9" t="n">
        <v>45747</v>
      </c>
      <c r="C627" s="9" t="n">
        <v>45747</v>
      </c>
      <c r="D627" s="5" t="s">
        <v>138</v>
      </c>
      <c r="E627" s="5" t="s">
        <v>1034</v>
      </c>
      <c r="F627" s="5" t="s">
        <v>1012</v>
      </c>
      <c r="G627" s="6" t="str">
        <f aca="false">INDEX(Catalogo_Causas!$B$2:$B$10,MATCH(F627,Catalogo_Causas!$A$2:$A$10,0))</f>
        <v>Falta de materia prima</v>
      </c>
      <c r="H627" s="6" t="str">
        <f aca="false">INDEX(Catalogo_Causas!$C$2:$C$10,MATCH(F627,Catalogo_Causas!$A$2:$A$10,0))</f>
        <v>Material / suministro</v>
      </c>
      <c r="I627" s="5" t="n">
        <v>33</v>
      </c>
      <c r="J627" s="29" t="n">
        <f aca="false">I627/60</f>
        <v>0.55</v>
      </c>
    </row>
    <row r="628" customFormat="false" ht="15" hidden="false" customHeight="false" outlineLevel="0" collapsed="false">
      <c r="A628" s="5" t="s">
        <v>1670</v>
      </c>
      <c r="B628" s="9" t="n">
        <v>45747</v>
      </c>
      <c r="C628" s="9" t="n">
        <v>45748</v>
      </c>
      <c r="D628" s="5" t="s">
        <v>138</v>
      </c>
      <c r="E628" s="5" t="s">
        <v>1056</v>
      </c>
      <c r="F628" s="5" t="s">
        <v>1002</v>
      </c>
      <c r="G628" s="6" t="str">
        <f aca="false">INDEX(Catalogo_Causas!$B$2:$B$10,MATCH(F628,Catalogo_Causas!$A$2:$A$10,0))</f>
        <v>Falla mecánica</v>
      </c>
      <c r="H628" s="6" t="str">
        <f aca="false">INDEX(Catalogo_Causas!$C$2:$C$10,MATCH(F628,Catalogo_Causas!$A$2:$A$10,0))</f>
        <v>Operacional</v>
      </c>
      <c r="I628" s="5" t="n">
        <v>64</v>
      </c>
      <c r="J628" s="29" t="n">
        <f aca="false">I628/60</f>
        <v>1.06666666666667</v>
      </c>
    </row>
    <row r="629" customFormat="false" ht="15" hidden="false" customHeight="false" outlineLevel="0" collapsed="false">
      <c r="A629" s="5" t="s">
        <v>1671</v>
      </c>
      <c r="B629" s="9" t="n">
        <v>45747</v>
      </c>
      <c r="C629" s="9" t="n">
        <v>45748</v>
      </c>
      <c r="D629" s="5" t="s">
        <v>142</v>
      </c>
      <c r="E629" s="5" t="s">
        <v>1041</v>
      </c>
      <c r="F629" s="5" t="s">
        <v>1012</v>
      </c>
      <c r="G629" s="6" t="str">
        <f aca="false">INDEX(Catalogo_Causas!$B$2:$B$10,MATCH(F629,Catalogo_Causas!$A$2:$A$10,0))</f>
        <v>Falta de materia prima</v>
      </c>
      <c r="H629" s="6" t="str">
        <f aca="false">INDEX(Catalogo_Causas!$C$2:$C$10,MATCH(F629,Catalogo_Causas!$A$2:$A$10,0))</f>
        <v>Material / suministro</v>
      </c>
      <c r="I629" s="5" t="n">
        <v>112</v>
      </c>
      <c r="J629" s="29" t="n">
        <f aca="false">I629/60</f>
        <v>1.86666666666667</v>
      </c>
    </row>
    <row r="630" customFormat="false" ht="15" hidden="false" customHeight="false" outlineLevel="0" collapsed="false">
      <c r="A630" s="5" t="s">
        <v>1672</v>
      </c>
      <c r="B630" s="9" t="n">
        <v>45747</v>
      </c>
      <c r="C630" s="9" t="n">
        <v>45748</v>
      </c>
      <c r="D630" s="5" t="s">
        <v>142</v>
      </c>
      <c r="E630" s="5" t="s">
        <v>1030</v>
      </c>
      <c r="F630" s="5" t="s">
        <v>1018</v>
      </c>
      <c r="G630" s="6" t="str">
        <f aca="false">INDEX(Catalogo_Causas!$B$2:$B$10,MATCH(F630,Catalogo_Causas!$A$2:$A$10,0))</f>
        <v>Falta de personal</v>
      </c>
      <c r="H630" s="6" t="str">
        <f aca="false">INDEX(Catalogo_Causas!$C$2:$C$10,MATCH(F630,Catalogo_Causas!$A$2:$A$10,0))</f>
        <v>Personal</v>
      </c>
      <c r="I630" s="5" t="n">
        <v>80</v>
      </c>
      <c r="J630" s="29" t="n">
        <f aca="false">I630/60</f>
        <v>1.33333333333333</v>
      </c>
    </row>
    <row r="631" customFormat="false" ht="15" hidden="false" customHeight="false" outlineLevel="0" collapsed="false">
      <c r="A631" s="5" t="s">
        <v>1673</v>
      </c>
      <c r="B631" s="9" t="n">
        <v>45747</v>
      </c>
      <c r="C631" s="9" t="n">
        <v>45749</v>
      </c>
      <c r="D631" s="5" t="s">
        <v>134</v>
      </c>
      <c r="E631" s="5" t="s">
        <v>1032</v>
      </c>
      <c r="F631" s="5" t="s">
        <v>1016</v>
      </c>
      <c r="G631" s="6" t="str">
        <f aca="false">INDEX(Catalogo_Causas!$B$2:$B$10,MATCH(F631,Catalogo_Causas!$A$2:$A$10,0))</f>
        <v>Limpieza no programada (CIP)</v>
      </c>
      <c r="H631" s="6" t="str">
        <f aca="false">INDEX(Catalogo_Causas!$C$2:$C$10,MATCH(F631,Catalogo_Causas!$A$2:$A$10,0))</f>
        <v>Calidad</v>
      </c>
      <c r="I631" s="5" t="n">
        <v>34</v>
      </c>
      <c r="J631" s="29" t="n">
        <f aca="false">I631/60</f>
        <v>0.566666666666667</v>
      </c>
    </row>
    <row r="632" customFormat="false" ht="15" hidden="false" customHeight="false" outlineLevel="0" collapsed="false">
      <c r="A632" s="5" t="s">
        <v>1674</v>
      </c>
      <c r="B632" s="9" t="n">
        <v>45747</v>
      </c>
      <c r="C632" s="9" t="n">
        <v>45750</v>
      </c>
      <c r="D632" s="5" t="s">
        <v>134</v>
      </c>
      <c r="E632" s="5" t="s">
        <v>1054</v>
      </c>
      <c r="F632" s="5" t="s">
        <v>1002</v>
      </c>
      <c r="G632" s="6" t="str">
        <f aca="false">INDEX(Catalogo_Causas!$B$2:$B$10,MATCH(F632,Catalogo_Causas!$A$2:$A$10,0))</f>
        <v>Falla mecánica</v>
      </c>
      <c r="H632" s="6" t="str">
        <f aca="false">INDEX(Catalogo_Causas!$C$2:$C$10,MATCH(F632,Catalogo_Causas!$A$2:$A$10,0))</f>
        <v>Operacional</v>
      </c>
      <c r="I632" s="5" t="n">
        <v>44</v>
      </c>
      <c r="J632" s="29" t="n">
        <f aca="false">I632/60</f>
        <v>0.733333333333333</v>
      </c>
    </row>
    <row r="633" customFormat="false" ht="15" hidden="false" customHeight="false" outlineLevel="0" collapsed="false">
      <c r="A633" s="5" t="s">
        <v>1675</v>
      </c>
      <c r="B633" s="9" t="n">
        <v>45747</v>
      </c>
      <c r="C633" s="9" t="n">
        <v>45751</v>
      </c>
      <c r="D633" s="5" t="s">
        <v>132</v>
      </c>
      <c r="E633" s="5" t="s">
        <v>1084</v>
      </c>
      <c r="F633" s="5" t="s">
        <v>1018</v>
      </c>
      <c r="G633" s="6" t="str">
        <f aca="false">INDEX(Catalogo_Causas!$B$2:$B$10,MATCH(F633,Catalogo_Causas!$A$2:$A$10,0))</f>
        <v>Falta de personal</v>
      </c>
      <c r="H633" s="6" t="str">
        <f aca="false">INDEX(Catalogo_Causas!$C$2:$C$10,MATCH(F633,Catalogo_Causas!$A$2:$A$10,0))</f>
        <v>Personal</v>
      </c>
      <c r="I633" s="5" t="n">
        <v>45</v>
      </c>
      <c r="J633" s="29" t="n">
        <f aca="false">I633/60</f>
        <v>0.75</v>
      </c>
    </row>
    <row r="634" customFormat="false" ht="15" hidden="false" customHeight="false" outlineLevel="0" collapsed="false">
      <c r="A634" s="5" t="s">
        <v>1676</v>
      </c>
      <c r="B634" s="9" t="n">
        <v>45747</v>
      </c>
      <c r="C634" s="9" t="n">
        <v>45751</v>
      </c>
      <c r="D634" s="5" t="s">
        <v>132</v>
      </c>
      <c r="E634" s="5" t="s">
        <v>1084</v>
      </c>
      <c r="F634" s="5" t="s">
        <v>1002</v>
      </c>
      <c r="G634" s="6" t="str">
        <f aca="false">INDEX(Catalogo_Causas!$B$2:$B$10,MATCH(F634,Catalogo_Causas!$A$2:$A$10,0))</f>
        <v>Falla mecánica</v>
      </c>
      <c r="H634" s="6" t="str">
        <f aca="false">INDEX(Catalogo_Causas!$C$2:$C$10,MATCH(F634,Catalogo_Causas!$A$2:$A$10,0))</f>
        <v>Operacional</v>
      </c>
      <c r="I634" s="5" t="n">
        <v>63</v>
      </c>
      <c r="J634" s="29" t="n">
        <f aca="false">I634/60</f>
        <v>1.05</v>
      </c>
    </row>
    <row r="635" customFormat="false" ht="15" hidden="false" customHeight="false" outlineLevel="0" collapsed="false">
      <c r="A635" s="5" t="s">
        <v>1677</v>
      </c>
      <c r="B635" s="9" t="n">
        <v>45747</v>
      </c>
      <c r="C635" s="9" t="n">
        <v>45752</v>
      </c>
      <c r="D635" s="5" t="s">
        <v>132</v>
      </c>
      <c r="E635" s="5" t="s">
        <v>1032</v>
      </c>
      <c r="F635" s="5" t="s">
        <v>1009</v>
      </c>
      <c r="G635" s="6" t="str">
        <f aca="false">INDEX(Catalogo_Causas!$B$2:$B$10,MATCH(F635,Catalogo_Causas!$A$2:$A$10,0))</f>
        <v>Falta de material de empaque</v>
      </c>
      <c r="H635" s="6" t="str">
        <f aca="false">INDEX(Catalogo_Causas!$C$2:$C$10,MATCH(F635,Catalogo_Causas!$A$2:$A$10,0))</f>
        <v>Material / suministro</v>
      </c>
      <c r="I635" s="5" t="n">
        <v>43</v>
      </c>
      <c r="J635" s="29" t="n">
        <f aca="false">I635/60</f>
        <v>0.716666666666667</v>
      </c>
    </row>
    <row r="636" customFormat="false" ht="15" hidden="false" customHeight="false" outlineLevel="0" collapsed="false">
      <c r="A636" s="5" t="s">
        <v>1678</v>
      </c>
      <c r="B636" s="9" t="n">
        <v>45754</v>
      </c>
      <c r="C636" s="9" t="n">
        <v>45754</v>
      </c>
      <c r="D636" s="5" t="s">
        <v>130</v>
      </c>
      <c r="E636" s="5" t="s">
        <v>1030</v>
      </c>
      <c r="F636" s="5" t="s">
        <v>1005</v>
      </c>
      <c r="G636" s="6" t="str">
        <f aca="false">INDEX(Catalogo_Causas!$B$2:$B$10,MATCH(F636,Catalogo_Causas!$A$2:$A$10,0))</f>
        <v>Falla eléctrica / control</v>
      </c>
      <c r="H636" s="6" t="str">
        <f aca="false">INDEX(Catalogo_Causas!$C$2:$C$10,MATCH(F636,Catalogo_Causas!$A$2:$A$10,0))</f>
        <v>Operacional</v>
      </c>
      <c r="I636" s="5" t="n">
        <v>118</v>
      </c>
      <c r="J636" s="29" t="n">
        <f aca="false">I636/60</f>
        <v>1.96666666666667</v>
      </c>
    </row>
    <row r="637" customFormat="false" ht="15" hidden="false" customHeight="false" outlineLevel="0" collapsed="false">
      <c r="A637" s="5" t="s">
        <v>1679</v>
      </c>
      <c r="B637" s="9" t="n">
        <v>45754</v>
      </c>
      <c r="C637" s="9" t="n">
        <v>45754</v>
      </c>
      <c r="D637" s="5" t="s">
        <v>132</v>
      </c>
      <c r="E637" s="5" t="s">
        <v>1073</v>
      </c>
      <c r="F637" s="5" t="s">
        <v>1002</v>
      </c>
      <c r="G637" s="6" t="str">
        <f aca="false">INDEX(Catalogo_Causas!$B$2:$B$10,MATCH(F637,Catalogo_Causas!$A$2:$A$10,0))</f>
        <v>Falla mecánica</v>
      </c>
      <c r="H637" s="6" t="str">
        <f aca="false">INDEX(Catalogo_Causas!$C$2:$C$10,MATCH(F637,Catalogo_Causas!$A$2:$A$10,0))</f>
        <v>Operacional</v>
      </c>
      <c r="I637" s="5" t="n">
        <v>14</v>
      </c>
      <c r="J637" s="29" t="n">
        <f aca="false">I637/60</f>
        <v>0.233333333333333</v>
      </c>
    </row>
    <row r="638" customFormat="false" ht="15" hidden="false" customHeight="false" outlineLevel="0" collapsed="false">
      <c r="A638" s="5" t="s">
        <v>1680</v>
      </c>
      <c r="B638" s="9" t="n">
        <v>45754</v>
      </c>
      <c r="C638" s="9" t="n">
        <v>45754</v>
      </c>
      <c r="D638" s="5" t="s">
        <v>132</v>
      </c>
      <c r="E638" s="5" t="s">
        <v>1032</v>
      </c>
      <c r="F638" s="5" t="s">
        <v>1012</v>
      </c>
      <c r="G638" s="6" t="str">
        <f aca="false">INDEX(Catalogo_Causas!$B$2:$B$10,MATCH(F638,Catalogo_Causas!$A$2:$A$10,0))</f>
        <v>Falta de materia prima</v>
      </c>
      <c r="H638" s="6" t="str">
        <f aca="false">INDEX(Catalogo_Causas!$C$2:$C$10,MATCH(F638,Catalogo_Causas!$A$2:$A$10,0))</f>
        <v>Material / suministro</v>
      </c>
      <c r="I638" s="5" t="n">
        <v>51</v>
      </c>
      <c r="J638" s="29" t="n">
        <f aca="false">I638/60</f>
        <v>0.85</v>
      </c>
    </row>
    <row r="639" customFormat="false" ht="15" hidden="false" customHeight="false" outlineLevel="0" collapsed="false">
      <c r="A639" s="5" t="s">
        <v>1681</v>
      </c>
      <c r="B639" s="9" t="n">
        <v>45754</v>
      </c>
      <c r="C639" s="9" t="n">
        <v>45754</v>
      </c>
      <c r="D639" s="5" t="s">
        <v>132</v>
      </c>
      <c r="E639" s="5" t="s">
        <v>1032</v>
      </c>
      <c r="F639" s="5" t="s">
        <v>1007</v>
      </c>
      <c r="G639" s="6" t="str">
        <f aca="false">INDEX(Catalogo_Causas!$B$2:$B$10,MATCH(F639,Catalogo_Causas!$A$2:$A$10,0))</f>
        <v>Cambio de formato excedido</v>
      </c>
      <c r="H639" s="6" t="str">
        <f aca="false">INDEX(Catalogo_Causas!$C$2:$C$10,MATCH(F639,Catalogo_Causas!$A$2:$A$10,0))</f>
        <v>Operacional</v>
      </c>
      <c r="I639" s="5" t="n">
        <v>110</v>
      </c>
      <c r="J639" s="29" t="n">
        <f aca="false">I639/60</f>
        <v>1.83333333333333</v>
      </c>
    </row>
    <row r="640" customFormat="false" ht="15" hidden="false" customHeight="false" outlineLevel="0" collapsed="false">
      <c r="A640" s="5" t="s">
        <v>1682</v>
      </c>
      <c r="B640" s="9" t="n">
        <v>45754</v>
      </c>
      <c r="C640" s="9" t="n">
        <v>45754</v>
      </c>
      <c r="D640" s="5" t="s">
        <v>138</v>
      </c>
      <c r="E640" s="5" t="s">
        <v>1034</v>
      </c>
      <c r="F640" s="5" t="s">
        <v>1002</v>
      </c>
      <c r="G640" s="6" t="str">
        <f aca="false">INDEX(Catalogo_Causas!$B$2:$B$10,MATCH(F640,Catalogo_Causas!$A$2:$A$10,0))</f>
        <v>Falla mecánica</v>
      </c>
      <c r="H640" s="6" t="str">
        <f aca="false">INDEX(Catalogo_Causas!$C$2:$C$10,MATCH(F640,Catalogo_Causas!$A$2:$A$10,0))</f>
        <v>Operacional</v>
      </c>
      <c r="I640" s="5" t="n">
        <v>51</v>
      </c>
      <c r="J640" s="29" t="n">
        <f aca="false">I640/60</f>
        <v>0.85</v>
      </c>
    </row>
    <row r="641" customFormat="false" ht="15" hidden="false" customHeight="false" outlineLevel="0" collapsed="false">
      <c r="A641" s="5" t="s">
        <v>1683</v>
      </c>
      <c r="B641" s="9" t="n">
        <v>45754</v>
      </c>
      <c r="C641" s="9" t="n">
        <v>45754</v>
      </c>
      <c r="D641" s="5" t="s">
        <v>142</v>
      </c>
      <c r="E641" s="5" t="s">
        <v>1030</v>
      </c>
      <c r="F641" s="5" t="s">
        <v>1002</v>
      </c>
      <c r="G641" s="6" t="str">
        <f aca="false">INDEX(Catalogo_Causas!$B$2:$B$10,MATCH(F641,Catalogo_Causas!$A$2:$A$10,0))</f>
        <v>Falla mecánica</v>
      </c>
      <c r="H641" s="6" t="str">
        <f aca="false">INDEX(Catalogo_Causas!$C$2:$C$10,MATCH(F641,Catalogo_Causas!$A$2:$A$10,0))</f>
        <v>Operacional</v>
      </c>
      <c r="I641" s="5" t="n">
        <v>55</v>
      </c>
      <c r="J641" s="29" t="n">
        <f aca="false">I641/60</f>
        <v>0.916666666666667</v>
      </c>
    </row>
    <row r="642" customFormat="false" ht="15" hidden="false" customHeight="false" outlineLevel="0" collapsed="false">
      <c r="A642" s="5" t="s">
        <v>1684</v>
      </c>
      <c r="B642" s="9" t="n">
        <v>45754</v>
      </c>
      <c r="C642" s="9" t="n">
        <v>45755</v>
      </c>
      <c r="D642" s="5" t="s">
        <v>132</v>
      </c>
      <c r="E642" s="5" t="s">
        <v>1084</v>
      </c>
      <c r="F642" s="5" t="s">
        <v>1007</v>
      </c>
      <c r="G642" s="6" t="str">
        <f aca="false">INDEX(Catalogo_Causas!$B$2:$B$10,MATCH(F642,Catalogo_Causas!$A$2:$A$10,0))</f>
        <v>Cambio de formato excedido</v>
      </c>
      <c r="H642" s="6" t="str">
        <f aca="false">INDEX(Catalogo_Causas!$C$2:$C$10,MATCH(F642,Catalogo_Causas!$A$2:$A$10,0))</f>
        <v>Operacional</v>
      </c>
      <c r="I642" s="5" t="n">
        <v>196</v>
      </c>
      <c r="J642" s="29" t="n">
        <f aca="false">I642/60</f>
        <v>3.26666666666667</v>
      </c>
    </row>
    <row r="643" customFormat="false" ht="15" hidden="false" customHeight="false" outlineLevel="0" collapsed="false">
      <c r="A643" s="5" t="s">
        <v>1685</v>
      </c>
      <c r="B643" s="9" t="n">
        <v>45754</v>
      </c>
      <c r="C643" s="9" t="n">
        <v>45755</v>
      </c>
      <c r="D643" s="5" t="s">
        <v>132</v>
      </c>
      <c r="E643" s="5" t="s">
        <v>1073</v>
      </c>
      <c r="F643" s="5" t="s">
        <v>1007</v>
      </c>
      <c r="G643" s="6" t="str">
        <f aca="false">INDEX(Catalogo_Causas!$B$2:$B$10,MATCH(F643,Catalogo_Causas!$A$2:$A$10,0))</f>
        <v>Cambio de formato excedido</v>
      </c>
      <c r="H643" s="6" t="str">
        <f aca="false">INDEX(Catalogo_Causas!$C$2:$C$10,MATCH(F643,Catalogo_Causas!$A$2:$A$10,0))</f>
        <v>Operacional</v>
      </c>
      <c r="I643" s="5" t="n">
        <v>129</v>
      </c>
      <c r="J643" s="29" t="n">
        <f aca="false">I643/60</f>
        <v>2.15</v>
      </c>
    </row>
    <row r="644" customFormat="false" ht="15" hidden="false" customHeight="false" outlineLevel="0" collapsed="false">
      <c r="A644" s="5" t="s">
        <v>1686</v>
      </c>
      <c r="B644" s="9" t="n">
        <v>45754</v>
      </c>
      <c r="C644" s="9" t="n">
        <v>45755</v>
      </c>
      <c r="D644" s="5" t="s">
        <v>142</v>
      </c>
      <c r="E644" s="5" t="s">
        <v>1030</v>
      </c>
      <c r="F644" s="5" t="s">
        <v>1007</v>
      </c>
      <c r="G644" s="6" t="str">
        <f aca="false">INDEX(Catalogo_Causas!$B$2:$B$10,MATCH(F644,Catalogo_Causas!$A$2:$A$10,0))</f>
        <v>Cambio de formato excedido</v>
      </c>
      <c r="H644" s="6" t="str">
        <f aca="false">INDEX(Catalogo_Causas!$C$2:$C$10,MATCH(F644,Catalogo_Causas!$A$2:$A$10,0))</f>
        <v>Operacional</v>
      </c>
      <c r="I644" s="5" t="n">
        <v>59</v>
      </c>
      <c r="J644" s="29" t="n">
        <f aca="false">I644/60</f>
        <v>0.983333333333333</v>
      </c>
    </row>
    <row r="645" customFormat="false" ht="15" hidden="false" customHeight="false" outlineLevel="0" collapsed="false">
      <c r="A645" s="5" t="s">
        <v>1687</v>
      </c>
      <c r="B645" s="9" t="n">
        <v>45754</v>
      </c>
      <c r="C645" s="9" t="n">
        <v>45755</v>
      </c>
      <c r="D645" s="5" t="s">
        <v>142</v>
      </c>
      <c r="E645" s="5" t="s">
        <v>1051</v>
      </c>
      <c r="F645" s="5" t="s">
        <v>1005</v>
      </c>
      <c r="G645" s="6" t="str">
        <f aca="false">INDEX(Catalogo_Causas!$B$2:$B$10,MATCH(F645,Catalogo_Causas!$A$2:$A$10,0))</f>
        <v>Falla eléctrica / control</v>
      </c>
      <c r="H645" s="6" t="str">
        <f aca="false">INDEX(Catalogo_Causas!$C$2:$C$10,MATCH(F645,Catalogo_Causas!$A$2:$A$10,0))</f>
        <v>Operacional</v>
      </c>
      <c r="I645" s="5" t="n">
        <v>21</v>
      </c>
      <c r="J645" s="29" t="n">
        <f aca="false">I645/60</f>
        <v>0.35</v>
      </c>
    </row>
    <row r="646" customFormat="false" ht="15" hidden="false" customHeight="false" outlineLevel="0" collapsed="false">
      <c r="A646" s="5" t="s">
        <v>1688</v>
      </c>
      <c r="B646" s="9" t="n">
        <v>45754</v>
      </c>
      <c r="C646" s="9" t="n">
        <v>45756</v>
      </c>
      <c r="D646" s="5" t="s">
        <v>130</v>
      </c>
      <c r="E646" s="5" t="s">
        <v>1030</v>
      </c>
      <c r="F646" s="5" t="s">
        <v>1016</v>
      </c>
      <c r="G646" s="6" t="str">
        <f aca="false">INDEX(Catalogo_Causas!$B$2:$B$10,MATCH(F646,Catalogo_Causas!$A$2:$A$10,0))</f>
        <v>Limpieza no programada (CIP)</v>
      </c>
      <c r="H646" s="6" t="str">
        <f aca="false">INDEX(Catalogo_Causas!$C$2:$C$10,MATCH(F646,Catalogo_Causas!$A$2:$A$10,0))</f>
        <v>Calidad</v>
      </c>
      <c r="I646" s="5" t="n">
        <v>24</v>
      </c>
      <c r="J646" s="29" t="n">
        <f aca="false">I646/60</f>
        <v>0.4</v>
      </c>
    </row>
    <row r="647" customFormat="false" ht="15" hidden="false" customHeight="false" outlineLevel="0" collapsed="false">
      <c r="A647" s="5" t="s">
        <v>1689</v>
      </c>
      <c r="B647" s="9" t="n">
        <v>45754</v>
      </c>
      <c r="C647" s="9" t="n">
        <v>45756</v>
      </c>
      <c r="D647" s="5" t="s">
        <v>132</v>
      </c>
      <c r="E647" s="5" t="s">
        <v>1073</v>
      </c>
      <c r="F647" s="5" t="s">
        <v>1007</v>
      </c>
      <c r="G647" s="6" t="str">
        <f aca="false">INDEX(Catalogo_Causas!$B$2:$B$10,MATCH(F647,Catalogo_Causas!$A$2:$A$10,0))</f>
        <v>Cambio de formato excedido</v>
      </c>
      <c r="H647" s="6" t="str">
        <f aca="false">INDEX(Catalogo_Causas!$C$2:$C$10,MATCH(F647,Catalogo_Causas!$A$2:$A$10,0))</f>
        <v>Operacional</v>
      </c>
      <c r="I647" s="5" t="n">
        <v>41</v>
      </c>
      <c r="J647" s="29" t="n">
        <f aca="false">I647/60</f>
        <v>0.683333333333333</v>
      </c>
    </row>
    <row r="648" customFormat="false" ht="15" hidden="false" customHeight="false" outlineLevel="0" collapsed="false">
      <c r="A648" s="5" t="s">
        <v>1690</v>
      </c>
      <c r="B648" s="9" t="n">
        <v>45754</v>
      </c>
      <c r="C648" s="9" t="n">
        <v>45756</v>
      </c>
      <c r="D648" s="5" t="s">
        <v>142</v>
      </c>
      <c r="E648" s="5" t="s">
        <v>1041</v>
      </c>
      <c r="F648" s="5" t="s">
        <v>1007</v>
      </c>
      <c r="G648" s="6" t="str">
        <f aca="false">INDEX(Catalogo_Causas!$B$2:$B$10,MATCH(F648,Catalogo_Causas!$A$2:$A$10,0))</f>
        <v>Cambio de formato excedido</v>
      </c>
      <c r="H648" s="6" t="str">
        <f aca="false">INDEX(Catalogo_Causas!$C$2:$C$10,MATCH(F648,Catalogo_Causas!$A$2:$A$10,0))</f>
        <v>Operacional</v>
      </c>
      <c r="I648" s="5" t="n">
        <v>61</v>
      </c>
      <c r="J648" s="29" t="n">
        <f aca="false">I648/60</f>
        <v>1.01666666666667</v>
      </c>
    </row>
    <row r="649" customFormat="false" ht="15" hidden="false" customHeight="false" outlineLevel="0" collapsed="false">
      <c r="A649" s="5" t="s">
        <v>1691</v>
      </c>
      <c r="B649" s="9" t="n">
        <v>45754</v>
      </c>
      <c r="C649" s="9" t="n">
        <v>45757</v>
      </c>
      <c r="D649" s="5" t="s">
        <v>134</v>
      </c>
      <c r="E649" s="5" t="s">
        <v>1054</v>
      </c>
      <c r="F649" s="5" t="s">
        <v>1005</v>
      </c>
      <c r="G649" s="6" t="str">
        <f aca="false">INDEX(Catalogo_Causas!$B$2:$B$10,MATCH(F649,Catalogo_Causas!$A$2:$A$10,0))</f>
        <v>Falla eléctrica / control</v>
      </c>
      <c r="H649" s="6" t="str">
        <f aca="false">INDEX(Catalogo_Causas!$C$2:$C$10,MATCH(F649,Catalogo_Causas!$A$2:$A$10,0))</f>
        <v>Operacional</v>
      </c>
      <c r="I649" s="5" t="n">
        <v>83</v>
      </c>
      <c r="J649" s="29" t="n">
        <f aca="false">I649/60</f>
        <v>1.38333333333333</v>
      </c>
    </row>
    <row r="650" customFormat="false" ht="15" hidden="false" customHeight="false" outlineLevel="0" collapsed="false">
      <c r="A650" s="5" t="s">
        <v>1692</v>
      </c>
      <c r="B650" s="9" t="n">
        <v>45754</v>
      </c>
      <c r="C650" s="9" t="n">
        <v>45757</v>
      </c>
      <c r="D650" s="5" t="s">
        <v>138</v>
      </c>
      <c r="E650" s="5" t="s">
        <v>1039</v>
      </c>
      <c r="F650" s="5" t="s">
        <v>1007</v>
      </c>
      <c r="G650" s="6" t="str">
        <f aca="false">INDEX(Catalogo_Causas!$B$2:$B$10,MATCH(F650,Catalogo_Causas!$A$2:$A$10,0))</f>
        <v>Cambio de formato excedido</v>
      </c>
      <c r="H650" s="6" t="str">
        <f aca="false">INDEX(Catalogo_Causas!$C$2:$C$10,MATCH(F650,Catalogo_Causas!$A$2:$A$10,0))</f>
        <v>Operacional</v>
      </c>
      <c r="I650" s="5" t="n">
        <v>50</v>
      </c>
      <c r="J650" s="29" t="n">
        <f aca="false">I650/60</f>
        <v>0.833333333333333</v>
      </c>
    </row>
    <row r="651" customFormat="false" ht="15" hidden="false" customHeight="false" outlineLevel="0" collapsed="false">
      <c r="A651" s="5" t="s">
        <v>1693</v>
      </c>
      <c r="B651" s="9" t="n">
        <v>45754</v>
      </c>
      <c r="C651" s="9" t="n">
        <v>45759</v>
      </c>
      <c r="D651" s="5" t="s">
        <v>138</v>
      </c>
      <c r="E651" s="5" t="s">
        <v>1039</v>
      </c>
      <c r="F651" s="5" t="s">
        <v>1014</v>
      </c>
      <c r="G651" s="6" t="str">
        <f aca="false">INDEX(Catalogo_Causas!$B$2:$B$10,MATCH(F651,Catalogo_Causas!$A$2:$A$10,0))</f>
        <v>Retención de calidad</v>
      </c>
      <c r="H651" s="6" t="str">
        <f aca="false">INDEX(Catalogo_Causas!$C$2:$C$10,MATCH(F651,Catalogo_Causas!$A$2:$A$10,0))</f>
        <v>Calidad</v>
      </c>
      <c r="I651" s="5" t="n">
        <v>54</v>
      </c>
      <c r="J651" s="29" t="n">
        <f aca="false">I651/60</f>
        <v>0.9</v>
      </c>
    </row>
    <row r="652" customFormat="false" ht="15" hidden="false" customHeight="false" outlineLevel="0" collapsed="false">
      <c r="A652" s="5" t="s">
        <v>1694</v>
      </c>
      <c r="B652" s="9" t="n">
        <v>45754</v>
      </c>
      <c r="C652" s="9" t="n">
        <v>45759</v>
      </c>
      <c r="D652" s="5" t="s">
        <v>144</v>
      </c>
      <c r="E652" s="5" t="s">
        <v>1030</v>
      </c>
      <c r="F652" s="5" t="s">
        <v>1016</v>
      </c>
      <c r="G652" s="6" t="str">
        <f aca="false">INDEX(Catalogo_Causas!$B$2:$B$10,MATCH(F652,Catalogo_Causas!$A$2:$A$10,0))</f>
        <v>Limpieza no programada (CIP)</v>
      </c>
      <c r="H652" s="6" t="str">
        <f aca="false">INDEX(Catalogo_Causas!$C$2:$C$10,MATCH(F652,Catalogo_Causas!$A$2:$A$10,0))</f>
        <v>Calidad</v>
      </c>
      <c r="I652" s="5" t="n">
        <v>27</v>
      </c>
      <c r="J652" s="29" t="n">
        <f aca="false">I652/60</f>
        <v>0.45</v>
      </c>
    </row>
    <row r="653" customFormat="false" ht="15" hidden="false" customHeight="false" outlineLevel="0" collapsed="false">
      <c r="A653" s="5" t="s">
        <v>1695</v>
      </c>
      <c r="B653" s="9" t="n">
        <v>45754</v>
      </c>
      <c r="C653" s="9" t="n">
        <v>45759</v>
      </c>
      <c r="D653" s="5" t="s">
        <v>144</v>
      </c>
      <c r="E653" s="5" t="s">
        <v>1030</v>
      </c>
      <c r="F653" s="5" t="s">
        <v>1009</v>
      </c>
      <c r="G653" s="6" t="str">
        <f aca="false">INDEX(Catalogo_Causas!$B$2:$B$10,MATCH(F653,Catalogo_Causas!$A$2:$A$10,0))</f>
        <v>Falta de material de empaque</v>
      </c>
      <c r="H653" s="6" t="str">
        <f aca="false">INDEX(Catalogo_Causas!$C$2:$C$10,MATCH(F653,Catalogo_Causas!$A$2:$A$10,0))</f>
        <v>Material / suministro</v>
      </c>
      <c r="I653" s="5" t="n">
        <v>63</v>
      </c>
      <c r="J653" s="29" t="n">
        <f aca="false">I653/60</f>
        <v>1.05</v>
      </c>
    </row>
    <row r="654" customFormat="false" ht="15" hidden="false" customHeight="false" outlineLevel="0" collapsed="false">
      <c r="A654" s="5" t="s">
        <v>1696</v>
      </c>
      <c r="B654" s="9" t="n">
        <v>45761</v>
      </c>
      <c r="C654" s="9" t="n">
        <v>45761</v>
      </c>
      <c r="D654" s="5" t="s">
        <v>136</v>
      </c>
      <c r="E654" s="5" t="s">
        <v>1032</v>
      </c>
      <c r="F654" s="5" t="s">
        <v>1012</v>
      </c>
      <c r="G654" s="6" t="str">
        <f aca="false">INDEX(Catalogo_Causas!$B$2:$B$10,MATCH(F654,Catalogo_Causas!$A$2:$A$10,0))</f>
        <v>Falta de materia prima</v>
      </c>
      <c r="H654" s="6" t="str">
        <f aca="false">INDEX(Catalogo_Causas!$C$2:$C$10,MATCH(F654,Catalogo_Causas!$A$2:$A$10,0))</f>
        <v>Material / suministro</v>
      </c>
      <c r="I654" s="5" t="n">
        <v>41</v>
      </c>
      <c r="J654" s="29" t="n">
        <f aca="false">I654/60</f>
        <v>0.683333333333333</v>
      </c>
    </row>
    <row r="655" customFormat="false" ht="15" hidden="false" customHeight="false" outlineLevel="0" collapsed="false">
      <c r="A655" s="5" t="s">
        <v>1697</v>
      </c>
      <c r="B655" s="9" t="n">
        <v>45761</v>
      </c>
      <c r="C655" s="9" t="n">
        <v>45761</v>
      </c>
      <c r="D655" s="5" t="s">
        <v>138</v>
      </c>
      <c r="E655" s="5" t="s">
        <v>1039</v>
      </c>
      <c r="F655" s="5" t="s">
        <v>1005</v>
      </c>
      <c r="G655" s="6" t="str">
        <f aca="false">INDEX(Catalogo_Causas!$B$2:$B$10,MATCH(F655,Catalogo_Causas!$A$2:$A$10,0))</f>
        <v>Falla eléctrica / control</v>
      </c>
      <c r="H655" s="6" t="str">
        <f aca="false">INDEX(Catalogo_Causas!$C$2:$C$10,MATCH(F655,Catalogo_Causas!$A$2:$A$10,0))</f>
        <v>Operacional</v>
      </c>
      <c r="I655" s="5" t="n">
        <v>76</v>
      </c>
      <c r="J655" s="29" t="n">
        <f aca="false">I655/60</f>
        <v>1.26666666666667</v>
      </c>
    </row>
    <row r="656" customFormat="false" ht="15" hidden="false" customHeight="false" outlineLevel="0" collapsed="false">
      <c r="A656" s="5" t="s">
        <v>1698</v>
      </c>
      <c r="B656" s="9" t="n">
        <v>45761</v>
      </c>
      <c r="C656" s="9" t="n">
        <v>45761</v>
      </c>
      <c r="D656" s="5" t="s">
        <v>142</v>
      </c>
      <c r="E656" s="5" t="s">
        <v>1030</v>
      </c>
      <c r="F656" s="5" t="s">
        <v>1005</v>
      </c>
      <c r="G656" s="6" t="str">
        <f aca="false">INDEX(Catalogo_Causas!$B$2:$B$10,MATCH(F656,Catalogo_Causas!$A$2:$A$10,0))</f>
        <v>Falla eléctrica / control</v>
      </c>
      <c r="H656" s="6" t="str">
        <f aca="false">INDEX(Catalogo_Causas!$C$2:$C$10,MATCH(F656,Catalogo_Causas!$A$2:$A$10,0))</f>
        <v>Operacional</v>
      </c>
      <c r="I656" s="5" t="n">
        <v>54</v>
      </c>
      <c r="J656" s="29" t="n">
        <f aca="false">I656/60</f>
        <v>0.9</v>
      </c>
    </row>
    <row r="657" customFormat="false" ht="15" hidden="false" customHeight="false" outlineLevel="0" collapsed="false">
      <c r="A657" s="5" t="s">
        <v>1699</v>
      </c>
      <c r="B657" s="9" t="n">
        <v>45761</v>
      </c>
      <c r="C657" s="9" t="n">
        <v>45762</v>
      </c>
      <c r="D657" s="5" t="s">
        <v>130</v>
      </c>
      <c r="E657" s="5" t="s">
        <v>1078</v>
      </c>
      <c r="F657" s="5" t="s">
        <v>1005</v>
      </c>
      <c r="G657" s="6" t="str">
        <f aca="false">INDEX(Catalogo_Causas!$B$2:$B$10,MATCH(F657,Catalogo_Causas!$A$2:$A$10,0))</f>
        <v>Falla eléctrica / control</v>
      </c>
      <c r="H657" s="6" t="str">
        <f aca="false">INDEX(Catalogo_Causas!$C$2:$C$10,MATCH(F657,Catalogo_Causas!$A$2:$A$10,0))</f>
        <v>Operacional</v>
      </c>
      <c r="I657" s="5" t="n">
        <v>107</v>
      </c>
      <c r="J657" s="29" t="n">
        <f aca="false">I657/60</f>
        <v>1.78333333333333</v>
      </c>
    </row>
    <row r="658" customFormat="false" ht="15" hidden="false" customHeight="false" outlineLevel="0" collapsed="false">
      <c r="A658" s="5" t="s">
        <v>1700</v>
      </c>
      <c r="B658" s="9" t="n">
        <v>45761</v>
      </c>
      <c r="C658" s="9" t="n">
        <v>45762</v>
      </c>
      <c r="D658" s="5" t="s">
        <v>136</v>
      </c>
      <c r="E658" s="5" t="s">
        <v>1101</v>
      </c>
      <c r="F658" s="5" t="s">
        <v>1007</v>
      </c>
      <c r="G658" s="6" t="str">
        <f aca="false">INDEX(Catalogo_Causas!$B$2:$B$10,MATCH(F658,Catalogo_Causas!$A$2:$A$10,0))</f>
        <v>Cambio de formato excedido</v>
      </c>
      <c r="H658" s="6" t="str">
        <f aca="false">INDEX(Catalogo_Causas!$C$2:$C$10,MATCH(F658,Catalogo_Causas!$A$2:$A$10,0))</f>
        <v>Operacional</v>
      </c>
      <c r="I658" s="5" t="n">
        <v>52</v>
      </c>
      <c r="J658" s="29" t="n">
        <f aca="false">I658/60</f>
        <v>0.866666666666667</v>
      </c>
    </row>
    <row r="659" customFormat="false" ht="15" hidden="false" customHeight="false" outlineLevel="0" collapsed="false">
      <c r="A659" s="5" t="s">
        <v>1701</v>
      </c>
      <c r="B659" s="9" t="n">
        <v>45761</v>
      </c>
      <c r="C659" s="9" t="n">
        <v>45762</v>
      </c>
      <c r="D659" s="5" t="s">
        <v>138</v>
      </c>
      <c r="E659" s="5" t="s">
        <v>1039</v>
      </c>
      <c r="F659" s="5" t="s">
        <v>1007</v>
      </c>
      <c r="G659" s="6" t="str">
        <f aca="false">INDEX(Catalogo_Causas!$B$2:$B$10,MATCH(F659,Catalogo_Causas!$A$2:$A$10,0))</f>
        <v>Cambio de formato excedido</v>
      </c>
      <c r="H659" s="6" t="str">
        <f aca="false">INDEX(Catalogo_Causas!$C$2:$C$10,MATCH(F659,Catalogo_Causas!$A$2:$A$10,0))</f>
        <v>Operacional</v>
      </c>
      <c r="I659" s="5" t="n">
        <v>57</v>
      </c>
      <c r="J659" s="29" t="n">
        <f aca="false">I659/60</f>
        <v>0.95</v>
      </c>
    </row>
    <row r="660" customFormat="false" ht="15" hidden="false" customHeight="false" outlineLevel="0" collapsed="false">
      <c r="A660" s="5" t="s">
        <v>1702</v>
      </c>
      <c r="B660" s="9" t="n">
        <v>45761</v>
      </c>
      <c r="C660" s="9" t="n">
        <v>45762</v>
      </c>
      <c r="D660" s="5" t="s">
        <v>140</v>
      </c>
      <c r="E660" s="5" t="s">
        <v>1032</v>
      </c>
      <c r="F660" s="5" t="s">
        <v>1002</v>
      </c>
      <c r="G660" s="6" t="str">
        <f aca="false">INDEX(Catalogo_Causas!$B$2:$B$10,MATCH(F660,Catalogo_Causas!$A$2:$A$10,0))</f>
        <v>Falla mecánica</v>
      </c>
      <c r="H660" s="6" t="str">
        <f aca="false">INDEX(Catalogo_Causas!$C$2:$C$10,MATCH(F660,Catalogo_Causas!$A$2:$A$10,0))</f>
        <v>Operacional</v>
      </c>
      <c r="I660" s="5" t="n">
        <v>25</v>
      </c>
      <c r="J660" s="29" t="n">
        <f aca="false">I660/60</f>
        <v>0.416666666666667</v>
      </c>
    </row>
    <row r="661" customFormat="false" ht="15" hidden="false" customHeight="false" outlineLevel="0" collapsed="false">
      <c r="A661" s="5" t="s">
        <v>1703</v>
      </c>
      <c r="B661" s="9" t="n">
        <v>45761</v>
      </c>
      <c r="C661" s="9" t="n">
        <v>45763</v>
      </c>
      <c r="D661" s="5" t="s">
        <v>140</v>
      </c>
      <c r="E661" s="5" t="s">
        <v>1036</v>
      </c>
      <c r="F661" s="5" t="s">
        <v>1005</v>
      </c>
      <c r="G661" s="6" t="str">
        <f aca="false">INDEX(Catalogo_Causas!$B$2:$B$10,MATCH(F661,Catalogo_Causas!$A$2:$A$10,0))</f>
        <v>Falla eléctrica / control</v>
      </c>
      <c r="H661" s="6" t="str">
        <f aca="false">INDEX(Catalogo_Causas!$C$2:$C$10,MATCH(F661,Catalogo_Causas!$A$2:$A$10,0))</f>
        <v>Operacional</v>
      </c>
      <c r="I661" s="5" t="n">
        <v>23</v>
      </c>
      <c r="J661" s="29" t="n">
        <f aca="false">I661/60</f>
        <v>0.383333333333333</v>
      </c>
    </row>
    <row r="662" customFormat="false" ht="15" hidden="false" customHeight="false" outlineLevel="0" collapsed="false">
      <c r="A662" s="5" t="s">
        <v>1704</v>
      </c>
      <c r="B662" s="9" t="n">
        <v>45761</v>
      </c>
      <c r="C662" s="9" t="n">
        <v>45763</v>
      </c>
      <c r="D662" s="5" t="s">
        <v>140</v>
      </c>
      <c r="E662" s="5" t="s">
        <v>1036</v>
      </c>
      <c r="F662" s="5" t="s">
        <v>1016</v>
      </c>
      <c r="G662" s="6" t="str">
        <f aca="false">INDEX(Catalogo_Causas!$B$2:$B$10,MATCH(F662,Catalogo_Causas!$A$2:$A$10,0))</f>
        <v>Limpieza no programada (CIP)</v>
      </c>
      <c r="H662" s="6" t="str">
        <f aca="false">INDEX(Catalogo_Causas!$C$2:$C$10,MATCH(F662,Catalogo_Causas!$A$2:$A$10,0))</f>
        <v>Calidad</v>
      </c>
      <c r="I662" s="5" t="n">
        <v>261</v>
      </c>
      <c r="J662" s="29" t="n">
        <f aca="false">I662/60</f>
        <v>4.35</v>
      </c>
    </row>
    <row r="663" customFormat="false" ht="15" hidden="false" customHeight="false" outlineLevel="0" collapsed="false">
      <c r="A663" s="5" t="s">
        <v>1705</v>
      </c>
      <c r="B663" s="9" t="n">
        <v>45761</v>
      </c>
      <c r="C663" s="9" t="n">
        <v>45763</v>
      </c>
      <c r="D663" s="5" t="s">
        <v>144</v>
      </c>
      <c r="E663" s="5" t="s">
        <v>1043</v>
      </c>
      <c r="F663" s="5" t="s">
        <v>1012</v>
      </c>
      <c r="G663" s="6" t="str">
        <f aca="false">INDEX(Catalogo_Causas!$B$2:$B$10,MATCH(F663,Catalogo_Causas!$A$2:$A$10,0))</f>
        <v>Falta de materia prima</v>
      </c>
      <c r="H663" s="6" t="str">
        <f aca="false">INDEX(Catalogo_Causas!$C$2:$C$10,MATCH(F663,Catalogo_Causas!$A$2:$A$10,0))</f>
        <v>Material / suministro</v>
      </c>
      <c r="I663" s="5" t="n">
        <v>85</v>
      </c>
      <c r="J663" s="29" t="n">
        <f aca="false">I663/60</f>
        <v>1.41666666666667</v>
      </c>
    </row>
    <row r="664" customFormat="false" ht="15" hidden="false" customHeight="false" outlineLevel="0" collapsed="false">
      <c r="A664" s="5" t="s">
        <v>1706</v>
      </c>
      <c r="B664" s="9" t="n">
        <v>45761</v>
      </c>
      <c r="C664" s="9" t="n">
        <v>45764</v>
      </c>
      <c r="D664" s="5" t="s">
        <v>136</v>
      </c>
      <c r="E664" s="5" t="s">
        <v>1051</v>
      </c>
      <c r="F664" s="5" t="s">
        <v>1021</v>
      </c>
      <c r="G664" s="6" t="str">
        <f aca="false">INDEX(Catalogo_Causas!$B$2:$B$10,MATCH(F664,Catalogo_Causas!$A$2:$A$10,0))</f>
        <v>Falla de servicios (vapor/amoniaco/aire)</v>
      </c>
      <c r="H664" s="6" t="str">
        <f aca="false">INDEX(Catalogo_Causas!$C$2:$C$10,MATCH(F664,Catalogo_Causas!$A$2:$A$10,0))</f>
        <v>Servicios</v>
      </c>
      <c r="I664" s="5" t="n">
        <v>50</v>
      </c>
      <c r="J664" s="29" t="n">
        <f aca="false">I664/60</f>
        <v>0.833333333333333</v>
      </c>
    </row>
    <row r="665" customFormat="false" ht="15" hidden="false" customHeight="false" outlineLevel="0" collapsed="false">
      <c r="A665" s="5" t="s">
        <v>1707</v>
      </c>
      <c r="B665" s="9" t="n">
        <v>45761</v>
      </c>
      <c r="C665" s="9" t="n">
        <v>45764</v>
      </c>
      <c r="D665" s="5" t="s">
        <v>140</v>
      </c>
      <c r="E665" s="5" t="s">
        <v>1032</v>
      </c>
      <c r="F665" s="5" t="s">
        <v>1018</v>
      </c>
      <c r="G665" s="6" t="str">
        <f aca="false">INDEX(Catalogo_Causas!$B$2:$B$10,MATCH(F665,Catalogo_Causas!$A$2:$A$10,0))</f>
        <v>Falta de personal</v>
      </c>
      <c r="H665" s="6" t="str">
        <f aca="false">INDEX(Catalogo_Causas!$C$2:$C$10,MATCH(F665,Catalogo_Causas!$A$2:$A$10,0))</f>
        <v>Personal</v>
      </c>
      <c r="I665" s="5" t="n">
        <v>38</v>
      </c>
      <c r="J665" s="29" t="n">
        <f aca="false">I665/60</f>
        <v>0.633333333333333</v>
      </c>
    </row>
    <row r="666" customFormat="false" ht="15" hidden="false" customHeight="false" outlineLevel="0" collapsed="false">
      <c r="A666" s="5" t="s">
        <v>1708</v>
      </c>
      <c r="B666" s="9" t="n">
        <v>45761</v>
      </c>
      <c r="C666" s="9" t="n">
        <v>45765</v>
      </c>
      <c r="D666" s="5" t="s">
        <v>130</v>
      </c>
      <c r="E666" s="5" t="s">
        <v>1078</v>
      </c>
      <c r="F666" s="5" t="s">
        <v>1012</v>
      </c>
      <c r="G666" s="6" t="str">
        <f aca="false">INDEX(Catalogo_Causas!$B$2:$B$10,MATCH(F666,Catalogo_Causas!$A$2:$A$10,0))</f>
        <v>Falta de materia prima</v>
      </c>
      <c r="H666" s="6" t="str">
        <f aca="false">INDEX(Catalogo_Causas!$C$2:$C$10,MATCH(F666,Catalogo_Causas!$A$2:$A$10,0))</f>
        <v>Material / suministro</v>
      </c>
      <c r="I666" s="5" t="n">
        <v>34</v>
      </c>
      <c r="J666" s="29" t="n">
        <f aca="false">I666/60</f>
        <v>0.566666666666667</v>
      </c>
    </row>
    <row r="667" customFormat="false" ht="15" hidden="false" customHeight="false" outlineLevel="0" collapsed="false">
      <c r="A667" s="5" t="s">
        <v>1709</v>
      </c>
      <c r="B667" s="9" t="n">
        <v>45761</v>
      </c>
      <c r="C667" s="9" t="n">
        <v>45765</v>
      </c>
      <c r="D667" s="5" t="s">
        <v>138</v>
      </c>
      <c r="E667" s="5" t="s">
        <v>1034</v>
      </c>
      <c r="F667" s="5" t="s">
        <v>1018</v>
      </c>
      <c r="G667" s="6" t="str">
        <f aca="false">INDEX(Catalogo_Causas!$B$2:$B$10,MATCH(F667,Catalogo_Causas!$A$2:$A$10,0))</f>
        <v>Falta de personal</v>
      </c>
      <c r="H667" s="6" t="str">
        <f aca="false">INDEX(Catalogo_Causas!$C$2:$C$10,MATCH(F667,Catalogo_Causas!$A$2:$A$10,0))</f>
        <v>Personal</v>
      </c>
      <c r="I667" s="5" t="n">
        <v>58</v>
      </c>
      <c r="J667" s="29" t="n">
        <f aca="false">I667/60</f>
        <v>0.966666666666667</v>
      </c>
    </row>
    <row r="668" customFormat="false" ht="15" hidden="false" customHeight="false" outlineLevel="0" collapsed="false">
      <c r="A668" s="5" t="s">
        <v>1710</v>
      </c>
      <c r="B668" s="9" t="n">
        <v>45761</v>
      </c>
      <c r="C668" s="9" t="n">
        <v>45765</v>
      </c>
      <c r="D668" s="5" t="s">
        <v>138</v>
      </c>
      <c r="E668" s="5" t="s">
        <v>1039</v>
      </c>
      <c r="F668" s="5" t="s">
        <v>1005</v>
      </c>
      <c r="G668" s="6" t="str">
        <f aca="false">INDEX(Catalogo_Causas!$B$2:$B$10,MATCH(F668,Catalogo_Causas!$A$2:$A$10,0))</f>
        <v>Falla eléctrica / control</v>
      </c>
      <c r="H668" s="6" t="str">
        <f aca="false">INDEX(Catalogo_Causas!$C$2:$C$10,MATCH(F668,Catalogo_Causas!$A$2:$A$10,0))</f>
        <v>Operacional</v>
      </c>
      <c r="I668" s="5" t="n">
        <v>69</v>
      </c>
      <c r="J668" s="29" t="n">
        <f aca="false">I668/60</f>
        <v>1.15</v>
      </c>
    </row>
    <row r="669" customFormat="false" ht="15" hidden="false" customHeight="false" outlineLevel="0" collapsed="false">
      <c r="A669" s="5" t="s">
        <v>1711</v>
      </c>
      <c r="B669" s="9" t="n">
        <v>45761</v>
      </c>
      <c r="C669" s="9" t="n">
        <v>45765</v>
      </c>
      <c r="D669" s="5" t="s">
        <v>142</v>
      </c>
      <c r="E669" s="5" t="s">
        <v>1041</v>
      </c>
      <c r="F669" s="5" t="s">
        <v>1009</v>
      </c>
      <c r="G669" s="6" t="str">
        <f aca="false">INDEX(Catalogo_Causas!$B$2:$B$10,MATCH(F669,Catalogo_Causas!$A$2:$A$10,0))</f>
        <v>Falta de material de empaque</v>
      </c>
      <c r="H669" s="6" t="str">
        <f aca="false">INDEX(Catalogo_Causas!$C$2:$C$10,MATCH(F669,Catalogo_Causas!$A$2:$A$10,0))</f>
        <v>Material / suministro</v>
      </c>
      <c r="I669" s="5" t="n">
        <v>36</v>
      </c>
      <c r="J669" s="29" t="n">
        <f aca="false">I669/60</f>
        <v>0.6</v>
      </c>
    </row>
    <row r="670" customFormat="false" ht="15" hidden="false" customHeight="false" outlineLevel="0" collapsed="false">
      <c r="A670" s="5" t="s">
        <v>1712</v>
      </c>
      <c r="B670" s="9" t="n">
        <v>45761</v>
      </c>
      <c r="C670" s="9" t="n">
        <v>45765</v>
      </c>
      <c r="D670" s="5" t="s">
        <v>144</v>
      </c>
      <c r="E670" s="5" t="s">
        <v>1030</v>
      </c>
      <c r="F670" s="5" t="s">
        <v>1005</v>
      </c>
      <c r="G670" s="6" t="str">
        <f aca="false">INDEX(Catalogo_Causas!$B$2:$B$10,MATCH(F670,Catalogo_Causas!$A$2:$A$10,0))</f>
        <v>Falla eléctrica / control</v>
      </c>
      <c r="H670" s="6" t="str">
        <f aca="false">INDEX(Catalogo_Causas!$C$2:$C$10,MATCH(F670,Catalogo_Causas!$A$2:$A$10,0))</f>
        <v>Operacional</v>
      </c>
      <c r="I670" s="5" t="n">
        <v>163</v>
      </c>
      <c r="J670" s="29" t="n">
        <f aca="false">I670/60</f>
        <v>2.71666666666667</v>
      </c>
    </row>
    <row r="671" customFormat="false" ht="15" hidden="false" customHeight="false" outlineLevel="0" collapsed="false">
      <c r="A671" s="5" t="s">
        <v>1713</v>
      </c>
      <c r="B671" s="9" t="n">
        <v>45761</v>
      </c>
      <c r="C671" s="9" t="n">
        <v>45766</v>
      </c>
      <c r="D671" s="5" t="s">
        <v>134</v>
      </c>
      <c r="E671" s="5" t="s">
        <v>1054</v>
      </c>
      <c r="F671" s="5" t="s">
        <v>1005</v>
      </c>
      <c r="G671" s="6" t="str">
        <f aca="false">INDEX(Catalogo_Causas!$B$2:$B$10,MATCH(F671,Catalogo_Causas!$A$2:$A$10,0))</f>
        <v>Falla eléctrica / control</v>
      </c>
      <c r="H671" s="6" t="str">
        <f aca="false">INDEX(Catalogo_Causas!$C$2:$C$10,MATCH(F671,Catalogo_Causas!$A$2:$A$10,0))</f>
        <v>Operacional</v>
      </c>
      <c r="I671" s="5" t="n">
        <v>59</v>
      </c>
      <c r="J671" s="29" t="n">
        <f aca="false">I671/60</f>
        <v>0.983333333333333</v>
      </c>
    </row>
    <row r="672" customFormat="false" ht="15" hidden="false" customHeight="false" outlineLevel="0" collapsed="false">
      <c r="A672" s="5" t="s">
        <v>1714</v>
      </c>
      <c r="B672" s="9" t="n">
        <v>45761</v>
      </c>
      <c r="C672" s="9" t="n">
        <v>45766</v>
      </c>
      <c r="D672" s="5" t="s">
        <v>134</v>
      </c>
      <c r="E672" s="5" t="s">
        <v>1054</v>
      </c>
      <c r="F672" s="5" t="s">
        <v>1009</v>
      </c>
      <c r="G672" s="6" t="str">
        <f aca="false">INDEX(Catalogo_Causas!$B$2:$B$10,MATCH(F672,Catalogo_Causas!$A$2:$A$10,0))</f>
        <v>Falta de material de empaque</v>
      </c>
      <c r="H672" s="6" t="str">
        <f aca="false">INDEX(Catalogo_Causas!$C$2:$C$10,MATCH(F672,Catalogo_Causas!$A$2:$A$10,0))</f>
        <v>Material / suministro</v>
      </c>
      <c r="I672" s="5" t="n">
        <v>157</v>
      </c>
      <c r="J672" s="29" t="n">
        <f aca="false">I672/60</f>
        <v>2.61666666666667</v>
      </c>
    </row>
    <row r="673" customFormat="false" ht="15" hidden="false" customHeight="false" outlineLevel="0" collapsed="false">
      <c r="A673" s="5" t="s">
        <v>1715</v>
      </c>
      <c r="B673" s="9" t="n">
        <v>45761</v>
      </c>
      <c r="C673" s="9" t="n">
        <v>45766</v>
      </c>
      <c r="D673" s="5" t="s">
        <v>136</v>
      </c>
      <c r="E673" s="5" t="s">
        <v>1032</v>
      </c>
      <c r="F673" s="5" t="s">
        <v>1007</v>
      </c>
      <c r="G673" s="6" t="str">
        <f aca="false">INDEX(Catalogo_Causas!$B$2:$B$10,MATCH(F673,Catalogo_Causas!$A$2:$A$10,0))</f>
        <v>Cambio de formato excedido</v>
      </c>
      <c r="H673" s="6" t="str">
        <f aca="false">INDEX(Catalogo_Causas!$C$2:$C$10,MATCH(F673,Catalogo_Causas!$A$2:$A$10,0))</f>
        <v>Operacional</v>
      </c>
      <c r="I673" s="5" t="n">
        <v>32</v>
      </c>
      <c r="J673" s="29" t="n">
        <f aca="false">I673/60</f>
        <v>0.533333333333333</v>
      </c>
    </row>
    <row r="674" customFormat="false" ht="15" hidden="false" customHeight="false" outlineLevel="0" collapsed="false">
      <c r="A674" s="5" t="s">
        <v>1716</v>
      </c>
      <c r="B674" s="9" t="n">
        <v>45761</v>
      </c>
      <c r="C674" s="9" t="n">
        <v>45766</v>
      </c>
      <c r="D674" s="5" t="s">
        <v>138</v>
      </c>
      <c r="E674" s="5" t="s">
        <v>1034</v>
      </c>
      <c r="F674" s="5" t="s">
        <v>1014</v>
      </c>
      <c r="G674" s="6" t="str">
        <f aca="false">INDEX(Catalogo_Causas!$B$2:$B$10,MATCH(F674,Catalogo_Causas!$A$2:$A$10,0))</f>
        <v>Retención de calidad</v>
      </c>
      <c r="H674" s="6" t="str">
        <f aca="false">INDEX(Catalogo_Causas!$C$2:$C$10,MATCH(F674,Catalogo_Causas!$A$2:$A$10,0))</f>
        <v>Calidad</v>
      </c>
      <c r="I674" s="5" t="n">
        <v>65</v>
      </c>
      <c r="J674" s="29" t="n">
        <f aca="false">I674/60</f>
        <v>1.08333333333333</v>
      </c>
    </row>
    <row r="675" customFormat="false" ht="15" hidden="false" customHeight="false" outlineLevel="0" collapsed="false">
      <c r="A675" s="5" t="s">
        <v>1717</v>
      </c>
      <c r="B675" s="9" t="n">
        <v>45761</v>
      </c>
      <c r="C675" s="9" t="n">
        <v>45766</v>
      </c>
      <c r="D675" s="5" t="s">
        <v>142</v>
      </c>
      <c r="E675" s="5" t="s">
        <v>1051</v>
      </c>
      <c r="F675" s="5" t="s">
        <v>1002</v>
      </c>
      <c r="G675" s="6" t="str">
        <f aca="false">INDEX(Catalogo_Causas!$B$2:$B$10,MATCH(F675,Catalogo_Causas!$A$2:$A$10,0))</f>
        <v>Falla mecánica</v>
      </c>
      <c r="H675" s="6" t="str">
        <f aca="false">INDEX(Catalogo_Causas!$C$2:$C$10,MATCH(F675,Catalogo_Causas!$A$2:$A$10,0))</f>
        <v>Operacional</v>
      </c>
      <c r="I675" s="5" t="n">
        <v>20</v>
      </c>
      <c r="J675" s="29" t="n">
        <f aca="false">I675/60</f>
        <v>0.333333333333333</v>
      </c>
    </row>
    <row r="676" customFormat="false" ht="15" hidden="false" customHeight="false" outlineLevel="0" collapsed="false">
      <c r="A676" s="5" t="s">
        <v>1718</v>
      </c>
      <c r="B676" s="9" t="n">
        <v>45761</v>
      </c>
      <c r="C676" s="9" t="n">
        <v>45766</v>
      </c>
      <c r="D676" s="5" t="s">
        <v>142</v>
      </c>
      <c r="E676" s="5" t="s">
        <v>1051</v>
      </c>
      <c r="F676" s="5" t="s">
        <v>1009</v>
      </c>
      <c r="G676" s="6" t="str">
        <f aca="false">INDEX(Catalogo_Causas!$B$2:$B$10,MATCH(F676,Catalogo_Causas!$A$2:$A$10,0))</f>
        <v>Falta de material de empaque</v>
      </c>
      <c r="H676" s="6" t="str">
        <f aca="false">INDEX(Catalogo_Causas!$C$2:$C$10,MATCH(F676,Catalogo_Causas!$A$2:$A$10,0))</f>
        <v>Material / suministro</v>
      </c>
      <c r="I676" s="5" t="n">
        <v>73</v>
      </c>
      <c r="J676" s="29" t="n">
        <f aca="false">I676/60</f>
        <v>1.21666666666667</v>
      </c>
    </row>
    <row r="677" customFormat="false" ht="15" hidden="false" customHeight="false" outlineLevel="0" collapsed="false">
      <c r="A677" s="5" t="s">
        <v>1719</v>
      </c>
      <c r="B677" s="9" t="n">
        <v>45768</v>
      </c>
      <c r="C677" s="9" t="n">
        <v>45768</v>
      </c>
      <c r="D677" s="5" t="s">
        <v>130</v>
      </c>
      <c r="E677" s="5" t="s">
        <v>1078</v>
      </c>
      <c r="F677" s="5" t="s">
        <v>1005</v>
      </c>
      <c r="G677" s="6" t="str">
        <f aca="false">INDEX(Catalogo_Causas!$B$2:$B$10,MATCH(F677,Catalogo_Causas!$A$2:$A$10,0))</f>
        <v>Falla eléctrica / control</v>
      </c>
      <c r="H677" s="6" t="str">
        <f aca="false">INDEX(Catalogo_Causas!$C$2:$C$10,MATCH(F677,Catalogo_Causas!$A$2:$A$10,0))</f>
        <v>Operacional</v>
      </c>
      <c r="I677" s="5" t="n">
        <v>199</v>
      </c>
      <c r="J677" s="29" t="n">
        <f aca="false">I677/60</f>
        <v>3.31666666666667</v>
      </c>
    </row>
    <row r="678" customFormat="false" ht="15" hidden="false" customHeight="false" outlineLevel="0" collapsed="false">
      <c r="A678" s="5" t="s">
        <v>1720</v>
      </c>
      <c r="B678" s="9" t="n">
        <v>45768</v>
      </c>
      <c r="C678" s="9" t="n">
        <v>45768</v>
      </c>
      <c r="D678" s="5" t="s">
        <v>134</v>
      </c>
      <c r="E678" s="5" t="s">
        <v>1032</v>
      </c>
      <c r="F678" s="5" t="s">
        <v>1005</v>
      </c>
      <c r="G678" s="6" t="str">
        <f aca="false">INDEX(Catalogo_Causas!$B$2:$B$10,MATCH(F678,Catalogo_Causas!$A$2:$A$10,0))</f>
        <v>Falla eléctrica / control</v>
      </c>
      <c r="H678" s="6" t="str">
        <f aca="false">INDEX(Catalogo_Causas!$C$2:$C$10,MATCH(F678,Catalogo_Causas!$A$2:$A$10,0))</f>
        <v>Operacional</v>
      </c>
      <c r="I678" s="5" t="n">
        <v>23</v>
      </c>
      <c r="J678" s="29" t="n">
        <f aca="false">I678/60</f>
        <v>0.383333333333333</v>
      </c>
    </row>
    <row r="679" customFormat="false" ht="15" hidden="false" customHeight="false" outlineLevel="0" collapsed="false">
      <c r="A679" s="5" t="s">
        <v>1721</v>
      </c>
      <c r="B679" s="9" t="n">
        <v>45768</v>
      </c>
      <c r="C679" s="9" t="n">
        <v>45768</v>
      </c>
      <c r="D679" s="5" t="s">
        <v>144</v>
      </c>
      <c r="E679" s="5" t="s">
        <v>1032</v>
      </c>
      <c r="F679" s="5" t="s">
        <v>1014</v>
      </c>
      <c r="G679" s="6" t="str">
        <f aca="false">INDEX(Catalogo_Causas!$B$2:$B$10,MATCH(F679,Catalogo_Causas!$A$2:$A$10,0))</f>
        <v>Retención de calidad</v>
      </c>
      <c r="H679" s="6" t="str">
        <f aca="false">INDEX(Catalogo_Causas!$C$2:$C$10,MATCH(F679,Catalogo_Causas!$A$2:$A$10,0))</f>
        <v>Calidad</v>
      </c>
      <c r="I679" s="5" t="n">
        <v>129</v>
      </c>
      <c r="J679" s="29" t="n">
        <f aca="false">I679/60</f>
        <v>2.15</v>
      </c>
    </row>
    <row r="680" customFormat="false" ht="15" hidden="false" customHeight="false" outlineLevel="0" collapsed="false">
      <c r="A680" s="5" t="s">
        <v>1722</v>
      </c>
      <c r="B680" s="9" t="n">
        <v>45768</v>
      </c>
      <c r="C680" s="9" t="n">
        <v>45769</v>
      </c>
      <c r="D680" s="5" t="s">
        <v>130</v>
      </c>
      <c r="E680" s="5" t="s">
        <v>1078</v>
      </c>
      <c r="F680" s="5" t="s">
        <v>1018</v>
      </c>
      <c r="G680" s="6" t="str">
        <f aca="false">INDEX(Catalogo_Causas!$B$2:$B$10,MATCH(F680,Catalogo_Causas!$A$2:$A$10,0))</f>
        <v>Falta de personal</v>
      </c>
      <c r="H680" s="6" t="str">
        <f aca="false">INDEX(Catalogo_Causas!$C$2:$C$10,MATCH(F680,Catalogo_Causas!$A$2:$A$10,0))</f>
        <v>Personal</v>
      </c>
      <c r="I680" s="5" t="n">
        <v>133</v>
      </c>
      <c r="J680" s="29" t="n">
        <f aca="false">I680/60</f>
        <v>2.21666666666667</v>
      </c>
    </row>
    <row r="681" customFormat="false" ht="15" hidden="false" customHeight="false" outlineLevel="0" collapsed="false">
      <c r="A681" s="5" t="s">
        <v>1723</v>
      </c>
      <c r="B681" s="9" t="n">
        <v>45768</v>
      </c>
      <c r="C681" s="9" t="n">
        <v>45769</v>
      </c>
      <c r="D681" s="5" t="s">
        <v>134</v>
      </c>
      <c r="E681" s="5" t="s">
        <v>1054</v>
      </c>
      <c r="F681" s="5" t="s">
        <v>1009</v>
      </c>
      <c r="G681" s="6" t="str">
        <f aca="false">INDEX(Catalogo_Causas!$B$2:$B$10,MATCH(F681,Catalogo_Causas!$A$2:$A$10,0))</f>
        <v>Falta de material de empaque</v>
      </c>
      <c r="H681" s="6" t="str">
        <f aca="false">INDEX(Catalogo_Causas!$C$2:$C$10,MATCH(F681,Catalogo_Causas!$A$2:$A$10,0))</f>
        <v>Material / suministro</v>
      </c>
      <c r="I681" s="5" t="n">
        <v>31</v>
      </c>
      <c r="J681" s="29" t="n">
        <f aca="false">I681/60</f>
        <v>0.516666666666667</v>
      </c>
    </row>
    <row r="682" customFormat="false" ht="15" hidden="false" customHeight="false" outlineLevel="0" collapsed="false">
      <c r="A682" s="5" t="s">
        <v>1724</v>
      </c>
      <c r="B682" s="9" t="n">
        <v>45768</v>
      </c>
      <c r="C682" s="9" t="n">
        <v>45769</v>
      </c>
      <c r="D682" s="5" t="s">
        <v>142</v>
      </c>
      <c r="E682" s="5" t="s">
        <v>1041</v>
      </c>
      <c r="F682" s="5" t="s">
        <v>1002</v>
      </c>
      <c r="G682" s="6" t="str">
        <f aca="false">INDEX(Catalogo_Causas!$B$2:$B$10,MATCH(F682,Catalogo_Causas!$A$2:$A$10,0))</f>
        <v>Falla mecánica</v>
      </c>
      <c r="H682" s="6" t="str">
        <f aca="false">INDEX(Catalogo_Causas!$C$2:$C$10,MATCH(F682,Catalogo_Causas!$A$2:$A$10,0))</f>
        <v>Operacional</v>
      </c>
      <c r="I682" s="5" t="n">
        <v>98</v>
      </c>
      <c r="J682" s="29" t="n">
        <f aca="false">I682/60</f>
        <v>1.63333333333333</v>
      </c>
    </row>
    <row r="683" customFormat="false" ht="15" hidden="false" customHeight="false" outlineLevel="0" collapsed="false">
      <c r="A683" s="5" t="s">
        <v>1725</v>
      </c>
      <c r="B683" s="9" t="n">
        <v>45768</v>
      </c>
      <c r="C683" s="9" t="n">
        <v>45769</v>
      </c>
      <c r="D683" s="5" t="s">
        <v>144</v>
      </c>
      <c r="E683" s="5" t="s">
        <v>1043</v>
      </c>
      <c r="F683" s="5" t="s">
        <v>1012</v>
      </c>
      <c r="G683" s="6" t="str">
        <f aca="false">INDEX(Catalogo_Causas!$B$2:$B$10,MATCH(F683,Catalogo_Causas!$A$2:$A$10,0))</f>
        <v>Falta de materia prima</v>
      </c>
      <c r="H683" s="6" t="str">
        <f aca="false">INDEX(Catalogo_Causas!$C$2:$C$10,MATCH(F683,Catalogo_Causas!$A$2:$A$10,0))</f>
        <v>Material / suministro</v>
      </c>
      <c r="I683" s="5" t="n">
        <v>24</v>
      </c>
      <c r="J683" s="29" t="n">
        <f aca="false">I683/60</f>
        <v>0.4</v>
      </c>
    </row>
    <row r="684" customFormat="false" ht="15" hidden="false" customHeight="false" outlineLevel="0" collapsed="false">
      <c r="A684" s="5" t="s">
        <v>1726</v>
      </c>
      <c r="B684" s="9" t="n">
        <v>45768</v>
      </c>
      <c r="C684" s="9" t="n">
        <v>45770</v>
      </c>
      <c r="D684" s="5" t="s">
        <v>134</v>
      </c>
      <c r="E684" s="5" t="s">
        <v>1030</v>
      </c>
      <c r="F684" s="5" t="s">
        <v>1009</v>
      </c>
      <c r="G684" s="6" t="str">
        <f aca="false">INDEX(Catalogo_Causas!$B$2:$B$10,MATCH(F684,Catalogo_Causas!$A$2:$A$10,0))</f>
        <v>Falta de material de empaque</v>
      </c>
      <c r="H684" s="6" t="str">
        <f aca="false">INDEX(Catalogo_Causas!$C$2:$C$10,MATCH(F684,Catalogo_Causas!$A$2:$A$10,0))</f>
        <v>Material / suministro</v>
      </c>
      <c r="I684" s="5" t="n">
        <v>19</v>
      </c>
      <c r="J684" s="29" t="n">
        <f aca="false">I684/60</f>
        <v>0.316666666666667</v>
      </c>
    </row>
    <row r="685" customFormat="false" ht="15" hidden="false" customHeight="false" outlineLevel="0" collapsed="false">
      <c r="A685" s="5" t="s">
        <v>1727</v>
      </c>
      <c r="B685" s="9" t="n">
        <v>45768</v>
      </c>
      <c r="C685" s="9" t="n">
        <v>45770</v>
      </c>
      <c r="D685" s="5" t="s">
        <v>136</v>
      </c>
      <c r="E685" s="5" t="s">
        <v>1101</v>
      </c>
      <c r="F685" s="5" t="s">
        <v>1002</v>
      </c>
      <c r="G685" s="6" t="str">
        <f aca="false">INDEX(Catalogo_Causas!$B$2:$B$10,MATCH(F685,Catalogo_Causas!$A$2:$A$10,0))</f>
        <v>Falla mecánica</v>
      </c>
      <c r="H685" s="6" t="str">
        <f aca="false">INDEX(Catalogo_Causas!$C$2:$C$10,MATCH(F685,Catalogo_Causas!$A$2:$A$10,0))</f>
        <v>Operacional</v>
      </c>
      <c r="I685" s="5" t="n">
        <v>32</v>
      </c>
      <c r="J685" s="29" t="n">
        <f aca="false">I685/60</f>
        <v>0.533333333333333</v>
      </c>
    </row>
    <row r="686" customFormat="false" ht="15" hidden="false" customHeight="false" outlineLevel="0" collapsed="false">
      <c r="A686" s="5" t="s">
        <v>1728</v>
      </c>
      <c r="B686" s="9" t="n">
        <v>45768</v>
      </c>
      <c r="C686" s="9" t="n">
        <v>45770</v>
      </c>
      <c r="D686" s="5" t="s">
        <v>138</v>
      </c>
      <c r="E686" s="5" t="s">
        <v>1056</v>
      </c>
      <c r="F686" s="5" t="s">
        <v>1002</v>
      </c>
      <c r="G686" s="6" t="str">
        <f aca="false">INDEX(Catalogo_Causas!$B$2:$B$10,MATCH(F686,Catalogo_Causas!$A$2:$A$10,0))</f>
        <v>Falla mecánica</v>
      </c>
      <c r="H686" s="6" t="str">
        <f aca="false">INDEX(Catalogo_Causas!$C$2:$C$10,MATCH(F686,Catalogo_Causas!$A$2:$A$10,0))</f>
        <v>Operacional</v>
      </c>
      <c r="I686" s="5" t="n">
        <v>19</v>
      </c>
      <c r="J686" s="29" t="n">
        <f aca="false">I686/60</f>
        <v>0.316666666666667</v>
      </c>
    </row>
    <row r="687" customFormat="false" ht="15" hidden="false" customHeight="false" outlineLevel="0" collapsed="false">
      <c r="A687" s="5" t="s">
        <v>1729</v>
      </c>
      <c r="B687" s="9" t="n">
        <v>45768</v>
      </c>
      <c r="C687" s="9" t="n">
        <v>45770</v>
      </c>
      <c r="D687" s="5" t="s">
        <v>138</v>
      </c>
      <c r="E687" s="5" t="s">
        <v>1034</v>
      </c>
      <c r="F687" s="5" t="s">
        <v>1007</v>
      </c>
      <c r="G687" s="6" t="str">
        <f aca="false">INDEX(Catalogo_Causas!$B$2:$B$10,MATCH(F687,Catalogo_Causas!$A$2:$A$10,0))</f>
        <v>Cambio de formato excedido</v>
      </c>
      <c r="H687" s="6" t="str">
        <f aca="false">INDEX(Catalogo_Causas!$C$2:$C$10,MATCH(F687,Catalogo_Causas!$A$2:$A$10,0))</f>
        <v>Operacional</v>
      </c>
      <c r="I687" s="5" t="n">
        <v>67</v>
      </c>
      <c r="J687" s="29" t="n">
        <f aca="false">I687/60</f>
        <v>1.11666666666667</v>
      </c>
    </row>
    <row r="688" customFormat="false" ht="15" hidden="false" customHeight="false" outlineLevel="0" collapsed="false">
      <c r="A688" s="5" t="s">
        <v>1730</v>
      </c>
      <c r="B688" s="9" t="n">
        <v>45768</v>
      </c>
      <c r="C688" s="9" t="n">
        <v>45770</v>
      </c>
      <c r="D688" s="5" t="s">
        <v>138</v>
      </c>
      <c r="E688" s="5" t="s">
        <v>1034</v>
      </c>
      <c r="F688" s="5" t="s">
        <v>1002</v>
      </c>
      <c r="G688" s="6" t="str">
        <f aca="false">INDEX(Catalogo_Causas!$B$2:$B$10,MATCH(F688,Catalogo_Causas!$A$2:$A$10,0))</f>
        <v>Falla mecánica</v>
      </c>
      <c r="H688" s="6" t="str">
        <f aca="false">INDEX(Catalogo_Causas!$C$2:$C$10,MATCH(F688,Catalogo_Causas!$A$2:$A$10,0))</f>
        <v>Operacional</v>
      </c>
      <c r="I688" s="5" t="n">
        <v>102</v>
      </c>
      <c r="J688" s="29" t="n">
        <f aca="false">I688/60</f>
        <v>1.7</v>
      </c>
    </row>
    <row r="689" customFormat="false" ht="15" hidden="false" customHeight="false" outlineLevel="0" collapsed="false">
      <c r="A689" s="5" t="s">
        <v>1731</v>
      </c>
      <c r="B689" s="9" t="n">
        <v>45768</v>
      </c>
      <c r="C689" s="9" t="n">
        <v>45770</v>
      </c>
      <c r="D689" s="5" t="s">
        <v>140</v>
      </c>
      <c r="E689" s="5" t="s">
        <v>1036</v>
      </c>
      <c r="F689" s="5" t="s">
        <v>1002</v>
      </c>
      <c r="G689" s="6" t="str">
        <f aca="false">INDEX(Catalogo_Causas!$B$2:$B$10,MATCH(F689,Catalogo_Causas!$A$2:$A$10,0))</f>
        <v>Falla mecánica</v>
      </c>
      <c r="H689" s="6" t="str">
        <f aca="false">INDEX(Catalogo_Causas!$C$2:$C$10,MATCH(F689,Catalogo_Causas!$A$2:$A$10,0))</f>
        <v>Operacional</v>
      </c>
      <c r="I689" s="5" t="n">
        <v>35</v>
      </c>
      <c r="J689" s="29" t="n">
        <f aca="false">I689/60</f>
        <v>0.583333333333333</v>
      </c>
    </row>
    <row r="690" customFormat="false" ht="15" hidden="false" customHeight="false" outlineLevel="0" collapsed="false">
      <c r="A690" s="5" t="s">
        <v>1732</v>
      </c>
      <c r="B690" s="9" t="n">
        <v>45768</v>
      </c>
      <c r="C690" s="9" t="n">
        <v>45771</v>
      </c>
      <c r="D690" s="5" t="s">
        <v>142</v>
      </c>
      <c r="E690" s="5" t="s">
        <v>1051</v>
      </c>
      <c r="F690" s="5" t="s">
        <v>1014</v>
      </c>
      <c r="G690" s="6" t="str">
        <f aca="false">INDEX(Catalogo_Causas!$B$2:$B$10,MATCH(F690,Catalogo_Causas!$A$2:$A$10,0))</f>
        <v>Retención de calidad</v>
      </c>
      <c r="H690" s="6" t="str">
        <f aca="false">INDEX(Catalogo_Causas!$C$2:$C$10,MATCH(F690,Catalogo_Causas!$A$2:$A$10,0))</f>
        <v>Calidad</v>
      </c>
      <c r="I690" s="5" t="n">
        <v>46</v>
      </c>
      <c r="J690" s="29" t="n">
        <f aca="false">I690/60</f>
        <v>0.766666666666667</v>
      </c>
    </row>
    <row r="691" customFormat="false" ht="15" hidden="false" customHeight="false" outlineLevel="0" collapsed="false">
      <c r="A691" s="5" t="s">
        <v>1733</v>
      </c>
      <c r="B691" s="9" t="n">
        <v>45768</v>
      </c>
      <c r="C691" s="9" t="n">
        <v>45771</v>
      </c>
      <c r="D691" s="5" t="s">
        <v>142</v>
      </c>
      <c r="E691" s="5" t="s">
        <v>1041</v>
      </c>
      <c r="F691" s="5" t="s">
        <v>1007</v>
      </c>
      <c r="G691" s="6" t="str">
        <f aca="false">INDEX(Catalogo_Causas!$B$2:$B$10,MATCH(F691,Catalogo_Causas!$A$2:$A$10,0))</f>
        <v>Cambio de formato excedido</v>
      </c>
      <c r="H691" s="6" t="str">
        <f aca="false">INDEX(Catalogo_Causas!$C$2:$C$10,MATCH(F691,Catalogo_Causas!$A$2:$A$10,0))</f>
        <v>Operacional</v>
      </c>
      <c r="I691" s="5" t="n">
        <v>65</v>
      </c>
      <c r="J691" s="29" t="n">
        <f aca="false">I691/60</f>
        <v>1.08333333333333</v>
      </c>
    </row>
    <row r="692" customFormat="false" ht="15" hidden="false" customHeight="false" outlineLevel="0" collapsed="false">
      <c r="A692" s="5" t="s">
        <v>1734</v>
      </c>
      <c r="B692" s="9" t="n">
        <v>45768</v>
      </c>
      <c r="C692" s="9" t="n">
        <v>45772</v>
      </c>
      <c r="D692" s="5" t="s">
        <v>130</v>
      </c>
      <c r="E692" s="5" t="s">
        <v>1030</v>
      </c>
      <c r="F692" s="5" t="s">
        <v>1002</v>
      </c>
      <c r="G692" s="6" t="str">
        <f aca="false">INDEX(Catalogo_Causas!$B$2:$B$10,MATCH(F692,Catalogo_Causas!$A$2:$A$10,0))</f>
        <v>Falla mecánica</v>
      </c>
      <c r="H692" s="6" t="str">
        <f aca="false">INDEX(Catalogo_Causas!$C$2:$C$10,MATCH(F692,Catalogo_Causas!$A$2:$A$10,0))</f>
        <v>Operacional</v>
      </c>
      <c r="I692" s="5" t="n">
        <v>189</v>
      </c>
      <c r="J692" s="29" t="n">
        <f aca="false">I692/60</f>
        <v>3.15</v>
      </c>
    </row>
    <row r="693" customFormat="false" ht="15" hidden="false" customHeight="false" outlineLevel="0" collapsed="false">
      <c r="A693" s="5" t="s">
        <v>1735</v>
      </c>
      <c r="B693" s="9" t="n">
        <v>45768</v>
      </c>
      <c r="C693" s="9" t="n">
        <v>45772</v>
      </c>
      <c r="D693" s="5" t="s">
        <v>132</v>
      </c>
      <c r="E693" s="5" t="s">
        <v>1032</v>
      </c>
      <c r="F693" s="5" t="s">
        <v>1007</v>
      </c>
      <c r="G693" s="6" t="str">
        <f aca="false">INDEX(Catalogo_Causas!$B$2:$B$10,MATCH(F693,Catalogo_Causas!$A$2:$A$10,0))</f>
        <v>Cambio de formato excedido</v>
      </c>
      <c r="H693" s="6" t="str">
        <f aca="false">INDEX(Catalogo_Causas!$C$2:$C$10,MATCH(F693,Catalogo_Causas!$A$2:$A$10,0))</f>
        <v>Operacional</v>
      </c>
      <c r="I693" s="5" t="n">
        <v>20</v>
      </c>
      <c r="J693" s="29" t="n">
        <f aca="false">I693/60</f>
        <v>0.333333333333333</v>
      </c>
    </row>
    <row r="694" customFormat="false" ht="15" hidden="false" customHeight="false" outlineLevel="0" collapsed="false">
      <c r="A694" s="5" t="s">
        <v>1736</v>
      </c>
      <c r="B694" s="9" t="n">
        <v>45768</v>
      </c>
      <c r="C694" s="9" t="n">
        <v>45772</v>
      </c>
      <c r="D694" s="5" t="s">
        <v>136</v>
      </c>
      <c r="E694" s="5" t="s">
        <v>1051</v>
      </c>
      <c r="F694" s="5" t="s">
        <v>1018</v>
      </c>
      <c r="G694" s="6" t="str">
        <f aca="false">INDEX(Catalogo_Causas!$B$2:$B$10,MATCH(F694,Catalogo_Causas!$A$2:$A$10,0))</f>
        <v>Falta de personal</v>
      </c>
      <c r="H694" s="6" t="str">
        <f aca="false">INDEX(Catalogo_Causas!$C$2:$C$10,MATCH(F694,Catalogo_Causas!$A$2:$A$10,0))</f>
        <v>Personal</v>
      </c>
      <c r="I694" s="5" t="n">
        <v>172</v>
      </c>
      <c r="J694" s="29" t="n">
        <f aca="false">I694/60</f>
        <v>2.86666666666667</v>
      </c>
    </row>
    <row r="695" customFormat="false" ht="15" hidden="false" customHeight="false" outlineLevel="0" collapsed="false">
      <c r="A695" s="5" t="s">
        <v>1737</v>
      </c>
      <c r="B695" s="9" t="n">
        <v>45768</v>
      </c>
      <c r="C695" s="9" t="n">
        <v>45772</v>
      </c>
      <c r="D695" s="5" t="s">
        <v>138</v>
      </c>
      <c r="E695" s="5" t="s">
        <v>1056</v>
      </c>
      <c r="F695" s="5" t="s">
        <v>1005</v>
      </c>
      <c r="G695" s="6" t="str">
        <f aca="false">INDEX(Catalogo_Causas!$B$2:$B$10,MATCH(F695,Catalogo_Causas!$A$2:$A$10,0))</f>
        <v>Falla eléctrica / control</v>
      </c>
      <c r="H695" s="6" t="str">
        <f aca="false">INDEX(Catalogo_Causas!$C$2:$C$10,MATCH(F695,Catalogo_Causas!$A$2:$A$10,0))</f>
        <v>Operacional</v>
      </c>
      <c r="I695" s="5" t="n">
        <v>183</v>
      </c>
      <c r="J695" s="29" t="n">
        <f aca="false">I695/60</f>
        <v>3.05</v>
      </c>
    </row>
    <row r="696" customFormat="false" ht="15" hidden="false" customHeight="false" outlineLevel="0" collapsed="false">
      <c r="A696" s="5" t="s">
        <v>1738</v>
      </c>
      <c r="B696" s="9" t="n">
        <v>45768</v>
      </c>
      <c r="C696" s="9" t="n">
        <v>45773</v>
      </c>
      <c r="D696" s="5" t="s">
        <v>130</v>
      </c>
      <c r="E696" s="5" t="s">
        <v>1045</v>
      </c>
      <c r="F696" s="5" t="s">
        <v>1021</v>
      </c>
      <c r="G696" s="6" t="str">
        <f aca="false">INDEX(Catalogo_Causas!$B$2:$B$10,MATCH(F696,Catalogo_Causas!$A$2:$A$10,0))</f>
        <v>Falla de servicios (vapor/amoniaco/aire)</v>
      </c>
      <c r="H696" s="6" t="str">
        <f aca="false">INDEX(Catalogo_Causas!$C$2:$C$10,MATCH(F696,Catalogo_Causas!$A$2:$A$10,0))</f>
        <v>Servicios</v>
      </c>
      <c r="I696" s="5" t="n">
        <v>31</v>
      </c>
      <c r="J696" s="29" t="n">
        <f aca="false">I696/60</f>
        <v>0.516666666666667</v>
      </c>
    </row>
    <row r="697" customFormat="false" ht="15" hidden="false" customHeight="false" outlineLevel="0" collapsed="false">
      <c r="A697" s="5" t="s">
        <v>1739</v>
      </c>
      <c r="B697" s="9" t="n">
        <v>45768</v>
      </c>
      <c r="C697" s="9" t="n">
        <v>45773</v>
      </c>
      <c r="D697" s="5" t="s">
        <v>134</v>
      </c>
      <c r="E697" s="5" t="s">
        <v>1030</v>
      </c>
      <c r="F697" s="5" t="s">
        <v>1012</v>
      </c>
      <c r="G697" s="6" t="str">
        <f aca="false">INDEX(Catalogo_Causas!$B$2:$B$10,MATCH(F697,Catalogo_Causas!$A$2:$A$10,0))</f>
        <v>Falta de materia prima</v>
      </c>
      <c r="H697" s="6" t="str">
        <f aca="false">INDEX(Catalogo_Causas!$C$2:$C$10,MATCH(F697,Catalogo_Causas!$A$2:$A$10,0))</f>
        <v>Material / suministro</v>
      </c>
      <c r="I697" s="5" t="n">
        <v>114</v>
      </c>
      <c r="J697" s="29" t="n">
        <f aca="false">I697/60</f>
        <v>1.9</v>
      </c>
    </row>
    <row r="698" customFormat="false" ht="15" hidden="false" customHeight="false" outlineLevel="0" collapsed="false">
      <c r="A698" s="5" t="s">
        <v>1740</v>
      </c>
      <c r="B698" s="9" t="n">
        <v>45768</v>
      </c>
      <c r="C698" s="9" t="n">
        <v>45773</v>
      </c>
      <c r="D698" s="5" t="s">
        <v>138</v>
      </c>
      <c r="E698" s="5" t="s">
        <v>1039</v>
      </c>
      <c r="F698" s="5" t="s">
        <v>1007</v>
      </c>
      <c r="G698" s="6" t="str">
        <f aca="false">INDEX(Catalogo_Causas!$B$2:$B$10,MATCH(F698,Catalogo_Causas!$A$2:$A$10,0))</f>
        <v>Cambio de formato excedido</v>
      </c>
      <c r="H698" s="6" t="str">
        <f aca="false">INDEX(Catalogo_Causas!$C$2:$C$10,MATCH(F698,Catalogo_Causas!$A$2:$A$10,0))</f>
        <v>Operacional</v>
      </c>
      <c r="I698" s="5" t="n">
        <v>78</v>
      </c>
      <c r="J698" s="29" t="n">
        <f aca="false">I698/60</f>
        <v>1.3</v>
      </c>
    </row>
    <row r="699" customFormat="false" ht="15" hidden="false" customHeight="false" outlineLevel="0" collapsed="false">
      <c r="A699" s="5" t="s">
        <v>1741</v>
      </c>
      <c r="B699" s="9" t="n">
        <v>45768</v>
      </c>
      <c r="C699" s="9" t="n">
        <v>45773</v>
      </c>
      <c r="D699" s="5" t="s">
        <v>142</v>
      </c>
      <c r="E699" s="5" t="s">
        <v>1041</v>
      </c>
      <c r="F699" s="5" t="s">
        <v>1002</v>
      </c>
      <c r="G699" s="6" t="str">
        <f aca="false">INDEX(Catalogo_Causas!$B$2:$B$10,MATCH(F699,Catalogo_Causas!$A$2:$A$10,0))</f>
        <v>Falla mecánica</v>
      </c>
      <c r="H699" s="6" t="str">
        <f aca="false">INDEX(Catalogo_Causas!$C$2:$C$10,MATCH(F699,Catalogo_Causas!$A$2:$A$10,0))</f>
        <v>Operacional</v>
      </c>
      <c r="I699" s="5" t="n">
        <v>194</v>
      </c>
      <c r="J699" s="29" t="n">
        <f aca="false">I699/60</f>
        <v>3.23333333333333</v>
      </c>
    </row>
    <row r="700" customFormat="false" ht="15" hidden="false" customHeight="false" outlineLevel="0" collapsed="false">
      <c r="A700" s="5" t="s">
        <v>1742</v>
      </c>
      <c r="B700" s="9" t="n">
        <v>45768</v>
      </c>
      <c r="C700" s="9" t="n">
        <v>45773</v>
      </c>
      <c r="D700" s="5" t="s">
        <v>144</v>
      </c>
      <c r="E700" s="5" t="s">
        <v>1030</v>
      </c>
      <c r="F700" s="5" t="s">
        <v>1005</v>
      </c>
      <c r="G700" s="6" t="str">
        <f aca="false">INDEX(Catalogo_Causas!$B$2:$B$10,MATCH(F700,Catalogo_Causas!$A$2:$A$10,0))</f>
        <v>Falla eléctrica / control</v>
      </c>
      <c r="H700" s="6" t="str">
        <f aca="false">INDEX(Catalogo_Causas!$C$2:$C$10,MATCH(F700,Catalogo_Causas!$A$2:$A$10,0))</f>
        <v>Operacional</v>
      </c>
      <c r="I700" s="5" t="n">
        <v>44</v>
      </c>
      <c r="J700" s="29" t="n">
        <f aca="false">I700/60</f>
        <v>0.733333333333333</v>
      </c>
    </row>
    <row r="701" customFormat="false" ht="15" hidden="false" customHeight="false" outlineLevel="0" collapsed="false">
      <c r="A701" s="5" t="s">
        <v>1743</v>
      </c>
      <c r="B701" s="9" t="n">
        <v>45775</v>
      </c>
      <c r="C701" s="9" t="n">
        <v>45775</v>
      </c>
      <c r="D701" s="5" t="s">
        <v>132</v>
      </c>
      <c r="E701" s="5" t="s">
        <v>1084</v>
      </c>
      <c r="F701" s="5" t="s">
        <v>1009</v>
      </c>
      <c r="G701" s="6" t="str">
        <f aca="false">INDEX(Catalogo_Causas!$B$2:$B$10,MATCH(F701,Catalogo_Causas!$A$2:$A$10,0))</f>
        <v>Falta de material de empaque</v>
      </c>
      <c r="H701" s="6" t="str">
        <f aca="false">INDEX(Catalogo_Causas!$C$2:$C$10,MATCH(F701,Catalogo_Causas!$A$2:$A$10,0))</f>
        <v>Material / suministro</v>
      </c>
      <c r="I701" s="5" t="n">
        <v>67</v>
      </c>
      <c r="J701" s="29" t="n">
        <f aca="false">I701/60</f>
        <v>1.11666666666667</v>
      </c>
    </row>
    <row r="702" customFormat="false" ht="15" hidden="false" customHeight="false" outlineLevel="0" collapsed="false">
      <c r="A702" s="5" t="s">
        <v>1744</v>
      </c>
      <c r="B702" s="9" t="n">
        <v>45775</v>
      </c>
      <c r="C702" s="9" t="n">
        <v>45775</v>
      </c>
      <c r="D702" s="5" t="s">
        <v>136</v>
      </c>
      <c r="E702" s="5" t="s">
        <v>1051</v>
      </c>
      <c r="F702" s="5" t="s">
        <v>1005</v>
      </c>
      <c r="G702" s="6" t="str">
        <f aca="false">INDEX(Catalogo_Causas!$B$2:$B$10,MATCH(F702,Catalogo_Causas!$A$2:$A$10,0))</f>
        <v>Falla eléctrica / control</v>
      </c>
      <c r="H702" s="6" t="str">
        <f aca="false">INDEX(Catalogo_Causas!$C$2:$C$10,MATCH(F702,Catalogo_Causas!$A$2:$A$10,0))</f>
        <v>Operacional</v>
      </c>
      <c r="I702" s="5" t="n">
        <v>45</v>
      </c>
      <c r="J702" s="29" t="n">
        <f aca="false">I702/60</f>
        <v>0.75</v>
      </c>
    </row>
    <row r="703" customFormat="false" ht="15" hidden="false" customHeight="false" outlineLevel="0" collapsed="false">
      <c r="A703" s="5" t="s">
        <v>1745</v>
      </c>
      <c r="B703" s="9" t="n">
        <v>45775</v>
      </c>
      <c r="C703" s="9" t="n">
        <v>45775</v>
      </c>
      <c r="D703" s="5" t="s">
        <v>138</v>
      </c>
      <c r="E703" s="5" t="s">
        <v>1056</v>
      </c>
      <c r="F703" s="5" t="s">
        <v>1021</v>
      </c>
      <c r="G703" s="6" t="str">
        <f aca="false">INDEX(Catalogo_Causas!$B$2:$B$10,MATCH(F703,Catalogo_Causas!$A$2:$A$10,0))</f>
        <v>Falla de servicios (vapor/amoniaco/aire)</v>
      </c>
      <c r="H703" s="6" t="str">
        <f aca="false">INDEX(Catalogo_Causas!$C$2:$C$10,MATCH(F703,Catalogo_Causas!$A$2:$A$10,0))</f>
        <v>Servicios</v>
      </c>
      <c r="I703" s="5" t="n">
        <v>31</v>
      </c>
      <c r="J703" s="29" t="n">
        <f aca="false">I703/60</f>
        <v>0.516666666666667</v>
      </c>
    </row>
    <row r="704" customFormat="false" ht="15" hidden="false" customHeight="false" outlineLevel="0" collapsed="false">
      <c r="A704" s="5" t="s">
        <v>1746</v>
      </c>
      <c r="B704" s="9" t="n">
        <v>45775</v>
      </c>
      <c r="C704" s="9" t="n">
        <v>45775</v>
      </c>
      <c r="D704" s="5" t="s">
        <v>138</v>
      </c>
      <c r="E704" s="5" t="s">
        <v>1039</v>
      </c>
      <c r="F704" s="5" t="s">
        <v>1018</v>
      </c>
      <c r="G704" s="6" t="str">
        <f aca="false">INDEX(Catalogo_Causas!$B$2:$B$10,MATCH(F704,Catalogo_Causas!$A$2:$A$10,0))</f>
        <v>Falta de personal</v>
      </c>
      <c r="H704" s="6" t="str">
        <f aca="false">INDEX(Catalogo_Causas!$C$2:$C$10,MATCH(F704,Catalogo_Causas!$A$2:$A$10,0))</f>
        <v>Personal</v>
      </c>
      <c r="I704" s="5" t="n">
        <v>41</v>
      </c>
      <c r="J704" s="29" t="n">
        <f aca="false">I704/60</f>
        <v>0.683333333333333</v>
      </c>
    </row>
    <row r="705" customFormat="false" ht="15" hidden="false" customHeight="false" outlineLevel="0" collapsed="false">
      <c r="A705" s="5" t="s">
        <v>1747</v>
      </c>
      <c r="B705" s="9" t="n">
        <v>45775</v>
      </c>
      <c r="C705" s="9" t="n">
        <v>45775</v>
      </c>
      <c r="D705" s="5" t="s">
        <v>142</v>
      </c>
      <c r="E705" s="5" t="s">
        <v>1030</v>
      </c>
      <c r="F705" s="5" t="s">
        <v>1014</v>
      </c>
      <c r="G705" s="6" t="str">
        <f aca="false">INDEX(Catalogo_Causas!$B$2:$B$10,MATCH(F705,Catalogo_Causas!$A$2:$A$10,0))</f>
        <v>Retención de calidad</v>
      </c>
      <c r="H705" s="6" t="str">
        <f aca="false">INDEX(Catalogo_Causas!$C$2:$C$10,MATCH(F705,Catalogo_Causas!$A$2:$A$10,0))</f>
        <v>Calidad</v>
      </c>
      <c r="I705" s="5" t="n">
        <v>57</v>
      </c>
      <c r="J705" s="29" t="n">
        <f aca="false">I705/60</f>
        <v>0.95</v>
      </c>
    </row>
    <row r="706" customFormat="false" ht="15" hidden="false" customHeight="false" outlineLevel="0" collapsed="false">
      <c r="A706" s="5" t="s">
        <v>1748</v>
      </c>
      <c r="B706" s="9" t="n">
        <v>45775</v>
      </c>
      <c r="C706" s="9" t="n">
        <v>45775</v>
      </c>
      <c r="D706" s="5" t="s">
        <v>142</v>
      </c>
      <c r="E706" s="5" t="s">
        <v>1041</v>
      </c>
      <c r="F706" s="5" t="s">
        <v>1002</v>
      </c>
      <c r="G706" s="6" t="str">
        <f aca="false">INDEX(Catalogo_Causas!$B$2:$B$10,MATCH(F706,Catalogo_Causas!$A$2:$A$10,0))</f>
        <v>Falla mecánica</v>
      </c>
      <c r="H706" s="6" t="str">
        <f aca="false">INDEX(Catalogo_Causas!$C$2:$C$10,MATCH(F706,Catalogo_Causas!$A$2:$A$10,0))</f>
        <v>Operacional</v>
      </c>
      <c r="I706" s="5" t="n">
        <v>13</v>
      </c>
      <c r="J706" s="29" t="n">
        <f aca="false">I706/60</f>
        <v>0.216666666666667</v>
      </c>
    </row>
    <row r="707" customFormat="false" ht="15" hidden="false" customHeight="false" outlineLevel="0" collapsed="false">
      <c r="A707" s="5" t="s">
        <v>1749</v>
      </c>
      <c r="B707" s="9" t="n">
        <v>45775</v>
      </c>
      <c r="C707" s="9" t="n">
        <v>45776</v>
      </c>
      <c r="D707" s="5" t="s">
        <v>130</v>
      </c>
      <c r="E707" s="5" t="s">
        <v>1078</v>
      </c>
      <c r="F707" s="5" t="s">
        <v>1002</v>
      </c>
      <c r="G707" s="6" t="str">
        <f aca="false">INDEX(Catalogo_Causas!$B$2:$B$10,MATCH(F707,Catalogo_Causas!$A$2:$A$10,0))</f>
        <v>Falla mecánica</v>
      </c>
      <c r="H707" s="6" t="str">
        <f aca="false">INDEX(Catalogo_Causas!$C$2:$C$10,MATCH(F707,Catalogo_Causas!$A$2:$A$10,0))</f>
        <v>Operacional</v>
      </c>
      <c r="I707" s="5" t="n">
        <v>87</v>
      </c>
      <c r="J707" s="29" t="n">
        <f aca="false">I707/60</f>
        <v>1.45</v>
      </c>
    </row>
    <row r="708" customFormat="false" ht="15" hidden="false" customHeight="false" outlineLevel="0" collapsed="false">
      <c r="A708" s="5" t="s">
        <v>1750</v>
      </c>
      <c r="B708" s="9" t="n">
        <v>45775</v>
      </c>
      <c r="C708" s="9" t="n">
        <v>45777</v>
      </c>
      <c r="D708" s="5" t="s">
        <v>130</v>
      </c>
      <c r="E708" s="5" t="s">
        <v>1078</v>
      </c>
      <c r="F708" s="5" t="s">
        <v>1007</v>
      </c>
      <c r="G708" s="6" t="str">
        <f aca="false">INDEX(Catalogo_Causas!$B$2:$B$10,MATCH(F708,Catalogo_Causas!$A$2:$A$10,0))</f>
        <v>Cambio de formato excedido</v>
      </c>
      <c r="H708" s="6" t="str">
        <f aca="false">INDEX(Catalogo_Causas!$C$2:$C$10,MATCH(F708,Catalogo_Causas!$A$2:$A$10,0))</f>
        <v>Operacional</v>
      </c>
      <c r="I708" s="5" t="n">
        <v>46</v>
      </c>
      <c r="J708" s="29" t="n">
        <f aca="false">I708/60</f>
        <v>0.766666666666667</v>
      </c>
    </row>
    <row r="709" customFormat="false" ht="15" hidden="false" customHeight="false" outlineLevel="0" collapsed="false">
      <c r="A709" s="5" t="s">
        <v>1751</v>
      </c>
      <c r="B709" s="9" t="n">
        <v>45775</v>
      </c>
      <c r="C709" s="9" t="n">
        <v>45777</v>
      </c>
      <c r="D709" s="5" t="s">
        <v>142</v>
      </c>
      <c r="E709" s="5" t="s">
        <v>1030</v>
      </c>
      <c r="F709" s="5" t="s">
        <v>1002</v>
      </c>
      <c r="G709" s="6" t="str">
        <f aca="false">INDEX(Catalogo_Causas!$B$2:$B$10,MATCH(F709,Catalogo_Causas!$A$2:$A$10,0))</f>
        <v>Falla mecánica</v>
      </c>
      <c r="H709" s="6" t="str">
        <f aca="false">INDEX(Catalogo_Causas!$C$2:$C$10,MATCH(F709,Catalogo_Causas!$A$2:$A$10,0))</f>
        <v>Operacional</v>
      </c>
      <c r="I709" s="5" t="n">
        <v>135</v>
      </c>
      <c r="J709" s="29" t="n">
        <f aca="false">I709/60</f>
        <v>2.25</v>
      </c>
    </row>
    <row r="710" customFormat="false" ht="15" hidden="false" customHeight="false" outlineLevel="0" collapsed="false">
      <c r="A710" s="5" t="s">
        <v>1752</v>
      </c>
      <c r="B710" s="9" t="n">
        <v>45775</v>
      </c>
      <c r="C710" s="9" t="n">
        <v>45777</v>
      </c>
      <c r="D710" s="5" t="s">
        <v>144</v>
      </c>
      <c r="E710" s="5" t="s">
        <v>1032</v>
      </c>
      <c r="F710" s="5" t="s">
        <v>1002</v>
      </c>
      <c r="G710" s="6" t="str">
        <f aca="false">INDEX(Catalogo_Causas!$B$2:$B$10,MATCH(F710,Catalogo_Causas!$A$2:$A$10,0))</f>
        <v>Falla mecánica</v>
      </c>
      <c r="H710" s="6" t="str">
        <f aca="false">INDEX(Catalogo_Causas!$C$2:$C$10,MATCH(F710,Catalogo_Causas!$A$2:$A$10,0))</f>
        <v>Operacional</v>
      </c>
      <c r="I710" s="5" t="n">
        <v>105</v>
      </c>
      <c r="J710" s="29" t="n">
        <f aca="false">I710/60</f>
        <v>1.75</v>
      </c>
    </row>
    <row r="711" customFormat="false" ht="15" hidden="false" customHeight="false" outlineLevel="0" collapsed="false">
      <c r="A711" s="5" t="s">
        <v>1753</v>
      </c>
      <c r="B711" s="9" t="n">
        <v>45775</v>
      </c>
      <c r="C711" s="9" t="n">
        <v>45778</v>
      </c>
      <c r="D711" s="5" t="s">
        <v>130</v>
      </c>
      <c r="E711" s="5" t="s">
        <v>1030</v>
      </c>
      <c r="F711" s="5" t="s">
        <v>1009</v>
      </c>
      <c r="G711" s="6" t="str">
        <f aca="false">INDEX(Catalogo_Causas!$B$2:$B$10,MATCH(F711,Catalogo_Causas!$A$2:$A$10,0))</f>
        <v>Falta de material de empaque</v>
      </c>
      <c r="H711" s="6" t="str">
        <f aca="false">INDEX(Catalogo_Causas!$C$2:$C$10,MATCH(F711,Catalogo_Causas!$A$2:$A$10,0))</f>
        <v>Material / suministro</v>
      </c>
      <c r="I711" s="5" t="n">
        <v>73</v>
      </c>
      <c r="J711" s="29" t="n">
        <f aca="false">I711/60</f>
        <v>1.21666666666667</v>
      </c>
    </row>
    <row r="712" customFormat="false" ht="15" hidden="false" customHeight="false" outlineLevel="0" collapsed="false">
      <c r="A712" s="5" t="s">
        <v>1754</v>
      </c>
      <c r="B712" s="9" t="n">
        <v>45775</v>
      </c>
      <c r="C712" s="9" t="n">
        <v>45778</v>
      </c>
      <c r="D712" s="5" t="s">
        <v>132</v>
      </c>
      <c r="E712" s="5" t="s">
        <v>1073</v>
      </c>
      <c r="F712" s="5" t="s">
        <v>1018</v>
      </c>
      <c r="G712" s="6" t="str">
        <f aca="false">INDEX(Catalogo_Causas!$B$2:$B$10,MATCH(F712,Catalogo_Causas!$A$2:$A$10,0))</f>
        <v>Falta de personal</v>
      </c>
      <c r="H712" s="6" t="str">
        <f aca="false">INDEX(Catalogo_Causas!$C$2:$C$10,MATCH(F712,Catalogo_Causas!$A$2:$A$10,0))</f>
        <v>Personal</v>
      </c>
      <c r="I712" s="5" t="n">
        <v>24</v>
      </c>
      <c r="J712" s="29" t="n">
        <f aca="false">I712/60</f>
        <v>0.4</v>
      </c>
    </row>
    <row r="713" customFormat="false" ht="15" hidden="false" customHeight="false" outlineLevel="0" collapsed="false">
      <c r="A713" s="5" t="s">
        <v>1755</v>
      </c>
      <c r="B713" s="9" t="n">
        <v>45775</v>
      </c>
      <c r="C713" s="9" t="n">
        <v>45778</v>
      </c>
      <c r="D713" s="5" t="s">
        <v>136</v>
      </c>
      <c r="E713" s="5" t="s">
        <v>1101</v>
      </c>
      <c r="F713" s="5" t="s">
        <v>1007</v>
      </c>
      <c r="G713" s="6" t="str">
        <f aca="false">INDEX(Catalogo_Causas!$B$2:$B$10,MATCH(F713,Catalogo_Causas!$A$2:$A$10,0))</f>
        <v>Cambio de formato excedido</v>
      </c>
      <c r="H713" s="6" t="str">
        <f aca="false">INDEX(Catalogo_Causas!$C$2:$C$10,MATCH(F713,Catalogo_Causas!$A$2:$A$10,0))</f>
        <v>Operacional</v>
      </c>
      <c r="I713" s="5" t="n">
        <v>10</v>
      </c>
      <c r="J713" s="29" t="n">
        <f aca="false">I713/60</f>
        <v>0.166666666666667</v>
      </c>
    </row>
    <row r="714" customFormat="false" ht="15" hidden="false" customHeight="false" outlineLevel="0" collapsed="false">
      <c r="A714" s="5" t="s">
        <v>1756</v>
      </c>
      <c r="B714" s="9" t="n">
        <v>45775</v>
      </c>
      <c r="C714" s="9" t="n">
        <v>45778</v>
      </c>
      <c r="D714" s="5" t="s">
        <v>136</v>
      </c>
      <c r="E714" s="5" t="s">
        <v>1032</v>
      </c>
      <c r="F714" s="5" t="s">
        <v>1009</v>
      </c>
      <c r="G714" s="6" t="str">
        <f aca="false">INDEX(Catalogo_Causas!$B$2:$B$10,MATCH(F714,Catalogo_Causas!$A$2:$A$10,0))</f>
        <v>Falta de material de empaque</v>
      </c>
      <c r="H714" s="6" t="str">
        <f aca="false">INDEX(Catalogo_Causas!$C$2:$C$10,MATCH(F714,Catalogo_Causas!$A$2:$A$10,0))</f>
        <v>Material / suministro</v>
      </c>
      <c r="I714" s="5" t="n">
        <v>84</v>
      </c>
      <c r="J714" s="29" t="n">
        <f aca="false">I714/60</f>
        <v>1.4</v>
      </c>
    </row>
    <row r="715" customFormat="false" ht="15" hidden="false" customHeight="false" outlineLevel="0" collapsed="false">
      <c r="A715" s="5" t="s">
        <v>1757</v>
      </c>
      <c r="B715" s="9" t="n">
        <v>45775</v>
      </c>
      <c r="C715" s="9" t="n">
        <v>45779</v>
      </c>
      <c r="D715" s="5" t="s">
        <v>138</v>
      </c>
      <c r="E715" s="5" t="s">
        <v>1056</v>
      </c>
      <c r="F715" s="5" t="s">
        <v>1002</v>
      </c>
      <c r="G715" s="6" t="str">
        <f aca="false">INDEX(Catalogo_Causas!$B$2:$B$10,MATCH(F715,Catalogo_Causas!$A$2:$A$10,0))</f>
        <v>Falla mecánica</v>
      </c>
      <c r="H715" s="6" t="str">
        <f aca="false">INDEX(Catalogo_Causas!$C$2:$C$10,MATCH(F715,Catalogo_Causas!$A$2:$A$10,0))</f>
        <v>Operacional</v>
      </c>
      <c r="I715" s="5" t="n">
        <v>32</v>
      </c>
      <c r="J715" s="29" t="n">
        <f aca="false">I715/60</f>
        <v>0.533333333333333</v>
      </c>
    </row>
    <row r="716" customFormat="false" ht="15" hidden="false" customHeight="false" outlineLevel="0" collapsed="false">
      <c r="A716" s="5" t="s">
        <v>1758</v>
      </c>
      <c r="B716" s="9" t="n">
        <v>45775</v>
      </c>
      <c r="C716" s="9" t="n">
        <v>45779</v>
      </c>
      <c r="D716" s="5" t="s">
        <v>142</v>
      </c>
      <c r="E716" s="5" t="s">
        <v>1041</v>
      </c>
      <c r="F716" s="5" t="s">
        <v>1005</v>
      </c>
      <c r="G716" s="6" t="str">
        <f aca="false">INDEX(Catalogo_Causas!$B$2:$B$10,MATCH(F716,Catalogo_Causas!$A$2:$A$10,0))</f>
        <v>Falla eléctrica / control</v>
      </c>
      <c r="H716" s="6" t="str">
        <f aca="false">INDEX(Catalogo_Causas!$C$2:$C$10,MATCH(F716,Catalogo_Causas!$A$2:$A$10,0))</f>
        <v>Operacional</v>
      </c>
      <c r="I716" s="5" t="n">
        <v>75</v>
      </c>
      <c r="J716" s="29" t="n">
        <f aca="false">I716/60</f>
        <v>1.25</v>
      </c>
    </row>
    <row r="717" customFormat="false" ht="15" hidden="false" customHeight="false" outlineLevel="0" collapsed="false">
      <c r="A717" s="5" t="s">
        <v>1759</v>
      </c>
      <c r="B717" s="9" t="n">
        <v>45775</v>
      </c>
      <c r="C717" s="9" t="n">
        <v>45780</v>
      </c>
      <c r="D717" s="5" t="s">
        <v>134</v>
      </c>
      <c r="E717" s="5" t="s">
        <v>1054</v>
      </c>
      <c r="F717" s="5" t="s">
        <v>1002</v>
      </c>
      <c r="G717" s="6" t="str">
        <f aca="false">INDEX(Catalogo_Causas!$B$2:$B$10,MATCH(F717,Catalogo_Causas!$A$2:$A$10,0))</f>
        <v>Falla mecánica</v>
      </c>
      <c r="H717" s="6" t="str">
        <f aca="false">INDEX(Catalogo_Causas!$C$2:$C$10,MATCH(F717,Catalogo_Causas!$A$2:$A$10,0))</f>
        <v>Operacional</v>
      </c>
      <c r="I717" s="5" t="n">
        <v>165</v>
      </c>
      <c r="J717" s="29" t="n">
        <f aca="false">I717/60</f>
        <v>2.75</v>
      </c>
    </row>
    <row r="718" customFormat="false" ht="15" hidden="false" customHeight="false" outlineLevel="0" collapsed="false">
      <c r="A718" s="5" t="s">
        <v>1760</v>
      </c>
      <c r="B718" s="9" t="n">
        <v>45775</v>
      </c>
      <c r="C718" s="9" t="n">
        <v>45780</v>
      </c>
      <c r="D718" s="5" t="s">
        <v>142</v>
      </c>
      <c r="E718" s="5" t="s">
        <v>1041</v>
      </c>
      <c r="F718" s="5" t="s">
        <v>1009</v>
      </c>
      <c r="G718" s="6" t="str">
        <f aca="false">INDEX(Catalogo_Causas!$B$2:$B$10,MATCH(F718,Catalogo_Causas!$A$2:$A$10,0))</f>
        <v>Falta de material de empaque</v>
      </c>
      <c r="H718" s="6" t="str">
        <f aca="false">INDEX(Catalogo_Causas!$C$2:$C$10,MATCH(F718,Catalogo_Causas!$A$2:$A$10,0))</f>
        <v>Material / suministro</v>
      </c>
      <c r="I718" s="5" t="n">
        <v>63</v>
      </c>
      <c r="J718" s="29" t="n">
        <f aca="false">I718/60</f>
        <v>1.05</v>
      </c>
    </row>
    <row r="719" customFormat="false" ht="15" hidden="false" customHeight="false" outlineLevel="0" collapsed="false">
      <c r="A719" s="5" t="s">
        <v>1761</v>
      </c>
      <c r="B719" s="9" t="n">
        <v>45782</v>
      </c>
      <c r="C719" s="9" t="n">
        <v>45782</v>
      </c>
      <c r="D719" s="5" t="s">
        <v>132</v>
      </c>
      <c r="E719" s="5" t="s">
        <v>1073</v>
      </c>
      <c r="F719" s="5" t="s">
        <v>1005</v>
      </c>
      <c r="G719" s="6" t="str">
        <f aca="false">INDEX(Catalogo_Causas!$B$2:$B$10,MATCH(F719,Catalogo_Causas!$A$2:$A$10,0))</f>
        <v>Falla eléctrica / control</v>
      </c>
      <c r="H719" s="6" t="str">
        <f aca="false">INDEX(Catalogo_Causas!$C$2:$C$10,MATCH(F719,Catalogo_Causas!$A$2:$A$10,0))</f>
        <v>Operacional</v>
      </c>
      <c r="I719" s="5" t="n">
        <v>281</v>
      </c>
      <c r="J719" s="29" t="n">
        <f aca="false">I719/60</f>
        <v>4.68333333333333</v>
      </c>
    </row>
    <row r="720" customFormat="false" ht="15" hidden="false" customHeight="false" outlineLevel="0" collapsed="false">
      <c r="A720" s="5" t="s">
        <v>1762</v>
      </c>
      <c r="B720" s="9" t="n">
        <v>45782</v>
      </c>
      <c r="C720" s="9" t="n">
        <v>45782</v>
      </c>
      <c r="D720" s="5" t="s">
        <v>138</v>
      </c>
      <c r="E720" s="5" t="s">
        <v>1039</v>
      </c>
      <c r="F720" s="5" t="s">
        <v>1005</v>
      </c>
      <c r="G720" s="6" t="str">
        <f aca="false">INDEX(Catalogo_Causas!$B$2:$B$10,MATCH(F720,Catalogo_Causas!$A$2:$A$10,0))</f>
        <v>Falla eléctrica / control</v>
      </c>
      <c r="H720" s="6" t="str">
        <f aca="false">INDEX(Catalogo_Causas!$C$2:$C$10,MATCH(F720,Catalogo_Causas!$A$2:$A$10,0))</f>
        <v>Operacional</v>
      </c>
      <c r="I720" s="5" t="n">
        <v>69</v>
      </c>
      <c r="J720" s="29" t="n">
        <f aca="false">I720/60</f>
        <v>1.15</v>
      </c>
    </row>
    <row r="721" customFormat="false" ht="15" hidden="false" customHeight="false" outlineLevel="0" collapsed="false">
      <c r="A721" s="5" t="s">
        <v>1763</v>
      </c>
      <c r="B721" s="9" t="n">
        <v>45782</v>
      </c>
      <c r="C721" s="9" t="n">
        <v>45782</v>
      </c>
      <c r="D721" s="5" t="s">
        <v>142</v>
      </c>
      <c r="E721" s="5" t="s">
        <v>1051</v>
      </c>
      <c r="F721" s="5" t="s">
        <v>1007</v>
      </c>
      <c r="G721" s="6" t="str">
        <f aca="false">INDEX(Catalogo_Causas!$B$2:$B$10,MATCH(F721,Catalogo_Causas!$A$2:$A$10,0))</f>
        <v>Cambio de formato excedido</v>
      </c>
      <c r="H721" s="6" t="str">
        <f aca="false">INDEX(Catalogo_Causas!$C$2:$C$10,MATCH(F721,Catalogo_Causas!$A$2:$A$10,0))</f>
        <v>Operacional</v>
      </c>
      <c r="I721" s="5" t="n">
        <v>49</v>
      </c>
      <c r="J721" s="29" t="n">
        <f aca="false">I721/60</f>
        <v>0.816666666666667</v>
      </c>
    </row>
    <row r="722" customFormat="false" ht="15" hidden="false" customHeight="false" outlineLevel="0" collapsed="false">
      <c r="A722" s="5" t="s">
        <v>1764</v>
      </c>
      <c r="B722" s="9" t="n">
        <v>45782</v>
      </c>
      <c r="C722" s="9" t="n">
        <v>45783</v>
      </c>
      <c r="D722" s="5" t="s">
        <v>130</v>
      </c>
      <c r="E722" s="5" t="s">
        <v>1030</v>
      </c>
      <c r="F722" s="5" t="s">
        <v>1007</v>
      </c>
      <c r="G722" s="6" t="str">
        <f aca="false">INDEX(Catalogo_Causas!$B$2:$B$10,MATCH(F722,Catalogo_Causas!$A$2:$A$10,0))</f>
        <v>Cambio de formato excedido</v>
      </c>
      <c r="H722" s="6" t="str">
        <f aca="false">INDEX(Catalogo_Causas!$C$2:$C$10,MATCH(F722,Catalogo_Causas!$A$2:$A$10,0))</f>
        <v>Operacional</v>
      </c>
      <c r="I722" s="5" t="n">
        <v>41</v>
      </c>
      <c r="J722" s="29" t="n">
        <f aca="false">I722/60</f>
        <v>0.683333333333333</v>
      </c>
    </row>
    <row r="723" customFormat="false" ht="15" hidden="false" customHeight="false" outlineLevel="0" collapsed="false">
      <c r="A723" s="5" t="s">
        <v>1765</v>
      </c>
      <c r="B723" s="9" t="n">
        <v>45782</v>
      </c>
      <c r="C723" s="9" t="n">
        <v>45783</v>
      </c>
      <c r="D723" s="5" t="s">
        <v>132</v>
      </c>
      <c r="E723" s="5" t="s">
        <v>1032</v>
      </c>
      <c r="F723" s="5" t="s">
        <v>1007</v>
      </c>
      <c r="G723" s="6" t="str">
        <f aca="false">INDEX(Catalogo_Causas!$B$2:$B$10,MATCH(F723,Catalogo_Causas!$A$2:$A$10,0))</f>
        <v>Cambio de formato excedido</v>
      </c>
      <c r="H723" s="6" t="str">
        <f aca="false">INDEX(Catalogo_Causas!$C$2:$C$10,MATCH(F723,Catalogo_Causas!$A$2:$A$10,0))</f>
        <v>Operacional</v>
      </c>
      <c r="I723" s="5" t="n">
        <v>41</v>
      </c>
      <c r="J723" s="29" t="n">
        <f aca="false">I723/60</f>
        <v>0.683333333333333</v>
      </c>
    </row>
    <row r="724" customFormat="false" ht="15" hidden="false" customHeight="false" outlineLevel="0" collapsed="false">
      <c r="A724" s="5" t="s">
        <v>1766</v>
      </c>
      <c r="B724" s="9" t="n">
        <v>45782</v>
      </c>
      <c r="C724" s="9" t="n">
        <v>45783</v>
      </c>
      <c r="D724" s="5" t="s">
        <v>138</v>
      </c>
      <c r="E724" s="5" t="s">
        <v>1056</v>
      </c>
      <c r="F724" s="5" t="s">
        <v>1007</v>
      </c>
      <c r="G724" s="6" t="str">
        <f aca="false">INDEX(Catalogo_Causas!$B$2:$B$10,MATCH(F724,Catalogo_Causas!$A$2:$A$10,0))</f>
        <v>Cambio de formato excedido</v>
      </c>
      <c r="H724" s="6" t="str">
        <f aca="false">INDEX(Catalogo_Causas!$C$2:$C$10,MATCH(F724,Catalogo_Causas!$A$2:$A$10,0))</f>
        <v>Operacional</v>
      </c>
      <c r="I724" s="5" t="n">
        <v>97</v>
      </c>
      <c r="J724" s="29" t="n">
        <f aca="false">I724/60</f>
        <v>1.61666666666667</v>
      </c>
    </row>
    <row r="725" customFormat="false" ht="15" hidden="false" customHeight="false" outlineLevel="0" collapsed="false">
      <c r="A725" s="5" t="s">
        <v>1767</v>
      </c>
      <c r="B725" s="9" t="n">
        <v>45782</v>
      </c>
      <c r="C725" s="9" t="n">
        <v>45783</v>
      </c>
      <c r="D725" s="5" t="s">
        <v>138</v>
      </c>
      <c r="E725" s="5" t="s">
        <v>1056</v>
      </c>
      <c r="F725" s="5" t="s">
        <v>1009</v>
      </c>
      <c r="G725" s="6" t="str">
        <f aca="false">INDEX(Catalogo_Causas!$B$2:$B$10,MATCH(F725,Catalogo_Causas!$A$2:$A$10,0))</f>
        <v>Falta de material de empaque</v>
      </c>
      <c r="H725" s="6" t="str">
        <f aca="false">INDEX(Catalogo_Causas!$C$2:$C$10,MATCH(F725,Catalogo_Causas!$A$2:$A$10,0))</f>
        <v>Material / suministro</v>
      </c>
      <c r="I725" s="5" t="n">
        <v>270</v>
      </c>
      <c r="J725" s="29" t="n">
        <f aca="false">I725/60</f>
        <v>4.5</v>
      </c>
    </row>
    <row r="726" customFormat="false" ht="15" hidden="false" customHeight="false" outlineLevel="0" collapsed="false">
      <c r="A726" s="5" t="s">
        <v>1768</v>
      </c>
      <c r="B726" s="9" t="n">
        <v>45782</v>
      </c>
      <c r="C726" s="9" t="n">
        <v>45784</v>
      </c>
      <c r="D726" s="5" t="s">
        <v>134</v>
      </c>
      <c r="E726" s="5" t="s">
        <v>1054</v>
      </c>
      <c r="F726" s="5" t="s">
        <v>1012</v>
      </c>
      <c r="G726" s="6" t="str">
        <f aca="false">INDEX(Catalogo_Causas!$B$2:$B$10,MATCH(F726,Catalogo_Causas!$A$2:$A$10,0))</f>
        <v>Falta de materia prima</v>
      </c>
      <c r="H726" s="6" t="str">
        <f aca="false">INDEX(Catalogo_Causas!$C$2:$C$10,MATCH(F726,Catalogo_Causas!$A$2:$A$10,0))</f>
        <v>Material / suministro</v>
      </c>
      <c r="I726" s="5" t="n">
        <v>84</v>
      </c>
      <c r="J726" s="29" t="n">
        <f aca="false">I726/60</f>
        <v>1.4</v>
      </c>
    </row>
    <row r="727" customFormat="false" ht="15" hidden="false" customHeight="false" outlineLevel="0" collapsed="false">
      <c r="A727" s="5" t="s">
        <v>1769</v>
      </c>
      <c r="B727" s="9" t="n">
        <v>45782</v>
      </c>
      <c r="C727" s="9" t="n">
        <v>45784</v>
      </c>
      <c r="D727" s="5" t="s">
        <v>140</v>
      </c>
      <c r="E727" s="5" t="s">
        <v>1032</v>
      </c>
      <c r="F727" s="5" t="s">
        <v>1012</v>
      </c>
      <c r="G727" s="6" t="str">
        <f aca="false">INDEX(Catalogo_Causas!$B$2:$B$10,MATCH(F727,Catalogo_Causas!$A$2:$A$10,0))</f>
        <v>Falta de materia prima</v>
      </c>
      <c r="H727" s="6" t="str">
        <f aca="false">INDEX(Catalogo_Causas!$C$2:$C$10,MATCH(F727,Catalogo_Causas!$A$2:$A$10,0))</f>
        <v>Material / suministro</v>
      </c>
      <c r="I727" s="5" t="n">
        <v>27</v>
      </c>
      <c r="J727" s="29" t="n">
        <f aca="false">I727/60</f>
        <v>0.45</v>
      </c>
    </row>
    <row r="728" customFormat="false" ht="15" hidden="false" customHeight="false" outlineLevel="0" collapsed="false">
      <c r="A728" s="5" t="s">
        <v>1770</v>
      </c>
      <c r="B728" s="9" t="n">
        <v>45782</v>
      </c>
      <c r="C728" s="9" t="n">
        <v>45785</v>
      </c>
      <c r="D728" s="5" t="s">
        <v>130</v>
      </c>
      <c r="E728" s="5" t="s">
        <v>1078</v>
      </c>
      <c r="F728" s="5" t="s">
        <v>1012</v>
      </c>
      <c r="G728" s="6" t="str">
        <f aca="false">INDEX(Catalogo_Causas!$B$2:$B$10,MATCH(F728,Catalogo_Causas!$A$2:$A$10,0))</f>
        <v>Falta de materia prima</v>
      </c>
      <c r="H728" s="6" t="str">
        <f aca="false">INDEX(Catalogo_Causas!$C$2:$C$10,MATCH(F728,Catalogo_Causas!$A$2:$A$10,0))</f>
        <v>Material / suministro</v>
      </c>
      <c r="I728" s="5" t="n">
        <v>53</v>
      </c>
      <c r="J728" s="29" t="n">
        <f aca="false">I728/60</f>
        <v>0.883333333333333</v>
      </c>
    </row>
    <row r="729" customFormat="false" ht="15" hidden="false" customHeight="false" outlineLevel="0" collapsed="false">
      <c r="A729" s="5" t="s">
        <v>1771</v>
      </c>
      <c r="B729" s="9" t="n">
        <v>45782</v>
      </c>
      <c r="C729" s="9" t="n">
        <v>45785</v>
      </c>
      <c r="D729" s="5" t="s">
        <v>130</v>
      </c>
      <c r="E729" s="5" t="s">
        <v>1030</v>
      </c>
      <c r="F729" s="5" t="s">
        <v>1009</v>
      </c>
      <c r="G729" s="6" t="str">
        <f aca="false">INDEX(Catalogo_Causas!$B$2:$B$10,MATCH(F729,Catalogo_Causas!$A$2:$A$10,0))</f>
        <v>Falta de material de empaque</v>
      </c>
      <c r="H729" s="6" t="str">
        <f aca="false">INDEX(Catalogo_Causas!$C$2:$C$10,MATCH(F729,Catalogo_Causas!$A$2:$A$10,0))</f>
        <v>Material / suministro</v>
      </c>
      <c r="I729" s="5" t="n">
        <v>84</v>
      </c>
      <c r="J729" s="29" t="n">
        <f aca="false">I729/60</f>
        <v>1.4</v>
      </c>
    </row>
    <row r="730" customFormat="false" ht="15" hidden="false" customHeight="false" outlineLevel="0" collapsed="false">
      <c r="A730" s="5" t="s">
        <v>1772</v>
      </c>
      <c r="B730" s="9" t="n">
        <v>45782</v>
      </c>
      <c r="C730" s="9" t="n">
        <v>45786</v>
      </c>
      <c r="D730" s="5" t="s">
        <v>130</v>
      </c>
      <c r="E730" s="5" t="s">
        <v>1078</v>
      </c>
      <c r="F730" s="5" t="s">
        <v>1007</v>
      </c>
      <c r="G730" s="6" t="str">
        <f aca="false">INDEX(Catalogo_Causas!$B$2:$B$10,MATCH(F730,Catalogo_Causas!$A$2:$A$10,0))</f>
        <v>Cambio de formato excedido</v>
      </c>
      <c r="H730" s="6" t="str">
        <f aca="false">INDEX(Catalogo_Causas!$C$2:$C$10,MATCH(F730,Catalogo_Causas!$A$2:$A$10,0))</f>
        <v>Operacional</v>
      </c>
      <c r="I730" s="5" t="n">
        <v>102</v>
      </c>
      <c r="J730" s="29" t="n">
        <f aca="false">I730/60</f>
        <v>1.7</v>
      </c>
    </row>
    <row r="731" customFormat="false" ht="15" hidden="false" customHeight="false" outlineLevel="0" collapsed="false">
      <c r="A731" s="5" t="s">
        <v>1773</v>
      </c>
      <c r="B731" s="9" t="n">
        <v>45782</v>
      </c>
      <c r="C731" s="9" t="n">
        <v>45786</v>
      </c>
      <c r="D731" s="5" t="s">
        <v>134</v>
      </c>
      <c r="E731" s="5" t="s">
        <v>1032</v>
      </c>
      <c r="F731" s="5" t="s">
        <v>1007</v>
      </c>
      <c r="G731" s="6" t="str">
        <f aca="false">INDEX(Catalogo_Causas!$B$2:$B$10,MATCH(F731,Catalogo_Causas!$A$2:$A$10,0))</f>
        <v>Cambio de formato excedido</v>
      </c>
      <c r="H731" s="6" t="str">
        <f aca="false">INDEX(Catalogo_Causas!$C$2:$C$10,MATCH(F731,Catalogo_Causas!$A$2:$A$10,0))</f>
        <v>Operacional</v>
      </c>
      <c r="I731" s="5" t="n">
        <v>24</v>
      </c>
      <c r="J731" s="29" t="n">
        <f aca="false">I731/60</f>
        <v>0.4</v>
      </c>
    </row>
    <row r="732" customFormat="false" ht="15" hidden="false" customHeight="false" outlineLevel="0" collapsed="false">
      <c r="A732" s="5" t="s">
        <v>1774</v>
      </c>
      <c r="B732" s="9" t="n">
        <v>45782</v>
      </c>
      <c r="C732" s="9" t="n">
        <v>45786</v>
      </c>
      <c r="D732" s="5" t="s">
        <v>134</v>
      </c>
      <c r="E732" s="5" t="s">
        <v>1054</v>
      </c>
      <c r="F732" s="5" t="s">
        <v>1002</v>
      </c>
      <c r="G732" s="6" t="str">
        <f aca="false">INDEX(Catalogo_Causas!$B$2:$B$10,MATCH(F732,Catalogo_Causas!$A$2:$A$10,0))</f>
        <v>Falla mecánica</v>
      </c>
      <c r="H732" s="6" t="str">
        <f aca="false">INDEX(Catalogo_Causas!$C$2:$C$10,MATCH(F732,Catalogo_Causas!$A$2:$A$10,0))</f>
        <v>Operacional</v>
      </c>
      <c r="I732" s="5" t="n">
        <v>26</v>
      </c>
      <c r="J732" s="29" t="n">
        <f aca="false">I732/60</f>
        <v>0.433333333333333</v>
      </c>
    </row>
    <row r="733" customFormat="false" ht="15" hidden="false" customHeight="false" outlineLevel="0" collapsed="false">
      <c r="A733" s="5" t="s">
        <v>1775</v>
      </c>
      <c r="B733" s="9" t="n">
        <v>45782</v>
      </c>
      <c r="C733" s="9" t="n">
        <v>45786</v>
      </c>
      <c r="D733" s="5" t="s">
        <v>136</v>
      </c>
      <c r="E733" s="5" t="s">
        <v>1032</v>
      </c>
      <c r="F733" s="5" t="s">
        <v>1007</v>
      </c>
      <c r="G733" s="6" t="str">
        <f aca="false">INDEX(Catalogo_Causas!$B$2:$B$10,MATCH(F733,Catalogo_Causas!$A$2:$A$10,0))</f>
        <v>Cambio de formato excedido</v>
      </c>
      <c r="H733" s="6" t="str">
        <f aca="false">INDEX(Catalogo_Causas!$C$2:$C$10,MATCH(F733,Catalogo_Causas!$A$2:$A$10,0))</f>
        <v>Operacional</v>
      </c>
      <c r="I733" s="5" t="n">
        <v>33</v>
      </c>
      <c r="J733" s="29" t="n">
        <f aca="false">I733/60</f>
        <v>0.55</v>
      </c>
    </row>
    <row r="734" customFormat="false" ht="15" hidden="false" customHeight="false" outlineLevel="0" collapsed="false">
      <c r="A734" s="5" t="s">
        <v>1776</v>
      </c>
      <c r="B734" s="9" t="n">
        <v>45782</v>
      </c>
      <c r="C734" s="9" t="n">
        <v>45786</v>
      </c>
      <c r="D734" s="5" t="s">
        <v>144</v>
      </c>
      <c r="E734" s="5" t="s">
        <v>1030</v>
      </c>
      <c r="F734" s="5" t="s">
        <v>1005</v>
      </c>
      <c r="G734" s="6" t="str">
        <f aca="false">INDEX(Catalogo_Causas!$B$2:$B$10,MATCH(F734,Catalogo_Causas!$A$2:$A$10,0))</f>
        <v>Falla eléctrica / control</v>
      </c>
      <c r="H734" s="6" t="str">
        <f aca="false">INDEX(Catalogo_Causas!$C$2:$C$10,MATCH(F734,Catalogo_Causas!$A$2:$A$10,0))</f>
        <v>Operacional</v>
      </c>
      <c r="I734" s="5" t="n">
        <v>69</v>
      </c>
      <c r="J734" s="29" t="n">
        <f aca="false">I734/60</f>
        <v>1.15</v>
      </c>
    </row>
    <row r="735" customFormat="false" ht="15" hidden="false" customHeight="false" outlineLevel="0" collapsed="false">
      <c r="A735" s="5" t="s">
        <v>1777</v>
      </c>
      <c r="B735" s="9" t="n">
        <v>45782</v>
      </c>
      <c r="C735" s="9" t="n">
        <v>45787</v>
      </c>
      <c r="D735" s="5" t="s">
        <v>132</v>
      </c>
      <c r="E735" s="5" t="s">
        <v>1032</v>
      </c>
      <c r="F735" s="5" t="s">
        <v>1005</v>
      </c>
      <c r="G735" s="6" t="str">
        <f aca="false">INDEX(Catalogo_Causas!$B$2:$B$10,MATCH(F735,Catalogo_Causas!$A$2:$A$10,0))</f>
        <v>Falla eléctrica / control</v>
      </c>
      <c r="H735" s="6" t="str">
        <f aca="false">INDEX(Catalogo_Causas!$C$2:$C$10,MATCH(F735,Catalogo_Causas!$A$2:$A$10,0))</f>
        <v>Operacional</v>
      </c>
      <c r="I735" s="5" t="n">
        <v>122</v>
      </c>
      <c r="J735" s="29" t="n">
        <f aca="false">I735/60</f>
        <v>2.03333333333333</v>
      </c>
    </row>
    <row r="736" customFormat="false" ht="15" hidden="false" customHeight="false" outlineLevel="0" collapsed="false">
      <c r="A736" s="5" t="s">
        <v>1778</v>
      </c>
      <c r="B736" s="9" t="n">
        <v>45782</v>
      </c>
      <c r="C736" s="9" t="n">
        <v>45787</v>
      </c>
      <c r="D736" s="5" t="s">
        <v>142</v>
      </c>
      <c r="E736" s="5" t="s">
        <v>1051</v>
      </c>
      <c r="F736" s="5" t="s">
        <v>1018</v>
      </c>
      <c r="G736" s="6" t="str">
        <f aca="false">INDEX(Catalogo_Causas!$B$2:$B$10,MATCH(F736,Catalogo_Causas!$A$2:$A$10,0))</f>
        <v>Falta de personal</v>
      </c>
      <c r="H736" s="6" t="str">
        <f aca="false">INDEX(Catalogo_Causas!$C$2:$C$10,MATCH(F736,Catalogo_Causas!$A$2:$A$10,0))</f>
        <v>Personal</v>
      </c>
      <c r="I736" s="5" t="n">
        <v>57</v>
      </c>
      <c r="J736" s="29" t="n">
        <f aca="false">I736/60</f>
        <v>0.95</v>
      </c>
    </row>
    <row r="737" customFormat="false" ht="15" hidden="false" customHeight="false" outlineLevel="0" collapsed="false">
      <c r="A737" s="5" t="s">
        <v>1779</v>
      </c>
      <c r="B737" s="9" t="n">
        <v>45782</v>
      </c>
      <c r="C737" s="9" t="n">
        <v>45787</v>
      </c>
      <c r="D737" s="5" t="s">
        <v>144</v>
      </c>
      <c r="E737" s="5" t="s">
        <v>1043</v>
      </c>
      <c r="F737" s="5" t="s">
        <v>1002</v>
      </c>
      <c r="G737" s="6" t="str">
        <f aca="false">INDEX(Catalogo_Causas!$B$2:$B$10,MATCH(F737,Catalogo_Causas!$A$2:$A$10,0))</f>
        <v>Falla mecánica</v>
      </c>
      <c r="H737" s="6" t="str">
        <f aca="false">INDEX(Catalogo_Causas!$C$2:$C$10,MATCH(F737,Catalogo_Causas!$A$2:$A$10,0))</f>
        <v>Operacional</v>
      </c>
      <c r="I737" s="5" t="n">
        <v>86</v>
      </c>
      <c r="J737" s="29" t="n">
        <f aca="false">I737/60</f>
        <v>1.43333333333333</v>
      </c>
    </row>
    <row r="738" customFormat="false" ht="15" hidden="false" customHeight="false" outlineLevel="0" collapsed="false">
      <c r="A738" s="5" t="s">
        <v>1780</v>
      </c>
      <c r="B738" s="9" t="n">
        <v>45789</v>
      </c>
      <c r="C738" s="9" t="n">
        <v>45789</v>
      </c>
      <c r="D738" s="5" t="s">
        <v>130</v>
      </c>
      <c r="E738" s="5" t="s">
        <v>1030</v>
      </c>
      <c r="F738" s="5" t="s">
        <v>1002</v>
      </c>
      <c r="G738" s="6" t="str">
        <f aca="false">INDEX(Catalogo_Causas!$B$2:$B$10,MATCH(F738,Catalogo_Causas!$A$2:$A$10,0))</f>
        <v>Falla mecánica</v>
      </c>
      <c r="H738" s="6" t="str">
        <f aca="false">INDEX(Catalogo_Causas!$C$2:$C$10,MATCH(F738,Catalogo_Causas!$A$2:$A$10,0))</f>
        <v>Operacional</v>
      </c>
      <c r="I738" s="5" t="n">
        <v>75</v>
      </c>
      <c r="J738" s="29" t="n">
        <f aca="false">I738/60</f>
        <v>1.25</v>
      </c>
    </row>
    <row r="739" customFormat="false" ht="15" hidden="false" customHeight="false" outlineLevel="0" collapsed="false">
      <c r="A739" s="5" t="s">
        <v>1781</v>
      </c>
      <c r="B739" s="9" t="n">
        <v>45789</v>
      </c>
      <c r="C739" s="9" t="n">
        <v>45789</v>
      </c>
      <c r="D739" s="5" t="s">
        <v>130</v>
      </c>
      <c r="E739" s="5" t="s">
        <v>1078</v>
      </c>
      <c r="F739" s="5" t="s">
        <v>1009</v>
      </c>
      <c r="G739" s="6" t="str">
        <f aca="false">INDEX(Catalogo_Causas!$B$2:$B$10,MATCH(F739,Catalogo_Causas!$A$2:$A$10,0))</f>
        <v>Falta de material de empaque</v>
      </c>
      <c r="H739" s="6" t="str">
        <f aca="false">INDEX(Catalogo_Causas!$C$2:$C$10,MATCH(F739,Catalogo_Causas!$A$2:$A$10,0))</f>
        <v>Material / suministro</v>
      </c>
      <c r="I739" s="5" t="n">
        <v>62</v>
      </c>
      <c r="J739" s="29" t="n">
        <f aca="false">I739/60</f>
        <v>1.03333333333333</v>
      </c>
    </row>
    <row r="740" customFormat="false" ht="15" hidden="false" customHeight="false" outlineLevel="0" collapsed="false">
      <c r="A740" s="5" t="s">
        <v>1782</v>
      </c>
      <c r="B740" s="9" t="n">
        <v>45789</v>
      </c>
      <c r="C740" s="9" t="n">
        <v>45789</v>
      </c>
      <c r="D740" s="5" t="s">
        <v>132</v>
      </c>
      <c r="E740" s="5" t="s">
        <v>1032</v>
      </c>
      <c r="F740" s="5" t="s">
        <v>1005</v>
      </c>
      <c r="G740" s="6" t="str">
        <f aca="false">INDEX(Catalogo_Causas!$B$2:$B$10,MATCH(F740,Catalogo_Causas!$A$2:$A$10,0))</f>
        <v>Falla eléctrica / control</v>
      </c>
      <c r="H740" s="6" t="str">
        <f aca="false">INDEX(Catalogo_Causas!$C$2:$C$10,MATCH(F740,Catalogo_Causas!$A$2:$A$10,0))</f>
        <v>Operacional</v>
      </c>
      <c r="I740" s="5" t="n">
        <v>37</v>
      </c>
      <c r="J740" s="29" t="n">
        <f aca="false">I740/60</f>
        <v>0.616666666666667</v>
      </c>
    </row>
    <row r="741" customFormat="false" ht="15" hidden="false" customHeight="false" outlineLevel="0" collapsed="false">
      <c r="A741" s="5" t="s">
        <v>1783</v>
      </c>
      <c r="B741" s="9" t="n">
        <v>45789</v>
      </c>
      <c r="C741" s="9" t="n">
        <v>45789</v>
      </c>
      <c r="D741" s="5" t="s">
        <v>136</v>
      </c>
      <c r="E741" s="5" t="s">
        <v>1051</v>
      </c>
      <c r="F741" s="5" t="s">
        <v>1002</v>
      </c>
      <c r="G741" s="6" t="str">
        <f aca="false">INDEX(Catalogo_Causas!$B$2:$B$10,MATCH(F741,Catalogo_Causas!$A$2:$A$10,0))</f>
        <v>Falla mecánica</v>
      </c>
      <c r="H741" s="6" t="str">
        <f aca="false">INDEX(Catalogo_Causas!$C$2:$C$10,MATCH(F741,Catalogo_Causas!$A$2:$A$10,0))</f>
        <v>Operacional</v>
      </c>
      <c r="I741" s="5" t="n">
        <v>46</v>
      </c>
      <c r="J741" s="29" t="n">
        <f aca="false">I741/60</f>
        <v>0.766666666666667</v>
      </c>
    </row>
    <row r="742" customFormat="false" ht="15" hidden="false" customHeight="false" outlineLevel="0" collapsed="false">
      <c r="A742" s="5" t="s">
        <v>1784</v>
      </c>
      <c r="B742" s="9" t="n">
        <v>45789</v>
      </c>
      <c r="C742" s="9" t="n">
        <v>45789</v>
      </c>
      <c r="D742" s="5" t="s">
        <v>136</v>
      </c>
      <c r="E742" s="5" t="s">
        <v>1032</v>
      </c>
      <c r="F742" s="5" t="s">
        <v>1007</v>
      </c>
      <c r="G742" s="6" t="str">
        <f aca="false">INDEX(Catalogo_Causas!$B$2:$B$10,MATCH(F742,Catalogo_Causas!$A$2:$A$10,0))</f>
        <v>Cambio de formato excedido</v>
      </c>
      <c r="H742" s="6" t="str">
        <f aca="false">INDEX(Catalogo_Causas!$C$2:$C$10,MATCH(F742,Catalogo_Causas!$A$2:$A$10,0))</f>
        <v>Operacional</v>
      </c>
      <c r="I742" s="5" t="n">
        <v>71</v>
      </c>
      <c r="J742" s="29" t="n">
        <f aca="false">I742/60</f>
        <v>1.18333333333333</v>
      </c>
    </row>
    <row r="743" customFormat="false" ht="15" hidden="false" customHeight="false" outlineLevel="0" collapsed="false">
      <c r="A743" s="5" t="s">
        <v>1785</v>
      </c>
      <c r="B743" s="9" t="n">
        <v>45789</v>
      </c>
      <c r="C743" s="9" t="n">
        <v>45789</v>
      </c>
      <c r="D743" s="5" t="s">
        <v>138</v>
      </c>
      <c r="E743" s="5" t="s">
        <v>1034</v>
      </c>
      <c r="F743" s="5" t="s">
        <v>1002</v>
      </c>
      <c r="G743" s="6" t="str">
        <f aca="false">INDEX(Catalogo_Causas!$B$2:$B$10,MATCH(F743,Catalogo_Causas!$A$2:$A$10,0))</f>
        <v>Falla mecánica</v>
      </c>
      <c r="H743" s="6" t="str">
        <f aca="false">INDEX(Catalogo_Causas!$C$2:$C$10,MATCH(F743,Catalogo_Causas!$A$2:$A$10,0))</f>
        <v>Operacional</v>
      </c>
      <c r="I743" s="5" t="n">
        <v>86</v>
      </c>
      <c r="J743" s="29" t="n">
        <f aca="false">I743/60</f>
        <v>1.43333333333333</v>
      </c>
    </row>
    <row r="744" customFormat="false" ht="15" hidden="false" customHeight="false" outlineLevel="0" collapsed="false">
      <c r="A744" s="5" t="s">
        <v>1786</v>
      </c>
      <c r="B744" s="9" t="n">
        <v>45789</v>
      </c>
      <c r="C744" s="9" t="n">
        <v>45789</v>
      </c>
      <c r="D744" s="5" t="s">
        <v>142</v>
      </c>
      <c r="E744" s="5" t="s">
        <v>1030</v>
      </c>
      <c r="F744" s="5" t="s">
        <v>1018</v>
      </c>
      <c r="G744" s="6" t="str">
        <f aca="false">INDEX(Catalogo_Causas!$B$2:$B$10,MATCH(F744,Catalogo_Causas!$A$2:$A$10,0))</f>
        <v>Falta de personal</v>
      </c>
      <c r="H744" s="6" t="str">
        <f aca="false">INDEX(Catalogo_Causas!$C$2:$C$10,MATCH(F744,Catalogo_Causas!$A$2:$A$10,0))</f>
        <v>Personal</v>
      </c>
      <c r="I744" s="5" t="n">
        <v>217</v>
      </c>
      <c r="J744" s="29" t="n">
        <f aca="false">I744/60</f>
        <v>3.61666666666667</v>
      </c>
    </row>
    <row r="745" customFormat="false" ht="15" hidden="false" customHeight="false" outlineLevel="0" collapsed="false">
      <c r="A745" s="5" t="s">
        <v>1787</v>
      </c>
      <c r="B745" s="9" t="n">
        <v>45789</v>
      </c>
      <c r="C745" s="9" t="n">
        <v>45790</v>
      </c>
      <c r="D745" s="5" t="s">
        <v>134</v>
      </c>
      <c r="E745" s="5" t="s">
        <v>1054</v>
      </c>
      <c r="F745" s="5" t="s">
        <v>1002</v>
      </c>
      <c r="G745" s="6" t="str">
        <f aca="false">INDEX(Catalogo_Causas!$B$2:$B$10,MATCH(F745,Catalogo_Causas!$A$2:$A$10,0))</f>
        <v>Falla mecánica</v>
      </c>
      <c r="H745" s="6" t="str">
        <f aca="false">INDEX(Catalogo_Causas!$C$2:$C$10,MATCH(F745,Catalogo_Causas!$A$2:$A$10,0))</f>
        <v>Operacional</v>
      </c>
      <c r="I745" s="5" t="n">
        <v>13</v>
      </c>
      <c r="J745" s="29" t="n">
        <f aca="false">I745/60</f>
        <v>0.216666666666667</v>
      </c>
    </row>
    <row r="746" customFormat="false" ht="15" hidden="false" customHeight="false" outlineLevel="0" collapsed="false">
      <c r="A746" s="5" t="s">
        <v>1788</v>
      </c>
      <c r="B746" s="9" t="n">
        <v>45789</v>
      </c>
      <c r="C746" s="9" t="n">
        <v>45790</v>
      </c>
      <c r="D746" s="5" t="s">
        <v>142</v>
      </c>
      <c r="E746" s="5" t="s">
        <v>1051</v>
      </c>
      <c r="F746" s="5" t="s">
        <v>1002</v>
      </c>
      <c r="G746" s="6" t="str">
        <f aca="false">INDEX(Catalogo_Causas!$B$2:$B$10,MATCH(F746,Catalogo_Causas!$A$2:$A$10,0))</f>
        <v>Falla mecánica</v>
      </c>
      <c r="H746" s="6" t="str">
        <f aca="false">INDEX(Catalogo_Causas!$C$2:$C$10,MATCH(F746,Catalogo_Causas!$A$2:$A$10,0))</f>
        <v>Operacional</v>
      </c>
      <c r="I746" s="5" t="n">
        <v>88</v>
      </c>
      <c r="J746" s="29" t="n">
        <f aca="false">I746/60</f>
        <v>1.46666666666667</v>
      </c>
    </row>
    <row r="747" customFormat="false" ht="15" hidden="false" customHeight="false" outlineLevel="0" collapsed="false">
      <c r="A747" s="5" t="s">
        <v>1789</v>
      </c>
      <c r="B747" s="9" t="n">
        <v>45789</v>
      </c>
      <c r="C747" s="9" t="n">
        <v>45790</v>
      </c>
      <c r="D747" s="5" t="s">
        <v>142</v>
      </c>
      <c r="E747" s="5" t="s">
        <v>1030</v>
      </c>
      <c r="F747" s="5" t="s">
        <v>1002</v>
      </c>
      <c r="G747" s="6" t="str">
        <f aca="false">INDEX(Catalogo_Causas!$B$2:$B$10,MATCH(F747,Catalogo_Causas!$A$2:$A$10,0))</f>
        <v>Falla mecánica</v>
      </c>
      <c r="H747" s="6" t="str">
        <f aca="false">INDEX(Catalogo_Causas!$C$2:$C$10,MATCH(F747,Catalogo_Causas!$A$2:$A$10,0))</f>
        <v>Operacional</v>
      </c>
      <c r="I747" s="5" t="n">
        <v>19</v>
      </c>
      <c r="J747" s="29" t="n">
        <f aca="false">I747/60</f>
        <v>0.316666666666667</v>
      </c>
    </row>
    <row r="748" customFormat="false" ht="15" hidden="false" customHeight="false" outlineLevel="0" collapsed="false">
      <c r="A748" s="5" t="s">
        <v>1790</v>
      </c>
      <c r="B748" s="9" t="n">
        <v>45789</v>
      </c>
      <c r="C748" s="9" t="n">
        <v>45790</v>
      </c>
      <c r="D748" s="5" t="s">
        <v>144</v>
      </c>
      <c r="E748" s="5" t="s">
        <v>1032</v>
      </c>
      <c r="F748" s="5" t="s">
        <v>1009</v>
      </c>
      <c r="G748" s="6" t="str">
        <f aca="false">INDEX(Catalogo_Causas!$B$2:$B$10,MATCH(F748,Catalogo_Causas!$A$2:$A$10,0))</f>
        <v>Falta de material de empaque</v>
      </c>
      <c r="H748" s="6" t="str">
        <f aca="false">INDEX(Catalogo_Causas!$C$2:$C$10,MATCH(F748,Catalogo_Causas!$A$2:$A$10,0))</f>
        <v>Material / suministro</v>
      </c>
      <c r="I748" s="5" t="n">
        <v>112</v>
      </c>
      <c r="J748" s="29" t="n">
        <f aca="false">I748/60</f>
        <v>1.86666666666667</v>
      </c>
    </row>
    <row r="749" customFormat="false" ht="15" hidden="false" customHeight="false" outlineLevel="0" collapsed="false">
      <c r="A749" s="5" t="s">
        <v>1791</v>
      </c>
      <c r="B749" s="9" t="n">
        <v>45789</v>
      </c>
      <c r="C749" s="9" t="n">
        <v>45791</v>
      </c>
      <c r="D749" s="5" t="s">
        <v>132</v>
      </c>
      <c r="E749" s="5" t="s">
        <v>1032</v>
      </c>
      <c r="F749" s="5" t="s">
        <v>1005</v>
      </c>
      <c r="G749" s="6" t="str">
        <f aca="false">INDEX(Catalogo_Causas!$B$2:$B$10,MATCH(F749,Catalogo_Causas!$A$2:$A$10,0))</f>
        <v>Falla eléctrica / control</v>
      </c>
      <c r="H749" s="6" t="str">
        <f aca="false">INDEX(Catalogo_Causas!$C$2:$C$10,MATCH(F749,Catalogo_Causas!$A$2:$A$10,0))</f>
        <v>Operacional</v>
      </c>
      <c r="I749" s="5" t="n">
        <v>53</v>
      </c>
      <c r="J749" s="29" t="n">
        <f aca="false">I749/60</f>
        <v>0.883333333333333</v>
      </c>
    </row>
    <row r="750" customFormat="false" ht="15" hidden="false" customHeight="false" outlineLevel="0" collapsed="false">
      <c r="A750" s="5" t="s">
        <v>1792</v>
      </c>
      <c r="B750" s="9" t="n">
        <v>45789</v>
      </c>
      <c r="C750" s="9" t="n">
        <v>45791</v>
      </c>
      <c r="D750" s="5" t="s">
        <v>134</v>
      </c>
      <c r="E750" s="5" t="s">
        <v>1030</v>
      </c>
      <c r="F750" s="5" t="s">
        <v>1016</v>
      </c>
      <c r="G750" s="6" t="str">
        <f aca="false">INDEX(Catalogo_Causas!$B$2:$B$10,MATCH(F750,Catalogo_Causas!$A$2:$A$10,0))</f>
        <v>Limpieza no programada (CIP)</v>
      </c>
      <c r="H750" s="6" t="str">
        <f aca="false">INDEX(Catalogo_Causas!$C$2:$C$10,MATCH(F750,Catalogo_Causas!$A$2:$A$10,0))</f>
        <v>Calidad</v>
      </c>
      <c r="I750" s="5" t="n">
        <v>60</v>
      </c>
      <c r="J750" s="29" t="n">
        <f aca="false">I750/60</f>
        <v>1</v>
      </c>
    </row>
    <row r="751" customFormat="false" ht="15" hidden="false" customHeight="false" outlineLevel="0" collapsed="false">
      <c r="A751" s="5" t="s">
        <v>1793</v>
      </c>
      <c r="B751" s="9" t="n">
        <v>45789</v>
      </c>
      <c r="C751" s="9" t="n">
        <v>45791</v>
      </c>
      <c r="D751" s="5" t="s">
        <v>136</v>
      </c>
      <c r="E751" s="5" t="s">
        <v>1032</v>
      </c>
      <c r="F751" s="5" t="s">
        <v>1007</v>
      </c>
      <c r="G751" s="6" t="str">
        <f aca="false">INDEX(Catalogo_Causas!$B$2:$B$10,MATCH(F751,Catalogo_Causas!$A$2:$A$10,0))</f>
        <v>Cambio de formato excedido</v>
      </c>
      <c r="H751" s="6" t="str">
        <f aca="false">INDEX(Catalogo_Causas!$C$2:$C$10,MATCH(F751,Catalogo_Causas!$A$2:$A$10,0))</f>
        <v>Operacional</v>
      </c>
      <c r="I751" s="5" t="n">
        <v>27</v>
      </c>
      <c r="J751" s="29" t="n">
        <f aca="false">I751/60</f>
        <v>0.45</v>
      </c>
    </row>
    <row r="752" customFormat="false" ht="15" hidden="false" customHeight="false" outlineLevel="0" collapsed="false">
      <c r="A752" s="5" t="s">
        <v>1794</v>
      </c>
      <c r="B752" s="9" t="n">
        <v>45789</v>
      </c>
      <c r="C752" s="9" t="n">
        <v>45791</v>
      </c>
      <c r="D752" s="5" t="s">
        <v>136</v>
      </c>
      <c r="E752" s="5" t="s">
        <v>1101</v>
      </c>
      <c r="F752" s="5" t="s">
        <v>1014</v>
      </c>
      <c r="G752" s="6" t="str">
        <f aca="false">INDEX(Catalogo_Causas!$B$2:$B$10,MATCH(F752,Catalogo_Causas!$A$2:$A$10,0))</f>
        <v>Retención de calidad</v>
      </c>
      <c r="H752" s="6" t="str">
        <f aca="false">INDEX(Catalogo_Causas!$C$2:$C$10,MATCH(F752,Catalogo_Causas!$A$2:$A$10,0))</f>
        <v>Calidad</v>
      </c>
      <c r="I752" s="5" t="n">
        <v>123</v>
      </c>
      <c r="J752" s="29" t="n">
        <f aca="false">I752/60</f>
        <v>2.05</v>
      </c>
    </row>
    <row r="753" customFormat="false" ht="15" hidden="false" customHeight="false" outlineLevel="0" collapsed="false">
      <c r="A753" s="5" t="s">
        <v>1795</v>
      </c>
      <c r="B753" s="9" t="n">
        <v>45789</v>
      </c>
      <c r="C753" s="9" t="n">
        <v>45791</v>
      </c>
      <c r="D753" s="5" t="s">
        <v>138</v>
      </c>
      <c r="E753" s="5" t="s">
        <v>1034</v>
      </c>
      <c r="F753" s="5" t="s">
        <v>1014</v>
      </c>
      <c r="G753" s="6" t="str">
        <f aca="false">INDEX(Catalogo_Causas!$B$2:$B$10,MATCH(F753,Catalogo_Causas!$A$2:$A$10,0))</f>
        <v>Retención de calidad</v>
      </c>
      <c r="H753" s="6" t="str">
        <f aca="false">INDEX(Catalogo_Causas!$C$2:$C$10,MATCH(F753,Catalogo_Causas!$A$2:$A$10,0))</f>
        <v>Calidad</v>
      </c>
      <c r="I753" s="5" t="n">
        <v>68</v>
      </c>
      <c r="J753" s="29" t="n">
        <f aca="false">I753/60</f>
        <v>1.13333333333333</v>
      </c>
    </row>
    <row r="754" customFormat="false" ht="15" hidden="false" customHeight="false" outlineLevel="0" collapsed="false">
      <c r="A754" s="5" t="s">
        <v>1796</v>
      </c>
      <c r="B754" s="9" t="n">
        <v>45789</v>
      </c>
      <c r="C754" s="9" t="n">
        <v>45791</v>
      </c>
      <c r="D754" s="5" t="s">
        <v>142</v>
      </c>
      <c r="E754" s="5" t="s">
        <v>1030</v>
      </c>
      <c r="F754" s="5" t="s">
        <v>1009</v>
      </c>
      <c r="G754" s="6" t="str">
        <f aca="false">INDEX(Catalogo_Causas!$B$2:$B$10,MATCH(F754,Catalogo_Causas!$A$2:$A$10,0))</f>
        <v>Falta de material de empaque</v>
      </c>
      <c r="H754" s="6" t="str">
        <f aca="false">INDEX(Catalogo_Causas!$C$2:$C$10,MATCH(F754,Catalogo_Causas!$A$2:$A$10,0))</f>
        <v>Material / suministro</v>
      </c>
      <c r="I754" s="5" t="n">
        <v>13</v>
      </c>
      <c r="J754" s="29" t="n">
        <f aca="false">I754/60</f>
        <v>0.216666666666667</v>
      </c>
    </row>
    <row r="755" customFormat="false" ht="15" hidden="false" customHeight="false" outlineLevel="0" collapsed="false">
      <c r="A755" s="5" t="s">
        <v>1797</v>
      </c>
      <c r="B755" s="9" t="n">
        <v>45789</v>
      </c>
      <c r="C755" s="9" t="n">
        <v>45792</v>
      </c>
      <c r="D755" s="5" t="s">
        <v>140</v>
      </c>
      <c r="E755" s="5" t="s">
        <v>1036</v>
      </c>
      <c r="F755" s="5" t="s">
        <v>1007</v>
      </c>
      <c r="G755" s="6" t="str">
        <f aca="false">INDEX(Catalogo_Causas!$B$2:$B$10,MATCH(F755,Catalogo_Causas!$A$2:$A$10,0))</f>
        <v>Cambio de formato excedido</v>
      </c>
      <c r="H755" s="6" t="str">
        <f aca="false">INDEX(Catalogo_Causas!$C$2:$C$10,MATCH(F755,Catalogo_Causas!$A$2:$A$10,0))</f>
        <v>Operacional</v>
      </c>
      <c r="I755" s="5" t="n">
        <v>26</v>
      </c>
      <c r="J755" s="29" t="n">
        <f aca="false">I755/60</f>
        <v>0.433333333333333</v>
      </c>
    </row>
    <row r="756" customFormat="false" ht="15" hidden="false" customHeight="false" outlineLevel="0" collapsed="false">
      <c r="A756" s="5" t="s">
        <v>1798</v>
      </c>
      <c r="B756" s="9" t="n">
        <v>45789</v>
      </c>
      <c r="C756" s="9" t="n">
        <v>45792</v>
      </c>
      <c r="D756" s="5" t="s">
        <v>142</v>
      </c>
      <c r="E756" s="5" t="s">
        <v>1051</v>
      </c>
      <c r="F756" s="5" t="s">
        <v>1012</v>
      </c>
      <c r="G756" s="6" t="str">
        <f aca="false">INDEX(Catalogo_Causas!$B$2:$B$10,MATCH(F756,Catalogo_Causas!$A$2:$A$10,0))</f>
        <v>Falta de materia prima</v>
      </c>
      <c r="H756" s="6" t="str">
        <f aca="false">INDEX(Catalogo_Causas!$C$2:$C$10,MATCH(F756,Catalogo_Causas!$A$2:$A$10,0))</f>
        <v>Material / suministro</v>
      </c>
      <c r="I756" s="5" t="n">
        <v>66</v>
      </c>
      <c r="J756" s="29" t="n">
        <f aca="false">I756/60</f>
        <v>1.1</v>
      </c>
    </row>
    <row r="757" customFormat="false" ht="15" hidden="false" customHeight="false" outlineLevel="0" collapsed="false">
      <c r="A757" s="5" t="s">
        <v>1799</v>
      </c>
      <c r="B757" s="9" t="n">
        <v>45789</v>
      </c>
      <c r="C757" s="9" t="n">
        <v>45792</v>
      </c>
      <c r="D757" s="5" t="s">
        <v>142</v>
      </c>
      <c r="E757" s="5" t="s">
        <v>1030</v>
      </c>
      <c r="F757" s="5" t="s">
        <v>1005</v>
      </c>
      <c r="G757" s="6" t="str">
        <f aca="false">INDEX(Catalogo_Causas!$B$2:$B$10,MATCH(F757,Catalogo_Causas!$A$2:$A$10,0))</f>
        <v>Falla eléctrica / control</v>
      </c>
      <c r="H757" s="6" t="str">
        <f aca="false">INDEX(Catalogo_Causas!$C$2:$C$10,MATCH(F757,Catalogo_Causas!$A$2:$A$10,0))</f>
        <v>Operacional</v>
      </c>
      <c r="I757" s="5" t="n">
        <v>31</v>
      </c>
      <c r="J757" s="29" t="n">
        <f aca="false">I757/60</f>
        <v>0.516666666666667</v>
      </c>
    </row>
    <row r="758" customFormat="false" ht="15" hidden="false" customHeight="false" outlineLevel="0" collapsed="false">
      <c r="A758" s="5" t="s">
        <v>1800</v>
      </c>
      <c r="B758" s="9" t="n">
        <v>45789</v>
      </c>
      <c r="C758" s="9" t="n">
        <v>45792</v>
      </c>
      <c r="D758" s="5" t="s">
        <v>144</v>
      </c>
      <c r="E758" s="5" t="s">
        <v>1030</v>
      </c>
      <c r="F758" s="5" t="s">
        <v>1005</v>
      </c>
      <c r="G758" s="6" t="str">
        <f aca="false">INDEX(Catalogo_Causas!$B$2:$B$10,MATCH(F758,Catalogo_Causas!$A$2:$A$10,0))</f>
        <v>Falla eléctrica / control</v>
      </c>
      <c r="H758" s="6" t="str">
        <f aca="false">INDEX(Catalogo_Causas!$C$2:$C$10,MATCH(F758,Catalogo_Causas!$A$2:$A$10,0))</f>
        <v>Operacional</v>
      </c>
      <c r="I758" s="5" t="n">
        <v>74</v>
      </c>
      <c r="J758" s="29" t="n">
        <f aca="false">I758/60</f>
        <v>1.23333333333333</v>
      </c>
    </row>
    <row r="759" customFormat="false" ht="15" hidden="false" customHeight="false" outlineLevel="0" collapsed="false">
      <c r="A759" s="5" t="s">
        <v>1801</v>
      </c>
      <c r="B759" s="9" t="n">
        <v>45789</v>
      </c>
      <c r="C759" s="9" t="n">
        <v>45793</v>
      </c>
      <c r="D759" s="5" t="s">
        <v>130</v>
      </c>
      <c r="E759" s="5" t="s">
        <v>1078</v>
      </c>
      <c r="F759" s="5" t="s">
        <v>1016</v>
      </c>
      <c r="G759" s="6" t="str">
        <f aca="false">INDEX(Catalogo_Causas!$B$2:$B$10,MATCH(F759,Catalogo_Causas!$A$2:$A$10,0))</f>
        <v>Limpieza no programada (CIP)</v>
      </c>
      <c r="H759" s="6" t="str">
        <f aca="false">INDEX(Catalogo_Causas!$C$2:$C$10,MATCH(F759,Catalogo_Causas!$A$2:$A$10,0))</f>
        <v>Calidad</v>
      </c>
      <c r="I759" s="5" t="n">
        <v>66</v>
      </c>
      <c r="J759" s="29" t="n">
        <f aca="false">I759/60</f>
        <v>1.1</v>
      </c>
    </row>
    <row r="760" customFormat="false" ht="15" hidden="false" customHeight="false" outlineLevel="0" collapsed="false">
      <c r="A760" s="5" t="s">
        <v>1802</v>
      </c>
      <c r="B760" s="9" t="n">
        <v>45789</v>
      </c>
      <c r="C760" s="9" t="n">
        <v>45793</v>
      </c>
      <c r="D760" s="5" t="s">
        <v>132</v>
      </c>
      <c r="E760" s="5" t="s">
        <v>1084</v>
      </c>
      <c r="F760" s="5" t="s">
        <v>1002</v>
      </c>
      <c r="G760" s="6" t="str">
        <f aca="false">INDEX(Catalogo_Causas!$B$2:$B$10,MATCH(F760,Catalogo_Causas!$A$2:$A$10,0))</f>
        <v>Falla mecánica</v>
      </c>
      <c r="H760" s="6" t="str">
        <f aca="false">INDEX(Catalogo_Causas!$C$2:$C$10,MATCH(F760,Catalogo_Causas!$A$2:$A$10,0))</f>
        <v>Operacional</v>
      </c>
      <c r="I760" s="5" t="n">
        <v>71</v>
      </c>
      <c r="J760" s="29" t="n">
        <f aca="false">I760/60</f>
        <v>1.18333333333333</v>
      </c>
    </row>
    <row r="761" customFormat="false" ht="15" hidden="false" customHeight="false" outlineLevel="0" collapsed="false">
      <c r="A761" s="5" t="s">
        <v>1803</v>
      </c>
      <c r="B761" s="9" t="n">
        <v>45789</v>
      </c>
      <c r="C761" s="9" t="n">
        <v>45793</v>
      </c>
      <c r="D761" s="5" t="s">
        <v>132</v>
      </c>
      <c r="E761" s="5" t="s">
        <v>1084</v>
      </c>
      <c r="F761" s="5" t="s">
        <v>1005</v>
      </c>
      <c r="G761" s="6" t="str">
        <f aca="false">INDEX(Catalogo_Causas!$B$2:$B$10,MATCH(F761,Catalogo_Causas!$A$2:$A$10,0))</f>
        <v>Falla eléctrica / control</v>
      </c>
      <c r="H761" s="6" t="str">
        <f aca="false">INDEX(Catalogo_Causas!$C$2:$C$10,MATCH(F761,Catalogo_Causas!$A$2:$A$10,0))</f>
        <v>Operacional</v>
      </c>
      <c r="I761" s="5" t="n">
        <v>20</v>
      </c>
      <c r="J761" s="29" t="n">
        <f aca="false">I761/60</f>
        <v>0.333333333333333</v>
      </c>
    </row>
    <row r="762" customFormat="false" ht="15" hidden="false" customHeight="false" outlineLevel="0" collapsed="false">
      <c r="A762" s="5" t="s">
        <v>1804</v>
      </c>
      <c r="B762" s="9" t="n">
        <v>45789</v>
      </c>
      <c r="C762" s="9" t="n">
        <v>45793</v>
      </c>
      <c r="D762" s="5" t="s">
        <v>142</v>
      </c>
      <c r="E762" s="5" t="s">
        <v>1030</v>
      </c>
      <c r="F762" s="5" t="s">
        <v>1014</v>
      </c>
      <c r="G762" s="6" t="str">
        <f aca="false">INDEX(Catalogo_Causas!$B$2:$B$10,MATCH(F762,Catalogo_Causas!$A$2:$A$10,0))</f>
        <v>Retención de calidad</v>
      </c>
      <c r="H762" s="6" t="str">
        <f aca="false">INDEX(Catalogo_Causas!$C$2:$C$10,MATCH(F762,Catalogo_Causas!$A$2:$A$10,0))</f>
        <v>Calidad</v>
      </c>
      <c r="I762" s="5" t="n">
        <v>105</v>
      </c>
      <c r="J762" s="29" t="n">
        <f aca="false">I762/60</f>
        <v>1.75</v>
      </c>
    </row>
    <row r="763" customFormat="false" ht="15" hidden="false" customHeight="false" outlineLevel="0" collapsed="false">
      <c r="A763" s="5" t="s">
        <v>1805</v>
      </c>
      <c r="B763" s="9" t="n">
        <v>45789</v>
      </c>
      <c r="C763" s="9" t="n">
        <v>45794</v>
      </c>
      <c r="D763" s="5" t="s">
        <v>144</v>
      </c>
      <c r="E763" s="5" t="s">
        <v>1043</v>
      </c>
      <c r="F763" s="5" t="s">
        <v>1007</v>
      </c>
      <c r="G763" s="6" t="str">
        <f aca="false">INDEX(Catalogo_Causas!$B$2:$B$10,MATCH(F763,Catalogo_Causas!$A$2:$A$10,0))</f>
        <v>Cambio de formato excedido</v>
      </c>
      <c r="H763" s="6" t="str">
        <f aca="false">INDEX(Catalogo_Causas!$C$2:$C$10,MATCH(F763,Catalogo_Causas!$A$2:$A$10,0))</f>
        <v>Operacional</v>
      </c>
      <c r="I763" s="5" t="n">
        <v>109</v>
      </c>
      <c r="J763" s="29" t="n">
        <f aca="false">I763/60</f>
        <v>1.81666666666667</v>
      </c>
    </row>
    <row r="764" customFormat="false" ht="15" hidden="false" customHeight="false" outlineLevel="0" collapsed="false">
      <c r="A764" s="5" t="s">
        <v>1806</v>
      </c>
      <c r="B764" s="9" t="n">
        <v>45796</v>
      </c>
      <c r="C764" s="9" t="n">
        <v>45796</v>
      </c>
      <c r="D764" s="5" t="s">
        <v>134</v>
      </c>
      <c r="E764" s="5" t="s">
        <v>1030</v>
      </c>
      <c r="F764" s="5" t="s">
        <v>1002</v>
      </c>
      <c r="G764" s="6" t="str">
        <f aca="false">INDEX(Catalogo_Causas!$B$2:$B$10,MATCH(F764,Catalogo_Causas!$A$2:$A$10,0))</f>
        <v>Falla mecánica</v>
      </c>
      <c r="H764" s="6" t="str">
        <f aca="false">INDEX(Catalogo_Causas!$C$2:$C$10,MATCH(F764,Catalogo_Causas!$A$2:$A$10,0))</f>
        <v>Operacional</v>
      </c>
      <c r="I764" s="5" t="n">
        <v>98</v>
      </c>
      <c r="J764" s="29" t="n">
        <f aca="false">I764/60</f>
        <v>1.63333333333333</v>
      </c>
    </row>
    <row r="765" customFormat="false" ht="15" hidden="false" customHeight="false" outlineLevel="0" collapsed="false">
      <c r="A765" s="5" t="s">
        <v>1807</v>
      </c>
      <c r="B765" s="9" t="n">
        <v>45796</v>
      </c>
      <c r="C765" s="9" t="n">
        <v>45796</v>
      </c>
      <c r="D765" s="5" t="s">
        <v>138</v>
      </c>
      <c r="E765" s="5" t="s">
        <v>1056</v>
      </c>
      <c r="F765" s="5" t="s">
        <v>1016</v>
      </c>
      <c r="G765" s="6" t="str">
        <f aca="false">INDEX(Catalogo_Causas!$B$2:$B$10,MATCH(F765,Catalogo_Causas!$A$2:$A$10,0))</f>
        <v>Limpieza no programada (CIP)</v>
      </c>
      <c r="H765" s="6" t="str">
        <f aca="false">INDEX(Catalogo_Causas!$C$2:$C$10,MATCH(F765,Catalogo_Causas!$A$2:$A$10,0))</f>
        <v>Calidad</v>
      </c>
      <c r="I765" s="5" t="n">
        <v>24</v>
      </c>
      <c r="J765" s="29" t="n">
        <f aca="false">I765/60</f>
        <v>0.4</v>
      </c>
    </row>
    <row r="766" customFormat="false" ht="15" hidden="false" customHeight="false" outlineLevel="0" collapsed="false">
      <c r="A766" s="5" t="s">
        <v>1808</v>
      </c>
      <c r="B766" s="9" t="n">
        <v>45796</v>
      </c>
      <c r="C766" s="9" t="n">
        <v>45796</v>
      </c>
      <c r="D766" s="5" t="s">
        <v>144</v>
      </c>
      <c r="E766" s="5" t="s">
        <v>1043</v>
      </c>
      <c r="F766" s="5" t="s">
        <v>1009</v>
      </c>
      <c r="G766" s="6" t="str">
        <f aca="false">INDEX(Catalogo_Causas!$B$2:$B$10,MATCH(F766,Catalogo_Causas!$A$2:$A$10,0))</f>
        <v>Falta de material de empaque</v>
      </c>
      <c r="H766" s="6" t="str">
        <f aca="false">INDEX(Catalogo_Causas!$C$2:$C$10,MATCH(F766,Catalogo_Causas!$A$2:$A$10,0))</f>
        <v>Material / suministro</v>
      </c>
      <c r="I766" s="5" t="n">
        <v>122</v>
      </c>
      <c r="J766" s="29" t="n">
        <f aca="false">I766/60</f>
        <v>2.03333333333333</v>
      </c>
    </row>
    <row r="767" customFormat="false" ht="15" hidden="false" customHeight="false" outlineLevel="0" collapsed="false">
      <c r="A767" s="5" t="s">
        <v>1809</v>
      </c>
      <c r="B767" s="9" t="n">
        <v>45796</v>
      </c>
      <c r="C767" s="9" t="n">
        <v>45796</v>
      </c>
      <c r="D767" s="5" t="s">
        <v>144</v>
      </c>
      <c r="E767" s="5" t="s">
        <v>1043</v>
      </c>
      <c r="F767" s="5" t="s">
        <v>1018</v>
      </c>
      <c r="G767" s="6" t="str">
        <f aca="false">INDEX(Catalogo_Causas!$B$2:$B$10,MATCH(F767,Catalogo_Causas!$A$2:$A$10,0))</f>
        <v>Falta de personal</v>
      </c>
      <c r="H767" s="6" t="str">
        <f aca="false">INDEX(Catalogo_Causas!$C$2:$C$10,MATCH(F767,Catalogo_Causas!$A$2:$A$10,0))</f>
        <v>Personal</v>
      </c>
      <c r="I767" s="5" t="n">
        <v>26</v>
      </c>
      <c r="J767" s="29" t="n">
        <f aca="false">I767/60</f>
        <v>0.433333333333333</v>
      </c>
    </row>
    <row r="768" customFormat="false" ht="15" hidden="false" customHeight="false" outlineLevel="0" collapsed="false">
      <c r="A768" s="5" t="s">
        <v>1810</v>
      </c>
      <c r="B768" s="9" t="n">
        <v>45796</v>
      </c>
      <c r="C768" s="9" t="n">
        <v>45797</v>
      </c>
      <c r="D768" s="5" t="s">
        <v>130</v>
      </c>
      <c r="E768" s="5" t="s">
        <v>1045</v>
      </c>
      <c r="F768" s="5" t="s">
        <v>1012</v>
      </c>
      <c r="G768" s="6" t="str">
        <f aca="false">INDEX(Catalogo_Causas!$B$2:$B$10,MATCH(F768,Catalogo_Causas!$A$2:$A$10,0))</f>
        <v>Falta de materia prima</v>
      </c>
      <c r="H768" s="6" t="str">
        <f aca="false">INDEX(Catalogo_Causas!$C$2:$C$10,MATCH(F768,Catalogo_Causas!$A$2:$A$10,0))</f>
        <v>Material / suministro</v>
      </c>
      <c r="I768" s="5" t="n">
        <v>25</v>
      </c>
      <c r="J768" s="29" t="n">
        <f aca="false">I768/60</f>
        <v>0.416666666666667</v>
      </c>
    </row>
    <row r="769" customFormat="false" ht="15" hidden="false" customHeight="false" outlineLevel="0" collapsed="false">
      <c r="A769" s="5" t="s">
        <v>1811</v>
      </c>
      <c r="B769" s="9" t="n">
        <v>45796</v>
      </c>
      <c r="C769" s="9" t="n">
        <v>45797</v>
      </c>
      <c r="D769" s="5" t="s">
        <v>132</v>
      </c>
      <c r="E769" s="5" t="s">
        <v>1073</v>
      </c>
      <c r="F769" s="5" t="s">
        <v>1012</v>
      </c>
      <c r="G769" s="6" t="str">
        <f aca="false">INDEX(Catalogo_Causas!$B$2:$B$10,MATCH(F769,Catalogo_Causas!$A$2:$A$10,0))</f>
        <v>Falta de materia prima</v>
      </c>
      <c r="H769" s="6" t="str">
        <f aca="false">INDEX(Catalogo_Causas!$C$2:$C$10,MATCH(F769,Catalogo_Causas!$A$2:$A$10,0))</f>
        <v>Material / suministro</v>
      </c>
      <c r="I769" s="5" t="n">
        <v>33</v>
      </c>
      <c r="J769" s="29" t="n">
        <f aca="false">I769/60</f>
        <v>0.55</v>
      </c>
    </row>
    <row r="770" customFormat="false" ht="15" hidden="false" customHeight="false" outlineLevel="0" collapsed="false">
      <c r="A770" s="5" t="s">
        <v>1812</v>
      </c>
      <c r="B770" s="9" t="n">
        <v>45796</v>
      </c>
      <c r="C770" s="9" t="n">
        <v>45797</v>
      </c>
      <c r="D770" s="5" t="s">
        <v>132</v>
      </c>
      <c r="E770" s="5" t="s">
        <v>1073</v>
      </c>
      <c r="F770" s="5" t="s">
        <v>1007</v>
      </c>
      <c r="G770" s="6" t="str">
        <f aca="false">INDEX(Catalogo_Causas!$B$2:$B$10,MATCH(F770,Catalogo_Causas!$A$2:$A$10,0))</f>
        <v>Cambio de formato excedido</v>
      </c>
      <c r="H770" s="6" t="str">
        <f aca="false">INDEX(Catalogo_Causas!$C$2:$C$10,MATCH(F770,Catalogo_Causas!$A$2:$A$10,0))</f>
        <v>Operacional</v>
      </c>
      <c r="I770" s="5" t="n">
        <v>48</v>
      </c>
      <c r="J770" s="29" t="n">
        <f aca="false">I770/60</f>
        <v>0.8</v>
      </c>
    </row>
    <row r="771" customFormat="false" ht="15" hidden="false" customHeight="false" outlineLevel="0" collapsed="false">
      <c r="A771" s="5" t="s">
        <v>1813</v>
      </c>
      <c r="B771" s="9" t="n">
        <v>45796</v>
      </c>
      <c r="C771" s="9" t="n">
        <v>45797</v>
      </c>
      <c r="D771" s="5" t="s">
        <v>134</v>
      </c>
      <c r="E771" s="5" t="s">
        <v>1030</v>
      </c>
      <c r="F771" s="5" t="s">
        <v>1016</v>
      </c>
      <c r="G771" s="6" t="str">
        <f aca="false">INDEX(Catalogo_Causas!$B$2:$B$10,MATCH(F771,Catalogo_Causas!$A$2:$A$10,0))</f>
        <v>Limpieza no programada (CIP)</v>
      </c>
      <c r="H771" s="6" t="str">
        <f aca="false">INDEX(Catalogo_Causas!$C$2:$C$10,MATCH(F771,Catalogo_Causas!$A$2:$A$10,0))</f>
        <v>Calidad</v>
      </c>
      <c r="I771" s="5" t="n">
        <v>56</v>
      </c>
      <c r="J771" s="29" t="n">
        <f aca="false">I771/60</f>
        <v>0.933333333333333</v>
      </c>
    </row>
    <row r="772" customFormat="false" ht="15" hidden="false" customHeight="false" outlineLevel="0" collapsed="false">
      <c r="A772" s="5" t="s">
        <v>1814</v>
      </c>
      <c r="B772" s="9" t="n">
        <v>45796</v>
      </c>
      <c r="C772" s="9" t="n">
        <v>45797</v>
      </c>
      <c r="D772" s="5" t="s">
        <v>138</v>
      </c>
      <c r="E772" s="5" t="s">
        <v>1039</v>
      </c>
      <c r="F772" s="5" t="s">
        <v>1016</v>
      </c>
      <c r="G772" s="6" t="str">
        <f aca="false">INDEX(Catalogo_Causas!$B$2:$B$10,MATCH(F772,Catalogo_Causas!$A$2:$A$10,0))</f>
        <v>Limpieza no programada (CIP)</v>
      </c>
      <c r="H772" s="6" t="str">
        <f aca="false">INDEX(Catalogo_Causas!$C$2:$C$10,MATCH(F772,Catalogo_Causas!$A$2:$A$10,0))</f>
        <v>Calidad</v>
      </c>
      <c r="I772" s="5" t="n">
        <v>68</v>
      </c>
      <c r="J772" s="29" t="n">
        <f aca="false">I772/60</f>
        <v>1.13333333333333</v>
      </c>
    </row>
    <row r="773" customFormat="false" ht="15" hidden="false" customHeight="false" outlineLevel="0" collapsed="false">
      <c r="A773" s="5" t="s">
        <v>1815</v>
      </c>
      <c r="B773" s="9" t="n">
        <v>45796</v>
      </c>
      <c r="C773" s="9" t="n">
        <v>45797</v>
      </c>
      <c r="D773" s="5" t="s">
        <v>138</v>
      </c>
      <c r="E773" s="5" t="s">
        <v>1039</v>
      </c>
      <c r="F773" s="5" t="s">
        <v>1005</v>
      </c>
      <c r="G773" s="6" t="str">
        <f aca="false">INDEX(Catalogo_Causas!$B$2:$B$10,MATCH(F773,Catalogo_Causas!$A$2:$A$10,0))</f>
        <v>Falla eléctrica / control</v>
      </c>
      <c r="H773" s="6" t="str">
        <f aca="false">INDEX(Catalogo_Causas!$C$2:$C$10,MATCH(F773,Catalogo_Causas!$A$2:$A$10,0))</f>
        <v>Operacional</v>
      </c>
      <c r="I773" s="5" t="n">
        <v>110</v>
      </c>
      <c r="J773" s="29" t="n">
        <f aca="false">I773/60</f>
        <v>1.83333333333333</v>
      </c>
    </row>
    <row r="774" customFormat="false" ht="15" hidden="false" customHeight="false" outlineLevel="0" collapsed="false">
      <c r="A774" s="5" t="s">
        <v>1816</v>
      </c>
      <c r="B774" s="9" t="n">
        <v>45796</v>
      </c>
      <c r="C774" s="9" t="n">
        <v>45797</v>
      </c>
      <c r="D774" s="5" t="s">
        <v>142</v>
      </c>
      <c r="E774" s="5" t="s">
        <v>1030</v>
      </c>
      <c r="F774" s="5" t="s">
        <v>1009</v>
      </c>
      <c r="G774" s="6" t="str">
        <f aca="false">INDEX(Catalogo_Causas!$B$2:$B$10,MATCH(F774,Catalogo_Causas!$A$2:$A$10,0))</f>
        <v>Falta de material de empaque</v>
      </c>
      <c r="H774" s="6" t="str">
        <f aca="false">INDEX(Catalogo_Causas!$C$2:$C$10,MATCH(F774,Catalogo_Causas!$A$2:$A$10,0))</f>
        <v>Material / suministro</v>
      </c>
      <c r="I774" s="5" t="n">
        <v>61</v>
      </c>
      <c r="J774" s="29" t="n">
        <f aca="false">I774/60</f>
        <v>1.01666666666667</v>
      </c>
    </row>
    <row r="775" customFormat="false" ht="15" hidden="false" customHeight="false" outlineLevel="0" collapsed="false">
      <c r="A775" s="5" t="s">
        <v>1817</v>
      </c>
      <c r="B775" s="9" t="n">
        <v>45796</v>
      </c>
      <c r="C775" s="9" t="n">
        <v>45797</v>
      </c>
      <c r="D775" s="5" t="s">
        <v>144</v>
      </c>
      <c r="E775" s="5" t="s">
        <v>1030</v>
      </c>
      <c r="F775" s="5" t="s">
        <v>1016</v>
      </c>
      <c r="G775" s="6" t="str">
        <f aca="false">INDEX(Catalogo_Causas!$B$2:$B$10,MATCH(F775,Catalogo_Causas!$A$2:$A$10,0))</f>
        <v>Limpieza no programada (CIP)</v>
      </c>
      <c r="H775" s="6" t="str">
        <f aca="false">INDEX(Catalogo_Causas!$C$2:$C$10,MATCH(F775,Catalogo_Causas!$A$2:$A$10,0))</f>
        <v>Calidad</v>
      </c>
      <c r="I775" s="5" t="n">
        <v>70</v>
      </c>
      <c r="J775" s="29" t="n">
        <f aca="false">I775/60</f>
        <v>1.16666666666667</v>
      </c>
    </row>
    <row r="776" customFormat="false" ht="15" hidden="false" customHeight="false" outlineLevel="0" collapsed="false">
      <c r="A776" s="5" t="s">
        <v>1818</v>
      </c>
      <c r="B776" s="9" t="n">
        <v>45796</v>
      </c>
      <c r="C776" s="9" t="n">
        <v>45797</v>
      </c>
      <c r="D776" s="5" t="s">
        <v>144</v>
      </c>
      <c r="E776" s="5" t="s">
        <v>1043</v>
      </c>
      <c r="F776" s="5" t="s">
        <v>1002</v>
      </c>
      <c r="G776" s="6" t="str">
        <f aca="false">INDEX(Catalogo_Causas!$B$2:$B$10,MATCH(F776,Catalogo_Causas!$A$2:$A$10,0))</f>
        <v>Falla mecánica</v>
      </c>
      <c r="H776" s="6" t="str">
        <f aca="false">INDEX(Catalogo_Causas!$C$2:$C$10,MATCH(F776,Catalogo_Causas!$A$2:$A$10,0))</f>
        <v>Operacional</v>
      </c>
      <c r="I776" s="5" t="n">
        <v>84</v>
      </c>
      <c r="J776" s="29" t="n">
        <f aca="false">I776/60</f>
        <v>1.4</v>
      </c>
    </row>
    <row r="777" customFormat="false" ht="15" hidden="false" customHeight="false" outlineLevel="0" collapsed="false">
      <c r="A777" s="5" t="s">
        <v>1819</v>
      </c>
      <c r="B777" s="9" t="n">
        <v>45796</v>
      </c>
      <c r="C777" s="9" t="n">
        <v>45798</v>
      </c>
      <c r="D777" s="5" t="s">
        <v>132</v>
      </c>
      <c r="E777" s="5" t="s">
        <v>1073</v>
      </c>
      <c r="F777" s="5" t="s">
        <v>1007</v>
      </c>
      <c r="G777" s="6" t="str">
        <f aca="false">INDEX(Catalogo_Causas!$B$2:$B$10,MATCH(F777,Catalogo_Causas!$A$2:$A$10,0))</f>
        <v>Cambio de formato excedido</v>
      </c>
      <c r="H777" s="6" t="str">
        <f aca="false">INDEX(Catalogo_Causas!$C$2:$C$10,MATCH(F777,Catalogo_Causas!$A$2:$A$10,0))</f>
        <v>Operacional</v>
      </c>
      <c r="I777" s="5" t="n">
        <v>141</v>
      </c>
      <c r="J777" s="29" t="n">
        <f aca="false">I777/60</f>
        <v>2.35</v>
      </c>
    </row>
    <row r="778" customFormat="false" ht="15" hidden="false" customHeight="false" outlineLevel="0" collapsed="false">
      <c r="A778" s="5" t="s">
        <v>1820</v>
      </c>
      <c r="B778" s="9" t="n">
        <v>45796</v>
      </c>
      <c r="C778" s="9" t="n">
        <v>45799</v>
      </c>
      <c r="D778" s="5" t="s">
        <v>134</v>
      </c>
      <c r="E778" s="5" t="s">
        <v>1032</v>
      </c>
      <c r="F778" s="5" t="s">
        <v>1002</v>
      </c>
      <c r="G778" s="6" t="str">
        <f aca="false">INDEX(Catalogo_Causas!$B$2:$B$10,MATCH(F778,Catalogo_Causas!$A$2:$A$10,0))</f>
        <v>Falla mecánica</v>
      </c>
      <c r="H778" s="6" t="str">
        <f aca="false">INDEX(Catalogo_Causas!$C$2:$C$10,MATCH(F778,Catalogo_Causas!$A$2:$A$10,0))</f>
        <v>Operacional</v>
      </c>
      <c r="I778" s="5" t="n">
        <v>35</v>
      </c>
      <c r="J778" s="29" t="n">
        <f aca="false">I778/60</f>
        <v>0.583333333333333</v>
      </c>
    </row>
    <row r="779" customFormat="false" ht="15" hidden="false" customHeight="false" outlineLevel="0" collapsed="false">
      <c r="A779" s="5" t="s">
        <v>1821</v>
      </c>
      <c r="B779" s="9" t="n">
        <v>45796</v>
      </c>
      <c r="C779" s="9" t="n">
        <v>45799</v>
      </c>
      <c r="D779" s="5" t="s">
        <v>134</v>
      </c>
      <c r="E779" s="5" t="s">
        <v>1032</v>
      </c>
      <c r="F779" s="5" t="s">
        <v>1007</v>
      </c>
      <c r="G779" s="6" t="str">
        <f aca="false">INDEX(Catalogo_Causas!$B$2:$B$10,MATCH(F779,Catalogo_Causas!$A$2:$A$10,0))</f>
        <v>Cambio de formato excedido</v>
      </c>
      <c r="H779" s="6" t="str">
        <f aca="false">INDEX(Catalogo_Causas!$C$2:$C$10,MATCH(F779,Catalogo_Causas!$A$2:$A$10,0))</f>
        <v>Operacional</v>
      </c>
      <c r="I779" s="5" t="n">
        <v>18</v>
      </c>
      <c r="J779" s="29" t="n">
        <f aca="false">I779/60</f>
        <v>0.3</v>
      </c>
    </row>
    <row r="780" customFormat="false" ht="15" hidden="false" customHeight="false" outlineLevel="0" collapsed="false">
      <c r="A780" s="5" t="s">
        <v>1822</v>
      </c>
      <c r="B780" s="9" t="n">
        <v>45796</v>
      </c>
      <c r="C780" s="9" t="n">
        <v>45799</v>
      </c>
      <c r="D780" s="5" t="s">
        <v>142</v>
      </c>
      <c r="E780" s="5" t="s">
        <v>1041</v>
      </c>
      <c r="F780" s="5" t="s">
        <v>1009</v>
      </c>
      <c r="G780" s="6" t="str">
        <f aca="false">INDEX(Catalogo_Causas!$B$2:$B$10,MATCH(F780,Catalogo_Causas!$A$2:$A$10,0))</f>
        <v>Falta de material de empaque</v>
      </c>
      <c r="H780" s="6" t="str">
        <f aca="false">INDEX(Catalogo_Causas!$C$2:$C$10,MATCH(F780,Catalogo_Causas!$A$2:$A$10,0))</f>
        <v>Material / suministro</v>
      </c>
      <c r="I780" s="5" t="n">
        <v>63</v>
      </c>
      <c r="J780" s="29" t="n">
        <f aca="false">I780/60</f>
        <v>1.05</v>
      </c>
    </row>
    <row r="781" customFormat="false" ht="15" hidden="false" customHeight="false" outlineLevel="0" collapsed="false">
      <c r="A781" s="5" t="s">
        <v>1823</v>
      </c>
      <c r="B781" s="9" t="n">
        <v>45796</v>
      </c>
      <c r="C781" s="9" t="n">
        <v>45799</v>
      </c>
      <c r="D781" s="5" t="s">
        <v>142</v>
      </c>
      <c r="E781" s="5" t="s">
        <v>1041</v>
      </c>
      <c r="F781" s="5" t="s">
        <v>1007</v>
      </c>
      <c r="G781" s="6" t="str">
        <f aca="false">INDEX(Catalogo_Causas!$B$2:$B$10,MATCH(F781,Catalogo_Causas!$A$2:$A$10,0))</f>
        <v>Cambio de formato excedido</v>
      </c>
      <c r="H781" s="6" t="str">
        <f aca="false">INDEX(Catalogo_Causas!$C$2:$C$10,MATCH(F781,Catalogo_Causas!$A$2:$A$10,0))</f>
        <v>Operacional</v>
      </c>
      <c r="I781" s="5" t="n">
        <v>18</v>
      </c>
      <c r="J781" s="29" t="n">
        <f aca="false">I781/60</f>
        <v>0.3</v>
      </c>
    </row>
    <row r="782" customFormat="false" ht="15" hidden="false" customHeight="false" outlineLevel="0" collapsed="false">
      <c r="A782" s="5" t="s">
        <v>1824</v>
      </c>
      <c r="B782" s="9" t="n">
        <v>45796</v>
      </c>
      <c r="C782" s="9" t="n">
        <v>45799</v>
      </c>
      <c r="D782" s="5" t="s">
        <v>144</v>
      </c>
      <c r="E782" s="5" t="s">
        <v>1043</v>
      </c>
      <c r="F782" s="5" t="s">
        <v>1007</v>
      </c>
      <c r="G782" s="6" t="str">
        <f aca="false">INDEX(Catalogo_Causas!$B$2:$B$10,MATCH(F782,Catalogo_Causas!$A$2:$A$10,0))</f>
        <v>Cambio de formato excedido</v>
      </c>
      <c r="H782" s="6" t="str">
        <f aca="false">INDEX(Catalogo_Causas!$C$2:$C$10,MATCH(F782,Catalogo_Causas!$A$2:$A$10,0))</f>
        <v>Operacional</v>
      </c>
      <c r="I782" s="5" t="n">
        <v>32</v>
      </c>
      <c r="J782" s="29" t="n">
        <f aca="false">I782/60</f>
        <v>0.533333333333333</v>
      </c>
    </row>
    <row r="783" customFormat="false" ht="15" hidden="false" customHeight="false" outlineLevel="0" collapsed="false">
      <c r="A783" s="5" t="s">
        <v>1825</v>
      </c>
      <c r="B783" s="9" t="n">
        <v>45796</v>
      </c>
      <c r="C783" s="9" t="n">
        <v>45800</v>
      </c>
      <c r="D783" s="5" t="s">
        <v>140</v>
      </c>
      <c r="E783" s="5" t="s">
        <v>1036</v>
      </c>
      <c r="F783" s="5" t="s">
        <v>1021</v>
      </c>
      <c r="G783" s="6" t="str">
        <f aca="false">INDEX(Catalogo_Causas!$B$2:$B$10,MATCH(F783,Catalogo_Causas!$A$2:$A$10,0))</f>
        <v>Falla de servicios (vapor/amoniaco/aire)</v>
      </c>
      <c r="H783" s="6" t="str">
        <f aca="false">INDEX(Catalogo_Causas!$C$2:$C$10,MATCH(F783,Catalogo_Causas!$A$2:$A$10,0))</f>
        <v>Servicios</v>
      </c>
      <c r="I783" s="5" t="n">
        <v>43</v>
      </c>
      <c r="J783" s="29" t="n">
        <f aca="false">I783/60</f>
        <v>0.716666666666667</v>
      </c>
    </row>
    <row r="784" customFormat="false" ht="15" hidden="false" customHeight="false" outlineLevel="0" collapsed="false">
      <c r="A784" s="5" t="s">
        <v>1826</v>
      </c>
      <c r="B784" s="9" t="n">
        <v>45796</v>
      </c>
      <c r="C784" s="9" t="n">
        <v>45801</v>
      </c>
      <c r="D784" s="5" t="s">
        <v>130</v>
      </c>
      <c r="E784" s="5" t="s">
        <v>1078</v>
      </c>
      <c r="F784" s="5" t="s">
        <v>1014</v>
      </c>
      <c r="G784" s="6" t="str">
        <f aca="false">INDEX(Catalogo_Causas!$B$2:$B$10,MATCH(F784,Catalogo_Causas!$A$2:$A$10,0))</f>
        <v>Retención de calidad</v>
      </c>
      <c r="H784" s="6" t="str">
        <f aca="false">INDEX(Catalogo_Causas!$C$2:$C$10,MATCH(F784,Catalogo_Causas!$A$2:$A$10,0))</f>
        <v>Calidad</v>
      </c>
      <c r="I784" s="5" t="n">
        <v>17</v>
      </c>
      <c r="J784" s="29" t="n">
        <f aca="false">I784/60</f>
        <v>0.283333333333333</v>
      </c>
    </row>
    <row r="785" customFormat="false" ht="15" hidden="false" customHeight="false" outlineLevel="0" collapsed="false">
      <c r="A785" s="5" t="s">
        <v>1827</v>
      </c>
      <c r="B785" s="9" t="n">
        <v>45796</v>
      </c>
      <c r="C785" s="9" t="n">
        <v>45801</v>
      </c>
      <c r="D785" s="5" t="s">
        <v>134</v>
      </c>
      <c r="E785" s="5" t="s">
        <v>1032</v>
      </c>
      <c r="F785" s="5" t="s">
        <v>1002</v>
      </c>
      <c r="G785" s="6" t="str">
        <f aca="false">INDEX(Catalogo_Causas!$B$2:$B$10,MATCH(F785,Catalogo_Causas!$A$2:$A$10,0))</f>
        <v>Falla mecánica</v>
      </c>
      <c r="H785" s="6" t="str">
        <f aca="false">INDEX(Catalogo_Causas!$C$2:$C$10,MATCH(F785,Catalogo_Causas!$A$2:$A$10,0))</f>
        <v>Operacional</v>
      </c>
      <c r="I785" s="5" t="n">
        <v>20</v>
      </c>
      <c r="J785" s="29" t="n">
        <f aca="false">I785/60</f>
        <v>0.333333333333333</v>
      </c>
    </row>
    <row r="786" customFormat="false" ht="15" hidden="false" customHeight="false" outlineLevel="0" collapsed="false">
      <c r="A786" s="5" t="s">
        <v>1828</v>
      </c>
      <c r="B786" s="9" t="n">
        <v>45796</v>
      </c>
      <c r="C786" s="9" t="n">
        <v>45801</v>
      </c>
      <c r="D786" s="5" t="s">
        <v>138</v>
      </c>
      <c r="E786" s="5" t="s">
        <v>1039</v>
      </c>
      <c r="F786" s="5" t="s">
        <v>1002</v>
      </c>
      <c r="G786" s="6" t="str">
        <f aca="false">INDEX(Catalogo_Causas!$B$2:$B$10,MATCH(F786,Catalogo_Causas!$A$2:$A$10,0))</f>
        <v>Falla mecánica</v>
      </c>
      <c r="H786" s="6" t="str">
        <f aca="false">INDEX(Catalogo_Causas!$C$2:$C$10,MATCH(F786,Catalogo_Causas!$A$2:$A$10,0))</f>
        <v>Operacional</v>
      </c>
      <c r="I786" s="5" t="n">
        <v>225</v>
      </c>
      <c r="J786" s="29" t="n">
        <f aca="false">I786/60</f>
        <v>3.75</v>
      </c>
    </row>
    <row r="787" customFormat="false" ht="15" hidden="false" customHeight="false" outlineLevel="0" collapsed="false">
      <c r="A787" s="5" t="s">
        <v>1829</v>
      </c>
      <c r="B787" s="9" t="n">
        <v>45803</v>
      </c>
      <c r="C787" s="9" t="n">
        <v>45803</v>
      </c>
      <c r="D787" s="5" t="s">
        <v>130</v>
      </c>
      <c r="E787" s="5" t="s">
        <v>1030</v>
      </c>
      <c r="F787" s="5" t="s">
        <v>1018</v>
      </c>
      <c r="G787" s="6" t="str">
        <f aca="false">INDEX(Catalogo_Causas!$B$2:$B$10,MATCH(F787,Catalogo_Causas!$A$2:$A$10,0))</f>
        <v>Falta de personal</v>
      </c>
      <c r="H787" s="6" t="str">
        <f aca="false">INDEX(Catalogo_Causas!$C$2:$C$10,MATCH(F787,Catalogo_Causas!$A$2:$A$10,0))</f>
        <v>Personal</v>
      </c>
      <c r="I787" s="5" t="n">
        <v>44</v>
      </c>
      <c r="J787" s="29" t="n">
        <f aca="false">I787/60</f>
        <v>0.733333333333333</v>
      </c>
    </row>
    <row r="788" customFormat="false" ht="15" hidden="false" customHeight="false" outlineLevel="0" collapsed="false">
      <c r="A788" s="5" t="s">
        <v>1830</v>
      </c>
      <c r="B788" s="9" t="n">
        <v>45803</v>
      </c>
      <c r="C788" s="9" t="n">
        <v>45803</v>
      </c>
      <c r="D788" s="5" t="s">
        <v>130</v>
      </c>
      <c r="E788" s="5" t="s">
        <v>1078</v>
      </c>
      <c r="F788" s="5" t="s">
        <v>1016</v>
      </c>
      <c r="G788" s="6" t="str">
        <f aca="false">INDEX(Catalogo_Causas!$B$2:$B$10,MATCH(F788,Catalogo_Causas!$A$2:$A$10,0))</f>
        <v>Limpieza no programada (CIP)</v>
      </c>
      <c r="H788" s="6" t="str">
        <f aca="false">INDEX(Catalogo_Causas!$C$2:$C$10,MATCH(F788,Catalogo_Causas!$A$2:$A$10,0))</f>
        <v>Calidad</v>
      </c>
      <c r="I788" s="5" t="n">
        <v>43</v>
      </c>
      <c r="J788" s="29" t="n">
        <f aca="false">I788/60</f>
        <v>0.716666666666667</v>
      </c>
    </row>
    <row r="789" customFormat="false" ht="15" hidden="false" customHeight="false" outlineLevel="0" collapsed="false">
      <c r="A789" s="5" t="s">
        <v>1831</v>
      </c>
      <c r="B789" s="9" t="n">
        <v>45803</v>
      </c>
      <c r="C789" s="9" t="n">
        <v>45803</v>
      </c>
      <c r="D789" s="5" t="s">
        <v>134</v>
      </c>
      <c r="E789" s="5" t="s">
        <v>1054</v>
      </c>
      <c r="F789" s="5" t="s">
        <v>1007</v>
      </c>
      <c r="G789" s="6" t="str">
        <f aca="false">INDEX(Catalogo_Causas!$B$2:$B$10,MATCH(F789,Catalogo_Causas!$A$2:$A$10,0))</f>
        <v>Cambio de formato excedido</v>
      </c>
      <c r="H789" s="6" t="str">
        <f aca="false">INDEX(Catalogo_Causas!$C$2:$C$10,MATCH(F789,Catalogo_Causas!$A$2:$A$10,0))</f>
        <v>Operacional</v>
      </c>
      <c r="I789" s="5" t="n">
        <v>10</v>
      </c>
      <c r="J789" s="29" t="n">
        <f aca="false">I789/60</f>
        <v>0.166666666666667</v>
      </c>
    </row>
    <row r="790" customFormat="false" ht="15" hidden="false" customHeight="false" outlineLevel="0" collapsed="false">
      <c r="A790" s="5" t="s">
        <v>1832</v>
      </c>
      <c r="B790" s="9" t="n">
        <v>45803</v>
      </c>
      <c r="C790" s="9" t="n">
        <v>45803</v>
      </c>
      <c r="D790" s="5" t="s">
        <v>142</v>
      </c>
      <c r="E790" s="5" t="s">
        <v>1030</v>
      </c>
      <c r="F790" s="5" t="s">
        <v>1002</v>
      </c>
      <c r="G790" s="6" t="str">
        <f aca="false">INDEX(Catalogo_Causas!$B$2:$B$10,MATCH(F790,Catalogo_Causas!$A$2:$A$10,0))</f>
        <v>Falla mecánica</v>
      </c>
      <c r="H790" s="6" t="str">
        <f aca="false">INDEX(Catalogo_Causas!$C$2:$C$10,MATCH(F790,Catalogo_Causas!$A$2:$A$10,0))</f>
        <v>Operacional</v>
      </c>
      <c r="I790" s="5" t="n">
        <v>55</v>
      </c>
      <c r="J790" s="29" t="n">
        <f aca="false">I790/60</f>
        <v>0.916666666666667</v>
      </c>
    </row>
    <row r="791" customFormat="false" ht="15" hidden="false" customHeight="false" outlineLevel="0" collapsed="false">
      <c r="A791" s="5" t="s">
        <v>1833</v>
      </c>
      <c r="B791" s="9" t="n">
        <v>45803</v>
      </c>
      <c r="C791" s="9" t="n">
        <v>45803</v>
      </c>
      <c r="D791" s="5" t="s">
        <v>144</v>
      </c>
      <c r="E791" s="5" t="s">
        <v>1043</v>
      </c>
      <c r="F791" s="5" t="s">
        <v>1014</v>
      </c>
      <c r="G791" s="6" t="str">
        <f aca="false">INDEX(Catalogo_Causas!$B$2:$B$10,MATCH(F791,Catalogo_Causas!$A$2:$A$10,0))</f>
        <v>Retención de calidad</v>
      </c>
      <c r="H791" s="6" t="str">
        <f aca="false">INDEX(Catalogo_Causas!$C$2:$C$10,MATCH(F791,Catalogo_Causas!$A$2:$A$10,0))</f>
        <v>Calidad</v>
      </c>
      <c r="I791" s="5" t="n">
        <v>87</v>
      </c>
      <c r="J791" s="29" t="n">
        <f aca="false">I791/60</f>
        <v>1.45</v>
      </c>
    </row>
    <row r="792" customFormat="false" ht="15" hidden="false" customHeight="false" outlineLevel="0" collapsed="false">
      <c r="A792" s="5" t="s">
        <v>1834</v>
      </c>
      <c r="B792" s="9" t="n">
        <v>45803</v>
      </c>
      <c r="C792" s="9" t="n">
        <v>45804</v>
      </c>
      <c r="D792" s="5" t="s">
        <v>130</v>
      </c>
      <c r="E792" s="5" t="s">
        <v>1030</v>
      </c>
      <c r="F792" s="5" t="s">
        <v>1007</v>
      </c>
      <c r="G792" s="6" t="str">
        <f aca="false">INDEX(Catalogo_Causas!$B$2:$B$10,MATCH(F792,Catalogo_Causas!$A$2:$A$10,0))</f>
        <v>Cambio de formato excedido</v>
      </c>
      <c r="H792" s="6" t="str">
        <f aca="false">INDEX(Catalogo_Causas!$C$2:$C$10,MATCH(F792,Catalogo_Causas!$A$2:$A$10,0))</f>
        <v>Operacional</v>
      </c>
      <c r="I792" s="5" t="n">
        <v>74</v>
      </c>
      <c r="J792" s="29" t="n">
        <f aca="false">I792/60</f>
        <v>1.23333333333333</v>
      </c>
    </row>
    <row r="793" customFormat="false" ht="15" hidden="false" customHeight="false" outlineLevel="0" collapsed="false">
      <c r="A793" s="5" t="s">
        <v>1835</v>
      </c>
      <c r="B793" s="9" t="n">
        <v>45803</v>
      </c>
      <c r="C793" s="9" t="n">
        <v>45804</v>
      </c>
      <c r="D793" s="5" t="s">
        <v>142</v>
      </c>
      <c r="E793" s="5" t="s">
        <v>1041</v>
      </c>
      <c r="F793" s="5" t="s">
        <v>1007</v>
      </c>
      <c r="G793" s="6" t="str">
        <f aca="false">INDEX(Catalogo_Causas!$B$2:$B$10,MATCH(F793,Catalogo_Causas!$A$2:$A$10,0))</f>
        <v>Cambio de formato excedido</v>
      </c>
      <c r="H793" s="6" t="str">
        <f aca="false">INDEX(Catalogo_Causas!$C$2:$C$10,MATCH(F793,Catalogo_Causas!$A$2:$A$10,0))</f>
        <v>Operacional</v>
      </c>
      <c r="I793" s="5" t="n">
        <v>81</v>
      </c>
      <c r="J793" s="29" t="n">
        <f aca="false">I793/60</f>
        <v>1.35</v>
      </c>
    </row>
    <row r="794" customFormat="false" ht="15" hidden="false" customHeight="false" outlineLevel="0" collapsed="false">
      <c r="A794" s="5" t="s">
        <v>1836</v>
      </c>
      <c r="B794" s="9" t="n">
        <v>45803</v>
      </c>
      <c r="C794" s="9" t="n">
        <v>45805</v>
      </c>
      <c r="D794" s="5" t="s">
        <v>130</v>
      </c>
      <c r="E794" s="5" t="s">
        <v>1078</v>
      </c>
      <c r="F794" s="5" t="s">
        <v>1002</v>
      </c>
      <c r="G794" s="6" t="str">
        <f aca="false">INDEX(Catalogo_Causas!$B$2:$B$10,MATCH(F794,Catalogo_Causas!$A$2:$A$10,0))</f>
        <v>Falla mecánica</v>
      </c>
      <c r="H794" s="6" t="str">
        <f aca="false">INDEX(Catalogo_Causas!$C$2:$C$10,MATCH(F794,Catalogo_Causas!$A$2:$A$10,0))</f>
        <v>Operacional</v>
      </c>
      <c r="I794" s="5" t="n">
        <v>34</v>
      </c>
      <c r="J794" s="29" t="n">
        <f aca="false">I794/60</f>
        <v>0.566666666666667</v>
      </c>
    </row>
    <row r="795" customFormat="false" ht="15" hidden="false" customHeight="false" outlineLevel="0" collapsed="false">
      <c r="A795" s="5" t="s">
        <v>1837</v>
      </c>
      <c r="B795" s="9" t="n">
        <v>45803</v>
      </c>
      <c r="C795" s="9" t="n">
        <v>45805</v>
      </c>
      <c r="D795" s="5" t="s">
        <v>132</v>
      </c>
      <c r="E795" s="5" t="s">
        <v>1032</v>
      </c>
      <c r="F795" s="5" t="s">
        <v>1002</v>
      </c>
      <c r="G795" s="6" t="str">
        <f aca="false">INDEX(Catalogo_Causas!$B$2:$B$10,MATCH(F795,Catalogo_Causas!$A$2:$A$10,0))</f>
        <v>Falla mecánica</v>
      </c>
      <c r="H795" s="6" t="str">
        <f aca="false">INDEX(Catalogo_Causas!$C$2:$C$10,MATCH(F795,Catalogo_Causas!$A$2:$A$10,0))</f>
        <v>Operacional</v>
      </c>
      <c r="I795" s="5" t="n">
        <v>16</v>
      </c>
      <c r="J795" s="29" t="n">
        <f aca="false">I795/60</f>
        <v>0.266666666666667</v>
      </c>
    </row>
    <row r="796" customFormat="false" ht="15" hidden="false" customHeight="false" outlineLevel="0" collapsed="false">
      <c r="A796" s="5" t="s">
        <v>1838</v>
      </c>
      <c r="B796" s="9" t="n">
        <v>45803</v>
      </c>
      <c r="C796" s="9" t="n">
        <v>45805</v>
      </c>
      <c r="D796" s="5" t="s">
        <v>138</v>
      </c>
      <c r="E796" s="5" t="s">
        <v>1034</v>
      </c>
      <c r="F796" s="5" t="s">
        <v>1002</v>
      </c>
      <c r="G796" s="6" t="str">
        <f aca="false">INDEX(Catalogo_Causas!$B$2:$B$10,MATCH(F796,Catalogo_Causas!$A$2:$A$10,0))</f>
        <v>Falla mecánica</v>
      </c>
      <c r="H796" s="6" t="str">
        <f aca="false">INDEX(Catalogo_Causas!$C$2:$C$10,MATCH(F796,Catalogo_Causas!$A$2:$A$10,0))</f>
        <v>Operacional</v>
      </c>
      <c r="I796" s="5" t="n">
        <v>35</v>
      </c>
      <c r="J796" s="29" t="n">
        <f aca="false">I796/60</f>
        <v>0.583333333333333</v>
      </c>
    </row>
    <row r="797" customFormat="false" ht="15" hidden="false" customHeight="false" outlineLevel="0" collapsed="false">
      <c r="A797" s="5" t="s">
        <v>1839</v>
      </c>
      <c r="B797" s="9" t="n">
        <v>45803</v>
      </c>
      <c r="C797" s="9" t="n">
        <v>45805</v>
      </c>
      <c r="D797" s="5" t="s">
        <v>140</v>
      </c>
      <c r="E797" s="5" t="s">
        <v>1036</v>
      </c>
      <c r="F797" s="5" t="s">
        <v>1007</v>
      </c>
      <c r="G797" s="6" t="str">
        <f aca="false">INDEX(Catalogo_Causas!$B$2:$B$10,MATCH(F797,Catalogo_Causas!$A$2:$A$10,0))</f>
        <v>Cambio de formato excedido</v>
      </c>
      <c r="H797" s="6" t="str">
        <f aca="false">INDEX(Catalogo_Causas!$C$2:$C$10,MATCH(F797,Catalogo_Causas!$A$2:$A$10,0))</f>
        <v>Operacional</v>
      </c>
      <c r="I797" s="5" t="n">
        <v>54</v>
      </c>
      <c r="J797" s="29" t="n">
        <f aca="false">I797/60</f>
        <v>0.9</v>
      </c>
    </row>
    <row r="798" customFormat="false" ht="15" hidden="false" customHeight="false" outlineLevel="0" collapsed="false">
      <c r="A798" s="5" t="s">
        <v>1840</v>
      </c>
      <c r="B798" s="9" t="n">
        <v>45803</v>
      </c>
      <c r="C798" s="9" t="n">
        <v>45806</v>
      </c>
      <c r="D798" s="5" t="s">
        <v>130</v>
      </c>
      <c r="E798" s="5" t="s">
        <v>1078</v>
      </c>
      <c r="F798" s="5" t="s">
        <v>1007</v>
      </c>
      <c r="G798" s="6" t="str">
        <f aca="false">INDEX(Catalogo_Causas!$B$2:$B$10,MATCH(F798,Catalogo_Causas!$A$2:$A$10,0))</f>
        <v>Cambio de formato excedido</v>
      </c>
      <c r="H798" s="6" t="str">
        <f aca="false">INDEX(Catalogo_Causas!$C$2:$C$10,MATCH(F798,Catalogo_Causas!$A$2:$A$10,0))</f>
        <v>Operacional</v>
      </c>
      <c r="I798" s="5" t="n">
        <v>80</v>
      </c>
      <c r="J798" s="29" t="n">
        <f aca="false">I798/60</f>
        <v>1.33333333333333</v>
      </c>
    </row>
    <row r="799" customFormat="false" ht="15" hidden="false" customHeight="false" outlineLevel="0" collapsed="false">
      <c r="A799" s="5" t="s">
        <v>1841</v>
      </c>
      <c r="B799" s="9" t="n">
        <v>45803</v>
      </c>
      <c r="C799" s="9" t="n">
        <v>45806</v>
      </c>
      <c r="D799" s="5" t="s">
        <v>138</v>
      </c>
      <c r="E799" s="5" t="s">
        <v>1056</v>
      </c>
      <c r="F799" s="5" t="s">
        <v>1018</v>
      </c>
      <c r="G799" s="6" t="str">
        <f aca="false">INDEX(Catalogo_Causas!$B$2:$B$10,MATCH(F799,Catalogo_Causas!$A$2:$A$10,0))</f>
        <v>Falta de personal</v>
      </c>
      <c r="H799" s="6" t="str">
        <f aca="false">INDEX(Catalogo_Causas!$C$2:$C$10,MATCH(F799,Catalogo_Causas!$A$2:$A$10,0))</f>
        <v>Personal</v>
      </c>
      <c r="I799" s="5" t="n">
        <v>123</v>
      </c>
      <c r="J799" s="29" t="n">
        <f aca="false">I799/60</f>
        <v>2.05</v>
      </c>
    </row>
    <row r="800" customFormat="false" ht="15" hidden="false" customHeight="false" outlineLevel="0" collapsed="false">
      <c r="A800" s="5" t="s">
        <v>1842</v>
      </c>
      <c r="B800" s="9" t="n">
        <v>45803</v>
      </c>
      <c r="C800" s="9" t="n">
        <v>45807</v>
      </c>
      <c r="D800" s="5" t="s">
        <v>140</v>
      </c>
      <c r="E800" s="5" t="s">
        <v>1032</v>
      </c>
      <c r="F800" s="5" t="s">
        <v>1016</v>
      </c>
      <c r="G800" s="6" t="str">
        <f aca="false">INDEX(Catalogo_Causas!$B$2:$B$10,MATCH(F800,Catalogo_Causas!$A$2:$A$10,0))</f>
        <v>Limpieza no programada (CIP)</v>
      </c>
      <c r="H800" s="6" t="str">
        <f aca="false">INDEX(Catalogo_Causas!$C$2:$C$10,MATCH(F800,Catalogo_Causas!$A$2:$A$10,0))</f>
        <v>Calidad</v>
      </c>
      <c r="I800" s="5" t="n">
        <v>167</v>
      </c>
      <c r="J800" s="29" t="n">
        <f aca="false">I800/60</f>
        <v>2.78333333333333</v>
      </c>
    </row>
    <row r="801" customFormat="false" ht="15" hidden="false" customHeight="false" outlineLevel="0" collapsed="false">
      <c r="A801" s="5" t="s">
        <v>1843</v>
      </c>
      <c r="B801" s="9" t="n">
        <v>45803</v>
      </c>
      <c r="C801" s="9" t="n">
        <v>45807</v>
      </c>
      <c r="D801" s="5" t="s">
        <v>142</v>
      </c>
      <c r="E801" s="5" t="s">
        <v>1030</v>
      </c>
      <c r="F801" s="5" t="s">
        <v>1002</v>
      </c>
      <c r="G801" s="6" t="str">
        <f aca="false">INDEX(Catalogo_Causas!$B$2:$B$10,MATCH(F801,Catalogo_Causas!$A$2:$A$10,0))</f>
        <v>Falla mecánica</v>
      </c>
      <c r="H801" s="6" t="str">
        <f aca="false">INDEX(Catalogo_Causas!$C$2:$C$10,MATCH(F801,Catalogo_Causas!$A$2:$A$10,0))</f>
        <v>Operacional</v>
      </c>
      <c r="I801" s="5" t="n">
        <v>89</v>
      </c>
      <c r="J801" s="29" t="n">
        <f aca="false">I801/60</f>
        <v>1.48333333333333</v>
      </c>
    </row>
    <row r="802" customFormat="false" ht="15" hidden="false" customHeight="false" outlineLevel="0" collapsed="false">
      <c r="A802" s="5" t="s">
        <v>1844</v>
      </c>
      <c r="B802" s="9" t="n">
        <v>45803</v>
      </c>
      <c r="C802" s="9" t="n">
        <v>45808</v>
      </c>
      <c r="D802" s="5" t="s">
        <v>132</v>
      </c>
      <c r="E802" s="5" t="s">
        <v>1084</v>
      </c>
      <c r="F802" s="5" t="s">
        <v>1002</v>
      </c>
      <c r="G802" s="6" t="str">
        <f aca="false">INDEX(Catalogo_Causas!$B$2:$B$10,MATCH(F802,Catalogo_Causas!$A$2:$A$10,0))</f>
        <v>Falla mecánica</v>
      </c>
      <c r="H802" s="6" t="str">
        <f aca="false">INDEX(Catalogo_Causas!$C$2:$C$10,MATCH(F802,Catalogo_Causas!$A$2:$A$10,0))</f>
        <v>Operacional</v>
      </c>
      <c r="I802" s="5" t="n">
        <v>28</v>
      </c>
      <c r="J802" s="29" t="n">
        <f aca="false">I802/60</f>
        <v>0.466666666666667</v>
      </c>
    </row>
    <row r="803" customFormat="false" ht="15" hidden="false" customHeight="false" outlineLevel="0" collapsed="false">
      <c r="A803" s="5" t="s">
        <v>1845</v>
      </c>
      <c r="B803" s="9" t="n">
        <v>45803</v>
      </c>
      <c r="C803" s="9" t="n">
        <v>45808</v>
      </c>
      <c r="D803" s="5" t="s">
        <v>134</v>
      </c>
      <c r="E803" s="5" t="s">
        <v>1030</v>
      </c>
      <c r="F803" s="5" t="s">
        <v>1021</v>
      </c>
      <c r="G803" s="6" t="str">
        <f aca="false">INDEX(Catalogo_Causas!$B$2:$B$10,MATCH(F803,Catalogo_Causas!$A$2:$A$10,0))</f>
        <v>Falla de servicios (vapor/amoniaco/aire)</v>
      </c>
      <c r="H803" s="6" t="str">
        <f aca="false">INDEX(Catalogo_Causas!$C$2:$C$10,MATCH(F803,Catalogo_Causas!$A$2:$A$10,0))</f>
        <v>Servicios</v>
      </c>
      <c r="I803" s="5" t="n">
        <v>36</v>
      </c>
      <c r="J803" s="29" t="n">
        <f aca="false">I803/60</f>
        <v>0.6</v>
      </c>
    </row>
    <row r="804" customFormat="false" ht="15" hidden="false" customHeight="false" outlineLevel="0" collapsed="false">
      <c r="A804" s="5" t="s">
        <v>1846</v>
      </c>
      <c r="B804" s="9" t="n">
        <v>45803</v>
      </c>
      <c r="C804" s="9" t="n">
        <v>45808</v>
      </c>
      <c r="D804" s="5" t="s">
        <v>134</v>
      </c>
      <c r="E804" s="5" t="s">
        <v>1032</v>
      </c>
      <c r="F804" s="5" t="s">
        <v>1002</v>
      </c>
      <c r="G804" s="6" t="str">
        <f aca="false">INDEX(Catalogo_Causas!$B$2:$B$10,MATCH(F804,Catalogo_Causas!$A$2:$A$10,0))</f>
        <v>Falla mecánica</v>
      </c>
      <c r="H804" s="6" t="str">
        <f aca="false">INDEX(Catalogo_Causas!$C$2:$C$10,MATCH(F804,Catalogo_Causas!$A$2:$A$10,0))</f>
        <v>Operacional</v>
      </c>
      <c r="I804" s="5" t="n">
        <v>25</v>
      </c>
      <c r="J804" s="29" t="n">
        <f aca="false">I804/60</f>
        <v>0.416666666666667</v>
      </c>
    </row>
    <row r="805" customFormat="false" ht="15" hidden="false" customHeight="false" outlineLevel="0" collapsed="false">
      <c r="A805" s="5" t="s">
        <v>1847</v>
      </c>
      <c r="B805" s="9" t="n">
        <v>45803</v>
      </c>
      <c r="C805" s="9" t="n">
        <v>45808</v>
      </c>
      <c r="D805" s="5" t="s">
        <v>134</v>
      </c>
      <c r="E805" s="5" t="s">
        <v>1054</v>
      </c>
      <c r="F805" s="5" t="s">
        <v>1016</v>
      </c>
      <c r="G805" s="6" t="str">
        <f aca="false">INDEX(Catalogo_Causas!$B$2:$B$10,MATCH(F805,Catalogo_Causas!$A$2:$A$10,0))</f>
        <v>Limpieza no programada (CIP)</v>
      </c>
      <c r="H805" s="6" t="str">
        <f aca="false">INDEX(Catalogo_Causas!$C$2:$C$10,MATCH(F805,Catalogo_Causas!$A$2:$A$10,0))</f>
        <v>Calidad</v>
      </c>
      <c r="I805" s="5" t="n">
        <v>54</v>
      </c>
      <c r="J805" s="29" t="n">
        <f aca="false">I805/60</f>
        <v>0.9</v>
      </c>
    </row>
    <row r="806" customFormat="false" ht="15" hidden="false" customHeight="false" outlineLevel="0" collapsed="false">
      <c r="A806" s="5" t="s">
        <v>1848</v>
      </c>
      <c r="B806" s="9" t="n">
        <v>45803</v>
      </c>
      <c r="C806" s="9" t="n">
        <v>45808</v>
      </c>
      <c r="D806" s="5" t="s">
        <v>140</v>
      </c>
      <c r="E806" s="5" t="s">
        <v>1045</v>
      </c>
      <c r="F806" s="5" t="s">
        <v>1002</v>
      </c>
      <c r="G806" s="6" t="str">
        <f aca="false">INDEX(Catalogo_Causas!$B$2:$B$10,MATCH(F806,Catalogo_Causas!$A$2:$A$10,0))</f>
        <v>Falla mecánica</v>
      </c>
      <c r="H806" s="6" t="str">
        <f aca="false">INDEX(Catalogo_Causas!$C$2:$C$10,MATCH(F806,Catalogo_Causas!$A$2:$A$10,0))</f>
        <v>Operacional</v>
      </c>
      <c r="I806" s="5" t="n">
        <v>21</v>
      </c>
      <c r="J806" s="29" t="n">
        <f aca="false">I806/60</f>
        <v>0.35</v>
      </c>
    </row>
    <row r="807" customFormat="false" ht="15" hidden="false" customHeight="false" outlineLevel="0" collapsed="false">
      <c r="A807" s="5" t="s">
        <v>1849</v>
      </c>
      <c r="B807" s="9" t="n">
        <v>45810</v>
      </c>
      <c r="C807" s="9" t="n">
        <v>45810</v>
      </c>
      <c r="D807" s="5" t="s">
        <v>132</v>
      </c>
      <c r="E807" s="5" t="s">
        <v>1032</v>
      </c>
      <c r="F807" s="5" t="s">
        <v>1002</v>
      </c>
      <c r="G807" s="6" t="str">
        <f aca="false">INDEX(Catalogo_Causas!$B$2:$B$10,MATCH(F807,Catalogo_Causas!$A$2:$A$10,0))</f>
        <v>Falla mecánica</v>
      </c>
      <c r="H807" s="6" t="str">
        <f aca="false">INDEX(Catalogo_Causas!$C$2:$C$10,MATCH(F807,Catalogo_Causas!$A$2:$A$10,0))</f>
        <v>Operacional</v>
      </c>
      <c r="I807" s="5" t="n">
        <v>26</v>
      </c>
      <c r="J807" s="29" t="n">
        <f aca="false">I807/60</f>
        <v>0.433333333333333</v>
      </c>
    </row>
    <row r="808" customFormat="false" ht="15" hidden="false" customHeight="false" outlineLevel="0" collapsed="false">
      <c r="A808" s="5" t="s">
        <v>1850</v>
      </c>
      <c r="B808" s="9" t="n">
        <v>45810</v>
      </c>
      <c r="C808" s="9" t="n">
        <v>45810</v>
      </c>
      <c r="D808" s="5" t="s">
        <v>142</v>
      </c>
      <c r="E808" s="5" t="s">
        <v>1051</v>
      </c>
      <c r="F808" s="5" t="s">
        <v>1018</v>
      </c>
      <c r="G808" s="6" t="str">
        <f aca="false">INDEX(Catalogo_Causas!$B$2:$B$10,MATCH(F808,Catalogo_Causas!$A$2:$A$10,0))</f>
        <v>Falta de personal</v>
      </c>
      <c r="H808" s="6" t="str">
        <f aca="false">INDEX(Catalogo_Causas!$C$2:$C$10,MATCH(F808,Catalogo_Causas!$A$2:$A$10,0))</f>
        <v>Personal</v>
      </c>
      <c r="I808" s="5" t="n">
        <v>44</v>
      </c>
      <c r="J808" s="29" t="n">
        <f aca="false">I808/60</f>
        <v>0.733333333333333</v>
      </c>
    </row>
    <row r="809" customFormat="false" ht="15" hidden="false" customHeight="false" outlineLevel="0" collapsed="false">
      <c r="A809" s="5" t="s">
        <v>1851</v>
      </c>
      <c r="B809" s="9" t="n">
        <v>45810</v>
      </c>
      <c r="C809" s="9" t="n">
        <v>45811</v>
      </c>
      <c r="D809" s="5" t="s">
        <v>130</v>
      </c>
      <c r="E809" s="5" t="s">
        <v>1030</v>
      </c>
      <c r="F809" s="5" t="s">
        <v>1002</v>
      </c>
      <c r="G809" s="6" t="str">
        <f aca="false">INDEX(Catalogo_Causas!$B$2:$B$10,MATCH(F809,Catalogo_Causas!$A$2:$A$10,0))</f>
        <v>Falla mecánica</v>
      </c>
      <c r="H809" s="6" t="str">
        <f aca="false">INDEX(Catalogo_Causas!$C$2:$C$10,MATCH(F809,Catalogo_Causas!$A$2:$A$10,0))</f>
        <v>Operacional</v>
      </c>
      <c r="I809" s="5" t="n">
        <v>177</v>
      </c>
      <c r="J809" s="29" t="n">
        <f aca="false">I809/60</f>
        <v>2.95</v>
      </c>
    </row>
    <row r="810" customFormat="false" ht="15" hidden="false" customHeight="false" outlineLevel="0" collapsed="false">
      <c r="A810" s="5" t="s">
        <v>1852</v>
      </c>
      <c r="B810" s="9" t="n">
        <v>45810</v>
      </c>
      <c r="C810" s="9" t="n">
        <v>45811</v>
      </c>
      <c r="D810" s="5" t="s">
        <v>134</v>
      </c>
      <c r="E810" s="5" t="s">
        <v>1032</v>
      </c>
      <c r="F810" s="5" t="s">
        <v>1005</v>
      </c>
      <c r="G810" s="6" t="str">
        <f aca="false">INDEX(Catalogo_Causas!$B$2:$B$10,MATCH(F810,Catalogo_Causas!$A$2:$A$10,0))</f>
        <v>Falla eléctrica / control</v>
      </c>
      <c r="H810" s="6" t="str">
        <f aca="false">INDEX(Catalogo_Causas!$C$2:$C$10,MATCH(F810,Catalogo_Causas!$A$2:$A$10,0))</f>
        <v>Operacional</v>
      </c>
      <c r="I810" s="5" t="n">
        <v>28</v>
      </c>
      <c r="J810" s="29" t="n">
        <f aca="false">I810/60</f>
        <v>0.466666666666667</v>
      </c>
    </row>
    <row r="811" customFormat="false" ht="15" hidden="false" customHeight="false" outlineLevel="0" collapsed="false">
      <c r="A811" s="5" t="s">
        <v>1853</v>
      </c>
      <c r="B811" s="9" t="n">
        <v>45810</v>
      </c>
      <c r="C811" s="9" t="n">
        <v>45811</v>
      </c>
      <c r="D811" s="5" t="s">
        <v>136</v>
      </c>
      <c r="E811" s="5" t="s">
        <v>1032</v>
      </c>
      <c r="F811" s="5" t="s">
        <v>1007</v>
      </c>
      <c r="G811" s="6" t="str">
        <f aca="false">INDEX(Catalogo_Causas!$B$2:$B$10,MATCH(F811,Catalogo_Causas!$A$2:$A$10,0))</f>
        <v>Cambio de formato excedido</v>
      </c>
      <c r="H811" s="6" t="str">
        <f aca="false">INDEX(Catalogo_Causas!$C$2:$C$10,MATCH(F811,Catalogo_Causas!$A$2:$A$10,0))</f>
        <v>Operacional</v>
      </c>
      <c r="I811" s="5" t="n">
        <v>13</v>
      </c>
      <c r="J811" s="29" t="n">
        <f aca="false">I811/60</f>
        <v>0.216666666666667</v>
      </c>
    </row>
    <row r="812" customFormat="false" ht="15" hidden="false" customHeight="false" outlineLevel="0" collapsed="false">
      <c r="A812" s="5" t="s">
        <v>1854</v>
      </c>
      <c r="B812" s="9" t="n">
        <v>45810</v>
      </c>
      <c r="C812" s="9" t="n">
        <v>45811</v>
      </c>
      <c r="D812" s="5" t="s">
        <v>138</v>
      </c>
      <c r="E812" s="5" t="s">
        <v>1039</v>
      </c>
      <c r="F812" s="5" t="s">
        <v>1018</v>
      </c>
      <c r="G812" s="6" t="str">
        <f aca="false">INDEX(Catalogo_Causas!$B$2:$B$10,MATCH(F812,Catalogo_Causas!$A$2:$A$10,0))</f>
        <v>Falta de personal</v>
      </c>
      <c r="H812" s="6" t="str">
        <f aca="false">INDEX(Catalogo_Causas!$C$2:$C$10,MATCH(F812,Catalogo_Causas!$A$2:$A$10,0))</f>
        <v>Personal</v>
      </c>
      <c r="I812" s="5" t="n">
        <v>27</v>
      </c>
      <c r="J812" s="29" t="n">
        <f aca="false">I812/60</f>
        <v>0.45</v>
      </c>
    </row>
    <row r="813" customFormat="false" ht="15" hidden="false" customHeight="false" outlineLevel="0" collapsed="false">
      <c r="A813" s="5" t="s">
        <v>1855</v>
      </c>
      <c r="B813" s="9" t="n">
        <v>45810</v>
      </c>
      <c r="C813" s="9" t="n">
        <v>45811</v>
      </c>
      <c r="D813" s="5" t="s">
        <v>138</v>
      </c>
      <c r="E813" s="5" t="s">
        <v>1034</v>
      </c>
      <c r="F813" s="5" t="s">
        <v>1021</v>
      </c>
      <c r="G813" s="6" t="str">
        <f aca="false">INDEX(Catalogo_Causas!$B$2:$B$10,MATCH(F813,Catalogo_Causas!$A$2:$A$10,0))</f>
        <v>Falla de servicios (vapor/amoniaco/aire)</v>
      </c>
      <c r="H813" s="6" t="str">
        <f aca="false">INDEX(Catalogo_Causas!$C$2:$C$10,MATCH(F813,Catalogo_Causas!$A$2:$A$10,0))</f>
        <v>Servicios</v>
      </c>
      <c r="I813" s="5" t="n">
        <v>179</v>
      </c>
      <c r="J813" s="29" t="n">
        <f aca="false">I813/60</f>
        <v>2.98333333333333</v>
      </c>
    </row>
    <row r="814" customFormat="false" ht="15" hidden="false" customHeight="false" outlineLevel="0" collapsed="false">
      <c r="A814" s="5" t="s">
        <v>1856</v>
      </c>
      <c r="B814" s="9" t="n">
        <v>45810</v>
      </c>
      <c r="C814" s="9" t="n">
        <v>45811</v>
      </c>
      <c r="D814" s="5" t="s">
        <v>142</v>
      </c>
      <c r="E814" s="5" t="s">
        <v>1051</v>
      </c>
      <c r="F814" s="5" t="s">
        <v>1018</v>
      </c>
      <c r="G814" s="6" t="str">
        <f aca="false">INDEX(Catalogo_Causas!$B$2:$B$10,MATCH(F814,Catalogo_Causas!$A$2:$A$10,0))</f>
        <v>Falta de personal</v>
      </c>
      <c r="H814" s="6" t="str">
        <f aca="false">INDEX(Catalogo_Causas!$C$2:$C$10,MATCH(F814,Catalogo_Causas!$A$2:$A$10,0))</f>
        <v>Personal</v>
      </c>
      <c r="I814" s="5" t="n">
        <v>66</v>
      </c>
      <c r="J814" s="29" t="n">
        <f aca="false">I814/60</f>
        <v>1.1</v>
      </c>
    </row>
    <row r="815" customFormat="false" ht="15" hidden="false" customHeight="false" outlineLevel="0" collapsed="false">
      <c r="A815" s="5" t="s">
        <v>1857</v>
      </c>
      <c r="B815" s="9" t="n">
        <v>45810</v>
      </c>
      <c r="C815" s="9" t="n">
        <v>45811</v>
      </c>
      <c r="D815" s="5" t="s">
        <v>142</v>
      </c>
      <c r="E815" s="5" t="s">
        <v>1041</v>
      </c>
      <c r="F815" s="5" t="s">
        <v>1002</v>
      </c>
      <c r="G815" s="6" t="str">
        <f aca="false">INDEX(Catalogo_Causas!$B$2:$B$10,MATCH(F815,Catalogo_Causas!$A$2:$A$10,0))</f>
        <v>Falla mecánica</v>
      </c>
      <c r="H815" s="6" t="str">
        <f aca="false">INDEX(Catalogo_Causas!$C$2:$C$10,MATCH(F815,Catalogo_Causas!$A$2:$A$10,0))</f>
        <v>Operacional</v>
      </c>
      <c r="I815" s="5" t="n">
        <v>48</v>
      </c>
      <c r="J815" s="29" t="n">
        <f aca="false">I815/60</f>
        <v>0.8</v>
      </c>
    </row>
    <row r="816" customFormat="false" ht="15" hidden="false" customHeight="false" outlineLevel="0" collapsed="false">
      <c r="A816" s="5" t="s">
        <v>1858</v>
      </c>
      <c r="B816" s="9" t="n">
        <v>45810</v>
      </c>
      <c r="C816" s="9" t="n">
        <v>45812</v>
      </c>
      <c r="D816" s="5" t="s">
        <v>138</v>
      </c>
      <c r="E816" s="5" t="s">
        <v>1056</v>
      </c>
      <c r="F816" s="5" t="s">
        <v>1005</v>
      </c>
      <c r="G816" s="6" t="str">
        <f aca="false">INDEX(Catalogo_Causas!$B$2:$B$10,MATCH(F816,Catalogo_Causas!$A$2:$A$10,0))</f>
        <v>Falla eléctrica / control</v>
      </c>
      <c r="H816" s="6" t="str">
        <f aca="false">INDEX(Catalogo_Causas!$C$2:$C$10,MATCH(F816,Catalogo_Causas!$A$2:$A$10,0))</f>
        <v>Operacional</v>
      </c>
      <c r="I816" s="5" t="n">
        <v>36</v>
      </c>
      <c r="J816" s="29" t="n">
        <f aca="false">I816/60</f>
        <v>0.6</v>
      </c>
    </row>
    <row r="817" customFormat="false" ht="15" hidden="false" customHeight="false" outlineLevel="0" collapsed="false">
      <c r="A817" s="5" t="s">
        <v>1859</v>
      </c>
      <c r="B817" s="9" t="n">
        <v>45810</v>
      </c>
      <c r="C817" s="9" t="n">
        <v>45812</v>
      </c>
      <c r="D817" s="5" t="s">
        <v>140</v>
      </c>
      <c r="E817" s="5" t="s">
        <v>1036</v>
      </c>
      <c r="F817" s="5" t="s">
        <v>1002</v>
      </c>
      <c r="G817" s="6" t="str">
        <f aca="false">INDEX(Catalogo_Causas!$B$2:$B$10,MATCH(F817,Catalogo_Causas!$A$2:$A$10,0))</f>
        <v>Falla mecánica</v>
      </c>
      <c r="H817" s="6" t="str">
        <f aca="false">INDEX(Catalogo_Causas!$C$2:$C$10,MATCH(F817,Catalogo_Causas!$A$2:$A$10,0))</f>
        <v>Operacional</v>
      </c>
      <c r="I817" s="5" t="n">
        <v>10</v>
      </c>
      <c r="J817" s="29" t="n">
        <f aca="false">I817/60</f>
        <v>0.166666666666667</v>
      </c>
    </row>
    <row r="818" customFormat="false" ht="15" hidden="false" customHeight="false" outlineLevel="0" collapsed="false">
      <c r="A818" s="5" t="s">
        <v>1860</v>
      </c>
      <c r="B818" s="9" t="n">
        <v>45810</v>
      </c>
      <c r="C818" s="9" t="n">
        <v>45812</v>
      </c>
      <c r="D818" s="5" t="s">
        <v>142</v>
      </c>
      <c r="E818" s="5" t="s">
        <v>1041</v>
      </c>
      <c r="F818" s="5" t="s">
        <v>1018</v>
      </c>
      <c r="G818" s="6" t="str">
        <f aca="false">INDEX(Catalogo_Causas!$B$2:$B$10,MATCH(F818,Catalogo_Causas!$A$2:$A$10,0))</f>
        <v>Falta de personal</v>
      </c>
      <c r="H818" s="6" t="str">
        <f aca="false">INDEX(Catalogo_Causas!$C$2:$C$10,MATCH(F818,Catalogo_Causas!$A$2:$A$10,0))</f>
        <v>Personal</v>
      </c>
      <c r="I818" s="5" t="n">
        <v>69</v>
      </c>
      <c r="J818" s="29" t="n">
        <f aca="false">I818/60</f>
        <v>1.15</v>
      </c>
    </row>
    <row r="819" customFormat="false" ht="15" hidden="false" customHeight="false" outlineLevel="0" collapsed="false">
      <c r="A819" s="5" t="s">
        <v>1861</v>
      </c>
      <c r="B819" s="9" t="n">
        <v>45810</v>
      </c>
      <c r="C819" s="9" t="n">
        <v>45812</v>
      </c>
      <c r="D819" s="5" t="s">
        <v>144</v>
      </c>
      <c r="E819" s="5" t="s">
        <v>1043</v>
      </c>
      <c r="F819" s="5" t="s">
        <v>1005</v>
      </c>
      <c r="G819" s="6" t="str">
        <f aca="false">INDEX(Catalogo_Causas!$B$2:$B$10,MATCH(F819,Catalogo_Causas!$A$2:$A$10,0))</f>
        <v>Falla eléctrica / control</v>
      </c>
      <c r="H819" s="6" t="str">
        <f aca="false">INDEX(Catalogo_Causas!$C$2:$C$10,MATCH(F819,Catalogo_Causas!$A$2:$A$10,0))</f>
        <v>Operacional</v>
      </c>
      <c r="I819" s="5" t="n">
        <v>41</v>
      </c>
      <c r="J819" s="29" t="n">
        <f aca="false">I819/60</f>
        <v>0.683333333333333</v>
      </c>
    </row>
    <row r="820" customFormat="false" ht="15" hidden="false" customHeight="false" outlineLevel="0" collapsed="false">
      <c r="A820" s="5" t="s">
        <v>1862</v>
      </c>
      <c r="B820" s="9" t="n">
        <v>45810</v>
      </c>
      <c r="C820" s="9" t="n">
        <v>45813</v>
      </c>
      <c r="D820" s="5" t="s">
        <v>130</v>
      </c>
      <c r="E820" s="5" t="s">
        <v>1045</v>
      </c>
      <c r="F820" s="5" t="s">
        <v>1002</v>
      </c>
      <c r="G820" s="6" t="str">
        <f aca="false">INDEX(Catalogo_Causas!$B$2:$B$10,MATCH(F820,Catalogo_Causas!$A$2:$A$10,0))</f>
        <v>Falla mecánica</v>
      </c>
      <c r="H820" s="6" t="str">
        <f aca="false">INDEX(Catalogo_Causas!$C$2:$C$10,MATCH(F820,Catalogo_Causas!$A$2:$A$10,0))</f>
        <v>Operacional</v>
      </c>
      <c r="I820" s="5" t="n">
        <v>40</v>
      </c>
      <c r="J820" s="29" t="n">
        <f aca="false">I820/60</f>
        <v>0.666666666666667</v>
      </c>
    </row>
    <row r="821" customFormat="false" ht="15" hidden="false" customHeight="false" outlineLevel="0" collapsed="false">
      <c r="A821" s="5" t="s">
        <v>1863</v>
      </c>
      <c r="B821" s="9" t="n">
        <v>45810</v>
      </c>
      <c r="C821" s="9" t="n">
        <v>45813</v>
      </c>
      <c r="D821" s="5" t="s">
        <v>136</v>
      </c>
      <c r="E821" s="5" t="s">
        <v>1032</v>
      </c>
      <c r="F821" s="5" t="s">
        <v>1002</v>
      </c>
      <c r="G821" s="6" t="str">
        <f aca="false">INDEX(Catalogo_Causas!$B$2:$B$10,MATCH(F821,Catalogo_Causas!$A$2:$A$10,0))</f>
        <v>Falla mecánica</v>
      </c>
      <c r="H821" s="6" t="str">
        <f aca="false">INDEX(Catalogo_Causas!$C$2:$C$10,MATCH(F821,Catalogo_Causas!$A$2:$A$10,0))</f>
        <v>Operacional</v>
      </c>
      <c r="I821" s="5" t="n">
        <v>44</v>
      </c>
      <c r="J821" s="29" t="n">
        <f aca="false">I821/60</f>
        <v>0.733333333333333</v>
      </c>
    </row>
    <row r="822" customFormat="false" ht="15" hidden="false" customHeight="false" outlineLevel="0" collapsed="false">
      <c r="A822" s="5" t="s">
        <v>1864</v>
      </c>
      <c r="B822" s="9" t="n">
        <v>45810</v>
      </c>
      <c r="C822" s="9" t="n">
        <v>45813</v>
      </c>
      <c r="D822" s="5" t="s">
        <v>138</v>
      </c>
      <c r="E822" s="5" t="s">
        <v>1034</v>
      </c>
      <c r="F822" s="5" t="s">
        <v>1009</v>
      </c>
      <c r="G822" s="6" t="str">
        <f aca="false">INDEX(Catalogo_Causas!$B$2:$B$10,MATCH(F822,Catalogo_Causas!$A$2:$A$10,0))</f>
        <v>Falta de material de empaque</v>
      </c>
      <c r="H822" s="6" t="str">
        <f aca="false">INDEX(Catalogo_Causas!$C$2:$C$10,MATCH(F822,Catalogo_Causas!$A$2:$A$10,0))</f>
        <v>Material / suministro</v>
      </c>
      <c r="I822" s="5" t="n">
        <v>36</v>
      </c>
      <c r="J822" s="29" t="n">
        <f aca="false">I822/60</f>
        <v>0.6</v>
      </c>
    </row>
    <row r="823" customFormat="false" ht="15" hidden="false" customHeight="false" outlineLevel="0" collapsed="false">
      <c r="A823" s="5" t="s">
        <v>1865</v>
      </c>
      <c r="B823" s="9" t="n">
        <v>45810</v>
      </c>
      <c r="C823" s="9" t="n">
        <v>45813</v>
      </c>
      <c r="D823" s="5" t="s">
        <v>142</v>
      </c>
      <c r="E823" s="5" t="s">
        <v>1030</v>
      </c>
      <c r="F823" s="5" t="s">
        <v>1016</v>
      </c>
      <c r="G823" s="6" t="str">
        <f aca="false">INDEX(Catalogo_Causas!$B$2:$B$10,MATCH(F823,Catalogo_Causas!$A$2:$A$10,0))</f>
        <v>Limpieza no programada (CIP)</v>
      </c>
      <c r="H823" s="6" t="str">
        <f aca="false">INDEX(Catalogo_Causas!$C$2:$C$10,MATCH(F823,Catalogo_Causas!$A$2:$A$10,0))</f>
        <v>Calidad</v>
      </c>
      <c r="I823" s="5" t="n">
        <v>55</v>
      </c>
      <c r="J823" s="29" t="n">
        <f aca="false">I823/60</f>
        <v>0.916666666666667</v>
      </c>
    </row>
    <row r="824" customFormat="false" ht="15" hidden="false" customHeight="false" outlineLevel="0" collapsed="false">
      <c r="A824" s="5" t="s">
        <v>1866</v>
      </c>
      <c r="B824" s="9" t="n">
        <v>45810</v>
      </c>
      <c r="C824" s="9" t="n">
        <v>45814</v>
      </c>
      <c r="D824" s="5" t="s">
        <v>132</v>
      </c>
      <c r="E824" s="5" t="s">
        <v>1032</v>
      </c>
      <c r="F824" s="5" t="s">
        <v>1009</v>
      </c>
      <c r="G824" s="6" t="str">
        <f aca="false">INDEX(Catalogo_Causas!$B$2:$B$10,MATCH(F824,Catalogo_Causas!$A$2:$A$10,0))</f>
        <v>Falta de material de empaque</v>
      </c>
      <c r="H824" s="6" t="str">
        <f aca="false">INDEX(Catalogo_Causas!$C$2:$C$10,MATCH(F824,Catalogo_Causas!$A$2:$A$10,0))</f>
        <v>Material / suministro</v>
      </c>
      <c r="I824" s="5" t="n">
        <v>49</v>
      </c>
      <c r="J824" s="29" t="n">
        <f aca="false">I824/60</f>
        <v>0.816666666666667</v>
      </c>
    </row>
    <row r="825" customFormat="false" ht="15" hidden="false" customHeight="false" outlineLevel="0" collapsed="false">
      <c r="A825" s="5" t="s">
        <v>1867</v>
      </c>
      <c r="B825" s="9" t="n">
        <v>45810</v>
      </c>
      <c r="C825" s="9" t="n">
        <v>45814</v>
      </c>
      <c r="D825" s="5" t="s">
        <v>132</v>
      </c>
      <c r="E825" s="5" t="s">
        <v>1073</v>
      </c>
      <c r="F825" s="5" t="s">
        <v>1009</v>
      </c>
      <c r="G825" s="6" t="str">
        <f aca="false">INDEX(Catalogo_Causas!$B$2:$B$10,MATCH(F825,Catalogo_Causas!$A$2:$A$10,0))</f>
        <v>Falta de material de empaque</v>
      </c>
      <c r="H825" s="6" t="str">
        <f aca="false">INDEX(Catalogo_Causas!$C$2:$C$10,MATCH(F825,Catalogo_Causas!$A$2:$A$10,0))</f>
        <v>Material / suministro</v>
      </c>
      <c r="I825" s="5" t="n">
        <v>198</v>
      </c>
      <c r="J825" s="29" t="n">
        <f aca="false">I825/60</f>
        <v>3.3</v>
      </c>
    </row>
    <row r="826" customFormat="false" ht="15" hidden="false" customHeight="false" outlineLevel="0" collapsed="false">
      <c r="A826" s="5" t="s">
        <v>1868</v>
      </c>
      <c r="B826" s="9" t="n">
        <v>45810</v>
      </c>
      <c r="C826" s="9" t="n">
        <v>45814</v>
      </c>
      <c r="D826" s="5" t="s">
        <v>134</v>
      </c>
      <c r="E826" s="5" t="s">
        <v>1054</v>
      </c>
      <c r="F826" s="5" t="s">
        <v>1007</v>
      </c>
      <c r="G826" s="6" t="str">
        <f aca="false">INDEX(Catalogo_Causas!$B$2:$B$10,MATCH(F826,Catalogo_Causas!$A$2:$A$10,0))</f>
        <v>Cambio de formato excedido</v>
      </c>
      <c r="H826" s="6" t="str">
        <f aca="false">INDEX(Catalogo_Causas!$C$2:$C$10,MATCH(F826,Catalogo_Causas!$A$2:$A$10,0))</f>
        <v>Operacional</v>
      </c>
      <c r="I826" s="5" t="n">
        <v>62</v>
      </c>
      <c r="J826" s="29" t="n">
        <f aca="false">I826/60</f>
        <v>1.03333333333333</v>
      </c>
    </row>
    <row r="827" customFormat="false" ht="15" hidden="false" customHeight="false" outlineLevel="0" collapsed="false">
      <c r="A827" s="5" t="s">
        <v>1869</v>
      </c>
      <c r="B827" s="9" t="n">
        <v>45810</v>
      </c>
      <c r="C827" s="9" t="n">
        <v>45815</v>
      </c>
      <c r="D827" s="5" t="s">
        <v>130</v>
      </c>
      <c r="E827" s="5" t="s">
        <v>1030</v>
      </c>
      <c r="F827" s="5" t="s">
        <v>1005</v>
      </c>
      <c r="G827" s="6" t="str">
        <f aca="false">INDEX(Catalogo_Causas!$B$2:$B$10,MATCH(F827,Catalogo_Causas!$A$2:$A$10,0))</f>
        <v>Falla eléctrica / control</v>
      </c>
      <c r="H827" s="6" t="str">
        <f aca="false">INDEX(Catalogo_Causas!$C$2:$C$10,MATCH(F827,Catalogo_Causas!$A$2:$A$10,0))</f>
        <v>Operacional</v>
      </c>
      <c r="I827" s="5" t="n">
        <v>194</v>
      </c>
      <c r="J827" s="29" t="n">
        <f aca="false">I827/60</f>
        <v>3.23333333333333</v>
      </c>
    </row>
    <row r="828" customFormat="false" ht="15" hidden="false" customHeight="false" outlineLevel="0" collapsed="false">
      <c r="A828" s="5" t="s">
        <v>1870</v>
      </c>
      <c r="B828" s="9" t="n">
        <v>45810</v>
      </c>
      <c r="C828" s="9" t="n">
        <v>45815</v>
      </c>
      <c r="D828" s="5" t="s">
        <v>136</v>
      </c>
      <c r="E828" s="5" t="s">
        <v>1032</v>
      </c>
      <c r="F828" s="5" t="s">
        <v>1012</v>
      </c>
      <c r="G828" s="6" t="str">
        <f aca="false">INDEX(Catalogo_Causas!$B$2:$B$10,MATCH(F828,Catalogo_Causas!$A$2:$A$10,0))</f>
        <v>Falta de materia prima</v>
      </c>
      <c r="H828" s="6" t="str">
        <f aca="false">INDEX(Catalogo_Causas!$C$2:$C$10,MATCH(F828,Catalogo_Causas!$A$2:$A$10,0))</f>
        <v>Material / suministro</v>
      </c>
      <c r="I828" s="5" t="n">
        <v>260</v>
      </c>
      <c r="J828" s="29" t="n">
        <f aca="false">I828/60</f>
        <v>4.33333333333333</v>
      </c>
    </row>
    <row r="829" customFormat="false" ht="15" hidden="false" customHeight="false" outlineLevel="0" collapsed="false">
      <c r="A829" s="5" t="s">
        <v>1871</v>
      </c>
      <c r="B829" s="9" t="n">
        <v>45810</v>
      </c>
      <c r="C829" s="9" t="n">
        <v>45815</v>
      </c>
      <c r="D829" s="5" t="s">
        <v>140</v>
      </c>
      <c r="E829" s="5" t="s">
        <v>1032</v>
      </c>
      <c r="F829" s="5" t="s">
        <v>1002</v>
      </c>
      <c r="G829" s="6" t="str">
        <f aca="false">INDEX(Catalogo_Causas!$B$2:$B$10,MATCH(F829,Catalogo_Causas!$A$2:$A$10,0))</f>
        <v>Falla mecánica</v>
      </c>
      <c r="H829" s="6" t="str">
        <f aca="false">INDEX(Catalogo_Causas!$C$2:$C$10,MATCH(F829,Catalogo_Causas!$A$2:$A$10,0))</f>
        <v>Operacional</v>
      </c>
      <c r="I829" s="5" t="n">
        <v>100</v>
      </c>
      <c r="J829" s="29" t="n">
        <f aca="false">I829/60</f>
        <v>1.66666666666667</v>
      </c>
    </row>
    <row r="830" customFormat="false" ht="15" hidden="false" customHeight="false" outlineLevel="0" collapsed="false">
      <c r="A830" s="5" t="s">
        <v>1872</v>
      </c>
      <c r="B830" s="9" t="n">
        <v>45817</v>
      </c>
      <c r="C830" s="9" t="n">
        <v>45817</v>
      </c>
      <c r="D830" s="5" t="s">
        <v>138</v>
      </c>
      <c r="E830" s="5" t="s">
        <v>1034</v>
      </c>
      <c r="F830" s="5" t="s">
        <v>1016</v>
      </c>
      <c r="G830" s="6" t="str">
        <f aca="false">INDEX(Catalogo_Causas!$B$2:$B$10,MATCH(F830,Catalogo_Causas!$A$2:$A$10,0))</f>
        <v>Limpieza no programada (CIP)</v>
      </c>
      <c r="H830" s="6" t="str">
        <f aca="false">INDEX(Catalogo_Causas!$C$2:$C$10,MATCH(F830,Catalogo_Causas!$A$2:$A$10,0))</f>
        <v>Calidad</v>
      </c>
      <c r="I830" s="5" t="n">
        <v>61</v>
      </c>
      <c r="J830" s="29" t="n">
        <f aca="false">I830/60</f>
        <v>1.01666666666667</v>
      </c>
    </row>
    <row r="831" customFormat="false" ht="15" hidden="false" customHeight="false" outlineLevel="0" collapsed="false">
      <c r="A831" s="5" t="s">
        <v>1873</v>
      </c>
      <c r="B831" s="9" t="n">
        <v>45817</v>
      </c>
      <c r="C831" s="9" t="n">
        <v>45817</v>
      </c>
      <c r="D831" s="5" t="s">
        <v>140</v>
      </c>
      <c r="E831" s="5" t="s">
        <v>1032</v>
      </c>
      <c r="F831" s="5" t="s">
        <v>1005</v>
      </c>
      <c r="G831" s="6" t="str">
        <f aca="false">INDEX(Catalogo_Causas!$B$2:$B$10,MATCH(F831,Catalogo_Causas!$A$2:$A$10,0))</f>
        <v>Falla eléctrica / control</v>
      </c>
      <c r="H831" s="6" t="str">
        <f aca="false">INDEX(Catalogo_Causas!$C$2:$C$10,MATCH(F831,Catalogo_Causas!$A$2:$A$10,0))</f>
        <v>Operacional</v>
      </c>
      <c r="I831" s="5" t="n">
        <v>41</v>
      </c>
      <c r="J831" s="29" t="n">
        <f aca="false">I831/60</f>
        <v>0.683333333333333</v>
      </c>
    </row>
    <row r="832" customFormat="false" ht="15" hidden="false" customHeight="false" outlineLevel="0" collapsed="false">
      <c r="A832" s="5" t="s">
        <v>1874</v>
      </c>
      <c r="B832" s="9" t="n">
        <v>45817</v>
      </c>
      <c r="C832" s="9" t="n">
        <v>45817</v>
      </c>
      <c r="D832" s="5" t="s">
        <v>142</v>
      </c>
      <c r="E832" s="5" t="s">
        <v>1030</v>
      </c>
      <c r="F832" s="5" t="s">
        <v>1005</v>
      </c>
      <c r="G832" s="6" t="str">
        <f aca="false">INDEX(Catalogo_Causas!$B$2:$B$10,MATCH(F832,Catalogo_Causas!$A$2:$A$10,0))</f>
        <v>Falla eléctrica / control</v>
      </c>
      <c r="H832" s="6" t="str">
        <f aca="false">INDEX(Catalogo_Causas!$C$2:$C$10,MATCH(F832,Catalogo_Causas!$A$2:$A$10,0))</f>
        <v>Operacional</v>
      </c>
      <c r="I832" s="5" t="n">
        <v>30</v>
      </c>
      <c r="J832" s="29" t="n">
        <f aca="false">I832/60</f>
        <v>0.5</v>
      </c>
    </row>
    <row r="833" customFormat="false" ht="15" hidden="false" customHeight="false" outlineLevel="0" collapsed="false">
      <c r="A833" s="5" t="s">
        <v>1875</v>
      </c>
      <c r="B833" s="9" t="n">
        <v>45817</v>
      </c>
      <c r="C833" s="9" t="n">
        <v>45818</v>
      </c>
      <c r="D833" s="5" t="s">
        <v>130</v>
      </c>
      <c r="E833" s="5" t="s">
        <v>1045</v>
      </c>
      <c r="F833" s="5" t="s">
        <v>1009</v>
      </c>
      <c r="G833" s="6" t="str">
        <f aca="false">INDEX(Catalogo_Causas!$B$2:$B$10,MATCH(F833,Catalogo_Causas!$A$2:$A$10,0))</f>
        <v>Falta de material de empaque</v>
      </c>
      <c r="H833" s="6" t="str">
        <f aca="false">INDEX(Catalogo_Causas!$C$2:$C$10,MATCH(F833,Catalogo_Causas!$A$2:$A$10,0))</f>
        <v>Material / suministro</v>
      </c>
      <c r="I833" s="5" t="n">
        <v>53</v>
      </c>
      <c r="J833" s="29" t="n">
        <f aca="false">I833/60</f>
        <v>0.883333333333333</v>
      </c>
    </row>
    <row r="834" customFormat="false" ht="15" hidden="false" customHeight="false" outlineLevel="0" collapsed="false">
      <c r="A834" s="5" t="s">
        <v>1876</v>
      </c>
      <c r="B834" s="9" t="n">
        <v>45817</v>
      </c>
      <c r="C834" s="9" t="n">
        <v>45818</v>
      </c>
      <c r="D834" s="5" t="s">
        <v>132</v>
      </c>
      <c r="E834" s="5" t="s">
        <v>1084</v>
      </c>
      <c r="F834" s="5" t="s">
        <v>1002</v>
      </c>
      <c r="G834" s="6" t="str">
        <f aca="false">INDEX(Catalogo_Causas!$B$2:$B$10,MATCH(F834,Catalogo_Causas!$A$2:$A$10,0))</f>
        <v>Falla mecánica</v>
      </c>
      <c r="H834" s="6" t="str">
        <f aca="false">INDEX(Catalogo_Causas!$C$2:$C$10,MATCH(F834,Catalogo_Causas!$A$2:$A$10,0))</f>
        <v>Operacional</v>
      </c>
      <c r="I834" s="5" t="n">
        <v>99</v>
      </c>
      <c r="J834" s="29" t="n">
        <f aca="false">I834/60</f>
        <v>1.65</v>
      </c>
    </row>
    <row r="835" customFormat="false" ht="15" hidden="false" customHeight="false" outlineLevel="0" collapsed="false">
      <c r="A835" s="5" t="s">
        <v>1877</v>
      </c>
      <c r="B835" s="9" t="n">
        <v>45817</v>
      </c>
      <c r="C835" s="9" t="n">
        <v>45818</v>
      </c>
      <c r="D835" s="5" t="s">
        <v>136</v>
      </c>
      <c r="E835" s="5" t="s">
        <v>1101</v>
      </c>
      <c r="F835" s="5" t="s">
        <v>1018</v>
      </c>
      <c r="G835" s="6" t="str">
        <f aca="false">INDEX(Catalogo_Causas!$B$2:$B$10,MATCH(F835,Catalogo_Causas!$A$2:$A$10,0))</f>
        <v>Falta de personal</v>
      </c>
      <c r="H835" s="6" t="str">
        <f aca="false">INDEX(Catalogo_Causas!$C$2:$C$10,MATCH(F835,Catalogo_Causas!$A$2:$A$10,0))</f>
        <v>Personal</v>
      </c>
      <c r="I835" s="5" t="n">
        <v>13</v>
      </c>
      <c r="J835" s="29" t="n">
        <f aca="false">I835/60</f>
        <v>0.216666666666667</v>
      </c>
    </row>
    <row r="836" customFormat="false" ht="15" hidden="false" customHeight="false" outlineLevel="0" collapsed="false">
      <c r="A836" s="5" t="s">
        <v>1878</v>
      </c>
      <c r="B836" s="9" t="n">
        <v>45817</v>
      </c>
      <c r="C836" s="9" t="n">
        <v>45818</v>
      </c>
      <c r="D836" s="5" t="s">
        <v>136</v>
      </c>
      <c r="E836" s="5" t="s">
        <v>1032</v>
      </c>
      <c r="F836" s="5" t="s">
        <v>1005</v>
      </c>
      <c r="G836" s="6" t="str">
        <f aca="false">INDEX(Catalogo_Causas!$B$2:$B$10,MATCH(F836,Catalogo_Causas!$A$2:$A$10,0))</f>
        <v>Falla eléctrica / control</v>
      </c>
      <c r="H836" s="6" t="str">
        <f aca="false">INDEX(Catalogo_Causas!$C$2:$C$10,MATCH(F836,Catalogo_Causas!$A$2:$A$10,0))</f>
        <v>Operacional</v>
      </c>
      <c r="I836" s="5" t="n">
        <v>24</v>
      </c>
      <c r="J836" s="29" t="n">
        <f aca="false">I836/60</f>
        <v>0.4</v>
      </c>
    </row>
    <row r="837" customFormat="false" ht="15" hidden="false" customHeight="false" outlineLevel="0" collapsed="false">
      <c r="A837" s="5" t="s">
        <v>1879</v>
      </c>
      <c r="B837" s="9" t="n">
        <v>45817</v>
      </c>
      <c r="C837" s="9" t="n">
        <v>45818</v>
      </c>
      <c r="D837" s="5" t="s">
        <v>138</v>
      </c>
      <c r="E837" s="5" t="s">
        <v>1034</v>
      </c>
      <c r="F837" s="5" t="s">
        <v>1018</v>
      </c>
      <c r="G837" s="6" t="str">
        <f aca="false">INDEX(Catalogo_Causas!$B$2:$B$10,MATCH(F837,Catalogo_Causas!$A$2:$A$10,0))</f>
        <v>Falta de personal</v>
      </c>
      <c r="H837" s="6" t="str">
        <f aca="false">INDEX(Catalogo_Causas!$C$2:$C$10,MATCH(F837,Catalogo_Causas!$A$2:$A$10,0))</f>
        <v>Personal</v>
      </c>
      <c r="I837" s="5" t="n">
        <v>96</v>
      </c>
      <c r="J837" s="29" t="n">
        <f aca="false">I837/60</f>
        <v>1.6</v>
      </c>
    </row>
    <row r="838" customFormat="false" ht="15" hidden="false" customHeight="false" outlineLevel="0" collapsed="false">
      <c r="A838" s="5" t="s">
        <v>1880</v>
      </c>
      <c r="B838" s="9" t="n">
        <v>45817</v>
      </c>
      <c r="C838" s="9" t="n">
        <v>45818</v>
      </c>
      <c r="D838" s="5" t="s">
        <v>138</v>
      </c>
      <c r="E838" s="5" t="s">
        <v>1034</v>
      </c>
      <c r="F838" s="5" t="s">
        <v>1005</v>
      </c>
      <c r="G838" s="6" t="str">
        <f aca="false">INDEX(Catalogo_Causas!$B$2:$B$10,MATCH(F838,Catalogo_Causas!$A$2:$A$10,0))</f>
        <v>Falla eléctrica / control</v>
      </c>
      <c r="H838" s="6" t="str">
        <f aca="false">INDEX(Catalogo_Causas!$C$2:$C$10,MATCH(F838,Catalogo_Causas!$A$2:$A$10,0))</f>
        <v>Operacional</v>
      </c>
      <c r="I838" s="5" t="n">
        <v>70</v>
      </c>
      <c r="J838" s="29" t="n">
        <f aca="false">I838/60</f>
        <v>1.16666666666667</v>
      </c>
    </row>
    <row r="839" customFormat="false" ht="15" hidden="false" customHeight="false" outlineLevel="0" collapsed="false">
      <c r="A839" s="5" t="s">
        <v>1881</v>
      </c>
      <c r="B839" s="9" t="n">
        <v>45817</v>
      </c>
      <c r="C839" s="9" t="n">
        <v>45818</v>
      </c>
      <c r="D839" s="5" t="s">
        <v>142</v>
      </c>
      <c r="E839" s="5" t="s">
        <v>1041</v>
      </c>
      <c r="F839" s="5" t="s">
        <v>1002</v>
      </c>
      <c r="G839" s="6" t="str">
        <f aca="false">INDEX(Catalogo_Causas!$B$2:$B$10,MATCH(F839,Catalogo_Causas!$A$2:$A$10,0))</f>
        <v>Falla mecánica</v>
      </c>
      <c r="H839" s="6" t="str">
        <f aca="false">INDEX(Catalogo_Causas!$C$2:$C$10,MATCH(F839,Catalogo_Causas!$A$2:$A$10,0))</f>
        <v>Operacional</v>
      </c>
      <c r="I839" s="5" t="n">
        <v>87</v>
      </c>
      <c r="J839" s="29" t="n">
        <f aca="false">I839/60</f>
        <v>1.45</v>
      </c>
    </row>
    <row r="840" customFormat="false" ht="15" hidden="false" customHeight="false" outlineLevel="0" collapsed="false">
      <c r="A840" s="5" t="s">
        <v>1882</v>
      </c>
      <c r="B840" s="9" t="n">
        <v>45817</v>
      </c>
      <c r="C840" s="9" t="n">
        <v>45818</v>
      </c>
      <c r="D840" s="5" t="s">
        <v>144</v>
      </c>
      <c r="E840" s="5" t="s">
        <v>1043</v>
      </c>
      <c r="F840" s="5" t="s">
        <v>1014</v>
      </c>
      <c r="G840" s="6" t="str">
        <f aca="false">INDEX(Catalogo_Causas!$B$2:$B$10,MATCH(F840,Catalogo_Causas!$A$2:$A$10,0))</f>
        <v>Retención de calidad</v>
      </c>
      <c r="H840" s="6" t="str">
        <f aca="false">INDEX(Catalogo_Causas!$C$2:$C$10,MATCH(F840,Catalogo_Causas!$A$2:$A$10,0))</f>
        <v>Calidad</v>
      </c>
      <c r="I840" s="5" t="n">
        <v>31</v>
      </c>
      <c r="J840" s="29" t="n">
        <f aca="false">I840/60</f>
        <v>0.516666666666667</v>
      </c>
    </row>
    <row r="841" customFormat="false" ht="15" hidden="false" customHeight="false" outlineLevel="0" collapsed="false">
      <c r="A841" s="5" t="s">
        <v>1883</v>
      </c>
      <c r="B841" s="9" t="n">
        <v>45817</v>
      </c>
      <c r="C841" s="9" t="n">
        <v>45819</v>
      </c>
      <c r="D841" s="5" t="s">
        <v>132</v>
      </c>
      <c r="E841" s="5" t="s">
        <v>1032</v>
      </c>
      <c r="F841" s="5" t="s">
        <v>1002</v>
      </c>
      <c r="G841" s="6" t="str">
        <f aca="false">INDEX(Catalogo_Causas!$B$2:$B$10,MATCH(F841,Catalogo_Causas!$A$2:$A$10,0))</f>
        <v>Falla mecánica</v>
      </c>
      <c r="H841" s="6" t="str">
        <f aca="false">INDEX(Catalogo_Causas!$C$2:$C$10,MATCH(F841,Catalogo_Causas!$A$2:$A$10,0))</f>
        <v>Operacional</v>
      </c>
      <c r="I841" s="5" t="n">
        <v>33</v>
      </c>
      <c r="J841" s="29" t="n">
        <f aca="false">I841/60</f>
        <v>0.55</v>
      </c>
    </row>
    <row r="842" customFormat="false" ht="15" hidden="false" customHeight="false" outlineLevel="0" collapsed="false">
      <c r="A842" s="5" t="s">
        <v>1884</v>
      </c>
      <c r="B842" s="9" t="n">
        <v>45817</v>
      </c>
      <c r="C842" s="9" t="n">
        <v>45819</v>
      </c>
      <c r="D842" s="5" t="s">
        <v>134</v>
      </c>
      <c r="E842" s="5" t="s">
        <v>1054</v>
      </c>
      <c r="F842" s="5" t="s">
        <v>1014</v>
      </c>
      <c r="G842" s="6" t="str">
        <f aca="false">INDEX(Catalogo_Causas!$B$2:$B$10,MATCH(F842,Catalogo_Causas!$A$2:$A$10,0))</f>
        <v>Retención de calidad</v>
      </c>
      <c r="H842" s="6" t="str">
        <f aca="false">INDEX(Catalogo_Causas!$C$2:$C$10,MATCH(F842,Catalogo_Causas!$A$2:$A$10,0))</f>
        <v>Calidad</v>
      </c>
      <c r="I842" s="5" t="n">
        <v>59</v>
      </c>
      <c r="J842" s="29" t="n">
        <f aca="false">I842/60</f>
        <v>0.983333333333333</v>
      </c>
    </row>
    <row r="843" customFormat="false" ht="15" hidden="false" customHeight="false" outlineLevel="0" collapsed="false">
      <c r="A843" s="5" t="s">
        <v>1885</v>
      </c>
      <c r="B843" s="9" t="n">
        <v>45817</v>
      </c>
      <c r="C843" s="9" t="n">
        <v>45819</v>
      </c>
      <c r="D843" s="5" t="s">
        <v>134</v>
      </c>
      <c r="E843" s="5" t="s">
        <v>1032</v>
      </c>
      <c r="F843" s="5" t="s">
        <v>1021</v>
      </c>
      <c r="G843" s="6" t="str">
        <f aca="false">INDEX(Catalogo_Causas!$B$2:$B$10,MATCH(F843,Catalogo_Causas!$A$2:$A$10,0))</f>
        <v>Falla de servicios (vapor/amoniaco/aire)</v>
      </c>
      <c r="H843" s="6" t="str">
        <f aca="false">INDEX(Catalogo_Causas!$C$2:$C$10,MATCH(F843,Catalogo_Causas!$A$2:$A$10,0))</f>
        <v>Servicios</v>
      </c>
      <c r="I843" s="5" t="n">
        <v>112</v>
      </c>
      <c r="J843" s="29" t="n">
        <f aca="false">I843/60</f>
        <v>1.86666666666667</v>
      </c>
    </row>
    <row r="844" customFormat="false" ht="15" hidden="false" customHeight="false" outlineLevel="0" collapsed="false">
      <c r="A844" s="5" t="s">
        <v>1886</v>
      </c>
      <c r="B844" s="9" t="n">
        <v>45817</v>
      </c>
      <c r="C844" s="9" t="n">
        <v>45819</v>
      </c>
      <c r="D844" s="5" t="s">
        <v>140</v>
      </c>
      <c r="E844" s="5" t="s">
        <v>1036</v>
      </c>
      <c r="F844" s="5" t="s">
        <v>1009</v>
      </c>
      <c r="G844" s="6" t="str">
        <f aca="false">INDEX(Catalogo_Causas!$B$2:$B$10,MATCH(F844,Catalogo_Causas!$A$2:$A$10,0))</f>
        <v>Falta de material de empaque</v>
      </c>
      <c r="H844" s="6" t="str">
        <f aca="false">INDEX(Catalogo_Causas!$C$2:$C$10,MATCH(F844,Catalogo_Causas!$A$2:$A$10,0))</f>
        <v>Material / suministro</v>
      </c>
      <c r="I844" s="5" t="n">
        <v>97</v>
      </c>
      <c r="J844" s="29" t="n">
        <f aca="false">I844/60</f>
        <v>1.61666666666667</v>
      </c>
    </row>
    <row r="845" customFormat="false" ht="15" hidden="false" customHeight="false" outlineLevel="0" collapsed="false">
      <c r="A845" s="5" t="s">
        <v>1887</v>
      </c>
      <c r="B845" s="9" t="n">
        <v>45817</v>
      </c>
      <c r="C845" s="9" t="n">
        <v>45819</v>
      </c>
      <c r="D845" s="5" t="s">
        <v>142</v>
      </c>
      <c r="E845" s="5" t="s">
        <v>1041</v>
      </c>
      <c r="F845" s="5" t="s">
        <v>1005</v>
      </c>
      <c r="G845" s="6" t="str">
        <f aca="false">INDEX(Catalogo_Causas!$B$2:$B$10,MATCH(F845,Catalogo_Causas!$A$2:$A$10,0))</f>
        <v>Falla eléctrica / control</v>
      </c>
      <c r="H845" s="6" t="str">
        <f aca="false">INDEX(Catalogo_Causas!$C$2:$C$10,MATCH(F845,Catalogo_Causas!$A$2:$A$10,0))</f>
        <v>Operacional</v>
      </c>
      <c r="I845" s="5" t="n">
        <v>88</v>
      </c>
      <c r="J845" s="29" t="n">
        <f aca="false">I845/60</f>
        <v>1.46666666666667</v>
      </c>
    </row>
    <row r="846" customFormat="false" ht="15" hidden="false" customHeight="false" outlineLevel="0" collapsed="false">
      <c r="A846" s="5" t="s">
        <v>1888</v>
      </c>
      <c r="B846" s="9" t="n">
        <v>45817</v>
      </c>
      <c r="C846" s="9" t="n">
        <v>45820</v>
      </c>
      <c r="D846" s="5" t="s">
        <v>130</v>
      </c>
      <c r="E846" s="5" t="s">
        <v>1078</v>
      </c>
      <c r="F846" s="5" t="s">
        <v>1016</v>
      </c>
      <c r="G846" s="6" t="str">
        <f aca="false">INDEX(Catalogo_Causas!$B$2:$B$10,MATCH(F846,Catalogo_Causas!$A$2:$A$10,0))</f>
        <v>Limpieza no programada (CIP)</v>
      </c>
      <c r="H846" s="6" t="str">
        <f aca="false">INDEX(Catalogo_Causas!$C$2:$C$10,MATCH(F846,Catalogo_Causas!$A$2:$A$10,0))</f>
        <v>Calidad</v>
      </c>
      <c r="I846" s="5" t="n">
        <v>80</v>
      </c>
      <c r="J846" s="29" t="n">
        <f aca="false">I846/60</f>
        <v>1.33333333333333</v>
      </c>
    </row>
    <row r="847" customFormat="false" ht="15" hidden="false" customHeight="false" outlineLevel="0" collapsed="false">
      <c r="A847" s="5" t="s">
        <v>1889</v>
      </c>
      <c r="B847" s="9" t="n">
        <v>45817</v>
      </c>
      <c r="C847" s="9" t="n">
        <v>45820</v>
      </c>
      <c r="D847" s="5" t="s">
        <v>144</v>
      </c>
      <c r="E847" s="5" t="s">
        <v>1030</v>
      </c>
      <c r="F847" s="5" t="s">
        <v>1012</v>
      </c>
      <c r="G847" s="6" t="str">
        <f aca="false">INDEX(Catalogo_Causas!$B$2:$B$10,MATCH(F847,Catalogo_Causas!$A$2:$A$10,0))</f>
        <v>Falta de materia prima</v>
      </c>
      <c r="H847" s="6" t="str">
        <f aca="false">INDEX(Catalogo_Causas!$C$2:$C$10,MATCH(F847,Catalogo_Causas!$A$2:$A$10,0))</f>
        <v>Material / suministro</v>
      </c>
      <c r="I847" s="5" t="n">
        <v>36</v>
      </c>
      <c r="J847" s="29" t="n">
        <f aca="false">I847/60</f>
        <v>0.6</v>
      </c>
    </row>
    <row r="848" customFormat="false" ht="15" hidden="false" customHeight="false" outlineLevel="0" collapsed="false">
      <c r="A848" s="5" t="s">
        <v>1890</v>
      </c>
      <c r="B848" s="9" t="n">
        <v>45817</v>
      </c>
      <c r="C848" s="9" t="n">
        <v>45821</v>
      </c>
      <c r="D848" s="5" t="s">
        <v>132</v>
      </c>
      <c r="E848" s="5" t="s">
        <v>1032</v>
      </c>
      <c r="F848" s="5" t="s">
        <v>1009</v>
      </c>
      <c r="G848" s="6" t="str">
        <f aca="false">INDEX(Catalogo_Causas!$B$2:$B$10,MATCH(F848,Catalogo_Causas!$A$2:$A$10,0))</f>
        <v>Falta de material de empaque</v>
      </c>
      <c r="H848" s="6" t="str">
        <f aca="false">INDEX(Catalogo_Causas!$C$2:$C$10,MATCH(F848,Catalogo_Causas!$A$2:$A$10,0))</f>
        <v>Material / suministro</v>
      </c>
      <c r="I848" s="5" t="n">
        <v>92</v>
      </c>
      <c r="J848" s="29" t="n">
        <f aca="false">I848/60</f>
        <v>1.53333333333333</v>
      </c>
    </row>
    <row r="849" customFormat="false" ht="15" hidden="false" customHeight="false" outlineLevel="0" collapsed="false">
      <c r="A849" s="5" t="s">
        <v>1891</v>
      </c>
      <c r="B849" s="9" t="n">
        <v>45817</v>
      </c>
      <c r="C849" s="9" t="n">
        <v>45821</v>
      </c>
      <c r="D849" s="5" t="s">
        <v>138</v>
      </c>
      <c r="E849" s="5" t="s">
        <v>1034</v>
      </c>
      <c r="F849" s="5" t="s">
        <v>1018</v>
      </c>
      <c r="G849" s="6" t="str">
        <f aca="false">INDEX(Catalogo_Causas!$B$2:$B$10,MATCH(F849,Catalogo_Causas!$A$2:$A$10,0))</f>
        <v>Falta de personal</v>
      </c>
      <c r="H849" s="6" t="str">
        <f aca="false">INDEX(Catalogo_Causas!$C$2:$C$10,MATCH(F849,Catalogo_Causas!$A$2:$A$10,0))</f>
        <v>Personal</v>
      </c>
      <c r="I849" s="5" t="n">
        <v>78</v>
      </c>
      <c r="J849" s="29" t="n">
        <f aca="false">I849/60</f>
        <v>1.3</v>
      </c>
    </row>
    <row r="850" customFormat="false" ht="15" hidden="false" customHeight="false" outlineLevel="0" collapsed="false">
      <c r="A850" s="5" t="s">
        <v>1892</v>
      </c>
      <c r="B850" s="9" t="n">
        <v>45817</v>
      </c>
      <c r="C850" s="9" t="n">
        <v>45821</v>
      </c>
      <c r="D850" s="5" t="s">
        <v>138</v>
      </c>
      <c r="E850" s="5" t="s">
        <v>1034</v>
      </c>
      <c r="F850" s="5" t="s">
        <v>1007</v>
      </c>
      <c r="G850" s="6" t="str">
        <f aca="false">INDEX(Catalogo_Causas!$B$2:$B$10,MATCH(F850,Catalogo_Causas!$A$2:$A$10,0))</f>
        <v>Cambio de formato excedido</v>
      </c>
      <c r="H850" s="6" t="str">
        <f aca="false">INDEX(Catalogo_Causas!$C$2:$C$10,MATCH(F850,Catalogo_Causas!$A$2:$A$10,0))</f>
        <v>Operacional</v>
      </c>
      <c r="I850" s="5" t="n">
        <v>47</v>
      </c>
      <c r="J850" s="29" t="n">
        <f aca="false">I850/60</f>
        <v>0.783333333333333</v>
      </c>
    </row>
    <row r="851" customFormat="false" ht="15" hidden="false" customHeight="false" outlineLevel="0" collapsed="false">
      <c r="A851" s="5" t="s">
        <v>1893</v>
      </c>
      <c r="B851" s="9" t="n">
        <v>45817</v>
      </c>
      <c r="C851" s="9" t="n">
        <v>45822</v>
      </c>
      <c r="D851" s="5" t="s">
        <v>140</v>
      </c>
      <c r="E851" s="5" t="s">
        <v>1036</v>
      </c>
      <c r="F851" s="5" t="s">
        <v>1007</v>
      </c>
      <c r="G851" s="6" t="str">
        <f aca="false">INDEX(Catalogo_Causas!$B$2:$B$10,MATCH(F851,Catalogo_Causas!$A$2:$A$10,0))</f>
        <v>Cambio de formato excedido</v>
      </c>
      <c r="H851" s="6" t="str">
        <f aca="false">INDEX(Catalogo_Causas!$C$2:$C$10,MATCH(F851,Catalogo_Causas!$A$2:$A$10,0))</f>
        <v>Operacional</v>
      </c>
      <c r="I851" s="5" t="n">
        <v>68</v>
      </c>
      <c r="J851" s="29" t="n">
        <f aca="false">I851/60</f>
        <v>1.13333333333333</v>
      </c>
    </row>
    <row r="852" customFormat="false" ht="15" hidden="false" customHeight="false" outlineLevel="0" collapsed="false">
      <c r="A852" s="5" t="s">
        <v>1894</v>
      </c>
      <c r="B852" s="9" t="n">
        <v>45817</v>
      </c>
      <c r="C852" s="9" t="n">
        <v>45822</v>
      </c>
      <c r="D852" s="5" t="s">
        <v>140</v>
      </c>
      <c r="E852" s="5" t="s">
        <v>1032</v>
      </c>
      <c r="F852" s="5" t="s">
        <v>1016</v>
      </c>
      <c r="G852" s="6" t="str">
        <f aca="false">INDEX(Catalogo_Causas!$B$2:$B$10,MATCH(F852,Catalogo_Causas!$A$2:$A$10,0))</f>
        <v>Limpieza no programada (CIP)</v>
      </c>
      <c r="H852" s="6" t="str">
        <f aca="false">INDEX(Catalogo_Causas!$C$2:$C$10,MATCH(F852,Catalogo_Causas!$A$2:$A$10,0))</f>
        <v>Calidad</v>
      </c>
      <c r="I852" s="5" t="n">
        <v>67</v>
      </c>
      <c r="J852" s="29" t="n">
        <f aca="false">I852/60</f>
        <v>1.11666666666667</v>
      </c>
    </row>
    <row r="853" customFormat="false" ht="15" hidden="false" customHeight="false" outlineLevel="0" collapsed="false">
      <c r="A853" s="5" t="s">
        <v>1895</v>
      </c>
      <c r="B853" s="9" t="n">
        <v>45817</v>
      </c>
      <c r="C853" s="9" t="n">
        <v>45822</v>
      </c>
      <c r="D853" s="5" t="s">
        <v>142</v>
      </c>
      <c r="E853" s="5" t="s">
        <v>1030</v>
      </c>
      <c r="F853" s="5" t="s">
        <v>1012</v>
      </c>
      <c r="G853" s="6" t="str">
        <f aca="false">INDEX(Catalogo_Causas!$B$2:$B$10,MATCH(F853,Catalogo_Causas!$A$2:$A$10,0))</f>
        <v>Falta de materia prima</v>
      </c>
      <c r="H853" s="6" t="str">
        <f aca="false">INDEX(Catalogo_Causas!$C$2:$C$10,MATCH(F853,Catalogo_Causas!$A$2:$A$10,0))</f>
        <v>Material / suministro</v>
      </c>
      <c r="I853" s="5" t="n">
        <v>47</v>
      </c>
      <c r="J853" s="29" t="n">
        <f aca="false">I853/60</f>
        <v>0.783333333333333</v>
      </c>
    </row>
    <row r="854" customFormat="false" ht="15" hidden="false" customHeight="false" outlineLevel="0" collapsed="false">
      <c r="A854" s="5" t="s">
        <v>1896</v>
      </c>
      <c r="B854" s="9" t="n">
        <v>45824</v>
      </c>
      <c r="C854" s="9" t="n">
        <v>45824</v>
      </c>
      <c r="D854" s="5" t="s">
        <v>134</v>
      </c>
      <c r="E854" s="5" t="s">
        <v>1032</v>
      </c>
      <c r="F854" s="5" t="s">
        <v>1002</v>
      </c>
      <c r="G854" s="6" t="str">
        <f aca="false">INDEX(Catalogo_Causas!$B$2:$B$10,MATCH(F854,Catalogo_Causas!$A$2:$A$10,0))</f>
        <v>Falla mecánica</v>
      </c>
      <c r="H854" s="6" t="str">
        <f aca="false">INDEX(Catalogo_Causas!$C$2:$C$10,MATCH(F854,Catalogo_Causas!$A$2:$A$10,0))</f>
        <v>Operacional</v>
      </c>
      <c r="I854" s="5" t="n">
        <v>38</v>
      </c>
      <c r="J854" s="29" t="n">
        <f aca="false">I854/60</f>
        <v>0.633333333333333</v>
      </c>
    </row>
    <row r="855" customFormat="false" ht="15" hidden="false" customHeight="false" outlineLevel="0" collapsed="false">
      <c r="A855" s="5" t="s">
        <v>1897</v>
      </c>
      <c r="B855" s="9" t="n">
        <v>45824</v>
      </c>
      <c r="C855" s="9" t="n">
        <v>45824</v>
      </c>
      <c r="D855" s="5" t="s">
        <v>136</v>
      </c>
      <c r="E855" s="5" t="s">
        <v>1032</v>
      </c>
      <c r="F855" s="5" t="s">
        <v>1014</v>
      </c>
      <c r="G855" s="6" t="str">
        <f aca="false">INDEX(Catalogo_Causas!$B$2:$B$10,MATCH(F855,Catalogo_Causas!$A$2:$A$10,0))</f>
        <v>Retención de calidad</v>
      </c>
      <c r="H855" s="6" t="str">
        <f aca="false">INDEX(Catalogo_Causas!$C$2:$C$10,MATCH(F855,Catalogo_Causas!$A$2:$A$10,0))</f>
        <v>Calidad</v>
      </c>
      <c r="I855" s="5" t="n">
        <v>61</v>
      </c>
      <c r="J855" s="29" t="n">
        <f aca="false">I855/60</f>
        <v>1.01666666666667</v>
      </c>
    </row>
    <row r="856" customFormat="false" ht="15" hidden="false" customHeight="false" outlineLevel="0" collapsed="false">
      <c r="A856" s="5" t="s">
        <v>1898</v>
      </c>
      <c r="B856" s="9" t="n">
        <v>45824</v>
      </c>
      <c r="C856" s="9" t="n">
        <v>45824</v>
      </c>
      <c r="D856" s="5" t="s">
        <v>140</v>
      </c>
      <c r="E856" s="5" t="s">
        <v>1045</v>
      </c>
      <c r="F856" s="5" t="s">
        <v>1005</v>
      </c>
      <c r="G856" s="6" t="str">
        <f aca="false">INDEX(Catalogo_Causas!$B$2:$B$10,MATCH(F856,Catalogo_Causas!$A$2:$A$10,0))</f>
        <v>Falla eléctrica / control</v>
      </c>
      <c r="H856" s="6" t="str">
        <f aca="false">INDEX(Catalogo_Causas!$C$2:$C$10,MATCH(F856,Catalogo_Causas!$A$2:$A$10,0))</f>
        <v>Operacional</v>
      </c>
      <c r="I856" s="5" t="n">
        <v>16</v>
      </c>
      <c r="J856" s="29" t="n">
        <f aca="false">I856/60</f>
        <v>0.266666666666667</v>
      </c>
    </row>
    <row r="857" customFormat="false" ht="15" hidden="false" customHeight="false" outlineLevel="0" collapsed="false">
      <c r="A857" s="5" t="s">
        <v>1899</v>
      </c>
      <c r="B857" s="9" t="n">
        <v>45824</v>
      </c>
      <c r="C857" s="9" t="n">
        <v>45824</v>
      </c>
      <c r="D857" s="5" t="s">
        <v>140</v>
      </c>
      <c r="E857" s="5" t="s">
        <v>1045</v>
      </c>
      <c r="F857" s="5" t="s">
        <v>1021</v>
      </c>
      <c r="G857" s="6" t="str">
        <f aca="false">INDEX(Catalogo_Causas!$B$2:$B$10,MATCH(F857,Catalogo_Causas!$A$2:$A$10,0))</f>
        <v>Falla de servicios (vapor/amoniaco/aire)</v>
      </c>
      <c r="H857" s="6" t="str">
        <f aca="false">INDEX(Catalogo_Causas!$C$2:$C$10,MATCH(F857,Catalogo_Causas!$A$2:$A$10,0))</f>
        <v>Servicios</v>
      </c>
      <c r="I857" s="5" t="n">
        <v>26</v>
      </c>
      <c r="J857" s="29" t="n">
        <f aca="false">I857/60</f>
        <v>0.433333333333333</v>
      </c>
    </row>
    <row r="858" customFormat="false" ht="15" hidden="false" customHeight="false" outlineLevel="0" collapsed="false">
      <c r="A858" s="5" t="s">
        <v>1900</v>
      </c>
      <c r="B858" s="9" t="n">
        <v>45824</v>
      </c>
      <c r="C858" s="9" t="n">
        <v>45824</v>
      </c>
      <c r="D858" s="5" t="s">
        <v>142</v>
      </c>
      <c r="E858" s="5" t="s">
        <v>1051</v>
      </c>
      <c r="F858" s="5" t="s">
        <v>1009</v>
      </c>
      <c r="G858" s="6" t="str">
        <f aca="false">INDEX(Catalogo_Causas!$B$2:$B$10,MATCH(F858,Catalogo_Causas!$A$2:$A$10,0))</f>
        <v>Falta de material de empaque</v>
      </c>
      <c r="H858" s="6" t="str">
        <f aca="false">INDEX(Catalogo_Causas!$C$2:$C$10,MATCH(F858,Catalogo_Causas!$A$2:$A$10,0))</f>
        <v>Material / suministro</v>
      </c>
      <c r="I858" s="5" t="n">
        <v>32</v>
      </c>
      <c r="J858" s="29" t="n">
        <f aca="false">I858/60</f>
        <v>0.533333333333333</v>
      </c>
    </row>
    <row r="859" customFormat="false" ht="15" hidden="false" customHeight="false" outlineLevel="0" collapsed="false">
      <c r="A859" s="5" t="s">
        <v>1901</v>
      </c>
      <c r="B859" s="9" t="n">
        <v>45824</v>
      </c>
      <c r="C859" s="9" t="n">
        <v>45825</v>
      </c>
      <c r="D859" s="5" t="s">
        <v>136</v>
      </c>
      <c r="E859" s="5" t="s">
        <v>1051</v>
      </c>
      <c r="F859" s="5" t="s">
        <v>1009</v>
      </c>
      <c r="G859" s="6" t="str">
        <f aca="false">INDEX(Catalogo_Causas!$B$2:$B$10,MATCH(F859,Catalogo_Causas!$A$2:$A$10,0))</f>
        <v>Falta de material de empaque</v>
      </c>
      <c r="H859" s="6" t="str">
        <f aca="false">INDEX(Catalogo_Causas!$C$2:$C$10,MATCH(F859,Catalogo_Causas!$A$2:$A$10,0))</f>
        <v>Material / suministro</v>
      </c>
      <c r="I859" s="5" t="n">
        <v>44</v>
      </c>
      <c r="J859" s="29" t="n">
        <f aca="false">I859/60</f>
        <v>0.733333333333333</v>
      </c>
    </row>
    <row r="860" customFormat="false" ht="15" hidden="false" customHeight="false" outlineLevel="0" collapsed="false">
      <c r="A860" s="5" t="s">
        <v>1902</v>
      </c>
      <c r="B860" s="9" t="n">
        <v>45824</v>
      </c>
      <c r="C860" s="9" t="n">
        <v>45825</v>
      </c>
      <c r="D860" s="5" t="s">
        <v>142</v>
      </c>
      <c r="E860" s="5" t="s">
        <v>1030</v>
      </c>
      <c r="F860" s="5" t="s">
        <v>1016</v>
      </c>
      <c r="G860" s="6" t="str">
        <f aca="false">INDEX(Catalogo_Causas!$B$2:$B$10,MATCH(F860,Catalogo_Causas!$A$2:$A$10,0))</f>
        <v>Limpieza no programada (CIP)</v>
      </c>
      <c r="H860" s="6" t="str">
        <f aca="false">INDEX(Catalogo_Causas!$C$2:$C$10,MATCH(F860,Catalogo_Causas!$A$2:$A$10,0))</f>
        <v>Calidad</v>
      </c>
      <c r="I860" s="5" t="n">
        <v>38</v>
      </c>
      <c r="J860" s="29" t="n">
        <f aca="false">I860/60</f>
        <v>0.633333333333333</v>
      </c>
    </row>
    <row r="861" customFormat="false" ht="15" hidden="false" customHeight="false" outlineLevel="0" collapsed="false">
      <c r="A861" s="5" t="s">
        <v>1903</v>
      </c>
      <c r="B861" s="9" t="n">
        <v>45824</v>
      </c>
      <c r="C861" s="9" t="n">
        <v>45825</v>
      </c>
      <c r="D861" s="5" t="s">
        <v>144</v>
      </c>
      <c r="E861" s="5" t="s">
        <v>1030</v>
      </c>
      <c r="F861" s="5" t="s">
        <v>1007</v>
      </c>
      <c r="G861" s="6" t="str">
        <f aca="false">INDEX(Catalogo_Causas!$B$2:$B$10,MATCH(F861,Catalogo_Causas!$A$2:$A$10,0))</f>
        <v>Cambio de formato excedido</v>
      </c>
      <c r="H861" s="6" t="str">
        <f aca="false">INDEX(Catalogo_Causas!$C$2:$C$10,MATCH(F861,Catalogo_Causas!$A$2:$A$10,0))</f>
        <v>Operacional</v>
      </c>
      <c r="I861" s="5" t="n">
        <v>97</v>
      </c>
      <c r="J861" s="29" t="n">
        <f aca="false">I861/60</f>
        <v>1.61666666666667</v>
      </c>
    </row>
    <row r="862" customFormat="false" ht="15" hidden="false" customHeight="false" outlineLevel="0" collapsed="false">
      <c r="A862" s="5" t="s">
        <v>1904</v>
      </c>
      <c r="B862" s="9" t="n">
        <v>45824</v>
      </c>
      <c r="C862" s="9" t="n">
        <v>45826</v>
      </c>
      <c r="D862" s="5" t="s">
        <v>130</v>
      </c>
      <c r="E862" s="5" t="s">
        <v>1030</v>
      </c>
      <c r="F862" s="5" t="s">
        <v>1002</v>
      </c>
      <c r="G862" s="6" t="str">
        <f aca="false">INDEX(Catalogo_Causas!$B$2:$B$10,MATCH(F862,Catalogo_Causas!$A$2:$A$10,0))</f>
        <v>Falla mecánica</v>
      </c>
      <c r="H862" s="6" t="str">
        <f aca="false">INDEX(Catalogo_Causas!$C$2:$C$10,MATCH(F862,Catalogo_Causas!$A$2:$A$10,0))</f>
        <v>Operacional</v>
      </c>
      <c r="I862" s="5" t="n">
        <v>110</v>
      </c>
      <c r="J862" s="29" t="n">
        <f aca="false">I862/60</f>
        <v>1.83333333333333</v>
      </c>
    </row>
    <row r="863" customFormat="false" ht="15" hidden="false" customHeight="false" outlineLevel="0" collapsed="false">
      <c r="A863" s="5" t="s">
        <v>1905</v>
      </c>
      <c r="B863" s="9" t="n">
        <v>45824</v>
      </c>
      <c r="C863" s="9" t="n">
        <v>45826</v>
      </c>
      <c r="D863" s="5" t="s">
        <v>138</v>
      </c>
      <c r="E863" s="5" t="s">
        <v>1056</v>
      </c>
      <c r="F863" s="5" t="s">
        <v>1012</v>
      </c>
      <c r="G863" s="6" t="str">
        <f aca="false">INDEX(Catalogo_Causas!$B$2:$B$10,MATCH(F863,Catalogo_Causas!$A$2:$A$10,0))</f>
        <v>Falta de materia prima</v>
      </c>
      <c r="H863" s="6" t="str">
        <f aca="false">INDEX(Catalogo_Causas!$C$2:$C$10,MATCH(F863,Catalogo_Causas!$A$2:$A$10,0))</f>
        <v>Material / suministro</v>
      </c>
      <c r="I863" s="5" t="n">
        <v>66</v>
      </c>
      <c r="J863" s="29" t="n">
        <f aca="false">I863/60</f>
        <v>1.1</v>
      </c>
    </row>
    <row r="864" customFormat="false" ht="15" hidden="false" customHeight="false" outlineLevel="0" collapsed="false">
      <c r="A864" s="5" t="s">
        <v>1906</v>
      </c>
      <c r="B864" s="9" t="n">
        <v>45824</v>
      </c>
      <c r="C864" s="9" t="n">
        <v>45826</v>
      </c>
      <c r="D864" s="5" t="s">
        <v>138</v>
      </c>
      <c r="E864" s="5" t="s">
        <v>1034</v>
      </c>
      <c r="F864" s="5" t="s">
        <v>1002</v>
      </c>
      <c r="G864" s="6" t="str">
        <f aca="false">INDEX(Catalogo_Causas!$B$2:$B$10,MATCH(F864,Catalogo_Causas!$A$2:$A$10,0))</f>
        <v>Falla mecánica</v>
      </c>
      <c r="H864" s="6" t="str">
        <f aca="false">INDEX(Catalogo_Causas!$C$2:$C$10,MATCH(F864,Catalogo_Causas!$A$2:$A$10,0))</f>
        <v>Operacional</v>
      </c>
      <c r="I864" s="5" t="n">
        <v>840</v>
      </c>
      <c r="J864" s="29" t="n">
        <f aca="false">I864/60</f>
        <v>14</v>
      </c>
    </row>
    <row r="865" customFormat="false" ht="15" hidden="false" customHeight="false" outlineLevel="0" collapsed="false">
      <c r="A865" s="5" t="s">
        <v>1907</v>
      </c>
      <c r="B865" s="9" t="n">
        <v>45824</v>
      </c>
      <c r="C865" s="9" t="n">
        <v>45826</v>
      </c>
      <c r="D865" s="5" t="s">
        <v>142</v>
      </c>
      <c r="E865" s="5" t="s">
        <v>1051</v>
      </c>
      <c r="F865" s="5" t="s">
        <v>1005</v>
      </c>
      <c r="G865" s="6" t="str">
        <f aca="false">INDEX(Catalogo_Causas!$B$2:$B$10,MATCH(F865,Catalogo_Causas!$A$2:$A$10,0))</f>
        <v>Falla eléctrica / control</v>
      </c>
      <c r="H865" s="6" t="str">
        <f aca="false">INDEX(Catalogo_Causas!$C$2:$C$10,MATCH(F865,Catalogo_Causas!$A$2:$A$10,0))</f>
        <v>Operacional</v>
      </c>
      <c r="I865" s="5" t="n">
        <v>62</v>
      </c>
      <c r="J865" s="29" t="n">
        <f aca="false">I865/60</f>
        <v>1.03333333333333</v>
      </c>
    </row>
    <row r="866" customFormat="false" ht="15" hidden="false" customHeight="false" outlineLevel="0" collapsed="false">
      <c r="A866" s="5" t="s">
        <v>1908</v>
      </c>
      <c r="B866" s="9" t="n">
        <v>45824</v>
      </c>
      <c r="C866" s="9" t="n">
        <v>45826</v>
      </c>
      <c r="D866" s="5" t="s">
        <v>144</v>
      </c>
      <c r="E866" s="5" t="s">
        <v>1030</v>
      </c>
      <c r="F866" s="5" t="s">
        <v>1007</v>
      </c>
      <c r="G866" s="6" t="str">
        <f aca="false">INDEX(Catalogo_Causas!$B$2:$B$10,MATCH(F866,Catalogo_Causas!$A$2:$A$10,0))</f>
        <v>Cambio de formato excedido</v>
      </c>
      <c r="H866" s="6" t="str">
        <f aca="false">INDEX(Catalogo_Causas!$C$2:$C$10,MATCH(F866,Catalogo_Causas!$A$2:$A$10,0))</f>
        <v>Operacional</v>
      </c>
      <c r="I866" s="5" t="n">
        <v>39</v>
      </c>
      <c r="J866" s="29" t="n">
        <f aca="false">I866/60</f>
        <v>0.65</v>
      </c>
    </row>
    <row r="867" customFormat="false" ht="15" hidden="false" customHeight="false" outlineLevel="0" collapsed="false">
      <c r="A867" s="5" t="s">
        <v>1909</v>
      </c>
      <c r="B867" s="9" t="n">
        <v>45824</v>
      </c>
      <c r="C867" s="9" t="n">
        <v>45827</v>
      </c>
      <c r="D867" s="5" t="s">
        <v>132</v>
      </c>
      <c r="E867" s="5" t="s">
        <v>1084</v>
      </c>
      <c r="F867" s="5" t="s">
        <v>1007</v>
      </c>
      <c r="G867" s="6" t="str">
        <f aca="false">INDEX(Catalogo_Causas!$B$2:$B$10,MATCH(F867,Catalogo_Causas!$A$2:$A$10,0))</f>
        <v>Cambio de formato excedido</v>
      </c>
      <c r="H867" s="6" t="str">
        <f aca="false">INDEX(Catalogo_Causas!$C$2:$C$10,MATCH(F867,Catalogo_Causas!$A$2:$A$10,0))</f>
        <v>Operacional</v>
      </c>
      <c r="I867" s="5" t="n">
        <v>43</v>
      </c>
      <c r="J867" s="29" t="n">
        <f aca="false">I867/60</f>
        <v>0.716666666666667</v>
      </c>
    </row>
    <row r="868" customFormat="false" ht="15" hidden="false" customHeight="false" outlineLevel="0" collapsed="false">
      <c r="A868" s="5" t="s">
        <v>1910</v>
      </c>
      <c r="B868" s="9" t="n">
        <v>45824</v>
      </c>
      <c r="C868" s="9" t="n">
        <v>45827</v>
      </c>
      <c r="D868" s="5" t="s">
        <v>136</v>
      </c>
      <c r="E868" s="5" t="s">
        <v>1101</v>
      </c>
      <c r="F868" s="5" t="s">
        <v>1009</v>
      </c>
      <c r="G868" s="6" t="str">
        <f aca="false">INDEX(Catalogo_Causas!$B$2:$B$10,MATCH(F868,Catalogo_Causas!$A$2:$A$10,0))</f>
        <v>Falta de material de empaque</v>
      </c>
      <c r="H868" s="6" t="str">
        <f aca="false">INDEX(Catalogo_Causas!$C$2:$C$10,MATCH(F868,Catalogo_Causas!$A$2:$A$10,0))</f>
        <v>Material / suministro</v>
      </c>
      <c r="I868" s="5" t="n">
        <v>63</v>
      </c>
      <c r="J868" s="29" t="n">
        <f aca="false">I868/60</f>
        <v>1.05</v>
      </c>
    </row>
    <row r="869" customFormat="false" ht="15" hidden="false" customHeight="false" outlineLevel="0" collapsed="false">
      <c r="A869" s="5" t="s">
        <v>1911</v>
      </c>
      <c r="B869" s="9" t="n">
        <v>45824</v>
      </c>
      <c r="C869" s="9" t="n">
        <v>45827</v>
      </c>
      <c r="D869" s="5" t="s">
        <v>140</v>
      </c>
      <c r="E869" s="5" t="s">
        <v>1032</v>
      </c>
      <c r="F869" s="5" t="s">
        <v>1002</v>
      </c>
      <c r="G869" s="6" t="str">
        <f aca="false">INDEX(Catalogo_Causas!$B$2:$B$10,MATCH(F869,Catalogo_Causas!$A$2:$A$10,0))</f>
        <v>Falla mecánica</v>
      </c>
      <c r="H869" s="6" t="str">
        <f aca="false">INDEX(Catalogo_Causas!$C$2:$C$10,MATCH(F869,Catalogo_Causas!$A$2:$A$10,0))</f>
        <v>Operacional</v>
      </c>
      <c r="I869" s="5" t="n">
        <v>108</v>
      </c>
      <c r="J869" s="29" t="n">
        <f aca="false">I869/60</f>
        <v>1.8</v>
      </c>
    </row>
    <row r="870" customFormat="false" ht="15" hidden="false" customHeight="false" outlineLevel="0" collapsed="false">
      <c r="A870" s="5" t="s">
        <v>1912</v>
      </c>
      <c r="B870" s="9" t="n">
        <v>45824</v>
      </c>
      <c r="C870" s="9" t="n">
        <v>45827</v>
      </c>
      <c r="D870" s="5" t="s">
        <v>142</v>
      </c>
      <c r="E870" s="5" t="s">
        <v>1030</v>
      </c>
      <c r="F870" s="5" t="s">
        <v>1002</v>
      </c>
      <c r="G870" s="6" t="str">
        <f aca="false">INDEX(Catalogo_Causas!$B$2:$B$10,MATCH(F870,Catalogo_Causas!$A$2:$A$10,0))</f>
        <v>Falla mecánica</v>
      </c>
      <c r="H870" s="6" t="str">
        <f aca="false">INDEX(Catalogo_Causas!$C$2:$C$10,MATCH(F870,Catalogo_Causas!$A$2:$A$10,0))</f>
        <v>Operacional</v>
      </c>
      <c r="I870" s="5" t="n">
        <v>198</v>
      </c>
      <c r="J870" s="29" t="n">
        <f aca="false">I870/60</f>
        <v>3.3</v>
      </c>
    </row>
    <row r="871" customFormat="false" ht="15" hidden="false" customHeight="false" outlineLevel="0" collapsed="false">
      <c r="A871" s="5" t="s">
        <v>1913</v>
      </c>
      <c r="B871" s="9" t="n">
        <v>45824</v>
      </c>
      <c r="C871" s="9" t="n">
        <v>45827</v>
      </c>
      <c r="D871" s="5" t="s">
        <v>144</v>
      </c>
      <c r="E871" s="5" t="s">
        <v>1032</v>
      </c>
      <c r="F871" s="5" t="s">
        <v>1002</v>
      </c>
      <c r="G871" s="6" t="str">
        <f aca="false">INDEX(Catalogo_Causas!$B$2:$B$10,MATCH(F871,Catalogo_Causas!$A$2:$A$10,0))</f>
        <v>Falla mecánica</v>
      </c>
      <c r="H871" s="6" t="str">
        <f aca="false">INDEX(Catalogo_Causas!$C$2:$C$10,MATCH(F871,Catalogo_Causas!$A$2:$A$10,0))</f>
        <v>Operacional</v>
      </c>
      <c r="I871" s="5" t="n">
        <v>57</v>
      </c>
      <c r="J871" s="29" t="n">
        <f aca="false">I871/60</f>
        <v>0.95</v>
      </c>
    </row>
    <row r="872" customFormat="false" ht="15" hidden="false" customHeight="false" outlineLevel="0" collapsed="false">
      <c r="A872" s="5" t="s">
        <v>1914</v>
      </c>
      <c r="B872" s="9" t="n">
        <v>45824</v>
      </c>
      <c r="C872" s="9" t="n">
        <v>45828</v>
      </c>
      <c r="D872" s="5" t="s">
        <v>130</v>
      </c>
      <c r="E872" s="5" t="s">
        <v>1078</v>
      </c>
      <c r="F872" s="5" t="s">
        <v>1007</v>
      </c>
      <c r="G872" s="6" t="str">
        <f aca="false">INDEX(Catalogo_Causas!$B$2:$B$10,MATCH(F872,Catalogo_Causas!$A$2:$A$10,0))</f>
        <v>Cambio de formato excedido</v>
      </c>
      <c r="H872" s="6" t="str">
        <f aca="false">INDEX(Catalogo_Causas!$C$2:$C$10,MATCH(F872,Catalogo_Causas!$A$2:$A$10,0))</f>
        <v>Operacional</v>
      </c>
      <c r="I872" s="5" t="n">
        <v>50</v>
      </c>
      <c r="J872" s="29" t="n">
        <f aca="false">I872/60</f>
        <v>0.833333333333333</v>
      </c>
    </row>
    <row r="873" customFormat="false" ht="15" hidden="false" customHeight="false" outlineLevel="0" collapsed="false">
      <c r="A873" s="5" t="s">
        <v>1915</v>
      </c>
      <c r="B873" s="9" t="n">
        <v>45824</v>
      </c>
      <c r="C873" s="9" t="n">
        <v>45828</v>
      </c>
      <c r="D873" s="5" t="s">
        <v>132</v>
      </c>
      <c r="E873" s="5" t="s">
        <v>1032</v>
      </c>
      <c r="F873" s="5" t="s">
        <v>1002</v>
      </c>
      <c r="G873" s="6" t="str">
        <f aca="false">INDEX(Catalogo_Causas!$B$2:$B$10,MATCH(F873,Catalogo_Causas!$A$2:$A$10,0))</f>
        <v>Falla mecánica</v>
      </c>
      <c r="H873" s="6" t="str">
        <f aca="false">INDEX(Catalogo_Causas!$C$2:$C$10,MATCH(F873,Catalogo_Causas!$A$2:$A$10,0))</f>
        <v>Operacional</v>
      </c>
      <c r="I873" s="5" t="n">
        <v>69</v>
      </c>
      <c r="J873" s="29" t="n">
        <f aca="false">I873/60</f>
        <v>1.15</v>
      </c>
    </row>
    <row r="874" customFormat="false" ht="15" hidden="false" customHeight="false" outlineLevel="0" collapsed="false">
      <c r="A874" s="5" t="s">
        <v>1916</v>
      </c>
      <c r="B874" s="9" t="n">
        <v>45824</v>
      </c>
      <c r="C874" s="9" t="n">
        <v>45828</v>
      </c>
      <c r="D874" s="5" t="s">
        <v>134</v>
      </c>
      <c r="E874" s="5" t="s">
        <v>1054</v>
      </c>
      <c r="F874" s="5" t="s">
        <v>1007</v>
      </c>
      <c r="G874" s="6" t="str">
        <f aca="false">INDEX(Catalogo_Causas!$B$2:$B$10,MATCH(F874,Catalogo_Causas!$A$2:$A$10,0))</f>
        <v>Cambio de formato excedido</v>
      </c>
      <c r="H874" s="6" t="str">
        <f aca="false">INDEX(Catalogo_Causas!$C$2:$C$10,MATCH(F874,Catalogo_Causas!$A$2:$A$10,0))</f>
        <v>Operacional</v>
      </c>
      <c r="I874" s="5" t="n">
        <v>14</v>
      </c>
      <c r="J874" s="29" t="n">
        <f aca="false">I874/60</f>
        <v>0.233333333333333</v>
      </c>
    </row>
    <row r="875" customFormat="false" ht="15" hidden="false" customHeight="false" outlineLevel="0" collapsed="false">
      <c r="A875" s="5" t="s">
        <v>1917</v>
      </c>
      <c r="B875" s="9" t="n">
        <v>45824</v>
      </c>
      <c r="C875" s="9" t="n">
        <v>45828</v>
      </c>
      <c r="D875" s="5" t="s">
        <v>138</v>
      </c>
      <c r="E875" s="5" t="s">
        <v>1039</v>
      </c>
      <c r="F875" s="5" t="s">
        <v>1021</v>
      </c>
      <c r="G875" s="6" t="str">
        <f aca="false">INDEX(Catalogo_Causas!$B$2:$B$10,MATCH(F875,Catalogo_Causas!$A$2:$A$10,0))</f>
        <v>Falla de servicios (vapor/amoniaco/aire)</v>
      </c>
      <c r="H875" s="6" t="str">
        <f aca="false">INDEX(Catalogo_Causas!$C$2:$C$10,MATCH(F875,Catalogo_Causas!$A$2:$A$10,0))</f>
        <v>Servicios</v>
      </c>
      <c r="I875" s="5" t="n">
        <v>82</v>
      </c>
      <c r="J875" s="29" t="n">
        <f aca="false">I875/60</f>
        <v>1.36666666666667</v>
      </c>
    </row>
    <row r="876" customFormat="false" ht="15" hidden="false" customHeight="false" outlineLevel="0" collapsed="false">
      <c r="A876" s="5" t="s">
        <v>1918</v>
      </c>
      <c r="B876" s="9" t="n">
        <v>45824</v>
      </c>
      <c r="C876" s="9" t="n">
        <v>45829</v>
      </c>
      <c r="D876" s="5" t="s">
        <v>134</v>
      </c>
      <c r="E876" s="5" t="s">
        <v>1054</v>
      </c>
      <c r="F876" s="5" t="s">
        <v>1016</v>
      </c>
      <c r="G876" s="6" t="str">
        <f aca="false">INDEX(Catalogo_Causas!$B$2:$B$10,MATCH(F876,Catalogo_Causas!$A$2:$A$10,0))</f>
        <v>Limpieza no programada (CIP)</v>
      </c>
      <c r="H876" s="6" t="str">
        <f aca="false">INDEX(Catalogo_Causas!$C$2:$C$10,MATCH(F876,Catalogo_Causas!$A$2:$A$10,0))</f>
        <v>Calidad</v>
      </c>
      <c r="I876" s="5" t="n">
        <v>65</v>
      </c>
      <c r="J876" s="29" t="n">
        <f aca="false">I876/60</f>
        <v>1.08333333333333</v>
      </c>
    </row>
    <row r="877" customFormat="false" ht="15" hidden="false" customHeight="false" outlineLevel="0" collapsed="false">
      <c r="A877" s="5" t="s">
        <v>1919</v>
      </c>
      <c r="B877" s="9" t="n">
        <v>45824</v>
      </c>
      <c r="C877" s="9" t="n">
        <v>45829</v>
      </c>
      <c r="D877" s="5" t="s">
        <v>138</v>
      </c>
      <c r="E877" s="5" t="s">
        <v>1034</v>
      </c>
      <c r="F877" s="5" t="s">
        <v>1018</v>
      </c>
      <c r="G877" s="6" t="str">
        <f aca="false">INDEX(Catalogo_Causas!$B$2:$B$10,MATCH(F877,Catalogo_Causas!$A$2:$A$10,0))</f>
        <v>Falta de personal</v>
      </c>
      <c r="H877" s="6" t="str">
        <f aca="false">INDEX(Catalogo_Causas!$C$2:$C$10,MATCH(F877,Catalogo_Causas!$A$2:$A$10,0))</f>
        <v>Personal</v>
      </c>
      <c r="I877" s="5" t="n">
        <v>40</v>
      </c>
      <c r="J877" s="29" t="n">
        <f aca="false">I877/60</f>
        <v>0.666666666666667</v>
      </c>
    </row>
    <row r="878" customFormat="false" ht="15" hidden="false" customHeight="false" outlineLevel="0" collapsed="false">
      <c r="A878" s="5" t="s">
        <v>1920</v>
      </c>
      <c r="B878" s="9" t="n">
        <v>45824</v>
      </c>
      <c r="C878" s="9" t="n">
        <v>45829</v>
      </c>
      <c r="D878" s="5" t="s">
        <v>140</v>
      </c>
      <c r="E878" s="5" t="s">
        <v>1032</v>
      </c>
      <c r="F878" s="5" t="s">
        <v>1005</v>
      </c>
      <c r="G878" s="6" t="str">
        <f aca="false">INDEX(Catalogo_Causas!$B$2:$B$10,MATCH(F878,Catalogo_Causas!$A$2:$A$10,0))</f>
        <v>Falla eléctrica / control</v>
      </c>
      <c r="H878" s="6" t="str">
        <f aca="false">INDEX(Catalogo_Causas!$C$2:$C$10,MATCH(F878,Catalogo_Causas!$A$2:$A$10,0))</f>
        <v>Operacional</v>
      </c>
      <c r="I878" s="5" t="n">
        <v>24</v>
      </c>
      <c r="J878" s="29" t="n">
        <f aca="false">I878/60</f>
        <v>0.4</v>
      </c>
    </row>
    <row r="879" customFormat="false" ht="15" hidden="false" customHeight="false" outlineLevel="0" collapsed="false">
      <c r="A879" s="5" t="s">
        <v>1921</v>
      </c>
      <c r="B879" s="9" t="n">
        <v>45831</v>
      </c>
      <c r="C879" s="9" t="n">
        <v>45831</v>
      </c>
      <c r="D879" s="5" t="s">
        <v>130</v>
      </c>
      <c r="E879" s="5" t="s">
        <v>1030</v>
      </c>
      <c r="F879" s="5" t="s">
        <v>1007</v>
      </c>
      <c r="G879" s="6" t="str">
        <f aca="false">INDEX(Catalogo_Causas!$B$2:$B$10,MATCH(F879,Catalogo_Causas!$A$2:$A$10,0))</f>
        <v>Cambio de formato excedido</v>
      </c>
      <c r="H879" s="6" t="str">
        <f aca="false">INDEX(Catalogo_Causas!$C$2:$C$10,MATCH(F879,Catalogo_Causas!$A$2:$A$10,0))</f>
        <v>Operacional</v>
      </c>
      <c r="I879" s="5" t="n">
        <v>13</v>
      </c>
      <c r="J879" s="29" t="n">
        <f aca="false">I879/60</f>
        <v>0.216666666666667</v>
      </c>
    </row>
    <row r="880" customFormat="false" ht="15" hidden="false" customHeight="false" outlineLevel="0" collapsed="false">
      <c r="A880" s="5" t="s">
        <v>1922</v>
      </c>
      <c r="B880" s="9" t="n">
        <v>45831</v>
      </c>
      <c r="C880" s="9" t="n">
        <v>45831</v>
      </c>
      <c r="D880" s="5" t="s">
        <v>130</v>
      </c>
      <c r="E880" s="5" t="s">
        <v>1078</v>
      </c>
      <c r="F880" s="5" t="s">
        <v>1021</v>
      </c>
      <c r="G880" s="6" t="str">
        <f aca="false">INDEX(Catalogo_Causas!$B$2:$B$10,MATCH(F880,Catalogo_Causas!$A$2:$A$10,0))</f>
        <v>Falla de servicios (vapor/amoniaco/aire)</v>
      </c>
      <c r="H880" s="6" t="str">
        <f aca="false">INDEX(Catalogo_Causas!$C$2:$C$10,MATCH(F880,Catalogo_Causas!$A$2:$A$10,0))</f>
        <v>Servicios</v>
      </c>
      <c r="I880" s="5" t="n">
        <v>42</v>
      </c>
      <c r="J880" s="29" t="n">
        <f aca="false">I880/60</f>
        <v>0.7</v>
      </c>
    </row>
    <row r="881" customFormat="false" ht="15" hidden="false" customHeight="false" outlineLevel="0" collapsed="false">
      <c r="A881" s="5" t="s">
        <v>1923</v>
      </c>
      <c r="B881" s="9" t="n">
        <v>45831</v>
      </c>
      <c r="C881" s="9" t="n">
        <v>45831</v>
      </c>
      <c r="D881" s="5" t="s">
        <v>136</v>
      </c>
      <c r="E881" s="5" t="s">
        <v>1101</v>
      </c>
      <c r="F881" s="5" t="s">
        <v>1018</v>
      </c>
      <c r="G881" s="6" t="str">
        <f aca="false">INDEX(Catalogo_Causas!$B$2:$B$10,MATCH(F881,Catalogo_Causas!$A$2:$A$10,0))</f>
        <v>Falta de personal</v>
      </c>
      <c r="H881" s="6" t="str">
        <f aca="false">INDEX(Catalogo_Causas!$C$2:$C$10,MATCH(F881,Catalogo_Causas!$A$2:$A$10,0))</f>
        <v>Personal</v>
      </c>
      <c r="I881" s="5" t="n">
        <v>47</v>
      </c>
      <c r="J881" s="29" t="n">
        <f aca="false">I881/60</f>
        <v>0.783333333333333</v>
      </c>
    </row>
    <row r="882" customFormat="false" ht="15" hidden="false" customHeight="false" outlineLevel="0" collapsed="false">
      <c r="A882" s="5" t="s">
        <v>1924</v>
      </c>
      <c r="B882" s="9" t="n">
        <v>45831</v>
      </c>
      <c r="C882" s="9" t="n">
        <v>45831</v>
      </c>
      <c r="D882" s="5" t="s">
        <v>138</v>
      </c>
      <c r="E882" s="5" t="s">
        <v>1056</v>
      </c>
      <c r="F882" s="5" t="s">
        <v>1002</v>
      </c>
      <c r="G882" s="6" t="str">
        <f aca="false">INDEX(Catalogo_Causas!$B$2:$B$10,MATCH(F882,Catalogo_Causas!$A$2:$A$10,0))</f>
        <v>Falla mecánica</v>
      </c>
      <c r="H882" s="6" t="str">
        <f aca="false">INDEX(Catalogo_Causas!$C$2:$C$10,MATCH(F882,Catalogo_Causas!$A$2:$A$10,0))</f>
        <v>Operacional</v>
      </c>
      <c r="I882" s="5" t="n">
        <v>35</v>
      </c>
      <c r="J882" s="29" t="n">
        <f aca="false">I882/60</f>
        <v>0.583333333333333</v>
      </c>
    </row>
    <row r="883" customFormat="false" ht="15" hidden="false" customHeight="false" outlineLevel="0" collapsed="false">
      <c r="A883" s="5" t="s">
        <v>1925</v>
      </c>
      <c r="B883" s="9" t="n">
        <v>45831</v>
      </c>
      <c r="C883" s="9" t="n">
        <v>45832</v>
      </c>
      <c r="D883" s="5" t="s">
        <v>134</v>
      </c>
      <c r="E883" s="5" t="s">
        <v>1030</v>
      </c>
      <c r="F883" s="5" t="s">
        <v>1002</v>
      </c>
      <c r="G883" s="6" t="str">
        <f aca="false">INDEX(Catalogo_Causas!$B$2:$B$10,MATCH(F883,Catalogo_Causas!$A$2:$A$10,0))</f>
        <v>Falla mecánica</v>
      </c>
      <c r="H883" s="6" t="str">
        <f aca="false">INDEX(Catalogo_Causas!$C$2:$C$10,MATCH(F883,Catalogo_Causas!$A$2:$A$10,0))</f>
        <v>Operacional</v>
      </c>
      <c r="I883" s="5" t="n">
        <v>78</v>
      </c>
      <c r="J883" s="29" t="n">
        <f aca="false">I883/60</f>
        <v>1.3</v>
      </c>
    </row>
    <row r="884" customFormat="false" ht="15" hidden="false" customHeight="false" outlineLevel="0" collapsed="false">
      <c r="A884" s="5" t="s">
        <v>1926</v>
      </c>
      <c r="B884" s="9" t="n">
        <v>45831</v>
      </c>
      <c r="C884" s="9" t="n">
        <v>45832</v>
      </c>
      <c r="D884" s="5" t="s">
        <v>140</v>
      </c>
      <c r="E884" s="5" t="s">
        <v>1032</v>
      </c>
      <c r="F884" s="5" t="s">
        <v>1002</v>
      </c>
      <c r="G884" s="6" t="str">
        <f aca="false">INDEX(Catalogo_Causas!$B$2:$B$10,MATCH(F884,Catalogo_Causas!$A$2:$A$10,0))</f>
        <v>Falla mecánica</v>
      </c>
      <c r="H884" s="6" t="str">
        <f aca="false">INDEX(Catalogo_Causas!$C$2:$C$10,MATCH(F884,Catalogo_Causas!$A$2:$A$10,0))</f>
        <v>Operacional</v>
      </c>
      <c r="I884" s="5" t="n">
        <v>21</v>
      </c>
      <c r="J884" s="29" t="n">
        <f aca="false">I884/60</f>
        <v>0.35</v>
      </c>
    </row>
    <row r="885" customFormat="false" ht="15" hidden="false" customHeight="false" outlineLevel="0" collapsed="false">
      <c r="A885" s="5" t="s">
        <v>1927</v>
      </c>
      <c r="B885" s="9" t="n">
        <v>45831</v>
      </c>
      <c r="C885" s="9" t="n">
        <v>45833</v>
      </c>
      <c r="D885" s="5" t="s">
        <v>134</v>
      </c>
      <c r="E885" s="5" t="s">
        <v>1032</v>
      </c>
      <c r="F885" s="5" t="s">
        <v>1014</v>
      </c>
      <c r="G885" s="6" t="str">
        <f aca="false">INDEX(Catalogo_Causas!$B$2:$B$10,MATCH(F885,Catalogo_Causas!$A$2:$A$10,0))</f>
        <v>Retención de calidad</v>
      </c>
      <c r="H885" s="6" t="str">
        <f aca="false">INDEX(Catalogo_Causas!$C$2:$C$10,MATCH(F885,Catalogo_Causas!$A$2:$A$10,0))</f>
        <v>Calidad</v>
      </c>
      <c r="I885" s="5" t="n">
        <v>90</v>
      </c>
      <c r="J885" s="29" t="n">
        <f aca="false">I885/60</f>
        <v>1.5</v>
      </c>
    </row>
    <row r="886" customFormat="false" ht="15" hidden="false" customHeight="false" outlineLevel="0" collapsed="false">
      <c r="A886" s="5" t="s">
        <v>1928</v>
      </c>
      <c r="B886" s="9" t="n">
        <v>45831</v>
      </c>
      <c r="C886" s="9" t="n">
        <v>45833</v>
      </c>
      <c r="D886" s="5" t="s">
        <v>136</v>
      </c>
      <c r="E886" s="5" t="s">
        <v>1101</v>
      </c>
      <c r="F886" s="5" t="s">
        <v>1009</v>
      </c>
      <c r="G886" s="6" t="str">
        <f aca="false">INDEX(Catalogo_Causas!$B$2:$B$10,MATCH(F886,Catalogo_Causas!$A$2:$A$10,0))</f>
        <v>Falta de material de empaque</v>
      </c>
      <c r="H886" s="6" t="str">
        <f aca="false">INDEX(Catalogo_Causas!$C$2:$C$10,MATCH(F886,Catalogo_Causas!$A$2:$A$10,0))</f>
        <v>Material / suministro</v>
      </c>
      <c r="I886" s="5" t="n">
        <v>44</v>
      </c>
      <c r="J886" s="29" t="n">
        <f aca="false">I886/60</f>
        <v>0.733333333333333</v>
      </c>
    </row>
    <row r="887" customFormat="false" ht="15" hidden="false" customHeight="false" outlineLevel="0" collapsed="false">
      <c r="A887" s="5" t="s">
        <v>1929</v>
      </c>
      <c r="B887" s="9" t="n">
        <v>45831</v>
      </c>
      <c r="C887" s="9" t="n">
        <v>45833</v>
      </c>
      <c r="D887" s="5" t="s">
        <v>138</v>
      </c>
      <c r="E887" s="5" t="s">
        <v>1039</v>
      </c>
      <c r="F887" s="5" t="s">
        <v>1014</v>
      </c>
      <c r="G887" s="6" t="str">
        <f aca="false">INDEX(Catalogo_Causas!$B$2:$B$10,MATCH(F887,Catalogo_Causas!$A$2:$A$10,0))</f>
        <v>Retención de calidad</v>
      </c>
      <c r="H887" s="6" t="str">
        <f aca="false">INDEX(Catalogo_Causas!$C$2:$C$10,MATCH(F887,Catalogo_Causas!$A$2:$A$10,0))</f>
        <v>Calidad</v>
      </c>
      <c r="I887" s="5" t="n">
        <v>55</v>
      </c>
      <c r="J887" s="29" t="n">
        <f aca="false">I887/60</f>
        <v>0.916666666666667</v>
      </c>
    </row>
    <row r="888" customFormat="false" ht="15" hidden="false" customHeight="false" outlineLevel="0" collapsed="false">
      <c r="A888" s="5" t="s">
        <v>1930</v>
      </c>
      <c r="B888" s="9" t="n">
        <v>45831</v>
      </c>
      <c r="C888" s="9" t="n">
        <v>45833</v>
      </c>
      <c r="D888" s="5" t="s">
        <v>138</v>
      </c>
      <c r="E888" s="5" t="s">
        <v>1039</v>
      </c>
      <c r="F888" s="5" t="s">
        <v>1014</v>
      </c>
      <c r="G888" s="6" t="str">
        <f aca="false">INDEX(Catalogo_Causas!$B$2:$B$10,MATCH(F888,Catalogo_Causas!$A$2:$A$10,0))</f>
        <v>Retención de calidad</v>
      </c>
      <c r="H888" s="6" t="str">
        <f aca="false">INDEX(Catalogo_Causas!$C$2:$C$10,MATCH(F888,Catalogo_Causas!$A$2:$A$10,0))</f>
        <v>Calidad</v>
      </c>
      <c r="I888" s="5" t="n">
        <v>70</v>
      </c>
      <c r="J888" s="29" t="n">
        <f aca="false">I888/60</f>
        <v>1.16666666666667</v>
      </c>
    </row>
    <row r="889" customFormat="false" ht="15" hidden="false" customHeight="false" outlineLevel="0" collapsed="false">
      <c r="A889" s="5" t="s">
        <v>1931</v>
      </c>
      <c r="B889" s="9" t="n">
        <v>45831</v>
      </c>
      <c r="C889" s="9" t="n">
        <v>45834</v>
      </c>
      <c r="D889" s="5" t="s">
        <v>132</v>
      </c>
      <c r="E889" s="5" t="s">
        <v>1032</v>
      </c>
      <c r="F889" s="5" t="s">
        <v>1005</v>
      </c>
      <c r="G889" s="6" t="str">
        <f aca="false">INDEX(Catalogo_Causas!$B$2:$B$10,MATCH(F889,Catalogo_Causas!$A$2:$A$10,0))</f>
        <v>Falla eléctrica / control</v>
      </c>
      <c r="H889" s="6" t="str">
        <f aca="false">INDEX(Catalogo_Causas!$C$2:$C$10,MATCH(F889,Catalogo_Causas!$A$2:$A$10,0))</f>
        <v>Operacional</v>
      </c>
      <c r="I889" s="5" t="n">
        <v>47</v>
      </c>
      <c r="J889" s="29" t="n">
        <f aca="false">I889/60</f>
        <v>0.783333333333333</v>
      </c>
    </row>
    <row r="890" customFormat="false" ht="15" hidden="false" customHeight="false" outlineLevel="0" collapsed="false">
      <c r="A890" s="5" t="s">
        <v>1932</v>
      </c>
      <c r="B890" s="9" t="n">
        <v>45831</v>
      </c>
      <c r="C890" s="9" t="n">
        <v>45835</v>
      </c>
      <c r="D890" s="5" t="s">
        <v>130</v>
      </c>
      <c r="E890" s="5" t="s">
        <v>1045</v>
      </c>
      <c r="F890" s="5" t="s">
        <v>1021</v>
      </c>
      <c r="G890" s="6" t="str">
        <f aca="false">INDEX(Catalogo_Causas!$B$2:$B$10,MATCH(F890,Catalogo_Causas!$A$2:$A$10,0))</f>
        <v>Falla de servicios (vapor/amoniaco/aire)</v>
      </c>
      <c r="H890" s="6" t="str">
        <f aca="false">INDEX(Catalogo_Causas!$C$2:$C$10,MATCH(F890,Catalogo_Causas!$A$2:$A$10,0))</f>
        <v>Servicios</v>
      </c>
      <c r="I890" s="5" t="n">
        <v>62</v>
      </c>
      <c r="J890" s="29" t="n">
        <f aca="false">I890/60</f>
        <v>1.03333333333333</v>
      </c>
    </row>
    <row r="891" customFormat="false" ht="15" hidden="false" customHeight="false" outlineLevel="0" collapsed="false">
      <c r="A891" s="5" t="s">
        <v>1933</v>
      </c>
      <c r="B891" s="9" t="n">
        <v>45831</v>
      </c>
      <c r="C891" s="9" t="n">
        <v>45835</v>
      </c>
      <c r="D891" s="5" t="s">
        <v>130</v>
      </c>
      <c r="E891" s="5" t="s">
        <v>1030</v>
      </c>
      <c r="F891" s="5" t="s">
        <v>1009</v>
      </c>
      <c r="G891" s="6" t="str">
        <f aca="false">INDEX(Catalogo_Causas!$B$2:$B$10,MATCH(F891,Catalogo_Causas!$A$2:$A$10,0))</f>
        <v>Falta de material de empaque</v>
      </c>
      <c r="H891" s="6" t="str">
        <f aca="false">INDEX(Catalogo_Causas!$C$2:$C$10,MATCH(F891,Catalogo_Causas!$A$2:$A$10,0))</f>
        <v>Material / suministro</v>
      </c>
      <c r="I891" s="5" t="n">
        <v>56</v>
      </c>
      <c r="J891" s="29" t="n">
        <f aca="false">I891/60</f>
        <v>0.933333333333333</v>
      </c>
    </row>
    <row r="892" customFormat="false" ht="15" hidden="false" customHeight="false" outlineLevel="0" collapsed="false">
      <c r="A892" s="5" t="s">
        <v>1934</v>
      </c>
      <c r="B892" s="9" t="n">
        <v>45831</v>
      </c>
      <c r="C892" s="9" t="n">
        <v>45835</v>
      </c>
      <c r="D892" s="5" t="s">
        <v>132</v>
      </c>
      <c r="E892" s="5" t="s">
        <v>1084</v>
      </c>
      <c r="F892" s="5" t="s">
        <v>1005</v>
      </c>
      <c r="G892" s="6" t="str">
        <f aca="false">INDEX(Catalogo_Causas!$B$2:$B$10,MATCH(F892,Catalogo_Causas!$A$2:$A$10,0))</f>
        <v>Falla eléctrica / control</v>
      </c>
      <c r="H892" s="6" t="str">
        <f aca="false">INDEX(Catalogo_Causas!$C$2:$C$10,MATCH(F892,Catalogo_Causas!$A$2:$A$10,0))</f>
        <v>Operacional</v>
      </c>
      <c r="I892" s="5" t="n">
        <v>53</v>
      </c>
      <c r="J892" s="29" t="n">
        <f aca="false">I892/60</f>
        <v>0.883333333333333</v>
      </c>
    </row>
    <row r="893" customFormat="false" ht="15" hidden="false" customHeight="false" outlineLevel="0" collapsed="false">
      <c r="A893" s="5" t="s">
        <v>1935</v>
      </c>
      <c r="B893" s="9" t="n">
        <v>45831</v>
      </c>
      <c r="C893" s="9" t="n">
        <v>45835</v>
      </c>
      <c r="D893" s="5" t="s">
        <v>142</v>
      </c>
      <c r="E893" s="5" t="s">
        <v>1041</v>
      </c>
      <c r="F893" s="5" t="s">
        <v>1002</v>
      </c>
      <c r="G893" s="6" t="str">
        <f aca="false">INDEX(Catalogo_Causas!$B$2:$B$10,MATCH(F893,Catalogo_Causas!$A$2:$A$10,0))</f>
        <v>Falla mecánica</v>
      </c>
      <c r="H893" s="6" t="str">
        <f aca="false">INDEX(Catalogo_Causas!$C$2:$C$10,MATCH(F893,Catalogo_Causas!$A$2:$A$10,0))</f>
        <v>Operacional</v>
      </c>
      <c r="I893" s="5" t="n">
        <v>23</v>
      </c>
      <c r="J893" s="29" t="n">
        <f aca="false">I893/60</f>
        <v>0.383333333333333</v>
      </c>
    </row>
    <row r="894" customFormat="false" ht="15" hidden="false" customHeight="false" outlineLevel="0" collapsed="false">
      <c r="A894" s="5" t="s">
        <v>1936</v>
      </c>
      <c r="B894" s="9" t="n">
        <v>45831</v>
      </c>
      <c r="C894" s="9" t="n">
        <v>45836</v>
      </c>
      <c r="D894" s="5" t="s">
        <v>132</v>
      </c>
      <c r="E894" s="5" t="s">
        <v>1084</v>
      </c>
      <c r="F894" s="5" t="s">
        <v>1002</v>
      </c>
      <c r="G894" s="6" t="str">
        <f aca="false">INDEX(Catalogo_Causas!$B$2:$B$10,MATCH(F894,Catalogo_Causas!$A$2:$A$10,0))</f>
        <v>Falla mecánica</v>
      </c>
      <c r="H894" s="6" t="str">
        <f aca="false">INDEX(Catalogo_Causas!$C$2:$C$10,MATCH(F894,Catalogo_Causas!$A$2:$A$10,0))</f>
        <v>Operacional</v>
      </c>
      <c r="I894" s="5" t="n">
        <v>100</v>
      </c>
      <c r="J894" s="29" t="n">
        <f aca="false">I894/60</f>
        <v>1.66666666666667</v>
      </c>
    </row>
    <row r="895" customFormat="false" ht="15" hidden="false" customHeight="false" outlineLevel="0" collapsed="false">
      <c r="A895" s="5" t="s">
        <v>1937</v>
      </c>
      <c r="B895" s="9" t="n">
        <v>45831</v>
      </c>
      <c r="C895" s="9" t="n">
        <v>45836</v>
      </c>
      <c r="D895" s="5" t="s">
        <v>136</v>
      </c>
      <c r="E895" s="5" t="s">
        <v>1032</v>
      </c>
      <c r="F895" s="5" t="s">
        <v>1007</v>
      </c>
      <c r="G895" s="6" t="str">
        <f aca="false">INDEX(Catalogo_Causas!$B$2:$B$10,MATCH(F895,Catalogo_Causas!$A$2:$A$10,0))</f>
        <v>Cambio de formato excedido</v>
      </c>
      <c r="H895" s="6" t="str">
        <f aca="false">INDEX(Catalogo_Causas!$C$2:$C$10,MATCH(F895,Catalogo_Causas!$A$2:$A$10,0))</f>
        <v>Operacional</v>
      </c>
      <c r="I895" s="5" t="n">
        <v>24</v>
      </c>
      <c r="J895" s="29" t="n">
        <f aca="false">I895/60</f>
        <v>0.4</v>
      </c>
    </row>
    <row r="896" customFormat="false" ht="15" hidden="false" customHeight="false" outlineLevel="0" collapsed="false">
      <c r="A896" s="5" t="s">
        <v>1938</v>
      </c>
      <c r="B896" s="9" t="n">
        <v>45831</v>
      </c>
      <c r="C896" s="9" t="n">
        <v>45836</v>
      </c>
      <c r="D896" s="5" t="s">
        <v>138</v>
      </c>
      <c r="E896" s="5" t="s">
        <v>1039</v>
      </c>
      <c r="F896" s="5" t="s">
        <v>1016</v>
      </c>
      <c r="G896" s="6" t="str">
        <f aca="false">INDEX(Catalogo_Causas!$B$2:$B$10,MATCH(F896,Catalogo_Causas!$A$2:$A$10,0))</f>
        <v>Limpieza no programada (CIP)</v>
      </c>
      <c r="H896" s="6" t="str">
        <f aca="false">INDEX(Catalogo_Causas!$C$2:$C$10,MATCH(F896,Catalogo_Causas!$A$2:$A$10,0))</f>
        <v>Calidad</v>
      </c>
      <c r="I896" s="5" t="n">
        <v>58</v>
      </c>
      <c r="J896" s="29" t="n">
        <f aca="false">I896/60</f>
        <v>0.966666666666667</v>
      </c>
    </row>
    <row r="897" customFormat="false" ht="15" hidden="false" customHeight="false" outlineLevel="0" collapsed="false">
      <c r="A897" s="5" t="s">
        <v>1939</v>
      </c>
      <c r="B897" s="9" t="n">
        <v>45831</v>
      </c>
      <c r="C897" s="9" t="n">
        <v>45836</v>
      </c>
      <c r="D897" s="5" t="s">
        <v>138</v>
      </c>
      <c r="E897" s="5" t="s">
        <v>1056</v>
      </c>
      <c r="F897" s="5" t="s">
        <v>1002</v>
      </c>
      <c r="G897" s="6" t="str">
        <f aca="false">INDEX(Catalogo_Causas!$B$2:$B$10,MATCH(F897,Catalogo_Causas!$A$2:$A$10,0))</f>
        <v>Falla mecánica</v>
      </c>
      <c r="H897" s="6" t="str">
        <f aca="false">INDEX(Catalogo_Causas!$C$2:$C$10,MATCH(F897,Catalogo_Causas!$A$2:$A$10,0))</f>
        <v>Operacional</v>
      </c>
      <c r="I897" s="5" t="n">
        <v>46</v>
      </c>
      <c r="J897" s="29" t="n">
        <f aca="false">I897/60</f>
        <v>0.766666666666667</v>
      </c>
    </row>
    <row r="898" customFormat="false" ht="15" hidden="false" customHeight="false" outlineLevel="0" collapsed="false">
      <c r="A898" s="5" t="s">
        <v>1940</v>
      </c>
      <c r="B898" s="9" t="n">
        <v>45838</v>
      </c>
      <c r="C898" s="9" t="n">
        <v>45838</v>
      </c>
      <c r="D898" s="5" t="s">
        <v>130</v>
      </c>
      <c r="E898" s="5" t="s">
        <v>1078</v>
      </c>
      <c r="F898" s="5" t="s">
        <v>1002</v>
      </c>
      <c r="G898" s="6" t="str">
        <f aca="false">INDEX(Catalogo_Causas!$B$2:$B$10,MATCH(F898,Catalogo_Causas!$A$2:$A$10,0))</f>
        <v>Falla mecánica</v>
      </c>
      <c r="H898" s="6" t="str">
        <f aca="false">INDEX(Catalogo_Causas!$C$2:$C$10,MATCH(F898,Catalogo_Causas!$A$2:$A$10,0))</f>
        <v>Operacional</v>
      </c>
      <c r="I898" s="5" t="n">
        <v>91</v>
      </c>
      <c r="J898" s="29" t="n">
        <f aca="false">I898/60</f>
        <v>1.51666666666667</v>
      </c>
    </row>
    <row r="899" customFormat="false" ht="15" hidden="false" customHeight="false" outlineLevel="0" collapsed="false">
      <c r="A899" s="5" t="s">
        <v>1941</v>
      </c>
      <c r="B899" s="9" t="n">
        <v>45838</v>
      </c>
      <c r="C899" s="9" t="n">
        <v>45838</v>
      </c>
      <c r="D899" s="5" t="s">
        <v>130</v>
      </c>
      <c r="E899" s="5" t="s">
        <v>1030</v>
      </c>
      <c r="F899" s="5" t="s">
        <v>1007</v>
      </c>
      <c r="G899" s="6" t="str">
        <f aca="false">INDEX(Catalogo_Causas!$B$2:$B$10,MATCH(F899,Catalogo_Causas!$A$2:$A$10,0))</f>
        <v>Cambio de formato excedido</v>
      </c>
      <c r="H899" s="6" t="str">
        <f aca="false">INDEX(Catalogo_Causas!$C$2:$C$10,MATCH(F899,Catalogo_Causas!$A$2:$A$10,0))</f>
        <v>Operacional</v>
      </c>
      <c r="I899" s="5" t="n">
        <v>26</v>
      </c>
      <c r="J899" s="29" t="n">
        <f aca="false">I899/60</f>
        <v>0.433333333333333</v>
      </c>
    </row>
    <row r="900" customFormat="false" ht="15" hidden="false" customHeight="false" outlineLevel="0" collapsed="false">
      <c r="A900" s="5" t="s">
        <v>1942</v>
      </c>
      <c r="B900" s="9" t="n">
        <v>45838</v>
      </c>
      <c r="C900" s="9" t="n">
        <v>45838</v>
      </c>
      <c r="D900" s="5" t="s">
        <v>130</v>
      </c>
      <c r="E900" s="5" t="s">
        <v>1078</v>
      </c>
      <c r="F900" s="5" t="s">
        <v>1002</v>
      </c>
      <c r="G900" s="6" t="str">
        <f aca="false">INDEX(Catalogo_Causas!$B$2:$B$10,MATCH(F900,Catalogo_Causas!$A$2:$A$10,0))</f>
        <v>Falla mecánica</v>
      </c>
      <c r="H900" s="6" t="str">
        <f aca="false">INDEX(Catalogo_Causas!$C$2:$C$10,MATCH(F900,Catalogo_Causas!$A$2:$A$10,0))</f>
        <v>Operacional</v>
      </c>
      <c r="I900" s="5" t="n">
        <v>71</v>
      </c>
      <c r="J900" s="29" t="n">
        <f aca="false">I900/60</f>
        <v>1.18333333333333</v>
      </c>
    </row>
    <row r="901" customFormat="false" ht="15" hidden="false" customHeight="false" outlineLevel="0" collapsed="false">
      <c r="A901" s="5" t="s">
        <v>1943</v>
      </c>
      <c r="B901" s="9" t="n">
        <v>45838</v>
      </c>
      <c r="C901" s="9" t="n">
        <v>45838</v>
      </c>
      <c r="D901" s="5" t="s">
        <v>132</v>
      </c>
      <c r="E901" s="5" t="s">
        <v>1084</v>
      </c>
      <c r="F901" s="5" t="s">
        <v>1002</v>
      </c>
      <c r="G901" s="6" t="str">
        <f aca="false">INDEX(Catalogo_Causas!$B$2:$B$10,MATCH(F901,Catalogo_Causas!$A$2:$A$10,0))</f>
        <v>Falla mecánica</v>
      </c>
      <c r="H901" s="6" t="str">
        <f aca="false">INDEX(Catalogo_Causas!$C$2:$C$10,MATCH(F901,Catalogo_Causas!$A$2:$A$10,0))</f>
        <v>Operacional</v>
      </c>
      <c r="I901" s="5" t="n">
        <v>60</v>
      </c>
      <c r="J901" s="29" t="n">
        <f aca="false">I901/60</f>
        <v>1</v>
      </c>
    </row>
    <row r="902" customFormat="false" ht="15" hidden="false" customHeight="false" outlineLevel="0" collapsed="false">
      <c r="A902" s="5" t="s">
        <v>1944</v>
      </c>
      <c r="B902" s="9" t="n">
        <v>45838</v>
      </c>
      <c r="C902" s="9" t="n">
        <v>45838</v>
      </c>
      <c r="D902" s="5" t="s">
        <v>134</v>
      </c>
      <c r="E902" s="5" t="s">
        <v>1054</v>
      </c>
      <c r="F902" s="5" t="s">
        <v>1016</v>
      </c>
      <c r="G902" s="6" t="str">
        <f aca="false">INDEX(Catalogo_Causas!$B$2:$B$10,MATCH(F902,Catalogo_Causas!$A$2:$A$10,0))</f>
        <v>Limpieza no programada (CIP)</v>
      </c>
      <c r="H902" s="6" t="str">
        <f aca="false">INDEX(Catalogo_Causas!$C$2:$C$10,MATCH(F902,Catalogo_Causas!$A$2:$A$10,0))</f>
        <v>Calidad</v>
      </c>
      <c r="I902" s="5" t="n">
        <v>45</v>
      </c>
      <c r="J902" s="29" t="n">
        <f aca="false">I902/60</f>
        <v>0.75</v>
      </c>
    </row>
    <row r="903" customFormat="false" ht="15" hidden="false" customHeight="false" outlineLevel="0" collapsed="false">
      <c r="A903" s="5" t="s">
        <v>1945</v>
      </c>
      <c r="B903" s="9" t="n">
        <v>45838</v>
      </c>
      <c r="C903" s="9" t="n">
        <v>45838</v>
      </c>
      <c r="D903" s="5" t="s">
        <v>136</v>
      </c>
      <c r="E903" s="5" t="s">
        <v>1051</v>
      </c>
      <c r="F903" s="5" t="s">
        <v>1007</v>
      </c>
      <c r="G903" s="6" t="str">
        <f aca="false">INDEX(Catalogo_Causas!$B$2:$B$10,MATCH(F903,Catalogo_Causas!$A$2:$A$10,0))</f>
        <v>Cambio de formato excedido</v>
      </c>
      <c r="H903" s="6" t="str">
        <f aca="false">INDEX(Catalogo_Causas!$C$2:$C$10,MATCH(F903,Catalogo_Causas!$A$2:$A$10,0))</f>
        <v>Operacional</v>
      </c>
      <c r="I903" s="5" t="n">
        <v>71</v>
      </c>
      <c r="J903" s="29" t="n">
        <f aca="false">I903/60</f>
        <v>1.18333333333333</v>
      </c>
    </row>
    <row r="904" customFormat="false" ht="15" hidden="false" customHeight="false" outlineLevel="0" collapsed="false">
      <c r="A904" s="5" t="s">
        <v>1946</v>
      </c>
      <c r="B904" s="9" t="n">
        <v>45838</v>
      </c>
      <c r="C904" s="9" t="n">
        <v>45838</v>
      </c>
      <c r="D904" s="5" t="s">
        <v>136</v>
      </c>
      <c r="E904" s="5" t="s">
        <v>1051</v>
      </c>
      <c r="F904" s="5" t="s">
        <v>1002</v>
      </c>
      <c r="G904" s="6" t="str">
        <f aca="false">INDEX(Catalogo_Causas!$B$2:$B$10,MATCH(F904,Catalogo_Causas!$A$2:$A$10,0))</f>
        <v>Falla mecánica</v>
      </c>
      <c r="H904" s="6" t="str">
        <f aca="false">INDEX(Catalogo_Causas!$C$2:$C$10,MATCH(F904,Catalogo_Causas!$A$2:$A$10,0))</f>
        <v>Operacional</v>
      </c>
      <c r="I904" s="5" t="n">
        <v>41</v>
      </c>
      <c r="J904" s="29" t="n">
        <f aca="false">I904/60</f>
        <v>0.683333333333333</v>
      </c>
    </row>
    <row r="905" customFormat="false" ht="15" hidden="false" customHeight="false" outlineLevel="0" collapsed="false">
      <c r="A905" s="5" t="s">
        <v>1947</v>
      </c>
      <c r="B905" s="9" t="n">
        <v>45838</v>
      </c>
      <c r="C905" s="9" t="n">
        <v>45838</v>
      </c>
      <c r="D905" s="5" t="s">
        <v>136</v>
      </c>
      <c r="E905" s="5" t="s">
        <v>1051</v>
      </c>
      <c r="F905" s="5" t="s">
        <v>1018</v>
      </c>
      <c r="G905" s="6" t="str">
        <f aca="false">INDEX(Catalogo_Causas!$B$2:$B$10,MATCH(F905,Catalogo_Causas!$A$2:$A$10,0))</f>
        <v>Falta de personal</v>
      </c>
      <c r="H905" s="6" t="str">
        <f aca="false">INDEX(Catalogo_Causas!$C$2:$C$10,MATCH(F905,Catalogo_Causas!$A$2:$A$10,0))</f>
        <v>Personal</v>
      </c>
      <c r="I905" s="5" t="n">
        <v>18</v>
      </c>
      <c r="J905" s="29" t="n">
        <f aca="false">I905/60</f>
        <v>0.3</v>
      </c>
    </row>
    <row r="906" customFormat="false" ht="15" hidden="false" customHeight="false" outlineLevel="0" collapsed="false">
      <c r="A906" s="5" t="s">
        <v>1948</v>
      </c>
      <c r="B906" s="9" t="n">
        <v>45838</v>
      </c>
      <c r="C906" s="9" t="n">
        <v>45839</v>
      </c>
      <c r="D906" s="5" t="s">
        <v>136</v>
      </c>
      <c r="E906" s="5" t="s">
        <v>1101</v>
      </c>
      <c r="F906" s="5" t="s">
        <v>1021</v>
      </c>
      <c r="G906" s="6" t="str">
        <f aca="false">INDEX(Catalogo_Causas!$B$2:$B$10,MATCH(F906,Catalogo_Causas!$A$2:$A$10,0))</f>
        <v>Falla de servicios (vapor/amoniaco/aire)</v>
      </c>
      <c r="H906" s="6" t="str">
        <f aca="false">INDEX(Catalogo_Causas!$C$2:$C$10,MATCH(F906,Catalogo_Causas!$A$2:$A$10,0))</f>
        <v>Servicios</v>
      </c>
      <c r="I906" s="5" t="n">
        <v>84</v>
      </c>
      <c r="J906" s="29" t="n">
        <f aca="false">I906/60</f>
        <v>1.4</v>
      </c>
    </row>
    <row r="907" customFormat="false" ht="15" hidden="false" customHeight="false" outlineLevel="0" collapsed="false">
      <c r="A907" s="5" t="s">
        <v>1949</v>
      </c>
      <c r="B907" s="9" t="n">
        <v>45838</v>
      </c>
      <c r="C907" s="9" t="n">
        <v>45839</v>
      </c>
      <c r="D907" s="5" t="s">
        <v>138</v>
      </c>
      <c r="E907" s="5" t="s">
        <v>1056</v>
      </c>
      <c r="F907" s="5" t="s">
        <v>1016</v>
      </c>
      <c r="G907" s="6" t="str">
        <f aca="false">INDEX(Catalogo_Causas!$B$2:$B$10,MATCH(F907,Catalogo_Causas!$A$2:$A$10,0))</f>
        <v>Limpieza no programada (CIP)</v>
      </c>
      <c r="H907" s="6" t="str">
        <f aca="false">INDEX(Catalogo_Causas!$C$2:$C$10,MATCH(F907,Catalogo_Causas!$A$2:$A$10,0))</f>
        <v>Calidad</v>
      </c>
      <c r="I907" s="5" t="n">
        <v>109</v>
      </c>
      <c r="J907" s="29" t="n">
        <f aca="false">I907/60</f>
        <v>1.81666666666667</v>
      </c>
    </row>
    <row r="908" customFormat="false" ht="15" hidden="false" customHeight="false" outlineLevel="0" collapsed="false">
      <c r="A908" s="5" t="s">
        <v>1950</v>
      </c>
      <c r="B908" s="9" t="n">
        <v>45838</v>
      </c>
      <c r="C908" s="9" t="n">
        <v>45840</v>
      </c>
      <c r="D908" s="5" t="s">
        <v>132</v>
      </c>
      <c r="E908" s="5" t="s">
        <v>1084</v>
      </c>
      <c r="F908" s="5" t="s">
        <v>1005</v>
      </c>
      <c r="G908" s="6" t="str">
        <f aca="false">INDEX(Catalogo_Causas!$B$2:$B$10,MATCH(F908,Catalogo_Causas!$A$2:$A$10,0))</f>
        <v>Falla eléctrica / control</v>
      </c>
      <c r="H908" s="6" t="str">
        <f aca="false">INDEX(Catalogo_Causas!$C$2:$C$10,MATCH(F908,Catalogo_Causas!$A$2:$A$10,0))</f>
        <v>Operacional</v>
      </c>
      <c r="I908" s="5" t="n">
        <v>36</v>
      </c>
      <c r="J908" s="29" t="n">
        <f aca="false">I908/60</f>
        <v>0.6</v>
      </c>
    </row>
    <row r="909" customFormat="false" ht="15" hidden="false" customHeight="false" outlineLevel="0" collapsed="false">
      <c r="A909" s="5" t="s">
        <v>1951</v>
      </c>
      <c r="B909" s="9" t="n">
        <v>45838</v>
      </c>
      <c r="C909" s="9" t="n">
        <v>45840</v>
      </c>
      <c r="D909" s="5" t="s">
        <v>134</v>
      </c>
      <c r="E909" s="5" t="s">
        <v>1054</v>
      </c>
      <c r="F909" s="5" t="s">
        <v>1007</v>
      </c>
      <c r="G909" s="6" t="str">
        <f aca="false">INDEX(Catalogo_Causas!$B$2:$B$10,MATCH(F909,Catalogo_Causas!$A$2:$A$10,0))</f>
        <v>Cambio de formato excedido</v>
      </c>
      <c r="H909" s="6" t="str">
        <f aca="false">INDEX(Catalogo_Causas!$C$2:$C$10,MATCH(F909,Catalogo_Causas!$A$2:$A$10,0))</f>
        <v>Operacional</v>
      </c>
      <c r="I909" s="5" t="n">
        <v>58</v>
      </c>
      <c r="J909" s="29" t="n">
        <f aca="false">I909/60</f>
        <v>0.966666666666667</v>
      </c>
    </row>
    <row r="910" customFormat="false" ht="15" hidden="false" customHeight="false" outlineLevel="0" collapsed="false">
      <c r="A910" s="5" t="s">
        <v>1952</v>
      </c>
      <c r="B910" s="9" t="n">
        <v>45838</v>
      </c>
      <c r="C910" s="9" t="n">
        <v>45840</v>
      </c>
      <c r="D910" s="5" t="s">
        <v>140</v>
      </c>
      <c r="E910" s="5" t="s">
        <v>1032</v>
      </c>
      <c r="F910" s="5" t="s">
        <v>1014</v>
      </c>
      <c r="G910" s="6" t="str">
        <f aca="false">INDEX(Catalogo_Causas!$B$2:$B$10,MATCH(F910,Catalogo_Causas!$A$2:$A$10,0))</f>
        <v>Retención de calidad</v>
      </c>
      <c r="H910" s="6" t="str">
        <f aca="false">INDEX(Catalogo_Causas!$C$2:$C$10,MATCH(F910,Catalogo_Causas!$A$2:$A$10,0))</f>
        <v>Calidad</v>
      </c>
      <c r="I910" s="5" t="n">
        <v>107</v>
      </c>
      <c r="J910" s="29" t="n">
        <f aca="false">I910/60</f>
        <v>1.78333333333333</v>
      </c>
    </row>
    <row r="911" customFormat="false" ht="15" hidden="false" customHeight="false" outlineLevel="0" collapsed="false">
      <c r="A911" s="5" t="s">
        <v>1953</v>
      </c>
      <c r="B911" s="9" t="n">
        <v>45838</v>
      </c>
      <c r="C911" s="9" t="n">
        <v>45840</v>
      </c>
      <c r="D911" s="5" t="s">
        <v>142</v>
      </c>
      <c r="E911" s="5" t="s">
        <v>1030</v>
      </c>
      <c r="F911" s="5" t="s">
        <v>1014</v>
      </c>
      <c r="G911" s="6" t="str">
        <f aca="false">INDEX(Catalogo_Causas!$B$2:$B$10,MATCH(F911,Catalogo_Causas!$A$2:$A$10,0))</f>
        <v>Retención de calidad</v>
      </c>
      <c r="H911" s="6" t="str">
        <f aca="false">INDEX(Catalogo_Causas!$C$2:$C$10,MATCH(F911,Catalogo_Causas!$A$2:$A$10,0))</f>
        <v>Calidad</v>
      </c>
      <c r="I911" s="5" t="n">
        <v>119</v>
      </c>
      <c r="J911" s="29" t="n">
        <f aca="false">I911/60</f>
        <v>1.98333333333333</v>
      </c>
    </row>
    <row r="912" customFormat="false" ht="15" hidden="false" customHeight="false" outlineLevel="0" collapsed="false">
      <c r="A912" s="5" t="s">
        <v>1954</v>
      </c>
      <c r="B912" s="9" t="n">
        <v>45838</v>
      </c>
      <c r="C912" s="9" t="n">
        <v>45840</v>
      </c>
      <c r="D912" s="5" t="s">
        <v>142</v>
      </c>
      <c r="E912" s="5" t="s">
        <v>1051</v>
      </c>
      <c r="F912" s="5" t="s">
        <v>1007</v>
      </c>
      <c r="G912" s="6" t="str">
        <f aca="false">INDEX(Catalogo_Causas!$B$2:$B$10,MATCH(F912,Catalogo_Causas!$A$2:$A$10,0))</f>
        <v>Cambio de formato excedido</v>
      </c>
      <c r="H912" s="6" t="str">
        <f aca="false">INDEX(Catalogo_Causas!$C$2:$C$10,MATCH(F912,Catalogo_Causas!$A$2:$A$10,0))</f>
        <v>Operacional</v>
      </c>
      <c r="I912" s="5" t="n">
        <v>47</v>
      </c>
      <c r="J912" s="29" t="n">
        <f aca="false">I912/60</f>
        <v>0.783333333333333</v>
      </c>
    </row>
    <row r="913" customFormat="false" ht="15" hidden="false" customHeight="false" outlineLevel="0" collapsed="false">
      <c r="A913" s="5" t="s">
        <v>1955</v>
      </c>
      <c r="B913" s="9" t="n">
        <v>45838</v>
      </c>
      <c r="C913" s="9" t="n">
        <v>45841</v>
      </c>
      <c r="D913" s="5" t="s">
        <v>134</v>
      </c>
      <c r="E913" s="5" t="s">
        <v>1032</v>
      </c>
      <c r="F913" s="5" t="s">
        <v>1016</v>
      </c>
      <c r="G913" s="6" t="str">
        <f aca="false">INDEX(Catalogo_Causas!$B$2:$B$10,MATCH(F913,Catalogo_Causas!$A$2:$A$10,0))</f>
        <v>Limpieza no programada (CIP)</v>
      </c>
      <c r="H913" s="6" t="str">
        <f aca="false">INDEX(Catalogo_Causas!$C$2:$C$10,MATCH(F913,Catalogo_Causas!$A$2:$A$10,0))</f>
        <v>Calidad</v>
      </c>
      <c r="I913" s="5" t="n">
        <v>41</v>
      </c>
      <c r="J913" s="29" t="n">
        <f aca="false">I913/60</f>
        <v>0.683333333333333</v>
      </c>
    </row>
    <row r="914" customFormat="false" ht="15" hidden="false" customHeight="false" outlineLevel="0" collapsed="false">
      <c r="A914" s="5" t="s">
        <v>1956</v>
      </c>
      <c r="B914" s="9" t="n">
        <v>45838</v>
      </c>
      <c r="C914" s="9" t="n">
        <v>45841</v>
      </c>
      <c r="D914" s="5" t="s">
        <v>138</v>
      </c>
      <c r="E914" s="5" t="s">
        <v>1034</v>
      </c>
      <c r="F914" s="5" t="s">
        <v>1002</v>
      </c>
      <c r="G914" s="6" t="str">
        <f aca="false">INDEX(Catalogo_Causas!$B$2:$B$10,MATCH(F914,Catalogo_Causas!$A$2:$A$10,0))</f>
        <v>Falla mecánica</v>
      </c>
      <c r="H914" s="6" t="str">
        <f aca="false">INDEX(Catalogo_Causas!$C$2:$C$10,MATCH(F914,Catalogo_Causas!$A$2:$A$10,0))</f>
        <v>Operacional</v>
      </c>
      <c r="I914" s="5" t="n">
        <v>79</v>
      </c>
      <c r="J914" s="29" t="n">
        <f aca="false">I914/60</f>
        <v>1.31666666666667</v>
      </c>
    </row>
    <row r="915" customFormat="false" ht="15" hidden="false" customHeight="false" outlineLevel="0" collapsed="false">
      <c r="A915" s="5" t="s">
        <v>1957</v>
      </c>
      <c r="B915" s="9" t="n">
        <v>45838</v>
      </c>
      <c r="C915" s="9" t="n">
        <v>45841</v>
      </c>
      <c r="D915" s="5" t="s">
        <v>142</v>
      </c>
      <c r="E915" s="5" t="s">
        <v>1051</v>
      </c>
      <c r="F915" s="5" t="s">
        <v>1002</v>
      </c>
      <c r="G915" s="6" t="str">
        <f aca="false">INDEX(Catalogo_Causas!$B$2:$B$10,MATCH(F915,Catalogo_Causas!$A$2:$A$10,0))</f>
        <v>Falla mecánica</v>
      </c>
      <c r="H915" s="6" t="str">
        <f aca="false">INDEX(Catalogo_Causas!$C$2:$C$10,MATCH(F915,Catalogo_Causas!$A$2:$A$10,0))</f>
        <v>Operacional</v>
      </c>
      <c r="I915" s="5" t="n">
        <v>15</v>
      </c>
      <c r="J915" s="29" t="n">
        <f aca="false">I915/60</f>
        <v>0.25</v>
      </c>
    </row>
    <row r="916" customFormat="false" ht="15" hidden="false" customHeight="false" outlineLevel="0" collapsed="false">
      <c r="A916" s="5" t="s">
        <v>1958</v>
      </c>
      <c r="B916" s="9" t="n">
        <v>45838</v>
      </c>
      <c r="C916" s="9" t="n">
        <v>45841</v>
      </c>
      <c r="D916" s="5" t="s">
        <v>142</v>
      </c>
      <c r="E916" s="5" t="s">
        <v>1030</v>
      </c>
      <c r="F916" s="5" t="s">
        <v>1021</v>
      </c>
      <c r="G916" s="6" t="str">
        <f aca="false">INDEX(Catalogo_Causas!$B$2:$B$10,MATCH(F916,Catalogo_Causas!$A$2:$A$10,0))</f>
        <v>Falla de servicios (vapor/amoniaco/aire)</v>
      </c>
      <c r="H916" s="6" t="str">
        <f aca="false">INDEX(Catalogo_Causas!$C$2:$C$10,MATCH(F916,Catalogo_Causas!$A$2:$A$10,0))</f>
        <v>Servicios</v>
      </c>
      <c r="I916" s="5" t="n">
        <v>84</v>
      </c>
      <c r="J916" s="29" t="n">
        <f aca="false">I916/60</f>
        <v>1.4</v>
      </c>
    </row>
    <row r="917" customFormat="false" ht="15" hidden="false" customHeight="false" outlineLevel="0" collapsed="false">
      <c r="A917" s="5" t="s">
        <v>1959</v>
      </c>
      <c r="B917" s="9" t="n">
        <v>45838</v>
      </c>
      <c r="C917" s="9" t="n">
        <v>45841</v>
      </c>
      <c r="D917" s="5" t="s">
        <v>144</v>
      </c>
      <c r="E917" s="5" t="s">
        <v>1043</v>
      </c>
      <c r="F917" s="5" t="s">
        <v>1007</v>
      </c>
      <c r="G917" s="6" t="str">
        <f aca="false">INDEX(Catalogo_Causas!$B$2:$B$10,MATCH(F917,Catalogo_Causas!$A$2:$A$10,0))</f>
        <v>Cambio de formato excedido</v>
      </c>
      <c r="H917" s="6" t="str">
        <f aca="false">INDEX(Catalogo_Causas!$C$2:$C$10,MATCH(F917,Catalogo_Causas!$A$2:$A$10,0))</f>
        <v>Operacional</v>
      </c>
      <c r="I917" s="5" t="n">
        <v>73</v>
      </c>
      <c r="J917" s="29" t="n">
        <f aca="false">I917/60</f>
        <v>1.21666666666667</v>
      </c>
    </row>
    <row r="918" customFormat="false" ht="15" hidden="false" customHeight="false" outlineLevel="0" collapsed="false">
      <c r="A918" s="5" t="s">
        <v>1960</v>
      </c>
      <c r="B918" s="9" t="n">
        <v>45838</v>
      </c>
      <c r="C918" s="9" t="n">
        <v>45841</v>
      </c>
      <c r="D918" s="5" t="s">
        <v>144</v>
      </c>
      <c r="E918" s="5" t="s">
        <v>1032</v>
      </c>
      <c r="F918" s="5" t="s">
        <v>1014</v>
      </c>
      <c r="G918" s="6" t="str">
        <f aca="false">INDEX(Catalogo_Causas!$B$2:$B$10,MATCH(F918,Catalogo_Causas!$A$2:$A$10,0))</f>
        <v>Retención de calidad</v>
      </c>
      <c r="H918" s="6" t="str">
        <f aca="false">INDEX(Catalogo_Causas!$C$2:$C$10,MATCH(F918,Catalogo_Causas!$A$2:$A$10,0))</f>
        <v>Calidad</v>
      </c>
      <c r="I918" s="5" t="n">
        <v>61</v>
      </c>
      <c r="J918" s="29" t="n">
        <f aca="false">I918/60</f>
        <v>1.01666666666667</v>
      </c>
    </row>
    <row r="919" customFormat="false" ht="15" hidden="false" customHeight="false" outlineLevel="0" collapsed="false">
      <c r="A919" s="5" t="s">
        <v>1961</v>
      </c>
      <c r="B919" s="9" t="n">
        <v>45838</v>
      </c>
      <c r="C919" s="9" t="n">
        <v>45842</v>
      </c>
      <c r="D919" s="5" t="s">
        <v>134</v>
      </c>
      <c r="E919" s="5" t="s">
        <v>1032</v>
      </c>
      <c r="F919" s="5" t="s">
        <v>1018</v>
      </c>
      <c r="G919" s="6" t="str">
        <f aca="false">INDEX(Catalogo_Causas!$B$2:$B$10,MATCH(F919,Catalogo_Causas!$A$2:$A$10,0))</f>
        <v>Falta de personal</v>
      </c>
      <c r="H919" s="6" t="str">
        <f aca="false">INDEX(Catalogo_Causas!$C$2:$C$10,MATCH(F919,Catalogo_Causas!$A$2:$A$10,0))</f>
        <v>Personal</v>
      </c>
      <c r="I919" s="5" t="n">
        <v>16</v>
      </c>
      <c r="J919" s="29" t="n">
        <f aca="false">I919/60</f>
        <v>0.266666666666667</v>
      </c>
    </row>
    <row r="920" customFormat="false" ht="15" hidden="false" customHeight="false" outlineLevel="0" collapsed="false">
      <c r="A920" s="5" t="s">
        <v>1962</v>
      </c>
      <c r="B920" s="9" t="n">
        <v>45838</v>
      </c>
      <c r="C920" s="9" t="n">
        <v>45842</v>
      </c>
      <c r="D920" s="5" t="s">
        <v>142</v>
      </c>
      <c r="E920" s="5" t="s">
        <v>1041</v>
      </c>
      <c r="F920" s="5" t="s">
        <v>1021</v>
      </c>
      <c r="G920" s="6" t="str">
        <f aca="false">INDEX(Catalogo_Causas!$B$2:$B$10,MATCH(F920,Catalogo_Causas!$A$2:$A$10,0))</f>
        <v>Falla de servicios (vapor/amoniaco/aire)</v>
      </c>
      <c r="H920" s="6" t="str">
        <f aca="false">INDEX(Catalogo_Causas!$C$2:$C$10,MATCH(F920,Catalogo_Causas!$A$2:$A$10,0))</f>
        <v>Servicios</v>
      </c>
      <c r="I920" s="5" t="n">
        <v>73</v>
      </c>
      <c r="J920" s="29" t="n">
        <f aca="false">I920/60</f>
        <v>1.21666666666667</v>
      </c>
    </row>
    <row r="921" customFormat="false" ht="15" hidden="false" customHeight="false" outlineLevel="0" collapsed="false">
      <c r="A921" s="5" t="s">
        <v>1963</v>
      </c>
      <c r="B921" s="9" t="n">
        <v>45838</v>
      </c>
      <c r="C921" s="9" t="n">
        <v>45842</v>
      </c>
      <c r="D921" s="5" t="s">
        <v>144</v>
      </c>
      <c r="E921" s="5" t="s">
        <v>1043</v>
      </c>
      <c r="F921" s="5" t="s">
        <v>1002</v>
      </c>
      <c r="G921" s="6" t="str">
        <f aca="false">INDEX(Catalogo_Causas!$B$2:$B$10,MATCH(F921,Catalogo_Causas!$A$2:$A$10,0))</f>
        <v>Falla mecánica</v>
      </c>
      <c r="H921" s="6" t="str">
        <f aca="false">INDEX(Catalogo_Causas!$C$2:$C$10,MATCH(F921,Catalogo_Causas!$A$2:$A$10,0))</f>
        <v>Operacional</v>
      </c>
      <c r="I921" s="5" t="n">
        <v>28</v>
      </c>
      <c r="J921" s="29" t="n">
        <f aca="false">I921/60</f>
        <v>0.466666666666667</v>
      </c>
    </row>
    <row r="922" customFormat="false" ht="15" hidden="false" customHeight="false" outlineLevel="0" collapsed="false">
      <c r="A922" s="5" t="s">
        <v>1964</v>
      </c>
      <c r="B922" s="9" t="n">
        <v>45838</v>
      </c>
      <c r="C922" s="9" t="n">
        <v>45843</v>
      </c>
      <c r="D922" s="5" t="s">
        <v>130</v>
      </c>
      <c r="E922" s="5" t="s">
        <v>1078</v>
      </c>
      <c r="F922" s="5" t="s">
        <v>1012</v>
      </c>
      <c r="G922" s="6" t="str">
        <f aca="false">INDEX(Catalogo_Causas!$B$2:$B$10,MATCH(F922,Catalogo_Causas!$A$2:$A$10,0))</f>
        <v>Falta de materia prima</v>
      </c>
      <c r="H922" s="6" t="str">
        <f aca="false">INDEX(Catalogo_Causas!$C$2:$C$10,MATCH(F922,Catalogo_Causas!$A$2:$A$10,0))</f>
        <v>Material / suministro</v>
      </c>
      <c r="I922" s="5" t="n">
        <v>22</v>
      </c>
      <c r="J922" s="29" t="n">
        <f aca="false">I922/60</f>
        <v>0.366666666666667</v>
      </c>
    </row>
    <row r="923" customFormat="false" ht="15" hidden="false" customHeight="false" outlineLevel="0" collapsed="false">
      <c r="A923" s="5" t="s">
        <v>1965</v>
      </c>
      <c r="B923" s="9" t="n">
        <v>45838</v>
      </c>
      <c r="C923" s="9" t="n">
        <v>45843</v>
      </c>
      <c r="D923" s="5" t="s">
        <v>138</v>
      </c>
      <c r="E923" s="5" t="s">
        <v>1039</v>
      </c>
      <c r="F923" s="5" t="s">
        <v>1014</v>
      </c>
      <c r="G923" s="6" t="str">
        <f aca="false">INDEX(Catalogo_Causas!$B$2:$B$10,MATCH(F923,Catalogo_Causas!$A$2:$A$10,0))</f>
        <v>Retención de calidad</v>
      </c>
      <c r="H923" s="6" t="str">
        <f aca="false">INDEX(Catalogo_Causas!$C$2:$C$10,MATCH(F923,Catalogo_Causas!$A$2:$A$10,0))</f>
        <v>Calidad</v>
      </c>
      <c r="I923" s="5" t="n">
        <v>19</v>
      </c>
      <c r="J923" s="29" t="n">
        <f aca="false">I923/60</f>
        <v>0.316666666666667</v>
      </c>
    </row>
    <row r="924" customFormat="false" ht="15" hidden="false" customHeight="false" outlineLevel="0" collapsed="false">
      <c r="A924" s="5" t="s">
        <v>1966</v>
      </c>
      <c r="B924" s="9" t="n">
        <v>45838</v>
      </c>
      <c r="C924" s="9" t="n">
        <v>45843</v>
      </c>
      <c r="D924" s="5" t="s">
        <v>140</v>
      </c>
      <c r="E924" s="5" t="s">
        <v>1032</v>
      </c>
      <c r="F924" s="5" t="s">
        <v>1021</v>
      </c>
      <c r="G924" s="6" t="str">
        <f aca="false">INDEX(Catalogo_Causas!$B$2:$B$10,MATCH(F924,Catalogo_Causas!$A$2:$A$10,0))</f>
        <v>Falla de servicios (vapor/amoniaco/aire)</v>
      </c>
      <c r="H924" s="6" t="str">
        <f aca="false">INDEX(Catalogo_Causas!$C$2:$C$10,MATCH(F924,Catalogo_Causas!$A$2:$A$10,0))</f>
        <v>Servicios</v>
      </c>
      <c r="I924" s="5" t="n">
        <v>45</v>
      </c>
      <c r="J924" s="29" t="n">
        <f aca="false">I924/60</f>
        <v>0.75</v>
      </c>
    </row>
    <row r="925" customFormat="false" ht="15" hidden="false" customHeight="false" outlineLevel="0" collapsed="false">
      <c r="A925" s="5" t="s">
        <v>1967</v>
      </c>
      <c r="B925" s="9" t="n">
        <v>45845</v>
      </c>
      <c r="C925" s="9" t="n">
        <v>45845</v>
      </c>
      <c r="D925" s="5" t="s">
        <v>138</v>
      </c>
      <c r="E925" s="5" t="s">
        <v>1056</v>
      </c>
      <c r="F925" s="5" t="s">
        <v>1005</v>
      </c>
      <c r="G925" s="6" t="str">
        <f aca="false">INDEX(Catalogo_Causas!$B$2:$B$10,MATCH(F925,Catalogo_Causas!$A$2:$A$10,0))</f>
        <v>Falla eléctrica / control</v>
      </c>
      <c r="H925" s="6" t="str">
        <f aca="false">INDEX(Catalogo_Causas!$C$2:$C$10,MATCH(F925,Catalogo_Causas!$A$2:$A$10,0))</f>
        <v>Operacional</v>
      </c>
      <c r="I925" s="5" t="n">
        <v>25</v>
      </c>
      <c r="J925" s="29" t="n">
        <f aca="false">I925/60</f>
        <v>0.416666666666667</v>
      </c>
    </row>
    <row r="926" customFormat="false" ht="15" hidden="false" customHeight="false" outlineLevel="0" collapsed="false">
      <c r="A926" s="5" t="s">
        <v>1968</v>
      </c>
      <c r="B926" s="9" t="n">
        <v>45845</v>
      </c>
      <c r="C926" s="9" t="n">
        <v>45845</v>
      </c>
      <c r="D926" s="5" t="s">
        <v>144</v>
      </c>
      <c r="E926" s="5" t="s">
        <v>1030</v>
      </c>
      <c r="F926" s="5" t="s">
        <v>1005</v>
      </c>
      <c r="G926" s="6" t="str">
        <f aca="false">INDEX(Catalogo_Causas!$B$2:$B$10,MATCH(F926,Catalogo_Causas!$A$2:$A$10,0))</f>
        <v>Falla eléctrica / control</v>
      </c>
      <c r="H926" s="6" t="str">
        <f aca="false">INDEX(Catalogo_Causas!$C$2:$C$10,MATCH(F926,Catalogo_Causas!$A$2:$A$10,0))</f>
        <v>Operacional</v>
      </c>
      <c r="I926" s="5" t="n">
        <v>21</v>
      </c>
      <c r="J926" s="29" t="n">
        <f aca="false">I926/60</f>
        <v>0.35</v>
      </c>
    </row>
    <row r="927" customFormat="false" ht="15" hidden="false" customHeight="false" outlineLevel="0" collapsed="false">
      <c r="A927" s="5" t="s">
        <v>1969</v>
      </c>
      <c r="B927" s="9" t="n">
        <v>45845</v>
      </c>
      <c r="C927" s="9" t="n">
        <v>45846</v>
      </c>
      <c r="D927" s="5" t="s">
        <v>130</v>
      </c>
      <c r="E927" s="5" t="s">
        <v>1045</v>
      </c>
      <c r="F927" s="5" t="s">
        <v>1002</v>
      </c>
      <c r="G927" s="6" t="str">
        <f aca="false">INDEX(Catalogo_Causas!$B$2:$B$10,MATCH(F927,Catalogo_Causas!$A$2:$A$10,0))</f>
        <v>Falla mecánica</v>
      </c>
      <c r="H927" s="6" t="str">
        <f aca="false">INDEX(Catalogo_Causas!$C$2:$C$10,MATCH(F927,Catalogo_Causas!$A$2:$A$10,0))</f>
        <v>Operacional</v>
      </c>
      <c r="I927" s="5" t="n">
        <v>123</v>
      </c>
      <c r="J927" s="29" t="n">
        <f aca="false">I927/60</f>
        <v>2.05</v>
      </c>
    </row>
    <row r="928" customFormat="false" ht="15" hidden="false" customHeight="false" outlineLevel="0" collapsed="false">
      <c r="A928" s="5" t="s">
        <v>1970</v>
      </c>
      <c r="B928" s="9" t="n">
        <v>45845</v>
      </c>
      <c r="C928" s="9" t="n">
        <v>45846</v>
      </c>
      <c r="D928" s="5" t="s">
        <v>138</v>
      </c>
      <c r="E928" s="5" t="s">
        <v>1056</v>
      </c>
      <c r="F928" s="5" t="s">
        <v>1012</v>
      </c>
      <c r="G928" s="6" t="str">
        <f aca="false">INDEX(Catalogo_Causas!$B$2:$B$10,MATCH(F928,Catalogo_Causas!$A$2:$A$10,0))</f>
        <v>Falta de materia prima</v>
      </c>
      <c r="H928" s="6" t="str">
        <f aca="false">INDEX(Catalogo_Causas!$C$2:$C$10,MATCH(F928,Catalogo_Causas!$A$2:$A$10,0))</f>
        <v>Material / suministro</v>
      </c>
      <c r="I928" s="5" t="n">
        <v>56</v>
      </c>
      <c r="J928" s="29" t="n">
        <f aca="false">I928/60</f>
        <v>0.933333333333333</v>
      </c>
    </row>
    <row r="929" customFormat="false" ht="15" hidden="false" customHeight="false" outlineLevel="0" collapsed="false">
      <c r="A929" s="5" t="s">
        <v>1971</v>
      </c>
      <c r="B929" s="9" t="n">
        <v>45845</v>
      </c>
      <c r="C929" s="9" t="n">
        <v>45846</v>
      </c>
      <c r="D929" s="5" t="s">
        <v>138</v>
      </c>
      <c r="E929" s="5" t="s">
        <v>1039</v>
      </c>
      <c r="F929" s="5" t="s">
        <v>1016</v>
      </c>
      <c r="G929" s="6" t="str">
        <f aca="false">INDEX(Catalogo_Causas!$B$2:$B$10,MATCH(F929,Catalogo_Causas!$A$2:$A$10,0))</f>
        <v>Limpieza no programada (CIP)</v>
      </c>
      <c r="H929" s="6" t="str">
        <f aca="false">INDEX(Catalogo_Causas!$C$2:$C$10,MATCH(F929,Catalogo_Causas!$A$2:$A$10,0))</f>
        <v>Calidad</v>
      </c>
      <c r="I929" s="5" t="n">
        <v>29</v>
      </c>
      <c r="J929" s="29" t="n">
        <f aca="false">I929/60</f>
        <v>0.483333333333333</v>
      </c>
    </row>
    <row r="930" customFormat="false" ht="15" hidden="false" customHeight="false" outlineLevel="0" collapsed="false">
      <c r="A930" s="5" t="s">
        <v>1972</v>
      </c>
      <c r="B930" s="9" t="n">
        <v>45845</v>
      </c>
      <c r="C930" s="9" t="n">
        <v>45847</v>
      </c>
      <c r="D930" s="5" t="s">
        <v>136</v>
      </c>
      <c r="E930" s="5" t="s">
        <v>1051</v>
      </c>
      <c r="F930" s="5" t="s">
        <v>1002</v>
      </c>
      <c r="G930" s="6" t="str">
        <f aca="false">INDEX(Catalogo_Causas!$B$2:$B$10,MATCH(F930,Catalogo_Causas!$A$2:$A$10,0))</f>
        <v>Falla mecánica</v>
      </c>
      <c r="H930" s="6" t="str">
        <f aca="false">INDEX(Catalogo_Causas!$C$2:$C$10,MATCH(F930,Catalogo_Causas!$A$2:$A$10,0))</f>
        <v>Operacional</v>
      </c>
      <c r="I930" s="5" t="n">
        <v>170</v>
      </c>
      <c r="J930" s="29" t="n">
        <f aca="false">I930/60</f>
        <v>2.83333333333333</v>
      </c>
    </row>
    <row r="931" customFormat="false" ht="15" hidden="false" customHeight="false" outlineLevel="0" collapsed="false">
      <c r="A931" s="5" t="s">
        <v>1973</v>
      </c>
      <c r="B931" s="9" t="n">
        <v>45845</v>
      </c>
      <c r="C931" s="9" t="n">
        <v>45847</v>
      </c>
      <c r="D931" s="5" t="s">
        <v>144</v>
      </c>
      <c r="E931" s="5" t="s">
        <v>1032</v>
      </c>
      <c r="F931" s="5" t="s">
        <v>1002</v>
      </c>
      <c r="G931" s="6" t="str">
        <f aca="false">INDEX(Catalogo_Causas!$B$2:$B$10,MATCH(F931,Catalogo_Causas!$A$2:$A$10,0))</f>
        <v>Falla mecánica</v>
      </c>
      <c r="H931" s="6" t="str">
        <f aca="false">INDEX(Catalogo_Causas!$C$2:$C$10,MATCH(F931,Catalogo_Causas!$A$2:$A$10,0))</f>
        <v>Operacional</v>
      </c>
      <c r="I931" s="5" t="n">
        <v>27</v>
      </c>
      <c r="J931" s="29" t="n">
        <f aca="false">I931/60</f>
        <v>0.45</v>
      </c>
    </row>
    <row r="932" customFormat="false" ht="15" hidden="false" customHeight="false" outlineLevel="0" collapsed="false">
      <c r="A932" s="5" t="s">
        <v>1974</v>
      </c>
      <c r="B932" s="9" t="n">
        <v>45845</v>
      </c>
      <c r="C932" s="9" t="n">
        <v>45848</v>
      </c>
      <c r="D932" s="5" t="s">
        <v>130</v>
      </c>
      <c r="E932" s="5" t="s">
        <v>1045</v>
      </c>
      <c r="F932" s="5" t="s">
        <v>1007</v>
      </c>
      <c r="G932" s="6" t="str">
        <f aca="false">INDEX(Catalogo_Causas!$B$2:$B$10,MATCH(F932,Catalogo_Causas!$A$2:$A$10,0))</f>
        <v>Cambio de formato excedido</v>
      </c>
      <c r="H932" s="6" t="str">
        <f aca="false">INDEX(Catalogo_Causas!$C$2:$C$10,MATCH(F932,Catalogo_Causas!$A$2:$A$10,0))</f>
        <v>Operacional</v>
      </c>
      <c r="I932" s="5" t="n">
        <v>23</v>
      </c>
      <c r="J932" s="29" t="n">
        <f aca="false">I932/60</f>
        <v>0.383333333333333</v>
      </c>
    </row>
    <row r="933" customFormat="false" ht="15" hidden="false" customHeight="false" outlineLevel="0" collapsed="false">
      <c r="A933" s="5" t="s">
        <v>1975</v>
      </c>
      <c r="B933" s="9" t="n">
        <v>45845</v>
      </c>
      <c r="C933" s="9" t="n">
        <v>45848</v>
      </c>
      <c r="D933" s="5" t="s">
        <v>134</v>
      </c>
      <c r="E933" s="5" t="s">
        <v>1030</v>
      </c>
      <c r="F933" s="5" t="s">
        <v>1007</v>
      </c>
      <c r="G933" s="6" t="str">
        <f aca="false">INDEX(Catalogo_Causas!$B$2:$B$10,MATCH(F933,Catalogo_Causas!$A$2:$A$10,0))</f>
        <v>Cambio de formato excedido</v>
      </c>
      <c r="H933" s="6" t="str">
        <f aca="false">INDEX(Catalogo_Causas!$C$2:$C$10,MATCH(F933,Catalogo_Causas!$A$2:$A$10,0))</f>
        <v>Operacional</v>
      </c>
      <c r="I933" s="5" t="n">
        <v>97</v>
      </c>
      <c r="J933" s="29" t="n">
        <f aca="false">I933/60</f>
        <v>1.61666666666667</v>
      </c>
    </row>
    <row r="934" customFormat="false" ht="15" hidden="false" customHeight="false" outlineLevel="0" collapsed="false">
      <c r="A934" s="5" t="s">
        <v>1976</v>
      </c>
      <c r="B934" s="9" t="n">
        <v>45845</v>
      </c>
      <c r="C934" s="9" t="n">
        <v>45848</v>
      </c>
      <c r="D934" s="5" t="s">
        <v>144</v>
      </c>
      <c r="E934" s="5" t="s">
        <v>1030</v>
      </c>
      <c r="F934" s="5" t="s">
        <v>1021</v>
      </c>
      <c r="G934" s="6" t="str">
        <f aca="false">INDEX(Catalogo_Causas!$B$2:$B$10,MATCH(F934,Catalogo_Causas!$A$2:$A$10,0))</f>
        <v>Falla de servicios (vapor/amoniaco/aire)</v>
      </c>
      <c r="H934" s="6" t="str">
        <f aca="false">INDEX(Catalogo_Causas!$C$2:$C$10,MATCH(F934,Catalogo_Causas!$A$2:$A$10,0))</f>
        <v>Servicios</v>
      </c>
      <c r="I934" s="5" t="n">
        <v>35</v>
      </c>
      <c r="J934" s="29" t="n">
        <f aca="false">I934/60</f>
        <v>0.583333333333333</v>
      </c>
    </row>
    <row r="935" customFormat="false" ht="15" hidden="false" customHeight="false" outlineLevel="0" collapsed="false">
      <c r="A935" s="5" t="s">
        <v>1977</v>
      </c>
      <c r="B935" s="9" t="n">
        <v>45845</v>
      </c>
      <c r="C935" s="9" t="n">
        <v>45849</v>
      </c>
      <c r="D935" s="5" t="s">
        <v>132</v>
      </c>
      <c r="E935" s="5" t="s">
        <v>1073</v>
      </c>
      <c r="F935" s="5" t="s">
        <v>1002</v>
      </c>
      <c r="G935" s="6" t="str">
        <f aca="false">INDEX(Catalogo_Causas!$B$2:$B$10,MATCH(F935,Catalogo_Causas!$A$2:$A$10,0))</f>
        <v>Falla mecánica</v>
      </c>
      <c r="H935" s="6" t="str">
        <f aca="false">INDEX(Catalogo_Causas!$C$2:$C$10,MATCH(F935,Catalogo_Causas!$A$2:$A$10,0))</f>
        <v>Operacional</v>
      </c>
      <c r="I935" s="5" t="n">
        <v>37</v>
      </c>
      <c r="J935" s="29" t="n">
        <f aca="false">I935/60</f>
        <v>0.616666666666667</v>
      </c>
    </row>
    <row r="936" customFormat="false" ht="15" hidden="false" customHeight="false" outlineLevel="0" collapsed="false">
      <c r="A936" s="5" t="s">
        <v>1978</v>
      </c>
      <c r="B936" s="9" t="n">
        <v>45845</v>
      </c>
      <c r="C936" s="9" t="n">
        <v>45850</v>
      </c>
      <c r="D936" s="5" t="s">
        <v>130</v>
      </c>
      <c r="E936" s="5" t="s">
        <v>1078</v>
      </c>
      <c r="F936" s="5" t="s">
        <v>1005</v>
      </c>
      <c r="G936" s="6" t="str">
        <f aca="false">INDEX(Catalogo_Causas!$B$2:$B$10,MATCH(F936,Catalogo_Causas!$A$2:$A$10,0))</f>
        <v>Falla eléctrica / control</v>
      </c>
      <c r="H936" s="6" t="str">
        <f aca="false">INDEX(Catalogo_Causas!$C$2:$C$10,MATCH(F936,Catalogo_Causas!$A$2:$A$10,0))</f>
        <v>Operacional</v>
      </c>
      <c r="I936" s="5" t="n">
        <v>53</v>
      </c>
      <c r="J936" s="29" t="n">
        <f aca="false">I936/60</f>
        <v>0.883333333333333</v>
      </c>
    </row>
    <row r="937" customFormat="false" ht="15" hidden="false" customHeight="false" outlineLevel="0" collapsed="false">
      <c r="A937" s="5" t="s">
        <v>1979</v>
      </c>
      <c r="B937" s="9" t="n">
        <v>45845</v>
      </c>
      <c r="C937" s="9" t="n">
        <v>45850</v>
      </c>
      <c r="D937" s="5" t="s">
        <v>134</v>
      </c>
      <c r="E937" s="5" t="s">
        <v>1054</v>
      </c>
      <c r="F937" s="5" t="s">
        <v>1007</v>
      </c>
      <c r="G937" s="6" t="str">
        <f aca="false">INDEX(Catalogo_Causas!$B$2:$B$10,MATCH(F937,Catalogo_Causas!$A$2:$A$10,0))</f>
        <v>Cambio de formato excedido</v>
      </c>
      <c r="H937" s="6" t="str">
        <f aca="false">INDEX(Catalogo_Causas!$C$2:$C$10,MATCH(F937,Catalogo_Causas!$A$2:$A$10,0))</f>
        <v>Operacional</v>
      </c>
      <c r="I937" s="5" t="n">
        <v>63</v>
      </c>
      <c r="J937" s="29" t="n">
        <f aca="false">I937/60</f>
        <v>1.05</v>
      </c>
    </row>
    <row r="938" customFormat="false" ht="15" hidden="false" customHeight="false" outlineLevel="0" collapsed="false">
      <c r="A938" s="5" t="s">
        <v>1980</v>
      </c>
      <c r="B938" s="9" t="n">
        <v>45845</v>
      </c>
      <c r="C938" s="9" t="n">
        <v>45850</v>
      </c>
      <c r="D938" s="5" t="s">
        <v>138</v>
      </c>
      <c r="E938" s="5" t="s">
        <v>1034</v>
      </c>
      <c r="F938" s="5" t="s">
        <v>1016</v>
      </c>
      <c r="G938" s="6" t="str">
        <f aca="false">INDEX(Catalogo_Causas!$B$2:$B$10,MATCH(F938,Catalogo_Causas!$A$2:$A$10,0))</f>
        <v>Limpieza no programada (CIP)</v>
      </c>
      <c r="H938" s="6" t="str">
        <f aca="false">INDEX(Catalogo_Causas!$C$2:$C$10,MATCH(F938,Catalogo_Causas!$A$2:$A$10,0))</f>
        <v>Calidad</v>
      </c>
      <c r="I938" s="5" t="n">
        <v>36</v>
      </c>
      <c r="J938" s="29" t="n">
        <f aca="false">I938/60</f>
        <v>0.6</v>
      </c>
    </row>
    <row r="939" customFormat="false" ht="15" hidden="false" customHeight="false" outlineLevel="0" collapsed="false">
      <c r="A939" s="5" t="s">
        <v>1981</v>
      </c>
      <c r="B939" s="9" t="n">
        <v>45845</v>
      </c>
      <c r="C939" s="9" t="n">
        <v>45850</v>
      </c>
      <c r="D939" s="5" t="s">
        <v>140</v>
      </c>
      <c r="E939" s="5" t="s">
        <v>1045</v>
      </c>
      <c r="F939" s="5" t="s">
        <v>1005</v>
      </c>
      <c r="G939" s="6" t="str">
        <f aca="false">INDEX(Catalogo_Causas!$B$2:$B$10,MATCH(F939,Catalogo_Causas!$A$2:$A$10,0))</f>
        <v>Falla eléctrica / control</v>
      </c>
      <c r="H939" s="6" t="str">
        <f aca="false">INDEX(Catalogo_Causas!$C$2:$C$10,MATCH(F939,Catalogo_Causas!$A$2:$A$10,0))</f>
        <v>Operacional</v>
      </c>
      <c r="I939" s="5" t="n">
        <v>21</v>
      </c>
      <c r="J939" s="29" t="n">
        <f aca="false">I939/60</f>
        <v>0.35</v>
      </c>
    </row>
    <row r="940" customFormat="false" ht="15" hidden="false" customHeight="false" outlineLevel="0" collapsed="false">
      <c r="A940" s="5" t="s">
        <v>1982</v>
      </c>
      <c r="B940" s="9" t="n">
        <v>45845</v>
      </c>
      <c r="C940" s="9" t="n">
        <v>45850</v>
      </c>
      <c r="D940" s="5" t="s">
        <v>142</v>
      </c>
      <c r="E940" s="5" t="s">
        <v>1041</v>
      </c>
      <c r="F940" s="5" t="s">
        <v>1021</v>
      </c>
      <c r="G940" s="6" t="str">
        <f aca="false">INDEX(Catalogo_Causas!$B$2:$B$10,MATCH(F940,Catalogo_Causas!$A$2:$A$10,0))</f>
        <v>Falla de servicios (vapor/amoniaco/aire)</v>
      </c>
      <c r="H940" s="6" t="str">
        <f aca="false">INDEX(Catalogo_Causas!$C$2:$C$10,MATCH(F940,Catalogo_Causas!$A$2:$A$10,0))</f>
        <v>Servicios</v>
      </c>
      <c r="I940" s="5" t="n">
        <v>54</v>
      </c>
      <c r="J940" s="29" t="n">
        <f aca="false">I940/60</f>
        <v>0.9</v>
      </c>
    </row>
    <row r="941" customFormat="false" ht="15" hidden="false" customHeight="false" outlineLevel="0" collapsed="false">
      <c r="A941" s="5" t="s">
        <v>1983</v>
      </c>
      <c r="B941" s="9" t="n">
        <v>45852</v>
      </c>
      <c r="C941" s="9" t="n">
        <v>45852</v>
      </c>
      <c r="D941" s="5" t="s">
        <v>130</v>
      </c>
      <c r="E941" s="5" t="s">
        <v>1045</v>
      </c>
      <c r="F941" s="5" t="s">
        <v>1005</v>
      </c>
      <c r="G941" s="6" t="str">
        <f aca="false">INDEX(Catalogo_Causas!$B$2:$B$10,MATCH(F941,Catalogo_Causas!$A$2:$A$10,0))</f>
        <v>Falla eléctrica / control</v>
      </c>
      <c r="H941" s="6" t="str">
        <f aca="false">INDEX(Catalogo_Causas!$C$2:$C$10,MATCH(F941,Catalogo_Causas!$A$2:$A$10,0))</f>
        <v>Operacional</v>
      </c>
      <c r="I941" s="5" t="n">
        <v>54</v>
      </c>
      <c r="J941" s="29" t="n">
        <f aca="false">I941/60</f>
        <v>0.9</v>
      </c>
    </row>
    <row r="942" customFormat="false" ht="15" hidden="false" customHeight="false" outlineLevel="0" collapsed="false">
      <c r="A942" s="5" t="s">
        <v>1984</v>
      </c>
      <c r="B942" s="9" t="n">
        <v>45852</v>
      </c>
      <c r="C942" s="9" t="n">
        <v>45852</v>
      </c>
      <c r="D942" s="5" t="s">
        <v>132</v>
      </c>
      <c r="E942" s="5" t="s">
        <v>1032</v>
      </c>
      <c r="F942" s="5" t="s">
        <v>1014</v>
      </c>
      <c r="G942" s="6" t="str">
        <f aca="false">INDEX(Catalogo_Causas!$B$2:$B$10,MATCH(F942,Catalogo_Causas!$A$2:$A$10,0))</f>
        <v>Retención de calidad</v>
      </c>
      <c r="H942" s="6" t="str">
        <f aca="false">INDEX(Catalogo_Causas!$C$2:$C$10,MATCH(F942,Catalogo_Causas!$A$2:$A$10,0))</f>
        <v>Calidad</v>
      </c>
      <c r="I942" s="5" t="n">
        <v>19</v>
      </c>
      <c r="J942" s="29" t="n">
        <f aca="false">I942/60</f>
        <v>0.316666666666667</v>
      </c>
    </row>
    <row r="943" customFormat="false" ht="15" hidden="false" customHeight="false" outlineLevel="0" collapsed="false">
      <c r="A943" s="5" t="s">
        <v>1985</v>
      </c>
      <c r="B943" s="9" t="n">
        <v>45852</v>
      </c>
      <c r="C943" s="9" t="n">
        <v>45852</v>
      </c>
      <c r="D943" s="5" t="s">
        <v>136</v>
      </c>
      <c r="E943" s="5" t="s">
        <v>1051</v>
      </c>
      <c r="F943" s="5" t="s">
        <v>1002</v>
      </c>
      <c r="G943" s="6" t="str">
        <f aca="false">INDEX(Catalogo_Causas!$B$2:$B$10,MATCH(F943,Catalogo_Causas!$A$2:$A$10,0))</f>
        <v>Falla mecánica</v>
      </c>
      <c r="H943" s="6" t="str">
        <f aca="false">INDEX(Catalogo_Causas!$C$2:$C$10,MATCH(F943,Catalogo_Causas!$A$2:$A$10,0))</f>
        <v>Operacional</v>
      </c>
      <c r="I943" s="5" t="n">
        <v>56</v>
      </c>
      <c r="J943" s="29" t="n">
        <f aca="false">I943/60</f>
        <v>0.933333333333333</v>
      </c>
    </row>
    <row r="944" customFormat="false" ht="15" hidden="false" customHeight="false" outlineLevel="0" collapsed="false">
      <c r="A944" s="5" t="s">
        <v>1986</v>
      </c>
      <c r="B944" s="9" t="n">
        <v>45852</v>
      </c>
      <c r="C944" s="9" t="n">
        <v>45852</v>
      </c>
      <c r="D944" s="5" t="s">
        <v>138</v>
      </c>
      <c r="E944" s="5" t="s">
        <v>1034</v>
      </c>
      <c r="F944" s="5" t="s">
        <v>1005</v>
      </c>
      <c r="G944" s="6" t="str">
        <f aca="false">INDEX(Catalogo_Causas!$B$2:$B$10,MATCH(F944,Catalogo_Causas!$A$2:$A$10,0))</f>
        <v>Falla eléctrica / control</v>
      </c>
      <c r="H944" s="6" t="str">
        <f aca="false">INDEX(Catalogo_Causas!$C$2:$C$10,MATCH(F944,Catalogo_Causas!$A$2:$A$10,0))</f>
        <v>Operacional</v>
      </c>
      <c r="I944" s="5" t="n">
        <v>32</v>
      </c>
      <c r="J944" s="29" t="n">
        <f aca="false">I944/60</f>
        <v>0.533333333333333</v>
      </c>
    </row>
    <row r="945" customFormat="false" ht="15" hidden="false" customHeight="false" outlineLevel="0" collapsed="false">
      <c r="A945" s="5" t="s">
        <v>1987</v>
      </c>
      <c r="B945" s="9" t="n">
        <v>45852</v>
      </c>
      <c r="C945" s="9" t="n">
        <v>45853</v>
      </c>
      <c r="D945" s="5" t="s">
        <v>134</v>
      </c>
      <c r="E945" s="5" t="s">
        <v>1032</v>
      </c>
      <c r="F945" s="5" t="s">
        <v>1002</v>
      </c>
      <c r="G945" s="6" t="str">
        <f aca="false">INDEX(Catalogo_Causas!$B$2:$B$10,MATCH(F945,Catalogo_Causas!$A$2:$A$10,0))</f>
        <v>Falla mecánica</v>
      </c>
      <c r="H945" s="6" t="str">
        <f aca="false">INDEX(Catalogo_Causas!$C$2:$C$10,MATCH(F945,Catalogo_Causas!$A$2:$A$10,0))</f>
        <v>Operacional</v>
      </c>
      <c r="I945" s="5" t="n">
        <v>32</v>
      </c>
      <c r="J945" s="29" t="n">
        <f aca="false">I945/60</f>
        <v>0.533333333333333</v>
      </c>
    </row>
    <row r="946" customFormat="false" ht="15" hidden="false" customHeight="false" outlineLevel="0" collapsed="false">
      <c r="A946" s="5" t="s">
        <v>1988</v>
      </c>
      <c r="B946" s="9" t="n">
        <v>45852</v>
      </c>
      <c r="C946" s="9" t="n">
        <v>45853</v>
      </c>
      <c r="D946" s="5" t="s">
        <v>134</v>
      </c>
      <c r="E946" s="5" t="s">
        <v>1032</v>
      </c>
      <c r="F946" s="5" t="s">
        <v>1002</v>
      </c>
      <c r="G946" s="6" t="str">
        <f aca="false">INDEX(Catalogo_Causas!$B$2:$B$10,MATCH(F946,Catalogo_Causas!$A$2:$A$10,0))</f>
        <v>Falla mecánica</v>
      </c>
      <c r="H946" s="6" t="str">
        <f aca="false">INDEX(Catalogo_Causas!$C$2:$C$10,MATCH(F946,Catalogo_Causas!$A$2:$A$10,0))</f>
        <v>Operacional</v>
      </c>
      <c r="I946" s="5" t="n">
        <v>11</v>
      </c>
      <c r="J946" s="29" t="n">
        <f aca="false">I946/60</f>
        <v>0.183333333333333</v>
      </c>
    </row>
    <row r="947" customFormat="false" ht="15" hidden="false" customHeight="false" outlineLevel="0" collapsed="false">
      <c r="A947" s="5" t="s">
        <v>1989</v>
      </c>
      <c r="B947" s="9" t="n">
        <v>45852</v>
      </c>
      <c r="C947" s="9" t="n">
        <v>45853</v>
      </c>
      <c r="D947" s="5" t="s">
        <v>142</v>
      </c>
      <c r="E947" s="5" t="s">
        <v>1030</v>
      </c>
      <c r="F947" s="5" t="s">
        <v>1007</v>
      </c>
      <c r="G947" s="6" t="str">
        <f aca="false">INDEX(Catalogo_Causas!$B$2:$B$10,MATCH(F947,Catalogo_Causas!$A$2:$A$10,0))</f>
        <v>Cambio de formato excedido</v>
      </c>
      <c r="H947" s="6" t="str">
        <f aca="false">INDEX(Catalogo_Causas!$C$2:$C$10,MATCH(F947,Catalogo_Causas!$A$2:$A$10,0))</f>
        <v>Operacional</v>
      </c>
      <c r="I947" s="5" t="n">
        <v>70</v>
      </c>
      <c r="J947" s="29" t="n">
        <f aca="false">I947/60</f>
        <v>1.16666666666667</v>
      </c>
    </row>
    <row r="948" customFormat="false" ht="15" hidden="false" customHeight="false" outlineLevel="0" collapsed="false">
      <c r="A948" s="5" t="s">
        <v>1990</v>
      </c>
      <c r="B948" s="9" t="n">
        <v>45852</v>
      </c>
      <c r="C948" s="9" t="n">
        <v>45853</v>
      </c>
      <c r="D948" s="5" t="s">
        <v>144</v>
      </c>
      <c r="E948" s="5" t="s">
        <v>1030</v>
      </c>
      <c r="F948" s="5" t="s">
        <v>1002</v>
      </c>
      <c r="G948" s="6" t="str">
        <f aca="false">INDEX(Catalogo_Causas!$B$2:$B$10,MATCH(F948,Catalogo_Causas!$A$2:$A$10,0))</f>
        <v>Falla mecánica</v>
      </c>
      <c r="H948" s="6" t="str">
        <f aca="false">INDEX(Catalogo_Causas!$C$2:$C$10,MATCH(F948,Catalogo_Causas!$A$2:$A$10,0))</f>
        <v>Operacional</v>
      </c>
      <c r="I948" s="5" t="n">
        <v>165</v>
      </c>
      <c r="J948" s="29" t="n">
        <f aca="false">I948/60</f>
        <v>2.75</v>
      </c>
    </row>
    <row r="949" customFormat="false" ht="15" hidden="false" customHeight="false" outlineLevel="0" collapsed="false">
      <c r="A949" s="5" t="s">
        <v>1991</v>
      </c>
      <c r="B949" s="9" t="n">
        <v>45852</v>
      </c>
      <c r="C949" s="9" t="n">
        <v>45854</v>
      </c>
      <c r="D949" s="5" t="s">
        <v>132</v>
      </c>
      <c r="E949" s="5" t="s">
        <v>1084</v>
      </c>
      <c r="F949" s="5" t="s">
        <v>1014</v>
      </c>
      <c r="G949" s="6" t="str">
        <f aca="false">INDEX(Catalogo_Causas!$B$2:$B$10,MATCH(F949,Catalogo_Causas!$A$2:$A$10,0))</f>
        <v>Retención de calidad</v>
      </c>
      <c r="H949" s="6" t="str">
        <f aca="false">INDEX(Catalogo_Causas!$C$2:$C$10,MATCH(F949,Catalogo_Causas!$A$2:$A$10,0))</f>
        <v>Calidad</v>
      </c>
      <c r="I949" s="5" t="n">
        <v>127</v>
      </c>
      <c r="J949" s="29" t="n">
        <f aca="false">I949/60</f>
        <v>2.11666666666667</v>
      </c>
    </row>
    <row r="950" customFormat="false" ht="15" hidden="false" customHeight="false" outlineLevel="0" collapsed="false">
      <c r="A950" s="5" t="s">
        <v>1992</v>
      </c>
      <c r="B950" s="9" t="n">
        <v>45852</v>
      </c>
      <c r="C950" s="9" t="n">
        <v>45854</v>
      </c>
      <c r="D950" s="5" t="s">
        <v>134</v>
      </c>
      <c r="E950" s="5" t="s">
        <v>1054</v>
      </c>
      <c r="F950" s="5" t="s">
        <v>1021</v>
      </c>
      <c r="G950" s="6" t="str">
        <f aca="false">INDEX(Catalogo_Causas!$B$2:$B$10,MATCH(F950,Catalogo_Causas!$A$2:$A$10,0))</f>
        <v>Falla de servicios (vapor/amoniaco/aire)</v>
      </c>
      <c r="H950" s="6" t="str">
        <f aca="false">INDEX(Catalogo_Causas!$C$2:$C$10,MATCH(F950,Catalogo_Causas!$A$2:$A$10,0))</f>
        <v>Servicios</v>
      </c>
      <c r="I950" s="5" t="n">
        <v>113</v>
      </c>
      <c r="J950" s="29" t="n">
        <f aca="false">I950/60</f>
        <v>1.88333333333333</v>
      </c>
    </row>
    <row r="951" customFormat="false" ht="15" hidden="false" customHeight="false" outlineLevel="0" collapsed="false">
      <c r="A951" s="5" t="s">
        <v>1993</v>
      </c>
      <c r="B951" s="9" t="n">
        <v>45852</v>
      </c>
      <c r="C951" s="9" t="n">
        <v>45854</v>
      </c>
      <c r="D951" s="5" t="s">
        <v>136</v>
      </c>
      <c r="E951" s="5" t="s">
        <v>1032</v>
      </c>
      <c r="F951" s="5" t="s">
        <v>1007</v>
      </c>
      <c r="G951" s="6" t="str">
        <f aca="false">INDEX(Catalogo_Causas!$B$2:$B$10,MATCH(F951,Catalogo_Causas!$A$2:$A$10,0))</f>
        <v>Cambio de formato excedido</v>
      </c>
      <c r="H951" s="6" t="str">
        <f aca="false">INDEX(Catalogo_Causas!$C$2:$C$10,MATCH(F951,Catalogo_Causas!$A$2:$A$10,0))</f>
        <v>Operacional</v>
      </c>
      <c r="I951" s="5" t="n">
        <v>30</v>
      </c>
      <c r="J951" s="29" t="n">
        <f aca="false">I951/60</f>
        <v>0.5</v>
      </c>
    </row>
    <row r="952" customFormat="false" ht="15" hidden="false" customHeight="false" outlineLevel="0" collapsed="false">
      <c r="A952" s="5" t="s">
        <v>1994</v>
      </c>
      <c r="B952" s="9" t="n">
        <v>45852</v>
      </c>
      <c r="C952" s="9" t="n">
        <v>45854</v>
      </c>
      <c r="D952" s="5" t="s">
        <v>138</v>
      </c>
      <c r="E952" s="5" t="s">
        <v>1056</v>
      </c>
      <c r="F952" s="5" t="s">
        <v>1014</v>
      </c>
      <c r="G952" s="6" t="str">
        <f aca="false">INDEX(Catalogo_Causas!$B$2:$B$10,MATCH(F952,Catalogo_Causas!$A$2:$A$10,0))</f>
        <v>Retención de calidad</v>
      </c>
      <c r="H952" s="6" t="str">
        <f aca="false">INDEX(Catalogo_Causas!$C$2:$C$10,MATCH(F952,Catalogo_Causas!$A$2:$A$10,0))</f>
        <v>Calidad</v>
      </c>
      <c r="I952" s="5" t="n">
        <v>22</v>
      </c>
      <c r="J952" s="29" t="n">
        <f aca="false">I952/60</f>
        <v>0.366666666666667</v>
      </c>
    </row>
    <row r="953" customFormat="false" ht="15" hidden="false" customHeight="false" outlineLevel="0" collapsed="false">
      <c r="A953" s="5" t="s">
        <v>1995</v>
      </c>
      <c r="B953" s="9" t="n">
        <v>45852</v>
      </c>
      <c r="C953" s="9" t="n">
        <v>45855</v>
      </c>
      <c r="D953" s="5" t="s">
        <v>136</v>
      </c>
      <c r="E953" s="5" t="s">
        <v>1032</v>
      </c>
      <c r="F953" s="5" t="s">
        <v>1007</v>
      </c>
      <c r="G953" s="6" t="str">
        <f aca="false">INDEX(Catalogo_Causas!$B$2:$B$10,MATCH(F953,Catalogo_Causas!$A$2:$A$10,0))</f>
        <v>Cambio de formato excedido</v>
      </c>
      <c r="H953" s="6" t="str">
        <f aca="false">INDEX(Catalogo_Causas!$C$2:$C$10,MATCH(F953,Catalogo_Causas!$A$2:$A$10,0))</f>
        <v>Operacional</v>
      </c>
      <c r="I953" s="5" t="n">
        <v>24</v>
      </c>
      <c r="J953" s="29" t="n">
        <f aca="false">I953/60</f>
        <v>0.4</v>
      </c>
    </row>
    <row r="954" customFormat="false" ht="15" hidden="false" customHeight="false" outlineLevel="0" collapsed="false">
      <c r="A954" s="5" t="s">
        <v>1996</v>
      </c>
      <c r="B954" s="9" t="n">
        <v>45852</v>
      </c>
      <c r="C954" s="9" t="n">
        <v>45855</v>
      </c>
      <c r="D954" s="5" t="s">
        <v>138</v>
      </c>
      <c r="E954" s="5" t="s">
        <v>1039</v>
      </c>
      <c r="F954" s="5" t="s">
        <v>1012</v>
      </c>
      <c r="G954" s="6" t="str">
        <f aca="false">INDEX(Catalogo_Causas!$B$2:$B$10,MATCH(F954,Catalogo_Causas!$A$2:$A$10,0))</f>
        <v>Falta de materia prima</v>
      </c>
      <c r="H954" s="6" t="str">
        <f aca="false">INDEX(Catalogo_Causas!$C$2:$C$10,MATCH(F954,Catalogo_Causas!$A$2:$A$10,0))</f>
        <v>Material / suministro</v>
      </c>
      <c r="I954" s="5" t="n">
        <v>33</v>
      </c>
      <c r="J954" s="29" t="n">
        <f aca="false">I954/60</f>
        <v>0.55</v>
      </c>
    </row>
    <row r="955" customFormat="false" ht="15" hidden="false" customHeight="false" outlineLevel="0" collapsed="false">
      <c r="A955" s="5" t="s">
        <v>1997</v>
      </c>
      <c r="B955" s="9" t="n">
        <v>45852</v>
      </c>
      <c r="C955" s="9" t="n">
        <v>45855</v>
      </c>
      <c r="D955" s="5" t="s">
        <v>142</v>
      </c>
      <c r="E955" s="5" t="s">
        <v>1041</v>
      </c>
      <c r="F955" s="5" t="s">
        <v>1002</v>
      </c>
      <c r="G955" s="6" t="str">
        <f aca="false">INDEX(Catalogo_Causas!$B$2:$B$10,MATCH(F955,Catalogo_Causas!$A$2:$A$10,0))</f>
        <v>Falla mecánica</v>
      </c>
      <c r="H955" s="6" t="str">
        <f aca="false">INDEX(Catalogo_Causas!$C$2:$C$10,MATCH(F955,Catalogo_Causas!$A$2:$A$10,0))</f>
        <v>Operacional</v>
      </c>
      <c r="I955" s="5" t="n">
        <v>34</v>
      </c>
      <c r="J955" s="29" t="n">
        <f aca="false">I955/60</f>
        <v>0.566666666666667</v>
      </c>
    </row>
    <row r="956" customFormat="false" ht="15" hidden="false" customHeight="false" outlineLevel="0" collapsed="false">
      <c r="A956" s="5" t="s">
        <v>1998</v>
      </c>
      <c r="B956" s="9" t="n">
        <v>45852</v>
      </c>
      <c r="C956" s="9" t="n">
        <v>45856</v>
      </c>
      <c r="D956" s="5" t="s">
        <v>130</v>
      </c>
      <c r="E956" s="5" t="s">
        <v>1045</v>
      </c>
      <c r="F956" s="5" t="s">
        <v>1002</v>
      </c>
      <c r="G956" s="6" t="str">
        <f aca="false">INDEX(Catalogo_Causas!$B$2:$B$10,MATCH(F956,Catalogo_Causas!$A$2:$A$10,0))</f>
        <v>Falla mecánica</v>
      </c>
      <c r="H956" s="6" t="str">
        <f aca="false">INDEX(Catalogo_Causas!$C$2:$C$10,MATCH(F956,Catalogo_Causas!$A$2:$A$10,0))</f>
        <v>Operacional</v>
      </c>
      <c r="I956" s="5" t="n">
        <v>41</v>
      </c>
      <c r="J956" s="29" t="n">
        <f aca="false">I956/60</f>
        <v>0.683333333333333</v>
      </c>
    </row>
    <row r="957" customFormat="false" ht="15" hidden="false" customHeight="false" outlineLevel="0" collapsed="false">
      <c r="A957" s="5" t="s">
        <v>1999</v>
      </c>
      <c r="B957" s="9" t="n">
        <v>45852</v>
      </c>
      <c r="C957" s="9" t="n">
        <v>45857</v>
      </c>
      <c r="D957" s="5" t="s">
        <v>134</v>
      </c>
      <c r="E957" s="5" t="s">
        <v>1054</v>
      </c>
      <c r="F957" s="5" t="s">
        <v>1002</v>
      </c>
      <c r="G957" s="6" t="str">
        <f aca="false">INDEX(Catalogo_Causas!$B$2:$B$10,MATCH(F957,Catalogo_Causas!$A$2:$A$10,0))</f>
        <v>Falla mecánica</v>
      </c>
      <c r="H957" s="6" t="str">
        <f aca="false">INDEX(Catalogo_Causas!$C$2:$C$10,MATCH(F957,Catalogo_Causas!$A$2:$A$10,0))</f>
        <v>Operacional</v>
      </c>
      <c r="I957" s="5" t="n">
        <v>65</v>
      </c>
      <c r="J957" s="29" t="n">
        <f aca="false">I957/60</f>
        <v>1.08333333333333</v>
      </c>
    </row>
    <row r="958" customFormat="false" ht="15" hidden="false" customHeight="false" outlineLevel="0" collapsed="false">
      <c r="A958" s="5" t="s">
        <v>2000</v>
      </c>
      <c r="B958" s="9" t="n">
        <v>45852</v>
      </c>
      <c r="C958" s="9" t="n">
        <v>45857</v>
      </c>
      <c r="D958" s="5" t="s">
        <v>144</v>
      </c>
      <c r="E958" s="5" t="s">
        <v>1032</v>
      </c>
      <c r="F958" s="5" t="s">
        <v>1014</v>
      </c>
      <c r="G958" s="6" t="str">
        <f aca="false">INDEX(Catalogo_Causas!$B$2:$B$10,MATCH(F958,Catalogo_Causas!$A$2:$A$10,0))</f>
        <v>Retención de calidad</v>
      </c>
      <c r="H958" s="6" t="str">
        <f aca="false">INDEX(Catalogo_Causas!$C$2:$C$10,MATCH(F958,Catalogo_Causas!$A$2:$A$10,0))</f>
        <v>Calidad</v>
      </c>
      <c r="I958" s="5" t="n">
        <v>21</v>
      </c>
      <c r="J958" s="29" t="n">
        <f aca="false">I958/60</f>
        <v>0.35</v>
      </c>
    </row>
    <row r="959" customFormat="false" ht="15" hidden="false" customHeight="false" outlineLevel="0" collapsed="false">
      <c r="A959" s="5" t="s">
        <v>2001</v>
      </c>
      <c r="B959" s="9" t="n">
        <v>45859</v>
      </c>
      <c r="C959" s="9" t="n">
        <v>45859</v>
      </c>
      <c r="D959" s="5" t="s">
        <v>134</v>
      </c>
      <c r="E959" s="5" t="s">
        <v>1030</v>
      </c>
      <c r="F959" s="5" t="s">
        <v>1009</v>
      </c>
      <c r="G959" s="6" t="str">
        <f aca="false">INDEX(Catalogo_Causas!$B$2:$B$10,MATCH(F959,Catalogo_Causas!$A$2:$A$10,0))</f>
        <v>Falta de material de empaque</v>
      </c>
      <c r="H959" s="6" t="str">
        <f aca="false">INDEX(Catalogo_Causas!$C$2:$C$10,MATCH(F959,Catalogo_Causas!$A$2:$A$10,0))</f>
        <v>Material / suministro</v>
      </c>
      <c r="I959" s="5" t="n">
        <v>88</v>
      </c>
      <c r="J959" s="29" t="n">
        <f aca="false">I959/60</f>
        <v>1.46666666666667</v>
      </c>
    </row>
    <row r="960" customFormat="false" ht="15" hidden="false" customHeight="false" outlineLevel="0" collapsed="false">
      <c r="A960" s="5" t="s">
        <v>2002</v>
      </c>
      <c r="B960" s="9" t="n">
        <v>45859</v>
      </c>
      <c r="C960" s="9" t="n">
        <v>45860</v>
      </c>
      <c r="D960" s="5" t="s">
        <v>134</v>
      </c>
      <c r="E960" s="5" t="s">
        <v>1030</v>
      </c>
      <c r="F960" s="5" t="s">
        <v>1018</v>
      </c>
      <c r="G960" s="6" t="str">
        <f aca="false">INDEX(Catalogo_Causas!$B$2:$B$10,MATCH(F960,Catalogo_Causas!$A$2:$A$10,0))</f>
        <v>Falta de personal</v>
      </c>
      <c r="H960" s="6" t="str">
        <f aca="false">INDEX(Catalogo_Causas!$C$2:$C$10,MATCH(F960,Catalogo_Causas!$A$2:$A$10,0))</f>
        <v>Personal</v>
      </c>
      <c r="I960" s="5" t="n">
        <v>145</v>
      </c>
      <c r="J960" s="29" t="n">
        <f aca="false">I960/60</f>
        <v>2.41666666666667</v>
      </c>
    </row>
    <row r="961" customFormat="false" ht="15" hidden="false" customHeight="false" outlineLevel="0" collapsed="false">
      <c r="A961" s="5" t="s">
        <v>2003</v>
      </c>
      <c r="B961" s="9" t="n">
        <v>45859</v>
      </c>
      <c r="C961" s="9" t="n">
        <v>45860</v>
      </c>
      <c r="D961" s="5" t="s">
        <v>140</v>
      </c>
      <c r="E961" s="5" t="s">
        <v>1032</v>
      </c>
      <c r="F961" s="5" t="s">
        <v>1016</v>
      </c>
      <c r="G961" s="6" t="str">
        <f aca="false">INDEX(Catalogo_Causas!$B$2:$B$10,MATCH(F961,Catalogo_Causas!$A$2:$A$10,0))</f>
        <v>Limpieza no programada (CIP)</v>
      </c>
      <c r="H961" s="6" t="str">
        <f aca="false">INDEX(Catalogo_Causas!$C$2:$C$10,MATCH(F961,Catalogo_Causas!$A$2:$A$10,0))</f>
        <v>Calidad</v>
      </c>
      <c r="I961" s="5" t="n">
        <v>26</v>
      </c>
      <c r="J961" s="29" t="n">
        <f aca="false">I961/60</f>
        <v>0.433333333333333</v>
      </c>
    </row>
    <row r="962" customFormat="false" ht="15" hidden="false" customHeight="false" outlineLevel="0" collapsed="false">
      <c r="A962" s="5" t="s">
        <v>2004</v>
      </c>
      <c r="B962" s="9" t="n">
        <v>45859</v>
      </c>
      <c r="C962" s="9" t="n">
        <v>45861</v>
      </c>
      <c r="D962" s="5" t="s">
        <v>136</v>
      </c>
      <c r="E962" s="5" t="s">
        <v>1051</v>
      </c>
      <c r="F962" s="5" t="s">
        <v>1002</v>
      </c>
      <c r="G962" s="6" t="str">
        <f aca="false">INDEX(Catalogo_Causas!$B$2:$B$10,MATCH(F962,Catalogo_Causas!$A$2:$A$10,0))</f>
        <v>Falla mecánica</v>
      </c>
      <c r="H962" s="6" t="str">
        <f aca="false">INDEX(Catalogo_Causas!$C$2:$C$10,MATCH(F962,Catalogo_Causas!$A$2:$A$10,0))</f>
        <v>Operacional</v>
      </c>
      <c r="I962" s="5" t="n">
        <v>27</v>
      </c>
      <c r="J962" s="29" t="n">
        <f aca="false">I962/60</f>
        <v>0.45</v>
      </c>
    </row>
    <row r="963" customFormat="false" ht="15" hidden="false" customHeight="false" outlineLevel="0" collapsed="false">
      <c r="A963" s="5" t="s">
        <v>2005</v>
      </c>
      <c r="B963" s="9" t="n">
        <v>45859</v>
      </c>
      <c r="C963" s="9" t="n">
        <v>45862</v>
      </c>
      <c r="D963" s="5" t="s">
        <v>134</v>
      </c>
      <c r="E963" s="5" t="s">
        <v>1032</v>
      </c>
      <c r="F963" s="5" t="s">
        <v>1002</v>
      </c>
      <c r="G963" s="6" t="str">
        <f aca="false">INDEX(Catalogo_Causas!$B$2:$B$10,MATCH(F963,Catalogo_Causas!$A$2:$A$10,0))</f>
        <v>Falla mecánica</v>
      </c>
      <c r="H963" s="6" t="str">
        <f aca="false">INDEX(Catalogo_Causas!$C$2:$C$10,MATCH(F963,Catalogo_Causas!$A$2:$A$10,0))</f>
        <v>Operacional</v>
      </c>
      <c r="I963" s="5" t="n">
        <v>64</v>
      </c>
      <c r="J963" s="29" t="n">
        <f aca="false">I963/60</f>
        <v>1.06666666666667</v>
      </c>
    </row>
    <row r="964" customFormat="false" ht="15" hidden="false" customHeight="false" outlineLevel="0" collapsed="false">
      <c r="A964" s="5" t="s">
        <v>2006</v>
      </c>
      <c r="B964" s="9" t="n">
        <v>45859</v>
      </c>
      <c r="C964" s="9" t="n">
        <v>45862</v>
      </c>
      <c r="D964" s="5" t="s">
        <v>136</v>
      </c>
      <c r="E964" s="5" t="s">
        <v>1032</v>
      </c>
      <c r="F964" s="5" t="s">
        <v>1012</v>
      </c>
      <c r="G964" s="6" t="str">
        <f aca="false">INDEX(Catalogo_Causas!$B$2:$B$10,MATCH(F964,Catalogo_Causas!$A$2:$A$10,0))</f>
        <v>Falta de materia prima</v>
      </c>
      <c r="H964" s="6" t="str">
        <f aca="false">INDEX(Catalogo_Causas!$C$2:$C$10,MATCH(F964,Catalogo_Causas!$A$2:$A$10,0))</f>
        <v>Material / suministro</v>
      </c>
      <c r="I964" s="5" t="n">
        <v>54</v>
      </c>
      <c r="J964" s="29" t="n">
        <f aca="false">I964/60</f>
        <v>0.9</v>
      </c>
    </row>
    <row r="965" customFormat="false" ht="15" hidden="false" customHeight="false" outlineLevel="0" collapsed="false">
      <c r="A965" s="5" t="s">
        <v>2007</v>
      </c>
      <c r="B965" s="9" t="n">
        <v>45859</v>
      </c>
      <c r="C965" s="9" t="n">
        <v>45862</v>
      </c>
      <c r="D965" s="5" t="s">
        <v>136</v>
      </c>
      <c r="E965" s="5" t="s">
        <v>1051</v>
      </c>
      <c r="F965" s="5" t="s">
        <v>1018</v>
      </c>
      <c r="G965" s="6" t="str">
        <f aca="false">INDEX(Catalogo_Causas!$B$2:$B$10,MATCH(F965,Catalogo_Causas!$A$2:$A$10,0))</f>
        <v>Falta de personal</v>
      </c>
      <c r="H965" s="6" t="str">
        <f aca="false">INDEX(Catalogo_Causas!$C$2:$C$10,MATCH(F965,Catalogo_Causas!$A$2:$A$10,0))</f>
        <v>Personal</v>
      </c>
      <c r="I965" s="5" t="n">
        <v>38</v>
      </c>
      <c r="J965" s="29" t="n">
        <f aca="false">I965/60</f>
        <v>0.633333333333333</v>
      </c>
    </row>
    <row r="966" customFormat="false" ht="15" hidden="false" customHeight="false" outlineLevel="0" collapsed="false">
      <c r="A966" s="5" t="s">
        <v>2008</v>
      </c>
      <c r="B966" s="9" t="n">
        <v>45859</v>
      </c>
      <c r="C966" s="9" t="n">
        <v>45862</v>
      </c>
      <c r="D966" s="5" t="s">
        <v>138</v>
      </c>
      <c r="E966" s="5" t="s">
        <v>1056</v>
      </c>
      <c r="F966" s="5" t="s">
        <v>1012</v>
      </c>
      <c r="G966" s="6" t="str">
        <f aca="false">INDEX(Catalogo_Causas!$B$2:$B$10,MATCH(F966,Catalogo_Causas!$A$2:$A$10,0))</f>
        <v>Falta de materia prima</v>
      </c>
      <c r="H966" s="6" t="str">
        <f aca="false">INDEX(Catalogo_Causas!$C$2:$C$10,MATCH(F966,Catalogo_Causas!$A$2:$A$10,0))</f>
        <v>Material / suministro</v>
      </c>
      <c r="I966" s="5" t="n">
        <v>90</v>
      </c>
      <c r="J966" s="29" t="n">
        <f aca="false">I966/60</f>
        <v>1.5</v>
      </c>
    </row>
    <row r="967" customFormat="false" ht="15" hidden="false" customHeight="false" outlineLevel="0" collapsed="false">
      <c r="A967" s="5" t="s">
        <v>2009</v>
      </c>
      <c r="B967" s="9" t="n">
        <v>45859</v>
      </c>
      <c r="C967" s="9" t="n">
        <v>45863</v>
      </c>
      <c r="D967" s="5" t="s">
        <v>134</v>
      </c>
      <c r="E967" s="5" t="s">
        <v>1054</v>
      </c>
      <c r="F967" s="5" t="s">
        <v>1021</v>
      </c>
      <c r="G967" s="6" t="str">
        <f aca="false">INDEX(Catalogo_Causas!$B$2:$B$10,MATCH(F967,Catalogo_Causas!$A$2:$A$10,0))</f>
        <v>Falla de servicios (vapor/amoniaco/aire)</v>
      </c>
      <c r="H967" s="6" t="str">
        <f aca="false">INDEX(Catalogo_Causas!$C$2:$C$10,MATCH(F967,Catalogo_Causas!$A$2:$A$10,0))</f>
        <v>Servicios</v>
      </c>
      <c r="I967" s="5" t="n">
        <v>28</v>
      </c>
      <c r="J967" s="29" t="n">
        <f aca="false">I967/60</f>
        <v>0.466666666666667</v>
      </c>
    </row>
    <row r="968" customFormat="false" ht="15" hidden="false" customHeight="false" outlineLevel="0" collapsed="false">
      <c r="A968" s="5" t="s">
        <v>2010</v>
      </c>
      <c r="B968" s="9" t="n">
        <v>45859</v>
      </c>
      <c r="C968" s="9" t="n">
        <v>45863</v>
      </c>
      <c r="D968" s="5" t="s">
        <v>142</v>
      </c>
      <c r="E968" s="5" t="s">
        <v>1030</v>
      </c>
      <c r="F968" s="5" t="s">
        <v>1018</v>
      </c>
      <c r="G968" s="6" t="str">
        <f aca="false">INDEX(Catalogo_Causas!$B$2:$B$10,MATCH(F968,Catalogo_Causas!$A$2:$A$10,0))</f>
        <v>Falta de personal</v>
      </c>
      <c r="H968" s="6" t="str">
        <f aca="false">INDEX(Catalogo_Causas!$C$2:$C$10,MATCH(F968,Catalogo_Causas!$A$2:$A$10,0))</f>
        <v>Personal</v>
      </c>
      <c r="I968" s="5" t="n">
        <v>31</v>
      </c>
      <c r="J968" s="29" t="n">
        <f aca="false">I968/60</f>
        <v>0.516666666666667</v>
      </c>
    </row>
    <row r="969" customFormat="false" ht="15" hidden="false" customHeight="false" outlineLevel="0" collapsed="false">
      <c r="A969" s="5" t="s">
        <v>2011</v>
      </c>
      <c r="B969" s="9" t="n">
        <v>45859</v>
      </c>
      <c r="C969" s="9" t="n">
        <v>45863</v>
      </c>
      <c r="D969" s="5" t="s">
        <v>142</v>
      </c>
      <c r="E969" s="5" t="s">
        <v>1051</v>
      </c>
      <c r="F969" s="5" t="s">
        <v>1018</v>
      </c>
      <c r="G969" s="6" t="str">
        <f aca="false">INDEX(Catalogo_Causas!$B$2:$B$10,MATCH(F969,Catalogo_Causas!$A$2:$A$10,0))</f>
        <v>Falta de personal</v>
      </c>
      <c r="H969" s="6" t="str">
        <f aca="false">INDEX(Catalogo_Causas!$C$2:$C$10,MATCH(F969,Catalogo_Causas!$A$2:$A$10,0))</f>
        <v>Personal</v>
      </c>
      <c r="I969" s="5" t="n">
        <v>135</v>
      </c>
      <c r="J969" s="29" t="n">
        <f aca="false">I969/60</f>
        <v>2.25</v>
      </c>
    </row>
    <row r="970" customFormat="false" ht="15" hidden="false" customHeight="false" outlineLevel="0" collapsed="false">
      <c r="A970" s="5" t="s">
        <v>2012</v>
      </c>
      <c r="B970" s="9" t="n">
        <v>45859</v>
      </c>
      <c r="C970" s="9" t="n">
        <v>45864</v>
      </c>
      <c r="D970" s="5" t="s">
        <v>138</v>
      </c>
      <c r="E970" s="5" t="s">
        <v>1056</v>
      </c>
      <c r="F970" s="5" t="s">
        <v>1018</v>
      </c>
      <c r="G970" s="6" t="str">
        <f aca="false">INDEX(Catalogo_Causas!$B$2:$B$10,MATCH(F970,Catalogo_Causas!$A$2:$A$10,0))</f>
        <v>Falta de personal</v>
      </c>
      <c r="H970" s="6" t="str">
        <f aca="false">INDEX(Catalogo_Causas!$C$2:$C$10,MATCH(F970,Catalogo_Causas!$A$2:$A$10,0))</f>
        <v>Personal</v>
      </c>
      <c r="I970" s="5" t="n">
        <v>68</v>
      </c>
      <c r="J970" s="29" t="n">
        <f aca="false">I970/60</f>
        <v>1.13333333333333</v>
      </c>
    </row>
    <row r="971" customFormat="false" ht="15" hidden="false" customHeight="false" outlineLevel="0" collapsed="false">
      <c r="A971" s="5" t="s">
        <v>2013</v>
      </c>
      <c r="B971" s="9" t="n">
        <v>45866</v>
      </c>
      <c r="C971" s="9" t="n">
        <v>45866</v>
      </c>
      <c r="D971" s="5" t="s">
        <v>130</v>
      </c>
      <c r="E971" s="5" t="s">
        <v>1045</v>
      </c>
      <c r="F971" s="5" t="s">
        <v>1021</v>
      </c>
      <c r="G971" s="6" t="str">
        <f aca="false">INDEX(Catalogo_Causas!$B$2:$B$10,MATCH(F971,Catalogo_Causas!$A$2:$A$10,0))</f>
        <v>Falla de servicios (vapor/amoniaco/aire)</v>
      </c>
      <c r="H971" s="6" t="str">
        <f aca="false">INDEX(Catalogo_Causas!$C$2:$C$10,MATCH(F971,Catalogo_Causas!$A$2:$A$10,0))</f>
        <v>Servicios</v>
      </c>
      <c r="I971" s="5" t="n">
        <v>58</v>
      </c>
      <c r="J971" s="29" t="n">
        <f aca="false">I971/60</f>
        <v>0.966666666666667</v>
      </c>
    </row>
    <row r="972" customFormat="false" ht="15" hidden="false" customHeight="false" outlineLevel="0" collapsed="false">
      <c r="A972" s="5" t="s">
        <v>2014</v>
      </c>
      <c r="B972" s="9" t="n">
        <v>45866</v>
      </c>
      <c r="C972" s="9" t="n">
        <v>45866</v>
      </c>
      <c r="D972" s="5" t="s">
        <v>132</v>
      </c>
      <c r="E972" s="5" t="s">
        <v>1084</v>
      </c>
      <c r="F972" s="5" t="s">
        <v>1002</v>
      </c>
      <c r="G972" s="6" t="str">
        <f aca="false">INDEX(Catalogo_Causas!$B$2:$B$10,MATCH(F972,Catalogo_Causas!$A$2:$A$10,0))</f>
        <v>Falla mecánica</v>
      </c>
      <c r="H972" s="6" t="str">
        <f aca="false">INDEX(Catalogo_Causas!$C$2:$C$10,MATCH(F972,Catalogo_Causas!$A$2:$A$10,0))</f>
        <v>Operacional</v>
      </c>
      <c r="I972" s="5" t="n">
        <v>28</v>
      </c>
      <c r="J972" s="29" t="n">
        <f aca="false">I972/60</f>
        <v>0.466666666666667</v>
      </c>
    </row>
    <row r="973" customFormat="false" ht="15" hidden="false" customHeight="false" outlineLevel="0" collapsed="false">
      <c r="A973" s="5" t="s">
        <v>2015</v>
      </c>
      <c r="B973" s="9" t="n">
        <v>45866</v>
      </c>
      <c r="C973" s="9" t="n">
        <v>45866</v>
      </c>
      <c r="D973" s="5" t="s">
        <v>132</v>
      </c>
      <c r="E973" s="5" t="s">
        <v>1032</v>
      </c>
      <c r="F973" s="5" t="s">
        <v>1016</v>
      </c>
      <c r="G973" s="6" t="str">
        <f aca="false">INDEX(Catalogo_Causas!$B$2:$B$10,MATCH(F973,Catalogo_Causas!$A$2:$A$10,0))</f>
        <v>Limpieza no programada (CIP)</v>
      </c>
      <c r="H973" s="6" t="str">
        <f aca="false">INDEX(Catalogo_Causas!$C$2:$C$10,MATCH(F973,Catalogo_Causas!$A$2:$A$10,0))</f>
        <v>Calidad</v>
      </c>
      <c r="I973" s="5" t="n">
        <v>57</v>
      </c>
      <c r="J973" s="29" t="n">
        <f aca="false">I973/60</f>
        <v>0.95</v>
      </c>
    </row>
    <row r="974" customFormat="false" ht="15" hidden="false" customHeight="false" outlineLevel="0" collapsed="false">
      <c r="A974" s="5" t="s">
        <v>2016</v>
      </c>
      <c r="B974" s="9" t="n">
        <v>45866</v>
      </c>
      <c r="C974" s="9" t="n">
        <v>45866</v>
      </c>
      <c r="D974" s="5" t="s">
        <v>136</v>
      </c>
      <c r="E974" s="5" t="s">
        <v>1032</v>
      </c>
      <c r="F974" s="5" t="s">
        <v>1016</v>
      </c>
      <c r="G974" s="6" t="str">
        <f aca="false">INDEX(Catalogo_Causas!$B$2:$B$10,MATCH(F974,Catalogo_Causas!$A$2:$A$10,0))</f>
        <v>Limpieza no programada (CIP)</v>
      </c>
      <c r="H974" s="6" t="str">
        <f aca="false">INDEX(Catalogo_Causas!$C$2:$C$10,MATCH(F974,Catalogo_Causas!$A$2:$A$10,0))</f>
        <v>Calidad</v>
      </c>
      <c r="I974" s="5" t="n">
        <v>21</v>
      </c>
      <c r="J974" s="29" t="n">
        <f aca="false">I974/60</f>
        <v>0.35</v>
      </c>
    </row>
    <row r="975" customFormat="false" ht="15" hidden="false" customHeight="false" outlineLevel="0" collapsed="false">
      <c r="A975" s="5" t="s">
        <v>2017</v>
      </c>
      <c r="B975" s="9" t="n">
        <v>45866</v>
      </c>
      <c r="C975" s="9" t="n">
        <v>45866</v>
      </c>
      <c r="D975" s="5" t="s">
        <v>140</v>
      </c>
      <c r="E975" s="5" t="s">
        <v>1045</v>
      </c>
      <c r="F975" s="5" t="s">
        <v>1009</v>
      </c>
      <c r="G975" s="6" t="str">
        <f aca="false">INDEX(Catalogo_Causas!$B$2:$B$10,MATCH(F975,Catalogo_Causas!$A$2:$A$10,0))</f>
        <v>Falta de material de empaque</v>
      </c>
      <c r="H975" s="6" t="str">
        <f aca="false">INDEX(Catalogo_Causas!$C$2:$C$10,MATCH(F975,Catalogo_Causas!$A$2:$A$10,0))</f>
        <v>Material / suministro</v>
      </c>
      <c r="I975" s="5" t="n">
        <v>108</v>
      </c>
      <c r="J975" s="29" t="n">
        <f aca="false">I975/60</f>
        <v>1.8</v>
      </c>
    </row>
    <row r="976" customFormat="false" ht="15" hidden="false" customHeight="false" outlineLevel="0" collapsed="false">
      <c r="A976" s="5" t="s">
        <v>2018</v>
      </c>
      <c r="B976" s="9" t="n">
        <v>45866</v>
      </c>
      <c r="C976" s="9" t="n">
        <v>45866</v>
      </c>
      <c r="D976" s="5" t="s">
        <v>142</v>
      </c>
      <c r="E976" s="5" t="s">
        <v>1051</v>
      </c>
      <c r="F976" s="5" t="s">
        <v>1021</v>
      </c>
      <c r="G976" s="6" t="str">
        <f aca="false">INDEX(Catalogo_Causas!$B$2:$B$10,MATCH(F976,Catalogo_Causas!$A$2:$A$10,0))</f>
        <v>Falla de servicios (vapor/amoniaco/aire)</v>
      </c>
      <c r="H976" s="6" t="str">
        <f aca="false">INDEX(Catalogo_Causas!$C$2:$C$10,MATCH(F976,Catalogo_Causas!$A$2:$A$10,0))</f>
        <v>Servicios</v>
      </c>
      <c r="I976" s="5" t="n">
        <v>25</v>
      </c>
      <c r="J976" s="29" t="n">
        <f aca="false">I976/60</f>
        <v>0.416666666666667</v>
      </c>
    </row>
    <row r="977" customFormat="false" ht="15" hidden="false" customHeight="false" outlineLevel="0" collapsed="false">
      <c r="A977" s="5" t="s">
        <v>2019</v>
      </c>
      <c r="B977" s="9" t="n">
        <v>45866</v>
      </c>
      <c r="C977" s="9" t="n">
        <v>45866</v>
      </c>
      <c r="D977" s="5" t="s">
        <v>144</v>
      </c>
      <c r="E977" s="5" t="s">
        <v>1032</v>
      </c>
      <c r="F977" s="5" t="s">
        <v>1007</v>
      </c>
      <c r="G977" s="6" t="str">
        <f aca="false">INDEX(Catalogo_Causas!$B$2:$B$10,MATCH(F977,Catalogo_Causas!$A$2:$A$10,0))</f>
        <v>Cambio de formato excedido</v>
      </c>
      <c r="H977" s="6" t="str">
        <f aca="false">INDEX(Catalogo_Causas!$C$2:$C$10,MATCH(F977,Catalogo_Causas!$A$2:$A$10,0))</f>
        <v>Operacional</v>
      </c>
      <c r="I977" s="5" t="n">
        <v>69</v>
      </c>
      <c r="J977" s="29" t="n">
        <f aca="false">I977/60</f>
        <v>1.15</v>
      </c>
    </row>
    <row r="978" customFormat="false" ht="15" hidden="false" customHeight="false" outlineLevel="0" collapsed="false">
      <c r="A978" s="5" t="s">
        <v>2020</v>
      </c>
      <c r="B978" s="9" t="n">
        <v>45866</v>
      </c>
      <c r="C978" s="9" t="n">
        <v>45866</v>
      </c>
      <c r="D978" s="5" t="s">
        <v>144</v>
      </c>
      <c r="E978" s="5" t="s">
        <v>1030</v>
      </c>
      <c r="F978" s="5" t="s">
        <v>1021</v>
      </c>
      <c r="G978" s="6" t="str">
        <f aca="false">INDEX(Catalogo_Causas!$B$2:$B$10,MATCH(F978,Catalogo_Causas!$A$2:$A$10,0))</f>
        <v>Falla de servicios (vapor/amoniaco/aire)</v>
      </c>
      <c r="H978" s="6" t="str">
        <f aca="false">INDEX(Catalogo_Causas!$C$2:$C$10,MATCH(F978,Catalogo_Causas!$A$2:$A$10,0))</f>
        <v>Servicios</v>
      </c>
      <c r="I978" s="5" t="n">
        <v>38</v>
      </c>
      <c r="J978" s="29" t="n">
        <f aca="false">I978/60</f>
        <v>0.633333333333333</v>
      </c>
    </row>
    <row r="979" customFormat="false" ht="15" hidden="false" customHeight="false" outlineLevel="0" collapsed="false">
      <c r="A979" s="5" t="s">
        <v>2021</v>
      </c>
      <c r="B979" s="9" t="n">
        <v>45866</v>
      </c>
      <c r="C979" s="9" t="n">
        <v>45867</v>
      </c>
      <c r="D979" s="5" t="s">
        <v>132</v>
      </c>
      <c r="E979" s="5" t="s">
        <v>1084</v>
      </c>
      <c r="F979" s="5" t="s">
        <v>1002</v>
      </c>
      <c r="G979" s="6" t="str">
        <f aca="false">INDEX(Catalogo_Causas!$B$2:$B$10,MATCH(F979,Catalogo_Causas!$A$2:$A$10,0))</f>
        <v>Falla mecánica</v>
      </c>
      <c r="H979" s="6" t="str">
        <f aca="false">INDEX(Catalogo_Causas!$C$2:$C$10,MATCH(F979,Catalogo_Causas!$A$2:$A$10,0))</f>
        <v>Operacional</v>
      </c>
      <c r="I979" s="5" t="n">
        <v>91</v>
      </c>
      <c r="J979" s="29" t="n">
        <f aca="false">I979/60</f>
        <v>1.51666666666667</v>
      </c>
    </row>
    <row r="980" customFormat="false" ht="15" hidden="false" customHeight="false" outlineLevel="0" collapsed="false">
      <c r="A980" s="5" t="s">
        <v>2022</v>
      </c>
      <c r="B980" s="9" t="n">
        <v>45866</v>
      </c>
      <c r="C980" s="9" t="n">
        <v>45867</v>
      </c>
      <c r="D980" s="5" t="s">
        <v>136</v>
      </c>
      <c r="E980" s="5" t="s">
        <v>1051</v>
      </c>
      <c r="F980" s="5" t="s">
        <v>1007</v>
      </c>
      <c r="G980" s="6" t="str">
        <f aca="false">INDEX(Catalogo_Causas!$B$2:$B$10,MATCH(F980,Catalogo_Causas!$A$2:$A$10,0))</f>
        <v>Cambio de formato excedido</v>
      </c>
      <c r="H980" s="6" t="str">
        <f aca="false">INDEX(Catalogo_Causas!$C$2:$C$10,MATCH(F980,Catalogo_Causas!$A$2:$A$10,0))</f>
        <v>Operacional</v>
      </c>
      <c r="I980" s="5" t="n">
        <v>25</v>
      </c>
      <c r="J980" s="29" t="n">
        <f aca="false">I980/60</f>
        <v>0.416666666666667</v>
      </c>
    </row>
    <row r="981" customFormat="false" ht="15" hidden="false" customHeight="false" outlineLevel="0" collapsed="false">
      <c r="A981" s="5" t="s">
        <v>2023</v>
      </c>
      <c r="B981" s="9" t="n">
        <v>45866</v>
      </c>
      <c r="C981" s="9" t="n">
        <v>45867</v>
      </c>
      <c r="D981" s="5" t="s">
        <v>138</v>
      </c>
      <c r="E981" s="5" t="s">
        <v>1039</v>
      </c>
      <c r="F981" s="5" t="s">
        <v>1016</v>
      </c>
      <c r="G981" s="6" t="str">
        <f aca="false">INDEX(Catalogo_Causas!$B$2:$B$10,MATCH(F981,Catalogo_Causas!$A$2:$A$10,0))</f>
        <v>Limpieza no programada (CIP)</v>
      </c>
      <c r="H981" s="6" t="str">
        <f aca="false">INDEX(Catalogo_Causas!$C$2:$C$10,MATCH(F981,Catalogo_Causas!$A$2:$A$10,0))</f>
        <v>Calidad</v>
      </c>
      <c r="I981" s="5" t="n">
        <v>153</v>
      </c>
      <c r="J981" s="29" t="n">
        <f aca="false">I981/60</f>
        <v>2.55</v>
      </c>
    </row>
    <row r="982" customFormat="false" ht="15" hidden="false" customHeight="false" outlineLevel="0" collapsed="false">
      <c r="A982" s="5" t="s">
        <v>2024</v>
      </c>
      <c r="B982" s="9" t="n">
        <v>45866</v>
      </c>
      <c r="C982" s="9" t="n">
        <v>45868</v>
      </c>
      <c r="D982" s="5" t="s">
        <v>130</v>
      </c>
      <c r="E982" s="5" t="s">
        <v>1078</v>
      </c>
      <c r="F982" s="5" t="s">
        <v>1002</v>
      </c>
      <c r="G982" s="6" t="str">
        <f aca="false">INDEX(Catalogo_Causas!$B$2:$B$10,MATCH(F982,Catalogo_Causas!$A$2:$A$10,0))</f>
        <v>Falla mecánica</v>
      </c>
      <c r="H982" s="6" t="str">
        <f aca="false">INDEX(Catalogo_Causas!$C$2:$C$10,MATCH(F982,Catalogo_Causas!$A$2:$A$10,0))</f>
        <v>Operacional</v>
      </c>
      <c r="I982" s="5" t="n">
        <v>71</v>
      </c>
      <c r="J982" s="29" t="n">
        <f aca="false">I982/60</f>
        <v>1.18333333333333</v>
      </c>
    </row>
    <row r="983" customFormat="false" ht="15" hidden="false" customHeight="false" outlineLevel="0" collapsed="false">
      <c r="A983" s="5" t="s">
        <v>2025</v>
      </c>
      <c r="B983" s="9" t="n">
        <v>45866</v>
      </c>
      <c r="C983" s="9" t="n">
        <v>45868</v>
      </c>
      <c r="D983" s="5" t="s">
        <v>136</v>
      </c>
      <c r="E983" s="5" t="s">
        <v>1051</v>
      </c>
      <c r="F983" s="5" t="s">
        <v>1021</v>
      </c>
      <c r="G983" s="6" t="str">
        <f aca="false">INDEX(Catalogo_Causas!$B$2:$B$10,MATCH(F983,Catalogo_Causas!$A$2:$A$10,0))</f>
        <v>Falla de servicios (vapor/amoniaco/aire)</v>
      </c>
      <c r="H983" s="6" t="str">
        <f aca="false">INDEX(Catalogo_Causas!$C$2:$C$10,MATCH(F983,Catalogo_Causas!$A$2:$A$10,0))</f>
        <v>Servicios</v>
      </c>
      <c r="I983" s="5" t="n">
        <v>39</v>
      </c>
      <c r="J983" s="29" t="n">
        <f aca="false">I983/60</f>
        <v>0.65</v>
      </c>
    </row>
    <row r="984" customFormat="false" ht="15" hidden="false" customHeight="false" outlineLevel="0" collapsed="false">
      <c r="A984" s="5" t="s">
        <v>2026</v>
      </c>
      <c r="B984" s="9" t="n">
        <v>45866</v>
      </c>
      <c r="C984" s="9" t="n">
        <v>45868</v>
      </c>
      <c r="D984" s="5" t="s">
        <v>138</v>
      </c>
      <c r="E984" s="5" t="s">
        <v>1056</v>
      </c>
      <c r="F984" s="5" t="s">
        <v>1012</v>
      </c>
      <c r="G984" s="6" t="str">
        <f aca="false">INDEX(Catalogo_Causas!$B$2:$B$10,MATCH(F984,Catalogo_Causas!$A$2:$A$10,0))</f>
        <v>Falta de materia prima</v>
      </c>
      <c r="H984" s="6" t="str">
        <f aca="false">INDEX(Catalogo_Causas!$C$2:$C$10,MATCH(F984,Catalogo_Causas!$A$2:$A$10,0))</f>
        <v>Material / suministro</v>
      </c>
      <c r="I984" s="5" t="n">
        <v>29</v>
      </c>
      <c r="J984" s="29" t="n">
        <f aca="false">I984/60</f>
        <v>0.483333333333333</v>
      </c>
    </row>
    <row r="985" customFormat="false" ht="15" hidden="false" customHeight="false" outlineLevel="0" collapsed="false">
      <c r="A985" s="5" t="s">
        <v>2027</v>
      </c>
      <c r="B985" s="9" t="n">
        <v>45866</v>
      </c>
      <c r="C985" s="9" t="n">
        <v>45868</v>
      </c>
      <c r="D985" s="5" t="s">
        <v>142</v>
      </c>
      <c r="E985" s="5" t="s">
        <v>1030</v>
      </c>
      <c r="F985" s="5" t="s">
        <v>1016</v>
      </c>
      <c r="G985" s="6" t="str">
        <f aca="false">INDEX(Catalogo_Causas!$B$2:$B$10,MATCH(F985,Catalogo_Causas!$A$2:$A$10,0))</f>
        <v>Limpieza no programada (CIP)</v>
      </c>
      <c r="H985" s="6" t="str">
        <f aca="false">INDEX(Catalogo_Causas!$C$2:$C$10,MATCH(F985,Catalogo_Causas!$A$2:$A$10,0))</f>
        <v>Calidad</v>
      </c>
      <c r="I985" s="5" t="n">
        <v>153</v>
      </c>
      <c r="J985" s="29" t="n">
        <f aca="false">I985/60</f>
        <v>2.55</v>
      </c>
    </row>
    <row r="986" customFormat="false" ht="15" hidden="false" customHeight="false" outlineLevel="0" collapsed="false">
      <c r="A986" s="5" t="s">
        <v>2028</v>
      </c>
      <c r="B986" s="9" t="n">
        <v>45866</v>
      </c>
      <c r="C986" s="9" t="n">
        <v>45869</v>
      </c>
      <c r="D986" s="5" t="s">
        <v>134</v>
      </c>
      <c r="E986" s="5" t="s">
        <v>1030</v>
      </c>
      <c r="F986" s="5" t="s">
        <v>1002</v>
      </c>
      <c r="G986" s="6" t="str">
        <f aca="false">INDEX(Catalogo_Causas!$B$2:$B$10,MATCH(F986,Catalogo_Causas!$A$2:$A$10,0))</f>
        <v>Falla mecánica</v>
      </c>
      <c r="H986" s="6" t="str">
        <f aca="false">INDEX(Catalogo_Causas!$C$2:$C$10,MATCH(F986,Catalogo_Causas!$A$2:$A$10,0))</f>
        <v>Operacional</v>
      </c>
      <c r="I986" s="5" t="n">
        <v>44</v>
      </c>
      <c r="J986" s="29" t="n">
        <f aca="false">I986/60</f>
        <v>0.733333333333333</v>
      </c>
    </row>
    <row r="987" customFormat="false" ht="15" hidden="false" customHeight="false" outlineLevel="0" collapsed="false">
      <c r="A987" s="5" t="s">
        <v>2029</v>
      </c>
      <c r="B987" s="9" t="n">
        <v>45866</v>
      </c>
      <c r="C987" s="9" t="n">
        <v>45869</v>
      </c>
      <c r="D987" s="5" t="s">
        <v>134</v>
      </c>
      <c r="E987" s="5" t="s">
        <v>1032</v>
      </c>
      <c r="F987" s="5" t="s">
        <v>1002</v>
      </c>
      <c r="G987" s="6" t="str">
        <f aca="false">INDEX(Catalogo_Causas!$B$2:$B$10,MATCH(F987,Catalogo_Causas!$A$2:$A$10,0))</f>
        <v>Falla mecánica</v>
      </c>
      <c r="H987" s="6" t="str">
        <f aca="false">INDEX(Catalogo_Causas!$C$2:$C$10,MATCH(F987,Catalogo_Causas!$A$2:$A$10,0))</f>
        <v>Operacional</v>
      </c>
      <c r="I987" s="5" t="n">
        <v>19</v>
      </c>
      <c r="J987" s="29" t="n">
        <f aca="false">I987/60</f>
        <v>0.316666666666667</v>
      </c>
    </row>
    <row r="988" customFormat="false" ht="15" hidden="false" customHeight="false" outlineLevel="0" collapsed="false">
      <c r="A988" s="5" t="s">
        <v>2030</v>
      </c>
      <c r="B988" s="9" t="n">
        <v>45866</v>
      </c>
      <c r="C988" s="9" t="n">
        <v>45869</v>
      </c>
      <c r="D988" s="5" t="s">
        <v>136</v>
      </c>
      <c r="E988" s="5" t="s">
        <v>1032</v>
      </c>
      <c r="F988" s="5" t="s">
        <v>1014</v>
      </c>
      <c r="G988" s="6" t="str">
        <f aca="false">INDEX(Catalogo_Causas!$B$2:$B$10,MATCH(F988,Catalogo_Causas!$A$2:$A$10,0))</f>
        <v>Retención de calidad</v>
      </c>
      <c r="H988" s="6" t="str">
        <f aca="false">INDEX(Catalogo_Causas!$C$2:$C$10,MATCH(F988,Catalogo_Causas!$A$2:$A$10,0))</f>
        <v>Calidad</v>
      </c>
      <c r="I988" s="5" t="n">
        <v>53</v>
      </c>
      <c r="J988" s="29" t="n">
        <f aca="false">I988/60</f>
        <v>0.883333333333333</v>
      </c>
    </row>
    <row r="989" customFormat="false" ht="15" hidden="false" customHeight="false" outlineLevel="0" collapsed="false">
      <c r="A989" s="5" t="s">
        <v>2031</v>
      </c>
      <c r="B989" s="9" t="n">
        <v>45866</v>
      </c>
      <c r="C989" s="9" t="n">
        <v>45869</v>
      </c>
      <c r="D989" s="5" t="s">
        <v>142</v>
      </c>
      <c r="E989" s="5" t="s">
        <v>1051</v>
      </c>
      <c r="F989" s="5" t="s">
        <v>1009</v>
      </c>
      <c r="G989" s="6" t="str">
        <f aca="false">INDEX(Catalogo_Causas!$B$2:$B$10,MATCH(F989,Catalogo_Causas!$A$2:$A$10,0))</f>
        <v>Falta de material de empaque</v>
      </c>
      <c r="H989" s="6" t="str">
        <f aca="false">INDEX(Catalogo_Causas!$C$2:$C$10,MATCH(F989,Catalogo_Causas!$A$2:$A$10,0))</f>
        <v>Material / suministro</v>
      </c>
      <c r="I989" s="5" t="n">
        <v>105</v>
      </c>
      <c r="J989" s="29" t="n">
        <f aca="false">I989/60</f>
        <v>1.75</v>
      </c>
    </row>
    <row r="990" customFormat="false" ht="15" hidden="false" customHeight="false" outlineLevel="0" collapsed="false">
      <c r="A990" s="5" t="s">
        <v>2032</v>
      </c>
      <c r="B990" s="9" t="n">
        <v>45866</v>
      </c>
      <c r="C990" s="9" t="n">
        <v>45870</v>
      </c>
      <c r="D990" s="5" t="s">
        <v>130</v>
      </c>
      <c r="E990" s="5" t="s">
        <v>1030</v>
      </c>
      <c r="F990" s="5" t="s">
        <v>1016</v>
      </c>
      <c r="G990" s="6" t="str">
        <f aca="false">INDEX(Catalogo_Causas!$B$2:$B$10,MATCH(F990,Catalogo_Causas!$A$2:$A$10,0))</f>
        <v>Limpieza no programada (CIP)</v>
      </c>
      <c r="H990" s="6" t="str">
        <f aca="false">INDEX(Catalogo_Causas!$C$2:$C$10,MATCH(F990,Catalogo_Causas!$A$2:$A$10,0))</f>
        <v>Calidad</v>
      </c>
      <c r="I990" s="5" t="n">
        <v>49</v>
      </c>
      <c r="J990" s="29" t="n">
        <f aca="false">I990/60</f>
        <v>0.816666666666667</v>
      </c>
    </row>
    <row r="991" customFormat="false" ht="15" hidden="false" customHeight="false" outlineLevel="0" collapsed="false">
      <c r="A991" s="5" t="s">
        <v>2033</v>
      </c>
      <c r="B991" s="9" t="n">
        <v>45866</v>
      </c>
      <c r="C991" s="9" t="n">
        <v>45870</v>
      </c>
      <c r="D991" s="5" t="s">
        <v>130</v>
      </c>
      <c r="E991" s="5" t="s">
        <v>1045</v>
      </c>
      <c r="F991" s="5" t="s">
        <v>1018</v>
      </c>
      <c r="G991" s="6" t="str">
        <f aca="false">INDEX(Catalogo_Causas!$B$2:$B$10,MATCH(F991,Catalogo_Causas!$A$2:$A$10,0))</f>
        <v>Falta de personal</v>
      </c>
      <c r="H991" s="6" t="str">
        <f aca="false">INDEX(Catalogo_Causas!$C$2:$C$10,MATCH(F991,Catalogo_Causas!$A$2:$A$10,0))</f>
        <v>Personal</v>
      </c>
      <c r="I991" s="5" t="n">
        <v>128</v>
      </c>
      <c r="J991" s="29" t="n">
        <f aca="false">I991/60</f>
        <v>2.13333333333333</v>
      </c>
    </row>
    <row r="992" customFormat="false" ht="15" hidden="false" customHeight="false" outlineLevel="0" collapsed="false">
      <c r="A992" s="5" t="s">
        <v>2034</v>
      </c>
      <c r="B992" s="9" t="n">
        <v>45866</v>
      </c>
      <c r="C992" s="9" t="n">
        <v>45870</v>
      </c>
      <c r="D992" s="5" t="s">
        <v>138</v>
      </c>
      <c r="E992" s="5" t="s">
        <v>1039</v>
      </c>
      <c r="F992" s="5" t="s">
        <v>1007</v>
      </c>
      <c r="G992" s="6" t="str">
        <f aca="false">INDEX(Catalogo_Causas!$B$2:$B$10,MATCH(F992,Catalogo_Causas!$A$2:$A$10,0))</f>
        <v>Cambio de formato excedido</v>
      </c>
      <c r="H992" s="6" t="str">
        <f aca="false">INDEX(Catalogo_Causas!$C$2:$C$10,MATCH(F992,Catalogo_Causas!$A$2:$A$10,0))</f>
        <v>Operacional</v>
      </c>
      <c r="I992" s="5" t="n">
        <v>12</v>
      </c>
      <c r="J992" s="29" t="n">
        <f aca="false">I992/60</f>
        <v>0.2</v>
      </c>
    </row>
    <row r="993" customFormat="false" ht="15" hidden="false" customHeight="false" outlineLevel="0" collapsed="false">
      <c r="A993" s="5" t="s">
        <v>2035</v>
      </c>
      <c r="B993" s="9" t="n">
        <v>45866</v>
      </c>
      <c r="C993" s="9" t="n">
        <v>45870</v>
      </c>
      <c r="D993" s="5" t="s">
        <v>142</v>
      </c>
      <c r="E993" s="5" t="s">
        <v>1041</v>
      </c>
      <c r="F993" s="5" t="s">
        <v>1016</v>
      </c>
      <c r="G993" s="6" t="str">
        <f aca="false">INDEX(Catalogo_Causas!$B$2:$B$10,MATCH(F993,Catalogo_Causas!$A$2:$A$10,0))</f>
        <v>Limpieza no programada (CIP)</v>
      </c>
      <c r="H993" s="6" t="str">
        <f aca="false">INDEX(Catalogo_Causas!$C$2:$C$10,MATCH(F993,Catalogo_Causas!$A$2:$A$10,0))</f>
        <v>Calidad</v>
      </c>
      <c r="I993" s="5" t="n">
        <v>123</v>
      </c>
      <c r="J993" s="29" t="n">
        <f aca="false">I993/60</f>
        <v>2.05</v>
      </c>
    </row>
    <row r="994" customFormat="false" ht="15" hidden="false" customHeight="false" outlineLevel="0" collapsed="false">
      <c r="A994" s="5" t="s">
        <v>2036</v>
      </c>
      <c r="B994" s="9" t="n">
        <v>45866</v>
      </c>
      <c r="C994" s="9" t="n">
        <v>45870</v>
      </c>
      <c r="D994" s="5" t="s">
        <v>142</v>
      </c>
      <c r="E994" s="5" t="s">
        <v>1051</v>
      </c>
      <c r="F994" s="5" t="s">
        <v>1009</v>
      </c>
      <c r="G994" s="6" t="str">
        <f aca="false">INDEX(Catalogo_Causas!$B$2:$B$10,MATCH(F994,Catalogo_Causas!$A$2:$A$10,0))</f>
        <v>Falta de material de empaque</v>
      </c>
      <c r="H994" s="6" t="str">
        <f aca="false">INDEX(Catalogo_Causas!$C$2:$C$10,MATCH(F994,Catalogo_Causas!$A$2:$A$10,0))</f>
        <v>Material / suministro</v>
      </c>
      <c r="I994" s="5" t="n">
        <v>48</v>
      </c>
      <c r="J994" s="29" t="n">
        <f aca="false">I994/60</f>
        <v>0.8</v>
      </c>
    </row>
    <row r="995" customFormat="false" ht="15" hidden="false" customHeight="false" outlineLevel="0" collapsed="false">
      <c r="A995" s="5" t="s">
        <v>2037</v>
      </c>
      <c r="B995" s="9" t="n">
        <v>45866</v>
      </c>
      <c r="C995" s="9" t="n">
        <v>45871</v>
      </c>
      <c r="D995" s="5" t="s">
        <v>132</v>
      </c>
      <c r="E995" s="5" t="s">
        <v>1073</v>
      </c>
      <c r="F995" s="5" t="s">
        <v>1002</v>
      </c>
      <c r="G995" s="6" t="str">
        <f aca="false">INDEX(Catalogo_Causas!$B$2:$B$10,MATCH(F995,Catalogo_Causas!$A$2:$A$10,0))</f>
        <v>Falla mecánica</v>
      </c>
      <c r="H995" s="6" t="str">
        <f aca="false">INDEX(Catalogo_Causas!$C$2:$C$10,MATCH(F995,Catalogo_Causas!$A$2:$A$10,0))</f>
        <v>Operacional</v>
      </c>
      <c r="I995" s="5" t="n">
        <v>45</v>
      </c>
      <c r="J995" s="29" t="n">
        <f aca="false">I995/60</f>
        <v>0.75</v>
      </c>
    </row>
    <row r="996" customFormat="false" ht="15" hidden="false" customHeight="false" outlineLevel="0" collapsed="false">
      <c r="A996" s="5" t="s">
        <v>2038</v>
      </c>
      <c r="B996" s="9" t="n">
        <v>45866</v>
      </c>
      <c r="C996" s="9" t="n">
        <v>45871</v>
      </c>
      <c r="D996" s="5" t="s">
        <v>134</v>
      </c>
      <c r="E996" s="5" t="s">
        <v>1030</v>
      </c>
      <c r="F996" s="5" t="s">
        <v>1005</v>
      </c>
      <c r="G996" s="6" t="str">
        <f aca="false">INDEX(Catalogo_Causas!$B$2:$B$10,MATCH(F996,Catalogo_Causas!$A$2:$A$10,0))</f>
        <v>Falla eléctrica / control</v>
      </c>
      <c r="H996" s="6" t="str">
        <f aca="false">INDEX(Catalogo_Causas!$C$2:$C$10,MATCH(F996,Catalogo_Causas!$A$2:$A$10,0))</f>
        <v>Operacional</v>
      </c>
      <c r="I996" s="5" t="n">
        <v>131</v>
      </c>
      <c r="J996" s="29" t="n">
        <f aca="false">I996/60</f>
        <v>2.18333333333333</v>
      </c>
    </row>
    <row r="997" customFormat="false" ht="15" hidden="false" customHeight="false" outlineLevel="0" collapsed="false">
      <c r="A997" s="5" t="s">
        <v>2039</v>
      </c>
      <c r="B997" s="9" t="n">
        <v>45866</v>
      </c>
      <c r="C997" s="9" t="n">
        <v>45871</v>
      </c>
      <c r="D997" s="5" t="s">
        <v>138</v>
      </c>
      <c r="E997" s="5" t="s">
        <v>1034</v>
      </c>
      <c r="F997" s="5" t="s">
        <v>1007</v>
      </c>
      <c r="G997" s="6" t="str">
        <f aca="false">INDEX(Catalogo_Causas!$B$2:$B$10,MATCH(F997,Catalogo_Causas!$A$2:$A$10,0))</f>
        <v>Cambio de formato excedido</v>
      </c>
      <c r="H997" s="6" t="str">
        <f aca="false">INDEX(Catalogo_Causas!$C$2:$C$10,MATCH(F997,Catalogo_Causas!$A$2:$A$10,0))</f>
        <v>Operacional</v>
      </c>
      <c r="I997" s="5" t="n">
        <v>24</v>
      </c>
      <c r="J997" s="29" t="n">
        <f aca="false">I997/60</f>
        <v>0.4</v>
      </c>
    </row>
    <row r="998" customFormat="false" ht="15" hidden="false" customHeight="false" outlineLevel="0" collapsed="false">
      <c r="A998" s="5" t="s">
        <v>2040</v>
      </c>
      <c r="B998" s="9" t="n">
        <v>45866</v>
      </c>
      <c r="C998" s="9" t="n">
        <v>45871</v>
      </c>
      <c r="D998" s="5" t="s">
        <v>142</v>
      </c>
      <c r="E998" s="5" t="s">
        <v>1051</v>
      </c>
      <c r="F998" s="5" t="s">
        <v>1009</v>
      </c>
      <c r="G998" s="6" t="str">
        <f aca="false">INDEX(Catalogo_Causas!$B$2:$B$10,MATCH(F998,Catalogo_Causas!$A$2:$A$10,0))</f>
        <v>Falta de material de empaque</v>
      </c>
      <c r="H998" s="6" t="str">
        <f aca="false">INDEX(Catalogo_Causas!$C$2:$C$10,MATCH(F998,Catalogo_Causas!$A$2:$A$10,0))</f>
        <v>Material / suministro</v>
      </c>
      <c r="I998" s="5" t="n">
        <v>70</v>
      </c>
      <c r="J998" s="29" t="n">
        <f aca="false">I998/60</f>
        <v>1.16666666666667</v>
      </c>
    </row>
    <row r="999" customFormat="false" ht="15" hidden="false" customHeight="false" outlineLevel="0" collapsed="false">
      <c r="A999" s="5" t="s">
        <v>2041</v>
      </c>
      <c r="B999" s="9" t="n">
        <v>45866</v>
      </c>
      <c r="C999" s="9" t="n">
        <v>45871</v>
      </c>
      <c r="D999" s="5" t="s">
        <v>144</v>
      </c>
      <c r="E999" s="5" t="s">
        <v>1032</v>
      </c>
      <c r="F999" s="5" t="s">
        <v>1002</v>
      </c>
      <c r="G999" s="6" t="str">
        <f aca="false">INDEX(Catalogo_Causas!$B$2:$B$10,MATCH(F999,Catalogo_Causas!$A$2:$A$10,0))</f>
        <v>Falla mecánica</v>
      </c>
      <c r="H999" s="6" t="str">
        <f aca="false">INDEX(Catalogo_Causas!$C$2:$C$10,MATCH(F999,Catalogo_Causas!$A$2:$A$10,0))</f>
        <v>Operacional</v>
      </c>
      <c r="I999" s="5" t="n">
        <v>13</v>
      </c>
      <c r="J999" s="29" t="n">
        <f aca="false">I999/60</f>
        <v>0.216666666666667</v>
      </c>
    </row>
    <row r="1000" customFormat="false" ht="15" hidden="false" customHeight="false" outlineLevel="0" collapsed="false">
      <c r="A1000" s="5" t="s">
        <v>2042</v>
      </c>
      <c r="B1000" s="9" t="n">
        <v>45873</v>
      </c>
      <c r="C1000" s="9" t="n">
        <v>45873</v>
      </c>
      <c r="D1000" s="5" t="s">
        <v>138</v>
      </c>
      <c r="E1000" s="5" t="s">
        <v>1039</v>
      </c>
      <c r="F1000" s="5" t="s">
        <v>1002</v>
      </c>
      <c r="G1000" s="6" t="str">
        <f aca="false">INDEX(Catalogo_Causas!$B$2:$B$10,MATCH(F1000,Catalogo_Causas!$A$2:$A$10,0))</f>
        <v>Falla mecánica</v>
      </c>
      <c r="H1000" s="6" t="str">
        <f aca="false">INDEX(Catalogo_Causas!$C$2:$C$10,MATCH(F1000,Catalogo_Causas!$A$2:$A$10,0))</f>
        <v>Operacional</v>
      </c>
      <c r="I1000" s="5" t="n">
        <v>104</v>
      </c>
      <c r="J1000" s="29" t="n">
        <f aca="false">I1000/60</f>
        <v>1.73333333333333</v>
      </c>
    </row>
    <row r="1001" customFormat="false" ht="15" hidden="false" customHeight="false" outlineLevel="0" collapsed="false">
      <c r="A1001" s="5" t="s">
        <v>2043</v>
      </c>
      <c r="B1001" s="9" t="n">
        <v>45873</v>
      </c>
      <c r="C1001" s="9" t="n">
        <v>45873</v>
      </c>
      <c r="D1001" s="5" t="s">
        <v>144</v>
      </c>
      <c r="E1001" s="5" t="s">
        <v>1043</v>
      </c>
      <c r="F1001" s="5" t="s">
        <v>1005</v>
      </c>
      <c r="G1001" s="6" t="str">
        <f aca="false">INDEX(Catalogo_Causas!$B$2:$B$10,MATCH(F1001,Catalogo_Causas!$A$2:$A$10,0))</f>
        <v>Falla eléctrica / control</v>
      </c>
      <c r="H1001" s="6" t="str">
        <f aca="false">INDEX(Catalogo_Causas!$C$2:$C$10,MATCH(F1001,Catalogo_Causas!$A$2:$A$10,0))</f>
        <v>Operacional</v>
      </c>
      <c r="I1001" s="5" t="n">
        <v>65</v>
      </c>
      <c r="J1001" s="29" t="n">
        <f aca="false">I1001/60</f>
        <v>1.08333333333333</v>
      </c>
    </row>
    <row r="1002" customFormat="false" ht="15" hidden="false" customHeight="false" outlineLevel="0" collapsed="false">
      <c r="A1002" s="5" t="s">
        <v>2044</v>
      </c>
      <c r="B1002" s="9" t="n">
        <v>45873</v>
      </c>
      <c r="C1002" s="9" t="n">
        <v>45874</v>
      </c>
      <c r="D1002" s="5" t="s">
        <v>134</v>
      </c>
      <c r="E1002" s="5" t="s">
        <v>1032</v>
      </c>
      <c r="F1002" s="5" t="s">
        <v>1007</v>
      </c>
      <c r="G1002" s="6" t="str">
        <f aca="false">INDEX(Catalogo_Causas!$B$2:$B$10,MATCH(F1002,Catalogo_Causas!$A$2:$A$10,0))</f>
        <v>Cambio de formato excedido</v>
      </c>
      <c r="H1002" s="6" t="str">
        <f aca="false">INDEX(Catalogo_Causas!$C$2:$C$10,MATCH(F1002,Catalogo_Causas!$A$2:$A$10,0))</f>
        <v>Operacional</v>
      </c>
      <c r="I1002" s="5" t="n">
        <v>32</v>
      </c>
      <c r="J1002" s="29" t="n">
        <f aca="false">I1002/60</f>
        <v>0.533333333333333</v>
      </c>
    </row>
    <row r="1003" customFormat="false" ht="15" hidden="false" customHeight="false" outlineLevel="0" collapsed="false">
      <c r="A1003" s="5" t="s">
        <v>2045</v>
      </c>
      <c r="B1003" s="9" t="n">
        <v>45873</v>
      </c>
      <c r="C1003" s="9" t="n">
        <v>45874</v>
      </c>
      <c r="D1003" s="5" t="s">
        <v>136</v>
      </c>
      <c r="E1003" s="5" t="s">
        <v>1051</v>
      </c>
      <c r="F1003" s="5" t="s">
        <v>1007</v>
      </c>
      <c r="G1003" s="6" t="str">
        <f aca="false">INDEX(Catalogo_Causas!$B$2:$B$10,MATCH(F1003,Catalogo_Causas!$A$2:$A$10,0))</f>
        <v>Cambio de formato excedido</v>
      </c>
      <c r="H1003" s="6" t="str">
        <f aca="false">INDEX(Catalogo_Causas!$C$2:$C$10,MATCH(F1003,Catalogo_Causas!$A$2:$A$10,0))</f>
        <v>Operacional</v>
      </c>
      <c r="I1003" s="5" t="n">
        <v>38</v>
      </c>
      <c r="J1003" s="29" t="n">
        <f aca="false">I1003/60</f>
        <v>0.633333333333333</v>
      </c>
    </row>
    <row r="1004" customFormat="false" ht="15" hidden="false" customHeight="false" outlineLevel="0" collapsed="false">
      <c r="A1004" s="5" t="s">
        <v>2046</v>
      </c>
      <c r="B1004" s="9" t="n">
        <v>45873</v>
      </c>
      <c r="C1004" s="9" t="n">
        <v>45875</v>
      </c>
      <c r="D1004" s="5" t="s">
        <v>130</v>
      </c>
      <c r="E1004" s="5" t="s">
        <v>1030</v>
      </c>
      <c r="F1004" s="5" t="s">
        <v>1016</v>
      </c>
      <c r="G1004" s="6" t="str">
        <f aca="false">INDEX(Catalogo_Causas!$B$2:$B$10,MATCH(F1004,Catalogo_Causas!$A$2:$A$10,0))</f>
        <v>Limpieza no programada (CIP)</v>
      </c>
      <c r="H1004" s="6" t="str">
        <f aca="false">INDEX(Catalogo_Causas!$C$2:$C$10,MATCH(F1004,Catalogo_Causas!$A$2:$A$10,0))</f>
        <v>Calidad</v>
      </c>
      <c r="I1004" s="5" t="n">
        <v>46</v>
      </c>
      <c r="J1004" s="29" t="n">
        <f aca="false">I1004/60</f>
        <v>0.766666666666667</v>
      </c>
    </row>
    <row r="1005" customFormat="false" ht="15" hidden="false" customHeight="false" outlineLevel="0" collapsed="false">
      <c r="A1005" s="5" t="s">
        <v>2047</v>
      </c>
      <c r="B1005" s="9" t="n">
        <v>45873</v>
      </c>
      <c r="C1005" s="9" t="n">
        <v>45875</v>
      </c>
      <c r="D1005" s="5" t="s">
        <v>132</v>
      </c>
      <c r="E1005" s="5" t="s">
        <v>1084</v>
      </c>
      <c r="F1005" s="5" t="s">
        <v>1009</v>
      </c>
      <c r="G1005" s="6" t="str">
        <f aca="false">INDEX(Catalogo_Causas!$B$2:$B$10,MATCH(F1005,Catalogo_Causas!$A$2:$A$10,0))</f>
        <v>Falta de material de empaque</v>
      </c>
      <c r="H1005" s="6" t="str">
        <f aca="false">INDEX(Catalogo_Causas!$C$2:$C$10,MATCH(F1005,Catalogo_Causas!$A$2:$A$10,0))</f>
        <v>Material / suministro</v>
      </c>
      <c r="I1005" s="5" t="n">
        <v>162</v>
      </c>
      <c r="J1005" s="29" t="n">
        <f aca="false">I1005/60</f>
        <v>2.7</v>
      </c>
    </row>
    <row r="1006" customFormat="false" ht="15" hidden="false" customHeight="false" outlineLevel="0" collapsed="false">
      <c r="A1006" s="5" t="s">
        <v>2048</v>
      </c>
      <c r="B1006" s="9" t="n">
        <v>45873</v>
      </c>
      <c r="C1006" s="9" t="n">
        <v>45875</v>
      </c>
      <c r="D1006" s="5" t="s">
        <v>136</v>
      </c>
      <c r="E1006" s="5" t="s">
        <v>1032</v>
      </c>
      <c r="F1006" s="5" t="s">
        <v>1007</v>
      </c>
      <c r="G1006" s="6" t="str">
        <f aca="false">INDEX(Catalogo_Causas!$B$2:$B$10,MATCH(F1006,Catalogo_Causas!$A$2:$A$10,0))</f>
        <v>Cambio de formato excedido</v>
      </c>
      <c r="H1006" s="6" t="str">
        <f aca="false">INDEX(Catalogo_Causas!$C$2:$C$10,MATCH(F1006,Catalogo_Causas!$A$2:$A$10,0))</f>
        <v>Operacional</v>
      </c>
      <c r="I1006" s="5" t="n">
        <v>108</v>
      </c>
      <c r="J1006" s="29" t="n">
        <f aca="false">I1006/60</f>
        <v>1.8</v>
      </c>
    </row>
    <row r="1007" customFormat="false" ht="15" hidden="false" customHeight="false" outlineLevel="0" collapsed="false">
      <c r="A1007" s="5" t="s">
        <v>2049</v>
      </c>
      <c r="B1007" s="9" t="n">
        <v>45873</v>
      </c>
      <c r="C1007" s="9" t="n">
        <v>45875</v>
      </c>
      <c r="D1007" s="5" t="s">
        <v>138</v>
      </c>
      <c r="E1007" s="5" t="s">
        <v>1034</v>
      </c>
      <c r="F1007" s="5" t="s">
        <v>1014</v>
      </c>
      <c r="G1007" s="6" t="str">
        <f aca="false">INDEX(Catalogo_Causas!$B$2:$B$10,MATCH(F1007,Catalogo_Causas!$A$2:$A$10,0))</f>
        <v>Retención de calidad</v>
      </c>
      <c r="H1007" s="6" t="str">
        <f aca="false">INDEX(Catalogo_Causas!$C$2:$C$10,MATCH(F1007,Catalogo_Causas!$A$2:$A$10,0))</f>
        <v>Calidad</v>
      </c>
      <c r="I1007" s="5" t="n">
        <v>17</v>
      </c>
      <c r="J1007" s="29" t="n">
        <f aca="false">I1007/60</f>
        <v>0.283333333333333</v>
      </c>
    </row>
    <row r="1008" customFormat="false" ht="15" hidden="false" customHeight="false" outlineLevel="0" collapsed="false">
      <c r="A1008" s="5" t="s">
        <v>2050</v>
      </c>
      <c r="B1008" s="9" t="n">
        <v>45873</v>
      </c>
      <c r="C1008" s="9" t="n">
        <v>45875</v>
      </c>
      <c r="D1008" s="5" t="s">
        <v>138</v>
      </c>
      <c r="E1008" s="5" t="s">
        <v>1034</v>
      </c>
      <c r="F1008" s="5" t="s">
        <v>1007</v>
      </c>
      <c r="G1008" s="6" t="str">
        <f aca="false">INDEX(Catalogo_Causas!$B$2:$B$10,MATCH(F1008,Catalogo_Causas!$A$2:$A$10,0))</f>
        <v>Cambio de formato excedido</v>
      </c>
      <c r="H1008" s="6" t="str">
        <f aca="false">INDEX(Catalogo_Causas!$C$2:$C$10,MATCH(F1008,Catalogo_Causas!$A$2:$A$10,0))</f>
        <v>Operacional</v>
      </c>
      <c r="I1008" s="5" t="n">
        <v>76</v>
      </c>
      <c r="J1008" s="29" t="n">
        <f aca="false">I1008/60</f>
        <v>1.26666666666667</v>
      </c>
    </row>
    <row r="1009" customFormat="false" ht="15" hidden="false" customHeight="false" outlineLevel="0" collapsed="false">
      <c r="A1009" s="5" t="s">
        <v>2051</v>
      </c>
      <c r="B1009" s="9" t="n">
        <v>45873</v>
      </c>
      <c r="C1009" s="9" t="n">
        <v>45875</v>
      </c>
      <c r="D1009" s="5" t="s">
        <v>142</v>
      </c>
      <c r="E1009" s="5" t="s">
        <v>1030</v>
      </c>
      <c r="F1009" s="5" t="s">
        <v>1014</v>
      </c>
      <c r="G1009" s="6" t="str">
        <f aca="false">INDEX(Catalogo_Causas!$B$2:$B$10,MATCH(F1009,Catalogo_Causas!$A$2:$A$10,0))</f>
        <v>Retención de calidad</v>
      </c>
      <c r="H1009" s="6" t="str">
        <f aca="false">INDEX(Catalogo_Causas!$C$2:$C$10,MATCH(F1009,Catalogo_Causas!$A$2:$A$10,0))</f>
        <v>Calidad</v>
      </c>
      <c r="I1009" s="5" t="n">
        <v>28</v>
      </c>
      <c r="J1009" s="29" t="n">
        <f aca="false">I1009/60</f>
        <v>0.466666666666667</v>
      </c>
    </row>
    <row r="1010" customFormat="false" ht="15" hidden="false" customHeight="false" outlineLevel="0" collapsed="false">
      <c r="A1010" s="5" t="s">
        <v>2052</v>
      </c>
      <c r="B1010" s="9" t="n">
        <v>45873</v>
      </c>
      <c r="C1010" s="9" t="n">
        <v>45875</v>
      </c>
      <c r="D1010" s="5" t="s">
        <v>144</v>
      </c>
      <c r="E1010" s="5" t="s">
        <v>1030</v>
      </c>
      <c r="F1010" s="5" t="s">
        <v>1005</v>
      </c>
      <c r="G1010" s="6" t="str">
        <f aca="false">INDEX(Catalogo_Causas!$B$2:$B$10,MATCH(F1010,Catalogo_Causas!$A$2:$A$10,0))</f>
        <v>Falla eléctrica / control</v>
      </c>
      <c r="H1010" s="6" t="str">
        <f aca="false">INDEX(Catalogo_Causas!$C$2:$C$10,MATCH(F1010,Catalogo_Causas!$A$2:$A$10,0))</f>
        <v>Operacional</v>
      </c>
      <c r="I1010" s="5" t="n">
        <v>218</v>
      </c>
      <c r="J1010" s="29" t="n">
        <f aca="false">I1010/60</f>
        <v>3.63333333333333</v>
      </c>
    </row>
    <row r="1011" customFormat="false" ht="15" hidden="false" customHeight="false" outlineLevel="0" collapsed="false">
      <c r="A1011" s="5" t="s">
        <v>2053</v>
      </c>
      <c r="B1011" s="9" t="n">
        <v>45873</v>
      </c>
      <c r="C1011" s="9" t="n">
        <v>45876</v>
      </c>
      <c r="D1011" s="5" t="s">
        <v>136</v>
      </c>
      <c r="E1011" s="5" t="s">
        <v>1101</v>
      </c>
      <c r="F1011" s="5" t="s">
        <v>1021</v>
      </c>
      <c r="G1011" s="6" t="str">
        <f aca="false">INDEX(Catalogo_Causas!$B$2:$B$10,MATCH(F1011,Catalogo_Causas!$A$2:$A$10,0))</f>
        <v>Falla de servicios (vapor/amoniaco/aire)</v>
      </c>
      <c r="H1011" s="6" t="str">
        <f aca="false">INDEX(Catalogo_Causas!$C$2:$C$10,MATCH(F1011,Catalogo_Causas!$A$2:$A$10,0))</f>
        <v>Servicios</v>
      </c>
      <c r="I1011" s="5" t="n">
        <v>70</v>
      </c>
      <c r="J1011" s="29" t="n">
        <f aca="false">I1011/60</f>
        <v>1.16666666666667</v>
      </c>
    </row>
    <row r="1012" customFormat="false" ht="15" hidden="false" customHeight="false" outlineLevel="0" collapsed="false">
      <c r="A1012" s="5" t="s">
        <v>2054</v>
      </c>
      <c r="B1012" s="9" t="n">
        <v>45873</v>
      </c>
      <c r="C1012" s="9" t="n">
        <v>45876</v>
      </c>
      <c r="D1012" s="5" t="s">
        <v>138</v>
      </c>
      <c r="E1012" s="5" t="s">
        <v>1034</v>
      </c>
      <c r="F1012" s="5" t="s">
        <v>1005</v>
      </c>
      <c r="G1012" s="6" t="str">
        <f aca="false">INDEX(Catalogo_Causas!$B$2:$B$10,MATCH(F1012,Catalogo_Causas!$A$2:$A$10,0))</f>
        <v>Falla eléctrica / control</v>
      </c>
      <c r="H1012" s="6" t="str">
        <f aca="false">INDEX(Catalogo_Causas!$C$2:$C$10,MATCH(F1012,Catalogo_Causas!$A$2:$A$10,0))</f>
        <v>Operacional</v>
      </c>
      <c r="I1012" s="5" t="n">
        <v>53</v>
      </c>
      <c r="J1012" s="29" t="n">
        <f aca="false">I1012/60</f>
        <v>0.883333333333333</v>
      </c>
    </row>
    <row r="1013" customFormat="false" ht="15" hidden="false" customHeight="false" outlineLevel="0" collapsed="false">
      <c r="A1013" s="5" t="s">
        <v>2055</v>
      </c>
      <c r="B1013" s="9" t="n">
        <v>45873</v>
      </c>
      <c r="C1013" s="9" t="n">
        <v>45876</v>
      </c>
      <c r="D1013" s="5" t="s">
        <v>138</v>
      </c>
      <c r="E1013" s="5" t="s">
        <v>1039</v>
      </c>
      <c r="F1013" s="5" t="s">
        <v>1005</v>
      </c>
      <c r="G1013" s="6" t="str">
        <f aca="false">INDEX(Catalogo_Causas!$B$2:$B$10,MATCH(F1013,Catalogo_Causas!$A$2:$A$10,0))</f>
        <v>Falla eléctrica / control</v>
      </c>
      <c r="H1013" s="6" t="str">
        <f aca="false">INDEX(Catalogo_Causas!$C$2:$C$10,MATCH(F1013,Catalogo_Causas!$A$2:$A$10,0))</f>
        <v>Operacional</v>
      </c>
      <c r="I1013" s="5" t="n">
        <v>79</v>
      </c>
      <c r="J1013" s="29" t="n">
        <f aca="false">I1013/60</f>
        <v>1.31666666666667</v>
      </c>
    </row>
    <row r="1014" customFormat="false" ht="15" hidden="false" customHeight="false" outlineLevel="0" collapsed="false">
      <c r="A1014" s="5" t="s">
        <v>2056</v>
      </c>
      <c r="B1014" s="9" t="n">
        <v>45873</v>
      </c>
      <c r="C1014" s="9" t="n">
        <v>45876</v>
      </c>
      <c r="D1014" s="5" t="s">
        <v>140</v>
      </c>
      <c r="E1014" s="5" t="s">
        <v>1036</v>
      </c>
      <c r="F1014" s="5" t="s">
        <v>1007</v>
      </c>
      <c r="G1014" s="6" t="str">
        <f aca="false">INDEX(Catalogo_Causas!$B$2:$B$10,MATCH(F1014,Catalogo_Causas!$A$2:$A$10,0))</f>
        <v>Cambio de formato excedido</v>
      </c>
      <c r="H1014" s="6" t="str">
        <f aca="false">INDEX(Catalogo_Causas!$C$2:$C$10,MATCH(F1014,Catalogo_Causas!$A$2:$A$10,0))</f>
        <v>Operacional</v>
      </c>
      <c r="I1014" s="5" t="n">
        <v>61</v>
      </c>
      <c r="J1014" s="29" t="n">
        <f aca="false">I1014/60</f>
        <v>1.01666666666667</v>
      </c>
    </row>
    <row r="1015" customFormat="false" ht="15" hidden="false" customHeight="false" outlineLevel="0" collapsed="false">
      <c r="A1015" s="5" t="s">
        <v>2057</v>
      </c>
      <c r="B1015" s="9" t="n">
        <v>45873</v>
      </c>
      <c r="C1015" s="9" t="n">
        <v>45877</v>
      </c>
      <c r="D1015" s="5" t="s">
        <v>130</v>
      </c>
      <c r="E1015" s="5" t="s">
        <v>1045</v>
      </c>
      <c r="F1015" s="5" t="s">
        <v>1002</v>
      </c>
      <c r="G1015" s="6" t="str">
        <f aca="false">INDEX(Catalogo_Causas!$B$2:$B$10,MATCH(F1015,Catalogo_Causas!$A$2:$A$10,0))</f>
        <v>Falla mecánica</v>
      </c>
      <c r="H1015" s="6" t="str">
        <f aca="false">INDEX(Catalogo_Causas!$C$2:$C$10,MATCH(F1015,Catalogo_Causas!$A$2:$A$10,0))</f>
        <v>Operacional</v>
      </c>
      <c r="I1015" s="5" t="n">
        <v>41</v>
      </c>
      <c r="J1015" s="29" t="n">
        <f aca="false">I1015/60</f>
        <v>0.683333333333333</v>
      </c>
    </row>
    <row r="1016" customFormat="false" ht="15" hidden="false" customHeight="false" outlineLevel="0" collapsed="false">
      <c r="A1016" s="5" t="s">
        <v>2058</v>
      </c>
      <c r="B1016" s="9" t="n">
        <v>45873</v>
      </c>
      <c r="C1016" s="9" t="n">
        <v>45877</v>
      </c>
      <c r="D1016" s="5" t="s">
        <v>136</v>
      </c>
      <c r="E1016" s="5" t="s">
        <v>1051</v>
      </c>
      <c r="F1016" s="5" t="s">
        <v>1005</v>
      </c>
      <c r="G1016" s="6" t="str">
        <f aca="false">INDEX(Catalogo_Causas!$B$2:$B$10,MATCH(F1016,Catalogo_Causas!$A$2:$A$10,0))</f>
        <v>Falla eléctrica / control</v>
      </c>
      <c r="H1016" s="6" t="str">
        <f aca="false">INDEX(Catalogo_Causas!$C$2:$C$10,MATCH(F1016,Catalogo_Causas!$A$2:$A$10,0))</f>
        <v>Operacional</v>
      </c>
      <c r="I1016" s="5" t="n">
        <v>20</v>
      </c>
      <c r="J1016" s="29" t="n">
        <f aca="false">I1016/60</f>
        <v>0.333333333333333</v>
      </c>
    </row>
    <row r="1017" customFormat="false" ht="15" hidden="false" customHeight="false" outlineLevel="0" collapsed="false">
      <c r="A1017" s="5" t="s">
        <v>2059</v>
      </c>
      <c r="B1017" s="9" t="n">
        <v>45873</v>
      </c>
      <c r="C1017" s="9" t="n">
        <v>45877</v>
      </c>
      <c r="D1017" s="5" t="s">
        <v>138</v>
      </c>
      <c r="E1017" s="5" t="s">
        <v>1034</v>
      </c>
      <c r="F1017" s="5" t="s">
        <v>1009</v>
      </c>
      <c r="G1017" s="6" t="str">
        <f aca="false">INDEX(Catalogo_Causas!$B$2:$B$10,MATCH(F1017,Catalogo_Causas!$A$2:$A$10,0))</f>
        <v>Falta de material de empaque</v>
      </c>
      <c r="H1017" s="6" t="str">
        <f aca="false">INDEX(Catalogo_Causas!$C$2:$C$10,MATCH(F1017,Catalogo_Causas!$A$2:$A$10,0))</f>
        <v>Material / suministro</v>
      </c>
      <c r="I1017" s="5" t="n">
        <v>13</v>
      </c>
      <c r="J1017" s="29" t="n">
        <f aca="false">I1017/60</f>
        <v>0.216666666666667</v>
      </c>
    </row>
    <row r="1018" customFormat="false" ht="15" hidden="false" customHeight="false" outlineLevel="0" collapsed="false">
      <c r="A1018" s="5" t="s">
        <v>2060</v>
      </c>
      <c r="B1018" s="9" t="n">
        <v>45873</v>
      </c>
      <c r="C1018" s="9" t="n">
        <v>45877</v>
      </c>
      <c r="D1018" s="5" t="s">
        <v>142</v>
      </c>
      <c r="E1018" s="5" t="s">
        <v>1051</v>
      </c>
      <c r="F1018" s="5" t="s">
        <v>1009</v>
      </c>
      <c r="G1018" s="6" t="str">
        <f aca="false">INDEX(Catalogo_Causas!$B$2:$B$10,MATCH(F1018,Catalogo_Causas!$A$2:$A$10,0))</f>
        <v>Falta de material de empaque</v>
      </c>
      <c r="H1018" s="6" t="str">
        <f aca="false">INDEX(Catalogo_Causas!$C$2:$C$10,MATCH(F1018,Catalogo_Causas!$A$2:$A$10,0))</f>
        <v>Material / suministro</v>
      </c>
      <c r="I1018" s="5" t="n">
        <v>10</v>
      </c>
      <c r="J1018" s="29" t="n">
        <f aca="false">I1018/60</f>
        <v>0.166666666666667</v>
      </c>
    </row>
    <row r="1019" customFormat="false" ht="15" hidden="false" customHeight="false" outlineLevel="0" collapsed="false">
      <c r="A1019" s="5" t="s">
        <v>2061</v>
      </c>
      <c r="B1019" s="9" t="n">
        <v>45873</v>
      </c>
      <c r="C1019" s="9" t="n">
        <v>45877</v>
      </c>
      <c r="D1019" s="5" t="s">
        <v>142</v>
      </c>
      <c r="E1019" s="5" t="s">
        <v>1051</v>
      </c>
      <c r="F1019" s="5" t="s">
        <v>1007</v>
      </c>
      <c r="G1019" s="6" t="str">
        <f aca="false">INDEX(Catalogo_Causas!$B$2:$B$10,MATCH(F1019,Catalogo_Causas!$A$2:$A$10,0))</f>
        <v>Cambio de formato excedido</v>
      </c>
      <c r="H1019" s="6" t="str">
        <f aca="false">INDEX(Catalogo_Causas!$C$2:$C$10,MATCH(F1019,Catalogo_Causas!$A$2:$A$10,0))</f>
        <v>Operacional</v>
      </c>
      <c r="I1019" s="5" t="n">
        <v>70</v>
      </c>
      <c r="J1019" s="29" t="n">
        <f aca="false">I1019/60</f>
        <v>1.16666666666667</v>
      </c>
    </row>
    <row r="1020" customFormat="false" ht="15" hidden="false" customHeight="false" outlineLevel="0" collapsed="false">
      <c r="A1020" s="5" t="s">
        <v>2062</v>
      </c>
      <c r="B1020" s="9" t="n">
        <v>45873</v>
      </c>
      <c r="C1020" s="9" t="n">
        <v>45877</v>
      </c>
      <c r="D1020" s="5" t="s">
        <v>142</v>
      </c>
      <c r="E1020" s="5" t="s">
        <v>1051</v>
      </c>
      <c r="F1020" s="5" t="s">
        <v>1005</v>
      </c>
      <c r="G1020" s="6" t="str">
        <f aca="false">INDEX(Catalogo_Causas!$B$2:$B$10,MATCH(F1020,Catalogo_Causas!$A$2:$A$10,0))</f>
        <v>Falla eléctrica / control</v>
      </c>
      <c r="H1020" s="6" t="str">
        <f aca="false">INDEX(Catalogo_Causas!$C$2:$C$10,MATCH(F1020,Catalogo_Causas!$A$2:$A$10,0))</f>
        <v>Operacional</v>
      </c>
      <c r="I1020" s="5" t="n">
        <v>97</v>
      </c>
      <c r="J1020" s="29" t="n">
        <f aca="false">I1020/60</f>
        <v>1.61666666666667</v>
      </c>
    </row>
    <row r="1021" customFormat="false" ht="15" hidden="false" customHeight="false" outlineLevel="0" collapsed="false">
      <c r="A1021" s="5" t="s">
        <v>2063</v>
      </c>
      <c r="B1021" s="9" t="n">
        <v>45873</v>
      </c>
      <c r="C1021" s="9" t="n">
        <v>45877</v>
      </c>
      <c r="D1021" s="5" t="s">
        <v>144</v>
      </c>
      <c r="E1021" s="5" t="s">
        <v>1030</v>
      </c>
      <c r="F1021" s="5" t="s">
        <v>1005</v>
      </c>
      <c r="G1021" s="6" t="str">
        <f aca="false">INDEX(Catalogo_Causas!$B$2:$B$10,MATCH(F1021,Catalogo_Causas!$A$2:$A$10,0))</f>
        <v>Falla eléctrica / control</v>
      </c>
      <c r="H1021" s="6" t="str">
        <f aca="false">INDEX(Catalogo_Causas!$C$2:$C$10,MATCH(F1021,Catalogo_Causas!$A$2:$A$10,0))</f>
        <v>Operacional</v>
      </c>
      <c r="I1021" s="5" t="n">
        <v>34</v>
      </c>
      <c r="J1021" s="29" t="n">
        <f aca="false">I1021/60</f>
        <v>0.566666666666667</v>
      </c>
    </row>
    <row r="1022" customFormat="false" ht="15" hidden="false" customHeight="false" outlineLevel="0" collapsed="false">
      <c r="A1022" s="5" t="s">
        <v>2064</v>
      </c>
      <c r="B1022" s="9" t="n">
        <v>45873</v>
      </c>
      <c r="C1022" s="9" t="n">
        <v>45878</v>
      </c>
      <c r="D1022" s="5" t="s">
        <v>130</v>
      </c>
      <c r="E1022" s="5" t="s">
        <v>1078</v>
      </c>
      <c r="F1022" s="5" t="s">
        <v>1012</v>
      </c>
      <c r="G1022" s="6" t="str">
        <f aca="false">INDEX(Catalogo_Causas!$B$2:$B$10,MATCH(F1022,Catalogo_Causas!$A$2:$A$10,0))</f>
        <v>Falta de materia prima</v>
      </c>
      <c r="H1022" s="6" t="str">
        <f aca="false">INDEX(Catalogo_Causas!$C$2:$C$10,MATCH(F1022,Catalogo_Causas!$A$2:$A$10,0))</f>
        <v>Material / suministro</v>
      </c>
      <c r="I1022" s="5" t="n">
        <v>209</v>
      </c>
      <c r="J1022" s="29" t="n">
        <f aca="false">I1022/60</f>
        <v>3.48333333333333</v>
      </c>
    </row>
    <row r="1023" customFormat="false" ht="15" hidden="false" customHeight="false" outlineLevel="0" collapsed="false">
      <c r="A1023" s="5" t="s">
        <v>2065</v>
      </c>
      <c r="B1023" s="9" t="n">
        <v>45873</v>
      </c>
      <c r="C1023" s="9" t="n">
        <v>45878</v>
      </c>
      <c r="D1023" s="5" t="s">
        <v>132</v>
      </c>
      <c r="E1023" s="5" t="s">
        <v>1032</v>
      </c>
      <c r="F1023" s="5" t="s">
        <v>1012</v>
      </c>
      <c r="G1023" s="6" t="str">
        <f aca="false">INDEX(Catalogo_Causas!$B$2:$B$10,MATCH(F1023,Catalogo_Causas!$A$2:$A$10,0))</f>
        <v>Falta de materia prima</v>
      </c>
      <c r="H1023" s="6" t="str">
        <f aca="false">INDEX(Catalogo_Causas!$C$2:$C$10,MATCH(F1023,Catalogo_Causas!$A$2:$A$10,0))</f>
        <v>Material / suministro</v>
      </c>
      <c r="I1023" s="5" t="n">
        <v>45</v>
      </c>
      <c r="J1023" s="29" t="n">
        <f aca="false">I1023/60</f>
        <v>0.75</v>
      </c>
    </row>
    <row r="1024" customFormat="false" ht="15" hidden="false" customHeight="false" outlineLevel="0" collapsed="false">
      <c r="A1024" s="5" t="s">
        <v>2066</v>
      </c>
      <c r="B1024" s="9" t="n">
        <v>45873</v>
      </c>
      <c r="C1024" s="9" t="n">
        <v>45878</v>
      </c>
      <c r="D1024" s="5" t="s">
        <v>134</v>
      </c>
      <c r="E1024" s="5" t="s">
        <v>1054</v>
      </c>
      <c r="F1024" s="5" t="s">
        <v>1007</v>
      </c>
      <c r="G1024" s="6" t="str">
        <f aca="false">INDEX(Catalogo_Causas!$B$2:$B$10,MATCH(F1024,Catalogo_Causas!$A$2:$A$10,0))</f>
        <v>Cambio de formato excedido</v>
      </c>
      <c r="H1024" s="6" t="str">
        <f aca="false">INDEX(Catalogo_Causas!$C$2:$C$10,MATCH(F1024,Catalogo_Causas!$A$2:$A$10,0))</f>
        <v>Operacional</v>
      </c>
      <c r="I1024" s="5" t="n">
        <v>62</v>
      </c>
      <c r="J1024" s="29" t="n">
        <f aca="false">I1024/60</f>
        <v>1.03333333333333</v>
      </c>
    </row>
    <row r="1025" customFormat="false" ht="15" hidden="false" customHeight="false" outlineLevel="0" collapsed="false">
      <c r="A1025" s="5" t="s">
        <v>2067</v>
      </c>
      <c r="B1025" s="9" t="n">
        <v>45873</v>
      </c>
      <c r="C1025" s="9" t="n">
        <v>45878</v>
      </c>
      <c r="D1025" s="5" t="s">
        <v>144</v>
      </c>
      <c r="E1025" s="5" t="s">
        <v>1043</v>
      </c>
      <c r="F1025" s="5" t="s">
        <v>1002</v>
      </c>
      <c r="G1025" s="6" t="str">
        <f aca="false">INDEX(Catalogo_Causas!$B$2:$B$10,MATCH(F1025,Catalogo_Causas!$A$2:$A$10,0))</f>
        <v>Falla mecánica</v>
      </c>
      <c r="H1025" s="6" t="str">
        <f aca="false">INDEX(Catalogo_Causas!$C$2:$C$10,MATCH(F1025,Catalogo_Causas!$A$2:$A$10,0))</f>
        <v>Operacional</v>
      </c>
      <c r="I1025" s="5" t="n">
        <v>66</v>
      </c>
      <c r="J1025" s="29" t="n">
        <f aca="false">I1025/60</f>
        <v>1.1</v>
      </c>
    </row>
    <row r="1026" customFormat="false" ht="15" hidden="false" customHeight="false" outlineLevel="0" collapsed="false">
      <c r="A1026" s="5" t="s">
        <v>2068</v>
      </c>
      <c r="B1026" s="9" t="n">
        <v>45880</v>
      </c>
      <c r="C1026" s="9" t="n">
        <v>45880</v>
      </c>
      <c r="D1026" s="5" t="s">
        <v>138</v>
      </c>
      <c r="E1026" s="5" t="s">
        <v>1039</v>
      </c>
      <c r="F1026" s="5" t="s">
        <v>1007</v>
      </c>
      <c r="G1026" s="6" t="str">
        <f aca="false">INDEX(Catalogo_Causas!$B$2:$B$10,MATCH(F1026,Catalogo_Causas!$A$2:$A$10,0))</f>
        <v>Cambio de formato excedido</v>
      </c>
      <c r="H1026" s="6" t="str">
        <f aca="false">INDEX(Catalogo_Causas!$C$2:$C$10,MATCH(F1026,Catalogo_Causas!$A$2:$A$10,0))</f>
        <v>Operacional</v>
      </c>
      <c r="I1026" s="5" t="n">
        <v>161</v>
      </c>
      <c r="J1026" s="29" t="n">
        <f aca="false">I1026/60</f>
        <v>2.68333333333333</v>
      </c>
    </row>
    <row r="1027" customFormat="false" ht="15" hidden="false" customHeight="false" outlineLevel="0" collapsed="false">
      <c r="A1027" s="5" t="s">
        <v>2069</v>
      </c>
      <c r="B1027" s="9" t="n">
        <v>45880</v>
      </c>
      <c r="C1027" s="9" t="n">
        <v>45880</v>
      </c>
      <c r="D1027" s="5" t="s">
        <v>144</v>
      </c>
      <c r="E1027" s="5" t="s">
        <v>1043</v>
      </c>
      <c r="F1027" s="5" t="s">
        <v>1018</v>
      </c>
      <c r="G1027" s="6" t="str">
        <f aca="false">INDEX(Catalogo_Causas!$B$2:$B$10,MATCH(F1027,Catalogo_Causas!$A$2:$A$10,0))</f>
        <v>Falta de personal</v>
      </c>
      <c r="H1027" s="6" t="str">
        <f aca="false">INDEX(Catalogo_Causas!$C$2:$C$10,MATCH(F1027,Catalogo_Causas!$A$2:$A$10,0))</f>
        <v>Personal</v>
      </c>
      <c r="I1027" s="5" t="n">
        <v>33</v>
      </c>
      <c r="J1027" s="29" t="n">
        <f aca="false">I1027/60</f>
        <v>0.55</v>
      </c>
    </row>
    <row r="1028" customFormat="false" ht="15" hidden="false" customHeight="false" outlineLevel="0" collapsed="false">
      <c r="A1028" s="5" t="s">
        <v>2070</v>
      </c>
      <c r="B1028" s="9" t="n">
        <v>45880</v>
      </c>
      <c r="C1028" s="9" t="n">
        <v>45881</v>
      </c>
      <c r="D1028" s="5" t="s">
        <v>130</v>
      </c>
      <c r="E1028" s="5" t="s">
        <v>1078</v>
      </c>
      <c r="F1028" s="5" t="s">
        <v>1005</v>
      </c>
      <c r="G1028" s="6" t="str">
        <f aca="false">INDEX(Catalogo_Causas!$B$2:$B$10,MATCH(F1028,Catalogo_Causas!$A$2:$A$10,0))</f>
        <v>Falla eléctrica / control</v>
      </c>
      <c r="H1028" s="6" t="str">
        <f aca="false">INDEX(Catalogo_Causas!$C$2:$C$10,MATCH(F1028,Catalogo_Causas!$A$2:$A$10,0))</f>
        <v>Operacional</v>
      </c>
      <c r="I1028" s="5" t="n">
        <v>42</v>
      </c>
      <c r="J1028" s="29" t="n">
        <f aca="false">I1028/60</f>
        <v>0.7</v>
      </c>
    </row>
    <row r="1029" customFormat="false" ht="15" hidden="false" customHeight="false" outlineLevel="0" collapsed="false">
      <c r="A1029" s="5" t="s">
        <v>2071</v>
      </c>
      <c r="B1029" s="9" t="n">
        <v>45880</v>
      </c>
      <c r="C1029" s="9" t="n">
        <v>45881</v>
      </c>
      <c r="D1029" s="5" t="s">
        <v>132</v>
      </c>
      <c r="E1029" s="5" t="s">
        <v>1032</v>
      </c>
      <c r="F1029" s="5" t="s">
        <v>1002</v>
      </c>
      <c r="G1029" s="6" t="str">
        <f aca="false">INDEX(Catalogo_Causas!$B$2:$B$10,MATCH(F1029,Catalogo_Causas!$A$2:$A$10,0))</f>
        <v>Falla mecánica</v>
      </c>
      <c r="H1029" s="6" t="str">
        <f aca="false">INDEX(Catalogo_Causas!$C$2:$C$10,MATCH(F1029,Catalogo_Causas!$A$2:$A$10,0))</f>
        <v>Operacional</v>
      </c>
      <c r="I1029" s="5" t="n">
        <v>49</v>
      </c>
      <c r="J1029" s="29" t="n">
        <f aca="false">I1029/60</f>
        <v>0.816666666666667</v>
      </c>
    </row>
    <row r="1030" customFormat="false" ht="15" hidden="false" customHeight="false" outlineLevel="0" collapsed="false">
      <c r="A1030" s="5" t="s">
        <v>2072</v>
      </c>
      <c r="B1030" s="9" t="n">
        <v>45880</v>
      </c>
      <c r="C1030" s="9" t="n">
        <v>45881</v>
      </c>
      <c r="D1030" s="5" t="s">
        <v>136</v>
      </c>
      <c r="E1030" s="5" t="s">
        <v>1051</v>
      </c>
      <c r="F1030" s="5" t="s">
        <v>1007</v>
      </c>
      <c r="G1030" s="6" t="str">
        <f aca="false">INDEX(Catalogo_Causas!$B$2:$B$10,MATCH(F1030,Catalogo_Causas!$A$2:$A$10,0))</f>
        <v>Cambio de formato excedido</v>
      </c>
      <c r="H1030" s="6" t="str">
        <f aca="false">INDEX(Catalogo_Causas!$C$2:$C$10,MATCH(F1030,Catalogo_Causas!$A$2:$A$10,0))</f>
        <v>Operacional</v>
      </c>
      <c r="I1030" s="5" t="n">
        <v>55</v>
      </c>
      <c r="J1030" s="29" t="n">
        <f aca="false">I1030/60</f>
        <v>0.916666666666667</v>
      </c>
    </row>
    <row r="1031" customFormat="false" ht="15" hidden="false" customHeight="false" outlineLevel="0" collapsed="false">
      <c r="A1031" s="5" t="s">
        <v>2073</v>
      </c>
      <c r="B1031" s="9" t="n">
        <v>45880</v>
      </c>
      <c r="C1031" s="9" t="n">
        <v>45881</v>
      </c>
      <c r="D1031" s="5" t="s">
        <v>138</v>
      </c>
      <c r="E1031" s="5" t="s">
        <v>1056</v>
      </c>
      <c r="F1031" s="5" t="s">
        <v>1014</v>
      </c>
      <c r="G1031" s="6" t="str">
        <f aca="false">INDEX(Catalogo_Causas!$B$2:$B$10,MATCH(F1031,Catalogo_Causas!$A$2:$A$10,0))</f>
        <v>Retención de calidad</v>
      </c>
      <c r="H1031" s="6" t="str">
        <f aca="false">INDEX(Catalogo_Causas!$C$2:$C$10,MATCH(F1031,Catalogo_Causas!$A$2:$A$10,0))</f>
        <v>Calidad</v>
      </c>
      <c r="I1031" s="5" t="n">
        <v>27</v>
      </c>
      <c r="J1031" s="29" t="n">
        <f aca="false">I1031/60</f>
        <v>0.45</v>
      </c>
    </row>
    <row r="1032" customFormat="false" ht="15" hidden="false" customHeight="false" outlineLevel="0" collapsed="false">
      <c r="A1032" s="5" t="s">
        <v>2074</v>
      </c>
      <c r="B1032" s="9" t="n">
        <v>45880</v>
      </c>
      <c r="C1032" s="9" t="n">
        <v>45882</v>
      </c>
      <c r="D1032" s="5" t="s">
        <v>130</v>
      </c>
      <c r="E1032" s="5" t="s">
        <v>1078</v>
      </c>
      <c r="F1032" s="5" t="s">
        <v>1007</v>
      </c>
      <c r="G1032" s="6" t="str">
        <f aca="false">INDEX(Catalogo_Causas!$B$2:$B$10,MATCH(F1032,Catalogo_Causas!$A$2:$A$10,0))</f>
        <v>Cambio de formato excedido</v>
      </c>
      <c r="H1032" s="6" t="str">
        <f aca="false">INDEX(Catalogo_Causas!$C$2:$C$10,MATCH(F1032,Catalogo_Causas!$A$2:$A$10,0))</f>
        <v>Operacional</v>
      </c>
      <c r="I1032" s="5" t="n">
        <v>57</v>
      </c>
      <c r="J1032" s="29" t="n">
        <f aca="false">I1032/60</f>
        <v>0.95</v>
      </c>
    </row>
    <row r="1033" customFormat="false" ht="15" hidden="false" customHeight="false" outlineLevel="0" collapsed="false">
      <c r="A1033" s="5" t="s">
        <v>2075</v>
      </c>
      <c r="B1033" s="9" t="n">
        <v>45880</v>
      </c>
      <c r="C1033" s="9" t="n">
        <v>45882</v>
      </c>
      <c r="D1033" s="5" t="s">
        <v>134</v>
      </c>
      <c r="E1033" s="5" t="s">
        <v>1032</v>
      </c>
      <c r="F1033" s="5" t="s">
        <v>1007</v>
      </c>
      <c r="G1033" s="6" t="str">
        <f aca="false">INDEX(Catalogo_Causas!$B$2:$B$10,MATCH(F1033,Catalogo_Causas!$A$2:$A$10,0))</f>
        <v>Cambio de formato excedido</v>
      </c>
      <c r="H1033" s="6" t="str">
        <f aca="false">INDEX(Catalogo_Causas!$C$2:$C$10,MATCH(F1033,Catalogo_Causas!$A$2:$A$10,0))</f>
        <v>Operacional</v>
      </c>
      <c r="I1033" s="5" t="n">
        <v>35</v>
      </c>
      <c r="J1033" s="29" t="n">
        <f aca="false">I1033/60</f>
        <v>0.583333333333333</v>
      </c>
    </row>
    <row r="1034" customFormat="false" ht="15" hidden="false" customHeight="false" outlineLevel="0" collapsed="false">
      <c r="A1034" s="5" t="s">
        <v>2076</v>
      </c>
      <c r="B1034" s="9" t="n">
        <v>45880</v>
      </c>
      <c r="C1034" s="9" t="n">
        <v>45882</v>
      </c>
      <c r="D1034" s="5" t="s">
        <v>138</v>
      </c>
      <c r="E1034" s="5" t="s">
        <v>1034</v>
      </c>
      <c r="F1034" s="5" t="s">
        <v>1007</v>
      </c>
      <c r="G1034" s="6" t="str">
        <f aca="false">INDEX(Catalogo_Causas!$B$2:$B$10,MATCH(F1034,Catalogo_Causas!$A$2:$A$10,0))</f>
        <v>Cambio de formato excedido</v>
      </c>
      <c r="H1034" s="6" t="str">
        <f aca="false">INDEX(Catalogo_Causas!$C$2:$C$10,MATCH(F1034,Catalogo_Causas!$A$2:$A$10,0))</f>
        <v>Operacional</v>
      </c>
      <c r="I1034" s="5" t="n">
        <v>29</v>
      </c>
      <c r="J1034" s="29" t="n">
        <f aca="false">I1034/60</f>
        <v>0.483333333333333</v>
      </c>
    </row>
    <row r="1035" customFormat="false" ht="15" hidden="false" customHeight="false" outlineLevel="0" collapsed="false">
      <c r="A1035" s="5" t="s">
        <v>2077</v>
      </c>
      <c r="B1035" s="9" t="n">
        <v>45880</v>
      </c>
      <c r="C1035" s="9" t="n">
        <v>45882</v>
      </c>
      <c r="D1035" s="5" t="s">
        <v>138</v>
      </c>
      <c r="E1035" s="5" t="s">
        <v>1039</v>
      </c>
      <c r="F1035" s="5" t="s">
        <v>1002</v>
      </c>
      <c r="G1035" s="6" t="str">
        <f aca="false">INDEX(Catalogo_Causas!$B$2:$B$10,MATCH(F1035,Catalogo_Causas!$A$2:$A$10,0))</f>
        <v>Falla mecánica</v>
      </c>
      <c r="H1035" s="6" t="str">
        <f aca="false">INDEX(Catalogo_Causas!$C$2:$C$10,MATCH(F1035,Catalogo_Causas!$A$2:$A$10,0))</f>
        <v>Operacional</v>
      </c>
      <c r="I1035" s="5" t="n">
        <v>59</v>
      </c>
      <c r="J1035" s="29" t="n">
        <f aca="false">I1035/60</f>
        <v>0.983333333333333</v>
      </c>
    </row>
    <row r="1036" customFormat="false" ht="15" hidden="false" customHeight="false" outlineLevel="0" collapsed="false">
      <c r="A1036" s="5" t="s">
        <v>2078</v>
      </c>
      <c r="B1036" s="9" t="n">
        <v>45880</v>
      </c>
      <c r="C1036" s="9" t="n">
        <v>45882</v>
      </c>
      <c r="D1036" s="5" t="s">
        <v>142</v>
      </c>
      <c r="E1036" s="5" t="s">
        <v>1051</v>
      </c>
      <c r="F1036" s="5" t="s">
        <v>1018</v>
      </c>
      <c r="G1036" s="6" t="str">
        <f aca="false">INDEX(Catalogo_Causas!$B$2:$B$10,MATCH(F1036,Catalogo_Causas!$A$2:$A$10,0))</f>
        <v>Falta de personal</v>
      </c>
      <c r="H1036" s="6" t="str">
        <f aca="false">INDEX(Catalogo_Causas!$C$2:$C$10,MATCH(F1036,Catalogo_Causas!$A$2:$A$10,0))</f>
        <v>Personal</v>
      </c>
      <c r="I1036" s="5" t="n">
        <v>54</v>
      </c>
      <c r="J1036" s="29" t="n">
        <f aca="false">I1036/60</f>
        <v>0.9</v>
      </c>
    </row>
    <row r="1037" customFormat="false" ht="15" hidden="false" customHeight="false" outlineLevel="0" collapsed="false">
      <c r="A1037" s="5" t="s">
        <v>2079</v>
      </c>
      <c r="B1037" s="9" t="n">
        <v>45880</v>
      </c>
      <c r="C1037" s="9" t="n">
        <v>45882</v>
      </c>
      <c r="D1037" s="5" t="s">
        <v>144</v>
      </c>
      <c r="E1037" s="5" t="s">
        <v>1032</v>
      </c>
      <c r="F1037" s="5" t="s">
        <v>1021</v>
      </c>
      <c r="G1037" s="6" t="str">
        <f aca="false">INDEX(Catalogo_Causas!$B$2:$B$10,MATCH(F1037,Catalogo_Causas!$A$2:$A$10,0))</f>
        <v>Falla de servicios (vapor/amoniaco/aire)</v>
      </c>
      <c r="H1037" s="6" t="str">
        <f aca="false">INDEX(Catalogo_Causas!$C$2:$C$10,MATCH(F1037,Catalogo_Causas!$A$2:$A$10,0))</f>
        <v>Servicios</v>
      </c>
      <c r="I1037" s="5" t="n">
        <v>21</v>
      </c>
      <c r="J1037" s="29" t="n">
        <f aca="false">I1037/60</f>
        <v>0.35</v>
      </c>
    </row>
    <row r="1038" customFormat="false" ht="15" hidden="false" customHeight="false" outlineLevel="0" collapsed="false">
      <c r="A1038" s="5" t="s">
        <v>2080</v>
      </c>
      <c r="B1038" s="9" t="n">
        <v>45880</v>
      </c>
      <c r="C1038" s="9" t="n">
        <v>45883</v>
      </c>
      <c r="D1038" s="5" t="s">
        <v>130</v>
      </c>
      <c r="E1038" s="5" t="s">
        <v>1030</v>
      </c>
      <c r="F1038" s="5" t="s">
        <v>1002</v>
      </c>
      <c r="G1038" s="6" t="str">
        <f aca="false">INDEX(Catalogo_Causas!$B$2:$B$10,MATCH(F1038,Catalogo_Causas!$A$2:$A$10,0))</f>
        <v>Falla mecánica</v>
      </c>
      <c r="H1038" s="6" t="str">
        <f aca="false">INDEX(Catalogo_Causas!$C$2:$C$10,MATCH(F1038,Catalogo_Causas!$A$2:$A$10,0))</f>
        <v>Operacional</v>
      </c>
      <c r="I1038" s="5" t="n">
        <v>20</v>
      </c>
      <c r="J1038" s="29" t="n">
        <f aca="false">I1038/60</f>
        <v>0.333333333333333</v>
      </c>
    </row>
    <row r="1039" customFormat="false" ht="15" hidden="false" customHeight="false" outlineLevel="0" collapsed="false">
      <c r="A1039" s="5" t="s">
        <v>2081</v>
      </c>
      <c r="B1039" s="9" t="n">
        <v>45880</v>
      </c>
      <c r="C1039" s="9" t="n">
        <v>45884</v>
      </c>
      <c r="D1039" s="5" t="s">
        <v>130</v>
      </c>
      <c r="E1039" s="5" t="s">
        <v>1045</v>
      </c>
      <c r="F1039" s="5" t="s">
        <v>1012</v>
      </c>
      <c r="G1039" s="6" t="str">
        <f aca="false">INDEX(Catalogo_Causas!$B$2:$B$10,MATCH(F1039,Catalogo_Causas!$A$2:$A$10,0))</f>
        <v>Falta de materia prima</v>
      </c>
      <c r="H1039" s="6" t="str">
        <f aca="false">INDEX(Catalogo_Causas!$C$2:$C$10,MATCH(F1039,Catalogo_Causas!$A$2:$A$10,0))</f>
        <v>Material / suministro</v>
      </c>
      <c r="I1039" s="5" t="n">
        <v>74</v>
      </c>
      <c r="J1039" s="29" t="n">
        <f aca="false">I1039/60</f>
        <v>1.23333333333333</v>
      </c>
    </row>
    <row r="1040" customFormat="false" ht="15" hidden="false" customHeight="false" outlineLevel="0" collapsed="false">
      <c r="A1040" s="5" t="s">
        <v>2082</v>
      </c>
      <c r="B1040" s="9" t="n">
        <v>45880</v>
      </c>
      <c r="C1040" s="9" t="n">
        <v>45884</v>
      </c>
      <c r="D1040" s="5" t="s">
        <v>136</v>
      </c>
      <c r="E1040" s="5" t="s">
        <v>1101</v>
      </c>
      <c r="F1040" s="5" t="s">
        <v>1002</v>
      </c>
      <c r="G1040" s="6" t="str">
        <f aca="false">INDEX(Catalogo_Causas!$B$2:$B$10,MATCH(F1040,Catalogo_Causas!$A$2:$A$10,0))</f>
        <v>Falla mecánica</v>
      </c>
      <c r="H1040" s="6" t="str">
        <f aca="false">INDEX(Catalogo_Causas!$C$2:$C$10,MATCH(F1040,Catalogo_Causas!$A$2:$A$10,0))</f>
        <v>Operacional</v>
      </c>
      <c r="I1040" s="5" t="n">
        <v>32</v>
      </c>
      <c r="J1040" s="29" t="n">
        <f aca="false">I1040/60</f>
        <v>0.533333333333333</v>
      </c>
    </row>
    <row r="1041" customFormat="false" ht="15" hidden="false" customHeight="false" outlineLevel="0" collapsed="false">
      <c r="A1041" s="5" t="s">
        <v>2083</v>
      </c>
      <c r="B1041" s="9" t="n">
        <v>45880</v>
      </c>
      <c r="C1041" s="9" t="n">
        <v>45885</v>
      </c>
      <c r="D1041" s="5" t="s">
        <v>130</v>
      </c>
      <c r="E1041" s="5" t="s">
        <v>1078</v>
      </c>
      <c r="F1041" s="5" t="s">
        <v>1014</v>
      </c>
      <c r="G1041" s="6" t="str">
        <f aca="false">INDEX(Catalogo_Causas!$B$2:$B$10,MATCH(F1041,Catalogo_Causas!$A$2:$A$10,0))</f>
        <v>Retención de calidad</v>
      </c>
      <c r="H1041" s="6" t="str">
        <f aca="false">INDEX(Catalogo_Causas!$C$2:$C$10,MATCH(F1041,Catalogo_Causas!$A$2:$A$10,0))</f>
        <v>Calidad</v>
      </c>
      <c r="I1041" s="5" t="n">
        <v>44</v>
      </c>
      <c r="J1041" s="29" t="n">
        <f aca="false">I1041/60</f>
        <v>0.733333333333333</v>
      </c>
    </row>
    <row r="1042" customFormat="false" ht="15" hidden="false" customHeight="false" outlineLevel="0" collapsed="false">
      <c r="A1042" s="5" t="s">
        <v>2084</v>
      </c>
      <c r="B1042" s="9" t="n">
        <v>45880</v>
      </c>
      <c r="C1042" s="9" t="n">
        <v>45885</v>
      </c>
      <c r="D1042" s="5" t="s">
        <v>136</v>
      </c>
      <c r="E1042" s="5" t="s">
        <v>1101</v>
      </c>
      <c r="F1042" s="5" t="s">
        <v>1002</v>
      </c>
      <c r="G1042" s="6" t="str">
        <f aca="false">INDEX(Catalogo_Causas!$B$2:$B$10,MATCH(F1042,Catalogo_Causas!$A$2:$A$10,0))</f>
        <v>Falla mecánica</v>
      </c>
      <c r="H1042" s="6" t="str">
        <f aca="false">INDEX(Catalogo_Causas!$C$2:$C$10,MATCH(F1042,Catalogo_Causas!$A$2:$A$10,0))</f>
        <v>Operacional</v>
      </c>
      <c r="I1042" s="5" t="n">
        <v>42</v>
      </c>
      <c r="J1042" s="29" t="n">
        <f aca="false">I1042/60</f>
        <v>0.7</v>
      </c>
    </row>
    <row r="1043" customFormat="false" ht="15" hidden="false" customHeight="false" outlineLevel="0" collapsed="false">
      <c r="A1043" s="5" t="s">
        <v>2085</v>
      </c>
      <c r="B1043" s="9" t="n">
        <v>45880</v>
      </c>
      <c r="C1043" s="9" t="n">
        <v>45885</v>
      </c>
      <c r="D1043" s="5" t="s">
        <v>138</v>
      </c>
      <c r="E1043" s="5" t="s">
        <v>1034</v>
      </c>
      <c r="F1043" s="5" t="s">
        <v>1021</v>
      </c>
      <c r="G1043" s="6" t="str">
        <f aca="false">INDEX(Catalogo_Causas!$B$2:$B$10,MATCH(F1043,Catalogo_Causas!$A$2:$A$10,0))</f>
        <v>Falla de servicios (vapor/amoniaco/aire)</v>
      </c>
      <c r="H1043" s="6" t="str">
        <f aca="false">INDEX(Catalogo_Causas!$C$2:$C$10,MATCH(F1043,Catalogo_Causas!$A$2:$A$10,0))</f>
        <v>Servicios</v>
      </c>
      <c r="I1043" s="5" t="n">
        <v>54</v>
      </c>
      <c r="J1043" s="29" t="n">
        <f aca="false">I1043/60</f>
        <v>0.9</v>
      </c>
    </row>
    <row r="1044" customFormat="false" ht="15" hidden="false" customHeight="false" outlineLevel="0" collapsed="false">
      <c r="A1044" s="5" t="s">
        <v>2086</v>
      </c>
      <c r="B1044" s="9" t="n">
        <v>45880</v>
      </c>
      <c r="C1044" s="9" t="n">
        <v>45885</v>
      </c>
      <c r="D1044" s="5" t="s">
        <v>142</v>
      </c>
      <c r="E1044" s="5" t="s">
        <v>1051</v>
      </c>
      <c r="F1044" s="5" t="s">
        <v>1012</v>
      </c>
      <c r="G1044" s="6" t="str">
        <f aca="false">INDEX(Catalogo_Causas!$B$2:$B$10,MATCH(F1044,Catalogo_Causas!$A$2:$A$10,0))</f>
        <v>Falta de materia prima</v>
      </c>
      <c r="H1044" s="6" t="str">
        <f aca="false">INDEX(Catalogo_Causas!$C$2:$C$10,MATCH(F1044,Catalogo_Causas!$A$2:$A$10,0))</f>
        <v>Material / suministro</v>
      </c>
      <c r="I1044" s="5" t="n">
        <v>38</v>
      </c>
      <c r="J1044" s="29" t="n">
        <f aca="false">I1044/60</f>
        <v>0.633333333333333</v>
      </c>
    </row>
    <row r="1045" customFormat="false" ht="15" hidden="false" customHeight="false" outlineLevel="0" collapsed="false">
      <c r="A1045" s="5" t="s">
        <v>2087</v>
      </c>
      <c r="B1045" s="9" t="n">
        <v>45887</v>
      </c>
      <c r="C1045" s="9" t="n">
        <v>45887</v>
      </c>
      <c r="D1045" s="5" t="s">
        <v>130</v>
      </c>
      <c r="E1045" s="5" t="s">
        <v>1078</v>
      </c>
      <c r="F1045" s="5" t="s">
        <v>1016</v>
      </c>
      <c r="G1045" s="6" t="str">
        <f aca="false">INDEX(Catalogo_Causas!$B$2:$B$10,MATCH(F1045,Catalogo_Causas!$A$2:$A$10,0))</f>
        <v>Limpieza no programada (CIP)</v>
      </c>
      <c r="H1045" s="6" t="str">
        <f aca="false">INDEX(Catalogo_Causas!$C$2:$C$10,MATCH(F1045,Catalogo_Causas!$A$2:$A$10,0))</f>
        <v>Calidad</v>
      </c>
      <c r="I1045" s="5" t="n">
        <v>93</v>
      </c>
      <c r="J1045" s="29" t="n">
        <f aca="false">I1045/60</f>
        <v>1.55</v>
      </c>
    </row>
    <row r="1046" customFormat="false" ht="15" hidden="false" customHeight="false" outlineLevel="0" collapsed="false">
      <c r="A1046" s="5" t="s">
        <v>2088</v>
      </c>
      <c r="B1046" s="9" t="n">
        <v>45887</v>
      </c>
      <c r="C1046" s="9" t="n">
        <v>45887</v>
      </c>
      <c r="D1046" s="5" t="s">
        <v>130</v>
      </c>
      <c r="E1046" s="5" t="s">
        <v>1045</v>
      </c>
      <c r="F1046" s="5" t="s">
        <v>1005</v>
      </c>
      <c r="G1046" s="6" t="str">
        <f aca="false">INDEX(Catalogo_Causas!$B$2:$B$10,MATCH(F1046,Catalogo_Causas!$A$2:$A$10,0))</f>
        <v>Falla eléctrica / control</v>
      </c>
      <c r="H1046" s="6" t="str">
        <f aca="false">INDEX(Catalogo_Causas!$C$2:$C$10,MATCH(F1046,Catalogo_Causas!$A$2:$A$10,0))</f>
        <v>Operacional</v>
      </c>
      <c r="I1046" s="5" t="n">
        <v>113</v>
      </c>
      <c r="J1046" s="29" t="n">
        <f aca="false">I1046/60</f>
        <v>1.88333333333333</v>
      </c>
    </row>
    <row r="1047" customFormat="false" ht="15" hidden="false" customHeight="false" outlineLevel="0" collapsed="false">
      <c r="A1047" s="5" t="s">
        <v>2089</v>
      </c>
      <c r="B1047" s="9" t="n">
        <v>45887</v>
      </c>
      <c r="C1047" s="9" t="n">
        <v>45887</v>
      </c>
      <c r="D1047" s="5" t="s">
        <v>136</v>
      </c>
      <c r="E1047" s="5" t="s">
        <v>1051</v>
      </c>
      <c r="F1047" s="5" t="s">
        <v>1005</v>
      </c>
      <c r="G1047" s="6" t="str">
        <f aca="false">INDEX(Catalogo_Causas!$B$2:$B$10,MATCH(F1047,Catalogo_Causas!$A$2:$A$10,0))</f>
        <v>Falla eléctrica / control</v>
      </c>
      <c r="H1047" s="6" t="str">
        <f aca="false">INDEX(Catalogo_Causas!$C$2:$C$10,MATCH(F1047,Catalogo_Causas!$A$2:$A$10,0))</f>
        <v>Operacional</v>
      </c>
      <c r="I1047" s="5" t="n">
        <v>43</v>
      </c>
      <c r="J1047" s="29" t="n">
        <f aca="false">I1047/60</f>
        <v>0.716666666666667</v>
      </c>
    </row>
    <row r="1048" customFormat="false" ht="15" hidden="false" customHeight="false" outlineLevel="0" collapsed="false">
      <c r="A1048" s="5" t="s">
        <v>2090</v>
      </c>
      <c r="B1048" s="9" t="n">
        <v>45887</v>
      </c>
      <c r="C1048" s="9" t="n">
        <v>45887</v>
      </c>
      <c r="D1048" s="5" t="s">
        <v>136</v>
      </c>
      <c r="E1048" s="5" t="s">
        <v>1051</v>
      </c>
      <c r="F1048" s="5" t="s">
        <v>1018</v>
      </c>
      <c r="G1048" s="6" t="str">
        <f aca="false">INDEX(Catalogo_Causas!$B$2:$B$10,MATCH(F1048,Catalogo_Causas!$A$2:$A$10,0))</f>
        <v>Falta de personal</v>
      </c>
      <c r="H1048" s="6" t="str">
        <f aca="false">INDEX(Catalogo_Causas!$C$2:$C$10,MATCH(F1048,Catalogo_Causas!$A$2:$A$10,0))</f>
        <v>Personal</v>
      </c>
      <c r="I1048" s="5" t="n">
        <v>190</v>
      </c>
      <c r="J1048" s="29" t="n">
        <f aca="false">I1048/60</f>
        <v>3.16666666666667</v>
      </c>
    </row>
    <row r="1049" customFormat="false" ht="15" hidden="false" customHeight="false" outlineLevel="0" collapsed="false">
      <c r="A1049" s="5" t="s">
        <v>2091</v>
      </c>
      <c r="B1049" s="9" t="n">
        <v>45887</v>
      </c>
      <c r="C1049" s="9" t="n">
        <v>45887</v>
      </c>
      <c r="D1049" s="5" t="s">
        <v>136</v>
      </c>
      <c r="E1049" s="5" t="s">
        <v>1051</v>
      </c>
      <c r="F1049" s="5" t="s">
        <v>1007</v>
      </c>
      <c r="G1049" s="6" t="str">
        <f aca="false">INDEX(Catalogo_Causas!$B$2:$B$10,MATCH(F1049,Catalogo_Causas!$A$2:$A$10,0))</f>
        <v>Cambio de formato excedido</v>
      </c>
      <c r="H1049" s="6" t="str">
        <f aca="false">INDEX(Catalogo_Causas!$C$2:$C$10,MATCH(F1049,Catalogo_Causas!$A$2:$A$10,0))</f>
        <v>Operacional</v>
      </c>
      <c r="I1049" s="5" t="n">
        <v>67</v>
      </c>
      <c r="J1049" s="29" t="n">
        <f aca="false">I1049/60</f>
        <v>1.11666666666667</v>
      </c>
    </row>
    <row r="1050" customFormat="false" ht="15" hidden="false" customHeight="false" outlineLevel="0" collapsed="false">
      <c r="A1050" s="5" t="s">
        <v>2092</v>
      </c>
      <c r="B1050" s="9" t="n">
        <v>45887</v>
      </c>
      <c r="C1050" s="9" t="n">
        <v>45887</v>
      </c>
      <c r="D1050" s="5" t="s">
        <v>142</v>
      </c>
      <c r="E1050" s="5" t="s">
        <v>1051</v>
      </c>
      <c r="F1050" s="5" t="s">
        <v>1002</v>
      </c>
      <c r="G1050" s="6" t="str">
        <f aca="false">INDEX(Catalogo_Causas!$B$2:$B$10,MATCH(F1050,Catalogo_Causas!$A$2:$A$10,0))</f>
        <v>Falla mecánica</v>
      </c>
      <c r="H1050" s="6" t="str">
        <f aca="false">INDEX(Catalogo_Causas!$C$2:$C$10,MATCH(F1050,Catalogo_Causas!$A$2:$A$10,0))</f>
        <v>Operacional</v>
      </c>
      <c r="I1050" s="5" t="n">
        <v>97</v>
      </c>
      <c r="J1050" s="29" t="n">
        <f aca="false">I1050/60</f>
        <v>1.61666666666667</v>
      </c>
    </row>
    <row r="1051" customFormat="false" ht="15" hidden="false" customHeight="false" outlineLevel="0" collapsed="false">
      <c r="A1051" s="5" t="s">
        <v>2093</v>
      </c>
      <c r="B1051" s="9" t="n">
        <v>45887</v>
      </c>
      <c r="C1051" s="9" t="n">
        <v>45888</v>
      </c>
      <c r="D1051" s="5" t="s">
        <v>132</v>
      </c>
      <c r="E1051" s="5" t="s">
        <v>1073</v>
      </c>
      <c r="F1051" s="5" t="s">
        <v>1009</v>
      </c>
      <c r="G1051" s="6" t="str">
        <f aca="false">INDEX(Catalogo_Causas!$B$2:$B$10,MATCH(F1051,Catalogo_Causas!$A$2:$A$10,0))</f>
        <v>Falta de material de empaque</v>
      </c>
      <c r="H1051" s="6" t="str">
        <f aca="false">INDEX(Catalogo_Causas!$C$2:$C$10,MATCH(F1051,Catalogo_Causas!$A$2:$A$10,0))</f>
        <v>Material / suministro</v>
      </c>
      <c r="I1051" s="5" t="n">
        <v>26</v>
      </c>
      <c r="J1051" s="29" t="n">
        <f aca="false">I1051/60</f>
        <v>0.433333333333333</v>
      </c>
    </row>
    <row r="1052" customFormat="false" ht="15" hidden="false" customHeight="false" outlineLevel="0" collapsed="false">
      <c r="A1052" s="5" t="s">
        <v>2094</v>
      </c>
      <c r="B1052" s="9" t="n">
        <v>45887</v>
      </c>
      <c r="C1052" s="9" t="n">
        <v>45888</v>
      </c>
      <c r="D1052" s="5" t="s">
        <v>140</v>
      </c>
      <c r="E1052" s="5" t="s">
        <v>1045</v>
      </c>
      <c r="F1052" s="5" t="s">
        <v>1002</v>
      </c>
      <c r="G1052" s="6" t="str">
        <f aca="false">INDEX(Catalogo_Causas!$B$2:$B$10,MATCH(F1052,Catalogo_Causas!$A$2:$A$10,0))</f>
        <v>Falla mecánica</v>
      </c>
      <c r="H1052" s="6" t="str">
        <f aca="false">INDEX(Catalogo_Causas!$C$2:$C$10,MATCH(F1052,Catalogo_Causas!$A$2:$A$10,0))</f>
        <v>Operacional</v>
      </c>
      <c r="I1052" s="5" t="n">
        <v>123</v>
      </c>
      <c r="J1052" s="29" t="n">
        <f aca="false">I1052/60</f>
        <v>2.05</v>
      </c>
    </row>
    <row r="1053" customFormat="false" ht="15" hidden="false" customHeight="false" outlineLevel="0" collapsed="false">
      <c r="A1053" s="5" t="s">
        <v>2095</v>
      </c>
      <c r="B1053" s="9" t="n">
        <v>45887</v>
      </c>
      <c r="C1053" s="9" t="n">
        <v>45888</v>
      </c>
      <c r="D1053" s="5" t="s">
        <v>142</v>
      </c>
      <c r="E1053" s="5" t="s">
        <v>1051</v>
      </c>
      <c r="F1053" s="5" t="s">
        <v>1016</v>
      </c>
      <c r="G1053" s="6" t="str">
        <f aca="false">INDEX(Catalogo_Causas!$B$2:$B$10,MATCH(F1053,Catalogo_Causas!$A$2:$A$10,0))</f>
        <v>Limpieza no programada (CIP)</v>
      </c>
      <c r="H1053" s="6" t="str">
        <f aca="false">INDEX(Catalogo_Causas!$C$2:$C$10,MATCH(F1053,Catalogo_Causas!$A$2:$A$10,0))</f>
        <v>Calidad</v>
      </c>
      <c r="I1053" s="5" t="n">
        <v>69</v>
      </c>
      <c r="J1053" s="29" t="n">
        <f aca="false">I1053/60</f>
        <v>1.15</v>
      </c>
    </row>
    <row r="1054" customFormat="false" ht="15" hidden="false" customHeight="false" outlineLevel="0" collapsed="false">
      <c r="A1054" s="5" t="s">
        <v>2096</v>
      </c>
      <c r="B1054" s="9" t="n">
        <v>45887</v>
      </c>
      <c r="C1054" s="9" t="n">
        <v>45888</v>
      </c>
      <c r="D1054" s="5" t="s">
        <v>142</v>
      </c>
      <c r="E1054" s="5" t="s">
        <v>1041</v>
      </c>
      <c r="F1054" s="5" t="s">
        <v>1016</v>
      </c>
      <c r="G1054" s="6" t="str">
        <f aca="false">INDEX(Catalogo_Causas!$B$2:$B$10,MATCH(F1054,Catalogo_Causas!$A$2:$A$10,0))</f>
        <v>Limpieza no programada (CIP)</v>
      </c>
      <c r="H1054" s="6" t="str">
        <f aca="false">INDEX(Catalogo_Causas!$C$2:$C$10,MATCH(F1054,Catalogo_Causas!$A$2:$A$10,0))</f>
        <v>Calidad</v>
      </c>
      <c r="I1054" s="5" t="n">
        <v>45</v>
      </c>
      <c r="J1054" s="29" t="n">
        <f aca="false">I1054/60</f>
        <v>0.75</v>
      </c>
    </row>
    <row r="1055" customFormat="false" ht="15" hidden="false" customHeight="false" outlineLevel="0" collapsed="false">
      <c r="A1055" s="5" t="s">
        <v>2097</v>
      </c>
      <c r="B1055" s="9" t="n">
        <v>45887</v>
      </c>
      <c r="C1055" s="9" t="n">
        <v>45889</v>
      </c>
      <c r="D1055" s="5" t="s">
        <v>130</v>
      </c>
      <c r="E1055" s="5" t="s">
        <v>1078</v>
      </c>
      <c r="F1055" s="5" t="s">
        <v>1002</v>
      </c>
      <c r="G1055" s="6" t="str">
        <f aca="false">INDEX(Catalogo_Causas!$B$2:$B$10,MATCH(F1055,Catalogo_Causas!$A$2:$A$10,0))</f>
        <v>Falla mecánica</v>
      </c>
      <c r="H1055" s="6" t="str">
        <f aca="false">INDEX(Catalogo_Causas!$C$2:$C$10,MATCH(F1055,Catalogo_Causas!$A$2:$A$10,0))</f>
        <v>Operacional</v>
      </c>
      <c r="I1055" s="5" t="n">
        <v>195</v>
      </c>
      <c r="J1055" s="29" t="n">
        <f aca="false">I1055/60</f>
        <v>3.25</v>
      </c>
    </row>
    <row r="1056" customFormat="false" ht="15" hidden="false" customHeight="false" outlineLevel="0" collapsed="false">
      <c r="A1056" s="5" t="s">
        <v>2098</v>
      </c>
      <c r="B1056" s="9" t="n">
        <v>45887</v>
      </c>
      <c r="C1056" s="9" t="n">
        <v>45889</v>
      </c>
      <c r="D1056" s="5" t="s">
        <v>132</v>
      </c>
      <c r="E1056" s="5" t="s">
        <v>1073</v>
      </c>
      <c r="F1056" s="5" t="s">
        <v>1002</v>
      </c>
      <c r="G1056" s="6" t="str">
        <f aca="false">INDEX(Catalogo_Causas!$B$2:$B$10,MATCH(F1056,Catalogo_Causas!$A$2:$A$10,0))</f>
        <v>Falla mecánica</v>
      </c>
      <c r="H1056" s="6" t="str">
        <f aca="false">INDEX(Catalogo_Causas!$C$2:$C$10,MATCH(F1056,Catalogo_Causas!$A$2:$A$10,0))</f>
        <v>Operacional</v>
      </c>
      <c r="I1056" s="5" t="n">
        <v>42</v>
      </c>
      <c r="J1056" s="29" t="n">
        <f aca="false">I1056/60</f>
        <v>0.7</v>
      </c>
    </row>
    <row r="1057" customFormat="false" ht="15" hidden="false" customHeight="false" outlineLevel="0" collapsed="false">
      <c r="A1057" s="5" t="s">
        <v>2099</v>
      </c>
      <c r="B1057" s="9" t="n">
        <v>45887</v>
      </c>
      <c r="C1057" s="9" t="n">
        <v>45889</v>
      </c>
      <c r="D1057" s="5" t="s">
        <v>134</v>
      </c>
      <c r="E1057" s="5" t="s">
        <v>1054</v>
      </c>
      <c r="F1057" s="5" t="s">
        <v>1012</v>
      </c>
      <c r="G1057" s="6" t="str">
        <f aca="false">INDEX(Catalogo_Causas!$B$2:$B$10,MATCH(F1057,Catalogo_Causas!$A$2:$A$10,0))</f>
        <v>Falta de materia prima</v>
      </c>
      <c r="H1057" s="6" t="str">
        <f aca="false">INDEX(Catalogo_Causas!$C$2:$C$10,MATCH(F1057,Catalogo_Causas!$A$2:$A$10,0))</f>
        <v>Material / suministro</v>
      </c>
      <c r="I1057" s="5" t="n">
        <v>134</v>
      </c>
      <c r="J1057" s="29" t="n">
        <f aca="false">I1057/60</f>
        <v>2.23333333333333</v>
      </c>
    </row>
    <row r="1058" customFormat="false" ht="15" hidden="false" customHeight="false" outlineLevel="0" collapsed="false">
      <c r="A1058" s="5" t="s">
        <v>2100</v>
      </c>
      <c r="B1058" s="9" t="n">
        <v>45887</v>
      </c>
      <c r="C1058" s="9" t="n">
        <v>45889</v>
      </c>
      <c r="D1058" s="5" t="s">
        <v>136</v>
      </c>
      <c r="E1058" s="5" t="s">
        <v>1032</v>
      </c>
      <c r="F1058" s="5" t="s">
        <v>1012</v>
      </c>
      <c r="G1058" s="6" t="str">
        <f aca="false">INDEX(Catalogo_Causas!$B$2:$B$10,MATCH(F1058,Catalogo_Causas!$A$2:$A$10,0))</f>
        <v>Falta de materia prima</v>
      </c>
      <c r="H1058" s="6" t="str">
        <f aca="false">INDEX(Catalogo_Causas!$C$2:$C$10,MATCH(F1058,Catalogo_Causas!$A$2:$A$10,0))</f>
        <v>Material / suministro</v>
      </c>
      <c r="I1058" s="5" t="n">
        <v>40</v>
      </c>
      <c r="J1058" s="29" t="n">
        <f aca="false">I1058/60</f>
        <v>0.666666666666667</v>
      </c>
    </row>
    <row r="1059" customFormat="false" ht="15" hidden="false" customHeight="false" outlineLevel="0" collapsed="false">
      <c r="A1059" s="5" t="s">
        <v>2101</v>
      </c>
      <c r="B1059" s="9" t="n">
        <v>45887</v>
      </c>
      <c r="C1059" s="9" t="n">
        <v>45890</v>
      </c>
      <c r="D1059" s="5" t="s">
        <v>136</v>
      </c>
      <c r="E1059" s="5" t="s">
        <v>1101</v>
      </c>
      <c r="F1059" s="5" t="s">
        <v>1016</v>
      </c>
      <c r="G1059" s="6" t="str">
        <f aca="false">INDEX(Catalogo_Causas!$B$2:$B$10,MATCH(F1059,Catalogo_Causas!$A$2:$A$10,0))</f>
        <v>Limpieza no programada (CIP)</v>
      </c>
      <c r="H1059" s="6" t="str">
        <f aca="false">INDEX(Catalogo_Causas!$C$2:$C$10,MATCH(F1059,Catalogo_Causas!$A$2:$A$10,0))</f>
        <v>Calidad</v>
      </c>
      <c r="I1059" s="5" t="n">
        <v>57</v>
      </c>
      <c r="J1059" s="29" t="n">
        <f aca="false">I1059/60</f>
        <v>0.95</v>
      </c>
    </row>
    <row r="1060" customFormat="false" ht="15" hidden="false" customHeight="false" outlineLevel="0" collapsed="false">
      <c r="A1060" s="5" t="s">
        <v>2102</v>
      </c>
      <c r="B1060" s="9" t="n">
        <v>45887</v>
      </c>
      <c r="C1060" s="9" t="n">
        <v>45890</v>
      </c>
      <c r="D1060" s="5" t="s">
        <v>136</v>
      </c>
      <c r="E1060" s="5" t="s">
        <v>1101</v>
      </c>
      <c r="F1060" s="5" t="s">
        <v>1002</v>
      </c>
      <c r="G1060" s="6" t="str">
        <f aca="false">INDEX(Catalogo_Causas!$B$2:$B$10,MATCH(F1060,Catalogo_Causas!$A$2:$A$10,0))</f>
        <v>Falla mecánica</v>
      </c>
      <c r="H1060" s="6" t="str">
        <f aca="false">INDEX(Catalogo_Causas!$C$2:$C$10,MATCH(F1060,Catalogo_Causas!$A$2:$A$10,0))</f>
        <v>Operacional</v>
      </c>
      <c r="I1060" s="5" t="n">
        <v>83</v>
      </c>
      <c r="J1060" s="29" t="n">
        <f aca="false">I1060/60</f>
        <v>1.38333333333333</v>
      </c>
    </row>
    <row r="1061" customFormat="false" ht="15" hidden="false" customHeight="false" outlineLevel="0" collapsed="false">
      <c r="A1061" s="5" t="s">
        <v>2103</v>
      </c>
      <c r="B1061" s="9" t="n">
        <v>45887</v>
      </c>
      <c r="C1061" s="9" t="n">
        <v>45891</v>
      </c>
      <c r="D1061" s="5" t="s">
        <v>130</v>
      </c>
      <c r="E1061" s="5" t="s">
        <v>1030</v>
      </c>
      <c r="F1061" s="5" t="s">
        <v>1016</v>
      </c>
      <c r="G1061" s="6" t="str">
        <f aca="false">INDEX(Catalogo_Causas!$B$2:$B$10,MATCH(F1061,Catalogo_Causas!$A$2:$A$10,0))</f>
        <v>Limpieza no programada (CIP)</v>
      </c>
      <c r="H1061" s="6" t="str">
        <f aca="false">INDEX(Catalogo_Causas!$C$2:$C$10,MATCH(F1061,Catalogo_Causas!$A$2:$A$10,0))</f>
        <v>Calidad</v>
      </c>
      <c r="I1061" s="5" t="n">
        <v>10</v>
      </c>
      <c r="J1061" s="29" t="n">
        <f aca="false">I1061/60</f>
        <v>0.166666666666667</v>
      </c>
    </row>
    <row r="1062" customFormat="false" ht="15" hidden="false" customHeight="false" outlineLevel="0" collapsed="false">
      <c r="A1062" s="5" t="s">
        <v>2104</v>
      </c>
      <c r="B1062" s="9" t="n">
        <v>45887</v>
      </c>
      <c r="C1062" s="9" t="n">
        <v>45891</v>
      </c>
      <c r="D1062" s="5" t="s">
        <v>132</v>
      </c>
      <c r="E1062" s="5" t="s">
        <v>1073</v>
      </c>
      <c r="F1062" s="5" t="s">
        <v>1016</v>
      </c>
      <c r="G1062" s="6" t="str">
        <f aca="false">INDEX(Catalogo_Causas!$B$2:$B$10,MATCH(F1062,Catalogo_Causas!$A$2:$A$10,0))</f>
        <v>Limpieza no programada (CIP)</v>
      </c>
      <c r="H1062" s="6" t="str">
        <f aca="false">INDEX(Catalogo_Causas!$C$2:$C$10,MATCH(F1062,Catalogo_Causas!$A$2:$A$10,0))</f>
        <v>Calidad</v>
      </c>
      <c r="I1062" s="5" t="n">
        <v>34</v>
      </c>
      <c r="J1062" s="29" t="n">
        <f aca="false">I1062/60</f>
        <v>0.566666666666667</v>
      </c>
    </row>
    <row r="1063" customFormat="false" ht="15" hidden="false" customHeight="false" outlineLevel="0" collapsed="false">
      <c r="A1063" s="5" t="s">
        <v>2105</v>
      </c>
      <c r="B1063" s="9" t="n">
        <v>45887</v>
      </c>
      <c r="C1063" s="9" t="n">
        <v>45891</v>
      </c>
      <c r="D1063" s="5" t="s">
        <v>134</v>
      </c>
      <c r="E1063" s="5" t="s">
        <v>1032</v>
      </c>
      <c r="F1063" s="5" t="s">
        <v>1009</v>
      </c>
      <c r="G1063" s="6" t="str">
        <f aca="false">INDEX(Catalogo_Causas!$B$2:$B$10,MATCH(F1063,Catalogo_Causas!$A$2:$A$10,0))</f>
        <v>Falta de material de empaque</v>
      </c>
      <c r="H1063" s="6" t="str">
        <f aca="false">INDEX(Catalogo_Causas!$C$2:$C$10,MATCH(F1063,Catalogo_Causas!$A$2:$A$10,0))</f>
        <v>Material / suministro</v>
      </c>
      <c r="I1063" s="5" t="n">
        <v>156</v>
      </c>
      <c r="J1063" s="29" t="n">
        <f aca="false">I1063/60</f>
        <v>2.6</v>
      </c>
    </row>
    <row r="1064" customFormat="false" ht="15" hidden="false" customHeight="false" outlineLevel="0" collapsed="false">
      <c r="A1064" s="5" t="s">
        <v>2106</v>
      </c>
      <c r="B1064" s="9" t="n">
        <v>45887</v>
      </c>
      <c r="C1064" s="9" t="n">
        <v>45891</v>
      </c>
      <c r="D1064" s="5" t="s">
        <v>136</v>
      </c>
      <c r="E1064" s="5" t="s">
        <v>1051</v>
      </c>
      <c r="F1064" s="5" t="s">
        <v>1014</v>
      </c>
      <c r="G1064" s="6" t="str">
        <f aca="false">INDEX(Catalogo_Causas!$B$2:$B$10,MATCH(F1064,Catalogo_Causas!$A$2:$A$10,0))</f>
        <v>Retención de calidad</v>
      </c>
      <c r="H1064" s="6" t="str">
        <f aca="false">INDEX(Catalogo_Causas!$C$2:$C$10,MATCH(F1064,Catalogo_Causas!$A$2:$A$10,0))</f>
        <v>Calidad</v>
      </c>
      <c r="I1064" s="5" t="n">
        <v>74</v>
      </c>
      <c r="J1064" s="29" t="n">
        <f aca="false">I1064/60</f>
        <v>1.23333333333333</v>
      </c>
    </row>
    <row r="1065" customFormat="false" ht="15" hidden="false" customHeight="false" outlineLevel="0" collapsed="false">
      <c r="A1065" s="5" t="s">
        <v>2107</v>
      </c>
      <c r="B1065" s="9" t="n">
        <v>45887</v>
      </c>
      <c r="C1065" s="9" t="n">
        <v>45891</v>
      </c>
      <c r="D1065" s="5" t="s">
        <v>138</v>
      </c>
      <c r="E1065" s="5" t="s">
        <v>1056</v>
      </c>
      <c r="F1065" s="5" t="s">
        <v>1002</v>
      </c>
      <c r="G1065" s="6" t="str">
        <f aca="false">INDEX(Catalogo_Causas!$B$2:$B$10,MATCH(F1065,Catalogo_Causas!$A$2:$A$10,0))</f>
        <v>Falla mecánica</v>
      </c>
      <c r="H1065" s="6" t="str">
        <f aca="false">INDEX(Catalogo_Causas!$C$2:$C$10,MATCH(F1065,Catalogo_Causas!$A$2:$A$10,0))</f>
        <v>Operacional</v>
      </c>
      <c r="I1065" s="5" t="n">
        <v>66</v>
      </c>
      <c r="J1065" s="29" t="n">
        <f aca="false">I1065/60</f>
        <v>1.1</v>
      </c>
    </row>
    <row r="1066" customFormat="false" ht="15" hidden="false" customHeight="false" outlineLevel="0" collapsed="false">
      <c r="A1066" s="5" t="s">
        <v>2108</v>
      </c>
      <c r="B1066" s="9" t="n">
        <v>45887</v>
      </c>
      <c r="C1066" s="9" t="n">
        <v>45891</v>
      </c>
      <c r="D1066" s="5" t="s">
        <v>142</v>
      </c>
      <c r="E1066" s="5" t="s">
        <v>1041</v>
      </c>
      <c r="F1066" s="5" t="s">
        <v>1007</v>
      </c>
      <c r="G1066" s="6" t="str">
        <f aca="false">INDEX(Catalogo_Causas!$B$2:$B$10,MATCH(F1066,Catalogo_Causas!$A$2:$A$10,0))</f>
        <v>Cambio de formato excedido</v>
      </c>
      <c r="H1066" s="6" t="str">
        <f aca="false">INDEX(Catalogo_Causas!$C$2:$C$10,MATCH(F1066,Catalogo_Causas!$A$2:$A$10,0))</f>
        <v>Operacional</v>
      </c>
      <c r="I1066" s="5" t="n">
        <v>85</v>
      </c>
      <c r="J1066" s="29" t="n">
        <f aca="false">I1066/60</f>
        <v>1.41666666666667</v>
      </c>
    </row>
    <row r="1067" customFormat="false" ht="15" hidden="false" customHeight="false" outlineLevel="0" collapsed="false">
      <c r="A1067" s="5" t="s">
        <v>2109</v>
      </c>
      <c r="B1067" s="9" t="n">
        <v>45887</v>
      </c>
      <c r="C1067" s="9" t="n">
        <v>45892</v>
      </c>
      <c r="D1067" s="5" t="s">
        <v>130</v>
      </c>
      <c r="E1067" s="5" t="s">
        <v>1045</v>
      </c>
      <c r="F1067" s="5" t="s">
        <v>1018</v>
      </c>
      <c r="G1067" s="6" t="str">
        <f aca="false">INDEX(Catalogo_Causas!$B$2:$B$10,MATCH(F1067,Catalogo_Causas!$A$2:$A$10,0))</f>
        <v>Falta de personal</v>
      </c>
      <c r="H1067" s="6" t="str">
        <f aca="false">INDEX(Catalogo_Causas!$C$2:$C$10,MATCH(F1067,Catalogo_Causas!$A$2:$A$10,0))</f>
        <v>Personal</v>
      </c>
      <c r="I1067" s="5" t="n">
        <v>35</v>
      </c>
      <c r="J1067" s="29" t="n">
        <f aca="false">I1067/60</f>
        <v>0.583333333333333</v>
      </c>
    </row>
    <row r="1068" customFormat="false" ht="15" hidden="false" customHeight="false" outlineLevel="0" collapsed="false">
      <c r="A1068" s="5" t="s">
        <v>2110</v>
      </c>
      <c r="B1068" s="9" t="n">
        <v>45887</v>
      </c>
      <c r="C1068" s="9" t="n">
        <v>45892</v>
      </c>
      <c r="D1068" s="5" t="s">
        <v>130</v>
      </c>
      <c r="E1068" s="5" t="s">
        <v>1030</v>
      </c>
      <c r="F1068" s="5" t="s">
        <v>1002</v>
      </c>
      <c r="G1068" s="6" t="str">
        <f aca="false">INDEX(Catalogo_Causas!$B$2:$B$10,MATCH(F1068,Catalogo_Causas!$A$2:$A$10,0))</f>
        <v>Falla mecánica</v>
      </c>
      <c r="H1068" s="6" t="str">
        <f aca="false">INDEX(Catalogo_Causas!$C$2:$C$10,MATCH(F1068,Catalogo_Causas!$A$2:$A$10,0))</f>
        <v>Operacional</v>
      </c>
      <c r="I1068" s="5" t="n">
        <v>43</v>
      </c>
      <c r="J1068" s="29" t="n">
        <f aca="false">I1068/60</f>
        <v>0.716666666666667</v>
      </c>
    </row>
    <row r="1069" customFormat="false" ht="15" hidden="false" customHeight="false" outlineLevel="0" collapsed="false">
      <c r="A1069" s="5" t="s">
        <v>2111</v>
      </c>
      <c r="B1069" s="9" t="n">
        <v>45887</v>
      </c>
      <c r="C1069" s="9" t="n">
        <v>45892</v>
      </c>
      <c r="D1069" s="5" t="s">
        <v>134</v>
      </c>
      <c r="E1069" s="5" t="s">
        <v>1054</v>
      </c>
      <c r="F1069" s="5" t="s">
        <v>1002</v>
      </c>
      <c r="G1069" s="6" t="str">
        <f aca="false">INDEX(Catalogo_Causas!$B$2:$B$10,MATCH(F1069,Catalogo_Causas!$A$2:$A$10,0))</f>
        <v>Falla mecánica</v>
      </c>
      <c r="H1069" s="6" t="str">
        <f aca="false">INDEX(Catalogo_Causas!$C$2:$C$10,MATCH(F1069,Catalogo_Causas!$A$2:$A$10,0))</f>
        <v>Operacional</v>
      </c>
      <c r="I1069" s="5" t="n">
        <v>76</v>
      </c>
      <c r="J1069" s="29" t="n">
        <f aca="false">I1069/60</f>
        <v>1.26666666666667</v>
      </c>
    </row>
    <row r="1070" customFormat="false" ht="15" hidden="false" customHeight="false" outlineLevel="0" collapsed="false">
      <c r="A1070" s="5" t="s">
        <v>2112</v>
      </c>
      <c r="B1070" s="9" t="n">
        <v>45887</v>
      </c>
      <c r="C1070" s="9" t="n">
        <v>45892</v>
      </c>
      <c r="D1070" s="5" t="s">
        <v>140</v>
      </c>
      <c r="E1070" s="5" t="s">
        <v>1032</v>
      </c>
      <c r="F1070" s="5" t="s">
        <v>1018</v>
      </c>
      <c r="G1070" s="6" t="str">
        <f aca="false">INDEX(Catalogo_Causas!$B$2:$B$10,MATCH(F1070,Catalogo_Causas!$A$2:$A$10,0))</f>
        <v>Falta de personal</v>
      </c>
      <c r="H1070" s="6" t="str">
        <f aca="false">INDEX(Catalogo_Causas!$C$2:$C$10,MATCH(F1070,Catalogo_Causas!$A$2:$A$10,0))</f>
        <v>Personal</v>
      </c>
      <c r="I1070" s="5" t="n">
        <v>28</v>
      </c>
      <c r="J1070" s="29" t="n">
        <f aca="false">I1070/60</f>
        <v>0.466666666666667</v>
      </c>
    </row>
    <row r="1071" customFormat="false" ht="15" hidden="false" customHeight="false" outlineLevel="0" collapsed="false">
      <c r="A1071" s="5" t="s">
        <v>2113</v>
      </c>
      <c r="B1071" s="9" t="n">
        <v>45887</v>
      </c>
      <c r="C1071" s="9" t="n">
        <v>45892</v>
      </c>
      <c r="D1071" s="5" t="s">
        <v>142</v>
      </c>
      <c r="E1071" s="5" t="s">
        <v>1051</v>
      </c>
      <c r="F1071" s="5" t="s">
        <v>1012</v>
      </c>
      <c r="G1071" s="6" t="str">
        <f aca="false">INDEX(Catalogo_Causas!$B$2:$B$10,MATCH(F1071,Catalogo_Causas!$A$2:$A$10,0))</f>
        <v>Falta de materia prima</v>
      </c>
      <c r="H1071" s="6" t="str">
        <f aca="false">INDEX(Catalogo_Causas!$C$2:$C$10,MATCH(F1071,Catalogo_Causas!$A$2:$A$10,0))</f>
        <v>Material / suministro</v>
      </c>
      <c r="I1071" s="5" t="n">
        <v>33</v>
      </c>
      <c r="J1071" s="29" t="n">
        <f aca="false">I1071/60</f>
        <v>0.55</v>
      </c>
    </row>
    <row r="1072" customFormat="false" ht="15" hidden="false" customHeight="false" outlineLevel="0" collapsed="false">
      <c r="A1072" s="5" t="s">
        <v>2114</v>
      </c>
      <c r="B1072" s="9" t="n">
        <v>45887</v>
      </c>
      <c r="C1072" s="9" t="n">
        <v>45892</v>
      </c>
      <c r="D1072" s="5" t="s">
        <v>142</v>
      </c>
      <c r="E1072" s="5" t="s">
        <v>1030</v>
      </c>
      <c r="F1072" s="5" t="s">
        <v>1009</v>
      </c>
      <c r="G1072" s="6" t="str">
        <f aca="false">INDEX(Catalogo_Causas!$B$2:$B$10,MATCH(F1072,Catalogo_Causas!$A$2:$A$10,0))</f>
        <v>Falta de material de empaque</v>
      </c>
      <c r="H1072" s="6" t="str">
        <f aca="false">INDEX(Catalogo_Causas!$C$2:$C$10,MATCH(F1072,Catalogo_Causas!$A$2:$A$10,0))</f>
        <v>Material / suministro</v>
      </c>
      <c r="I1072" s="5" t="n">
        <v>77</v>
      </c>
      <c r="J1072" s="29" t="n">
        <f aca="false">I1072/60</f>
        <v>1.28333333333333</v>
      </c>
    </row>
    <row r="1073" customFormat="false" ht="15" hidden="false" customHeight="false" outlineLevel="0" collapsed="false">
      <c r="A1073" s="5" t="s">
        <v>2115</v>
      </c>
      <c r="B1073" s="9" t="n">
        <v>45894</v>
      </c>
      <c r="C1073" s="9" t="n">
        <v>45894</v>
      </c>
      <c r="D1073" s="5" t="s">
        <v>130</v>
      </c>
      <c r="E1073" s="5" t="s">
        <v>1078</v>
      </c>
      <c r="F1073" s="5" t="s">
        <v>1002</v>
      </c>
      <c r="G1073" s="6" t="str">
        <f aca="false">INDEX(Catalogo_Causas!$B$2:$B$10,MATCH(F1073,Catalogo_Causas!$A$2:$A$10,0))</f>
        <v>Falla mecánica</v>
      </c>
      <c r="H1073" s="6" t="str">
        <f aca="false">INDEX(Catalogo_Causas!$C$2:$C$10,MATCH(F1073,Catalogo_Causas!$A$2:$A$10,0))</f>
        <v>Operacional</v>
      </c>
      <c r="I1073" s="5" t="n">
        <v>53</v>
      </c>
      <c r="J1073" s="29" t="n">
        <f aca="false">I1073/60</f>
        <v>0.883333333333333</v>
      </c>
    </row>
    <row r="1074" customFormat="false" ht="15" hidden="false" customHeight="false" outlineLevel="0" collapsed="false">
      <c r="A1074" s="5" t="s">
        <v>2116</v>
      </c>
      <c r="B1074" s="9" t="n">
        <v>45894</v>
      </c>
      <c r="C1074" s="9" t="n">
        <v>45894</v>
      </c>
      <c r="D1074" s="5" t="s">
        <v>132</v>
      </c>
      <c r="E1074" s="5" t="s">
        <v>1073</v>
      </c>
      <c r="F1074" s="5" t="s">
        <v>1002</v>
      </c>
      <c r="G1074" s="6" t="str">
        <f aca="false">INDEX(Catalogo_Causas!$B$2:$B$10,MATCH(F1074,Catalogo_Causas!$A$2:$A$10,0))</f>
        <v>Falla mecánica</v>
      </c>
      <c r="H1074" s="6" t="str">
        <f aca="false">INDEX(Catalogo_Causas!$C$2:$C$10,MATCH(F1074,Catalogo_Causas!$A$2:$A$10,0))</f>
        <v>Operacional</v>
      </c>
      <c r="I1074" s="5" t="n">
        <v>28</v>
      </c>
      <c r="J1074" s="29" t="n">
        <f aca="false">I1074/60</f>
        <v>0.466666666666667</v>
      </c>
    </row>
    <row r="1075" customFormat="false" ht="15" hidden="false" customHeight="false" outlineLevel="0" collapsed="false">
      <c r="A1075" s="5" t="s">
        <v>2117</v>
      </c>
      <c r="B1075" s="9" t="n">
        <v>45894</v>
      </c>
      <c r="C1075" s="9" t="n">
        <v>45894</v>
      </c>
      <c r="D1075" s="5" t="s">
        <v>140</v>
      </c>
      <c r="E1075" s="5" t="s">
        <v>1032</v>
      </c>
      <c r="F1075" s="5" t="s">
        <v>1005</v>
      </c>
      <c r="G1075" s="6" t="str">
        <f aca="false">INDEX(Catalogo_Causas!$B$2:$B$10,MATCH(F1075,Catalogo_Causas!$A$2:$A$10,0))</f>
        <v>Falla eléctrica / control</v>
      </c>
      <c r="H1075" s="6" t="str">
        <f aca="false">INDEX(Catalogo_Causas!$C$2:$C$10,MATCH(F1075,Catalogo_Causas!$A$2:$A$10,0))</f>
        <v>Operacional</v>
      </c>
      <c r="I1075" s="5" t="n">
        <v>28</v>
      </c>
      <c r="J1075" s="29" t="n">
        <f aca="false">I1075/60</f>
        <v>0.466666666666667</v>
      </c>
    </row>
    <row r="1076" customFormat="false" ht="15" hidden="false" customHeight="false" outlineLevel="0" collapsed="false">
      <c r="A1076" s="5" t="s">
        <v>2118</v>
      </c>
      <c r="B1076" s="9" t="n">
        <v>45894</v>
      </c>
      <c r="C1076" s="9" t="n">
        <v>45894</v>
      </c>
      <c r="D1076" s="5" t="s">
        <v>142</v>
      </c>
      <c r="E1076" s="5" t="s">
        <v>1051</v>
      </c>
      <c r="F1076" s="5" t="s">
        <v>1002</v>
      </c>
      <c r="G1076" s="6" t="str">
        <f aca="false">INDEX(Catalogo_Causas!$B$2:$B$10,MATCH(F1076,Catalogo_Causas!$A$2:$A$10,0))</f>
        <v>Falla mecánica</v>
      </c>
      <c r="H1076" s="6" t="str">
        <f aca="false">INDEX(Catalogo_Causas!$C$2:$C$10,MATCH(F1076,Catalogo_Causas!$A$2:$A$10,0))</f>
        <v>Operacional</v>
      </c>
      <c r="I1076" s="5" t="n">
        <v>32</v>
      </c>
      <c r="J1076" s="29" t="n">
        <f aca="false">I1076/60</f>
        <v>0.533333333333333</v>
      </c>
    </row>
    <row r="1077" customFormat="false" ht="15" hidden="false" customHeight="false" outlineLevel="0" collapsed="false">
      <c r="A1077" s="5" t="s">
        <v>2119</v>
      </c>
      <c r="B1077" s="9" t="n">
        <v>45894</v>
      </c>
      <c r="C1077" s="9" t="n">
        <v>45894</v>
      </c>
      <c r="D1077" s="5" t="s">
        <v>142</v>
      </c>
      <c r="E1077" s="5" t="s">
        <v>1041</v>
      </c>
      <c r="F1077" s="5" t="s">
        <v>1018</v>
      </c>
      <c r="G1077" s="6" t="str">
        <f aca="false">INDEX(Catalogo_Causas!$B$2:$B$10,MATCH(F1077,Catalogo_Causas!$A$2:$A$10,0))</f>
        <v>Falta de personal</v>
      </c>
      <c r="H1077" s="6" t="str">
        <f aca="false">INDEX(Catalogo_Causas!$C$2:$C$10,MATCH(F1077,Catalogo_Causas!$A$2:$A$10,0))</f>
        <v>Personal</v>
      </c>
      <c r="I1077" s="5" t="n">
        <v>81</v>
      </c>
      <c r="J1077" s="29" t="n">
        <f aca="false">I1077/60</f>
        <v>1.35</v>
      </c>
    </row>
    <row r="1078" customFormat="false" ht="15" hidden="false" customHeight="false" outlineLevel="0" collapsed="false">
      <c r="A1078" s="5" t="s">
        <v>2120</v>
      </c>
      <c r="B1078" s="9" t="n">
        <v>45894</v>
      </c>
      <c r="C1078" s="9" t="n">
        <v>45894</v>
      </c>
      <c r="D1078" s="5" t="s">
        <v>142</v>
      </c>
      <c r="E1078" s="5" t="s">
        <v>1051</v>
      </c>
      <c r="F1078" s="5" t="s">
        <v>1007</v>
      </c>
      <c r="G1078" s="6" t="str">
        <f aca="false">INDEX(Catalogo_Causas!$B$2:$B$10,MATCH(F1078,Catalogo_Causas!$A$2:$A$10,0))</f>
        <v>Cambio de formato excedido</v>
      </c>
      <c r="H1078" s="6" t="str">
        <f aca="false">INDEX(Catalogo_Causas!$C$2:$C$10,MATCH(F1078,Catalogo_Causas!$A$2:$A$10,0))</f>
        <v>Operacional</v>
      </c>
      <c r="I1078" s="5" t="n">
        <v>30</v>
      </c>
      <c r="J1078" s="29" t="n">
        <f aca="false">I1078/60</f>
        <v>0.5</v>
      </c>
    </row>
    <row r="1079" customFormat="false" ht="15" hidden="false" customHeight="false" outlineLevel="0" collapsed="false">
      <c r="A1079" s="5" t="s">
        <v>2121</v>
      </c>
      <c r="B1079" s="9" t="n">
        <v>45894</v>
      </c>
      <c r="C1079" s="9" t="n">
        <v>45894</v>
      </c>
      <c r="D1079" s="5" t="s">
        <v>142</v>
      </c>
      <c r="E1079" s="5" t="s">
        <v>1030</v>
      </c>
      <c r="F1079" s="5" t="s">
        <v>1009</v>
      </c>
      <c r="G1079" s="6" t="str">
        <f aca="false">INDEX(Catalogo_Causas!$B$2:$B$10,MATCH(F1079,Catalogo_Causas!$A$2:$A$10,0))</f>
        <v>Falta de material de empaque</v>
      </c>
      <c r="H1079" s="6" t="str">
        <f aca="false">INDEX(Catalogo_Causas!$C$2:$C$10,MATCH(F1079,Catalogo_Causas!$A$2:$A$10,0))</f>
        <v>Material / suministro</v>
      </c>
      <c r="I1079" s="5" t="n">
        <v>69</v>
      </c>
      <c r="J1079" s="29" t="n">
        <f aca="false">I1079/60</f>
        <v>1.15</v>
      </c>
    </row>
    <row r="1080" customFormat="false" ht="15" hidden="false" customHeight="false" outlineLevel="0" collapsed="false">
      <c r="A1080" s="5" t="s">
        <v>2122</v>
      </c>
      <c r="B1080" s="9" t="n">
        <v>45894</v>
      </c>
      <c r="C1080" s="9" t="n">
        <v>45895</v>
      </c>
      <c r="D1080" s="5" t="s">
        <v>130</v>
      </c>
      <c r="E1080" s="5" t="s">
        <v>1078</v>
      </c>
      <c r="F1080" s="5" t="s">
        <v>1007</v>
      </c>
      <c r="G1080" s="6" t="str">
        <f aca="false">INDEX(Catalogo_Causas!$B$2:$B$10,MATCH(F1080,Catalogo_Causas!$A$2:$A$10,0))</f>
        <v>Cambio de formato excedido</v>
      </c>
      <c r="H1080" s="6" t="str">
        <f aca="false">INDEX(Catalogo_Causas!$C$2:$C$10,MATCH(F1080,Catalogo_Causas!$A$2:$A$10,0))</f>
        <v>Operacional</v>
      </c>
      <c r="I1080" s="5" t="n">
        <v>17</v>
      </c>
      <c r="J1080" s="29" t="n">
        <f aca="false">I1080/60</f>
        <v>0.283333333333333</v>
      </c>
    </row>
    <row r="1081" customFormat="false" ht="15" hidden="false" customHeight="false" outlineLevel="0" collapsed="false">
      <c r="A1081" s="5" t="s">
        <v>2123</v>
      </c>
      <c r="B1081" s="9" t="n">
        <v>45894</v>
      </c>
      <c r="C1081" s="9" t="n">
        <v>45895</v>
      </c>
      <c r="D1081" s="5" t="s">
        <v>134</v>
      </c>
      <c r="E1081" s="5" t="s">
        <v>1030</v>
      </c>
      <c r="F1081" s="5" t="s">
        <v>1002</v>
      </c>
      <c r="G1081" s="6" t="str">
        <f aca="false">INDEX(Catalogo_Causas!$B$2:$B$10,MATCH(F1081,Catalogo_Causas!$A$2:$A$10,0))</f>
        <v>Falla mecánica</v>
      </c>
      <c r="H1081" s="6" t="str">
        <f aca="false">INDEX(Catalogo_Causas!$C$2:$C$10,MATCH(F1081,Catalogo_Causas!$A$2:$A$10,0))</f>
        <v>Operacional</v>
      </c>
      <c r="I1081" s="5" t="n">
        <v>75</v>
      </c>
      <c r="J1081" s="29" t="n">
        <f aca="false">I1081/60</f>
        <v>1.25</v>
      </c>
    </row>
    <row r="1082" customFormat="false" ht="15" hidden="false" customHeight="false" outlineLevel="0" collapsed="false">
      <c r="A1082" s="5" t="s">
        <v>2124</v>
      </c>
      <c r="B1082" s="9" t="n">
        <v>45894</v>
      </c>
      <c r="C1082" s="9" t="n">
        <v>45895</v>
      </c>
      <c r="D1082" s="5" t="s">
        <v>144</v>
      </c>
      <c r="E1082" s="5" t="s">
        <v>1030</v>
      </c>
      <c r="F1082" s="5" t="s">
        <v>1007</v>
      </c>
      <c r="G1082" s="6" t="str">
        <f aca="false">INDEX(Catalogo_Causas!$B$2:$B$10,MATCH(F1082,Catalogo_Causas!$A$2:$A$10,0))</f>
        <v>Cambio de formato excedido</v>
      </c>
      <c r="H1082" s="6" t="str">
        <f aca="false">INDEX(Catalogo_Causas!$C$2:$C$10,MATCH(F1082,Catalogo_Causas!$A$2:$A$10,0))</f>
        <v>Operacional</v>
      </c>
      <c r="I1082" s="5" t="n">
        <v>31</v>
      </c>
      <c r="J1082" s="29" t="n">
        <f aca="false">I1082/60</f>
        <v>0.516666666666667</v>
      </c>
    </row>
    <row r="1083" customFormat="false" ht="15" hidden="false" customHeight="false" outlineLevel="0" collapsed="false">
      <c r="A1083" s="5" t="s">
        <v>2125</v>
      </c>
      <c r="B1083" s="9" t="n">
        <v>45894</v>
      </c>
      <c r="C1083" s="9" t="n">
        <v>45896</v>
      </c>
      <c r="D1083" s="5" t="s">
        <v>134</v>
      </c>
      <c r="E1083" s="5" t="s">
        <v>1032</v>
      </c>
      <c r="F1083" s="5" t="s">
        <v>1014</v>
      </c>
      <c r="G1083" s="6" t="str">
        <f aca="false">INDEX(Catalogo_Causas!$B$2:$B$10,MATCH(F1083,Catalogo_Causas!$A$2:$A$10,0))</f>
        <v>Retención de calidad</v>
      </c>
      <c r="H1083" s="6" t="str">
        <f aca="false">INDEX(Catalogo_Causas!$C$2:$C$10,MATCH(F1083,Catalogo_Causas!$A$2:$A$10,0))</f>
        <v>Calidad</v>
      </c>
      <c r="I1083" s="5" t="n">
        <v>30</v>
      </c>
      <c r="J1083" s="29" t="n">
        <f aca="false">I1083/60</f>
        <v>0.5</v>
      </c>
    </row>
    <row r="1084" customFormat="false" ht="15" hidden="false" customHeight="false" outlineLevel="0" collapsed="false">
      <c r="A1084" s="5" t="s">
        <v>2126</v>
      </c>
      <c r="B1084" s="9" t="n">
        <v>45894</v>
      </c>
      <c r="C1084" s="9" t="n">
        <v>45896</v>
      </c>
      <c r="D1084" s="5" t="s">
        <v>134</v>
      </c>
      <c r="E1084" s="5" t="s">
        <v>1030</v>
      </c>
      <c r="F1084" s="5" t="s">
        <v>1016</v>
      </c>
      <c r="G1084" s="6" t="str">
        <f aca="false">INDEX(Catalogo_Causas!$B$2:$B$10,MATCH(F1084,Catalogo_Causas!$A$2:$A$10,0))</f>
        <v>Limpieza no programada (CIP)</v>
      </c>
      <c r="H1084" s="6" t="str">
        <f aca="false">INDEX(Catalogo_Causas!$C$2:$C$10,MATCH(F1084,Catalogo_Causas!$A$2:$A$10,0))</f>
        <v>Calidad</v>
      </c>
      <c r="I1084" s="5" t="n">
        <v>93</v>
      </c>
      <c r="J1084" s="29" t="n">
        <f aca="false">I1084/60</f>
        <v>1.55</v>
      </c>
    </row>
    <row r="1085" customFormat="false" ht="15" hidden="false" customHeight="false" outlineLevel="0" collapsed="false">
      <c r="A1085" s="5" t="s">
        <v>2127</v>
      </c>
      <c r="B1085" s="9" t="n">
        <v>45894</v>
      </c>
      <c r="C1085" s="9" t="n">
        <v>45896</v>
      </c>
      <c r="D1085" s="5" t="s">
        <v>144</v>
      </c>
      <c r="E1085" s="5" t="s">
        <v>1043</v>
      </c>
      <c r="F1085" s="5" t="s">
        <v>1021</v>
      </c>
      <c r="G1085" s="6" t="str">
        <f aca="false">INDEX(Catalogo_Causas!$B$2:$B$10,MATCH(F1085,Catalogo_Causas!$A$2:$A$10,0))</f>
        <v>Falla de servicios (vapor/amoniaco/aire)</v>
      </c>
      <c r="H1085" s="6" t="str">
        <f aca="false">INDEX(Catalogo_Causas!$C$2:$C$10,MATCH(F1085,Catalogo_Causas!$A$2:$A$10,0))</f>
        <v>Servicios</v>
      </c>
      <c r="I1085" s="5" t="n">
        <v>71</v>
      </c>
      <c r="J1085" s="29" t="n">
        <f aca="false">I1085/60</f>
        <v>1.18333333333333</v>
      </c>
    </row>
    <row r="1086" customFormat="false" ht="15" hidden="false" customHeight="false" outlineLevel="0" collapsed="false">
      <c r="A1086" s="5" t="s">
        <v>2128</v>
      </c>
      <c r="B1086" s="9" t="n">
        <v>45894</v>
      </c>
      <c r="C1086" s="9" t="n">
        <v>45896</v>
      </c>
      <c r="D1086" s="5" t="s">
        <v>144</v>
      </c>
      <c r="E1086" s="5" t="s">
        <v>1030</v>
      </c>
      <c r="F1086" s="5" t="s">
        <v>1002</v>
      </c>
      <c r="G1086" s="6" t="str">
        <f aca="false">INDEX(Catalogo_Causas!$B$2:$B$10,MATCH(F1086,Catalogo_Causas!$A$2:$A$10,0))</f>
        <v>Falla mecánica</v>
      </c>
      <c r="H1086" s="6" t="str">
        <f aca="false">INDEX(Catalogo_Causas!$C$2:$C$10,MATCH(F1086,Catalogo_Causas!$A$2:$A$10,0))</f>
        <v>Operacional</v>
      </c>
      <c r="I1086" s="5" t="n">
        <v>96</v>
      </c>
      <c r="J1086" s="29" t="n">
        <f aca="false">I1086/60</f>
        <v>1.6</v>
      </c>
    </row>
    <row r="1087" customFormat="false" ht="15" hidden="false" customHeight="false" outlineLevel="0" collapsed="false">
      <c r="A1087" s="5" t="s">
        <v>2129</v>
      </c>
      <c r="B1087" s="9" t="n">
        <v>45894</v>
      </c>
      <c r="C1087" s="9" t="n">
        <v>45897</v>
      </c>
      <c r="D1087" s="5" t="s">
        <v>134</v>
      </c>
      <c r="E1087" s="5" t="s">
        <v>1032</v>
      </c>
      <c r="F1087" s="5" t="s">
        <v>1002</v>
      </c>
      <c r="G1087" s="6" t="str">
        <f aca="false">INDEX(Catalogo_Causas!$B$2:$B$10,MATCH(F1087,Catalogo_Causas!$A$2:$A$10,0))</f>
        <v>Falla mecánica</v>
      </c>
      <c r="H1087" s="6" t="str">
        <f aca="false">INDEX(Catalogo_Causas!$C$2:$C$10,MATCH(F1087,Catalogo_Causas!$A$2:$A$10,0))</f>
        <v>Operacional</v>
      </c>
      <c r="I1087" s="5" t="n">
        <v>52</v>
      </c>
      <c r="J1087" s="29" t="n">
        <f aca="false">I1087/60</f>
        <v>0.866666666666667</v>
      </c>
    </row>
    <row r="1088" customFormat="false" ht="15" hidden="false" customHeight="false" outlineLevel="0" collapsed="false">
      <c r="A1088" s="5" t="s">
        <v>2130</v>
      </c>
      <c r="B1088" s="9" t="n">
        <v>45894</v>
      </c>
      <c r="C1088" s="9" t="n">
        <v>45897</v>
      </c>
      <c r="D1088" s="5" t="s">
        <v>142</v>
      </c>
      <c r="E1088" s="5" t="s">
        <v>1051</v>
      </c>
      <c r="F1088" s="5" t="s">
        <v>1012</v>
      </c>
      <c r="G1088" s="6" t="str">
        <f aca="false">INDEX(Catalogo_Causas!$B$2:$B$10,MATCH(F1088,Catalogo_Causas!$A$2:$A$10,0))</f>
        <v>Falta de materia prima</v>
      </c>
      <c r="H1088" s="6" t="str">
        <f aca="false">INDEX(Catalogo_Causas!$C$2:$C$10,MATCH(F1088,Catalogo_Causas!$A$2:$A$10,0))</f>
        <v>Material / suministro</v>
      </c>
      <c r="I1088" s="5" t="n">
        <v>52</v>
      </c>
      <c r="J1088" s="29" t="n">
        <f aca="false">I1088/60</f>
        <v>0.866666666666667</v>
      </c>
    </row>
    <row r="1089" customFormat="false" ht="15" hidden="false" customHeight="false" outlineLevel="0" collapsed="false">
      <c r="A1089" s="5" t="s">
        <v>2131</v>
      </c>
      <c r="B1089" s="9" t="n">
        <v>45894</v>
      </c>
      <c r="C1089" s="9" t="n">
        <v>45898</v>
      </c>
      <c r="D1089" s="5" t="s">
        <v>132</v>
      </c>
      <c r="E1089" s="5" t="s">
        <v>1032</v>
      </c>
      <c r="F1089" s="5" t="s">
        <v>1007</v>
      </c>
      <c r="G1089" s="6" t="str">
        <f aca="false">INDEX(Catalogo_Causas!$B$2:$B$10,MATCH(F1089,Catalogo_Causas!$A$2:$A$10,0))</f>
        <v>Cambio de formato excedido</v>
      </c>
      <c r="H1089" s="6" t="str">
        <f aca="false">INDEX(Catalogo_Causas!$C$2:$C$10,MATCH(F1089,Catalogo_Causas!$A$2:$A$10,0))</f>
        <v>Operacional</v>
      </c>
      <c r="I1089" s="5" t="n">
        <v>25</v>
      </c>
      <c r="J1089" s="29" t="n">
        <f aca="false">I1089/60</f>
        <v>0.416666666666667</v>
      </c>
    </row>
    <row r="1090" customFormat="false" ht="15" hidden="false" customHeight="false" outlineLevel="0" collapsed="false">
      <c r="A1090" s="5" t="s">
        <v>2132</v>
      </c>
      <c r="B1090" s="9" t="n">
        <v>45894</v>
      </c>
      <c r="C1090" s="9" t="n">
        <v>45898</v>
      </c>
      <c r="D1090" s="5" t="s">
        <v>144</v>
      </c>
      <c r="E1090" s="5" t="s">
        <v>1032</v>
      </c>
      <c r="F1090" s="5" t="s">
        <v>1005</v>
      </c>
      <c r="G1090" s="6" t="str">
        <f aca="false">INDEX(Catalogo_Causas!$B$2:$B$10,MATCH(F1090,Catalogo_Causas!$A$2:$A$10,0))</f>
        <v>Falla eléctrica / control</v>
      </c>
      <c r="H1090" s="6" t="str">
        <f aca="false">INDEX(Catalogo_Causas!$C$2:$C$10,MATCH(F1090,Catalogo_Causas!$A$2:$A$10,0))</f>
        <v>Operacional</v>
      </c>
      <c r="I1090" s="5" t="n">
        <v>68</v>
      </c>
      <c r="J1090" s="29" t="n">
        <f aca="false">I1090/60</f>
        <v>1.13333333333333</v>
      </c>
    </row>
    <row r="1091" customFormat="false" ht="15" hidden="false" customHeight="false" outlineLevel="0" collapsed="false">
      <c r="A1091" s="5" t="s">
        <v>2133</v>
      </c>
      <c r="B1091" s="9" t="n">
        <v>45894</v>
      </c>
      <c r="C1091" s="9" t="n">
        <v>45899</v>
      </c>
      <c r="D1091" s="5" t="s">
        <v>132</v>
      </c>
      <c r="E1091" s="5" t="s">
        <v>1073</v>
      </c>
      <c r="F1091" s="5" t="s">
        <v>1021</v>
      </c>
      <c r="G1091" s="6" t="str">
        <f aca="false">INDEX(Catalogo_Causas!$B$2:$B$10,MATCH(F1091,Catalogo_Causas!$A$2:$A$10,0))</f>
        <v>Falla de servicios (vapor/amoniaco/aire)</v>
      </c>
      <c r="H1091" s="6" t="str">
        <f aca="false">INDEX(Catalogo_Causas!$C$2:$C$10,MATCH(F1091,Catalogo_Causas!$A$2:$A$10,0))</f>
        <v>Servicios</v>
      </c>
      <c r="I1091" s="5" t="n">
        <v>109</v>
      </c>
      <c r="J1091" s="29" t="n">
        <f aca="false">I1091/60</f>
        <v>1.81666666666667</v>
      </c>
    </row>
    <row r="1092" customFormat="false" ht="15" hidden="false" customHeight="false" outlineLevel="0" collapsed="false">
      <c r="A1092" s="5" t="s">
        <v>2134</v>
      </c>
      <c r="B1092" s="9" t="n">
        <v>45894</v>
      </c>
      <c r="C1092" s="9" t="n">
        <v>45899</v>
      </c>
      <c r="D1092" s="5" t="s">
        <v>138</v>
      </c>
      <c r="E1092" s="5" t="s">
        <v>1039</v>
      </c>
      <c r="F1092" s="5" t="s">
        <v>1021</v>
      </c>
      <c r="G1092" s="6" t="str">
        <f aca="false">INDEX(Catalogo_Causas!$B$2:$B$10,MATCH(F1092,Catalogo_Causas!$A$2:$A$10,0))</f>
        <v>Falla de servicios (vapor/amoniaco/aire)</v>
      </c>
      <c r="H1092" s="6" t="str">
        <f aca="false">INDEX(Catalogo_Causas!$C$2:$C$10,MATCH(F1092,Catalogo_Causas!$A$2:$A$10,0))</f>
        <v>Servicios</v>
      </c>
      <c r="I1092" s="5" t="n">
        <v>80</v>
      </c>
      <c r="J1092" s="29" t="n">
        <f aca="false">I1092/60</f>
        <v>1.33333333333333</v>
      </c>
    </row>
    <row r="1093" customFormat="false" ht="15" hidden="false" customHeight="false" outlineLevel="0" collapsed="false">
      <c r="A1093" s="5" t="s">
        <v>2135</v>
      </c>
      <c r="B1093" s="9" t="n">
        <v>45894</v>
      </c>
      <c r="C1093" s="9" t="n">
        <v>45899</v>
      </c>
      <c r="D1093" s="5" t="s">
        <v>144</v>
      </c>
      <c r="E1093" s="5" t="s">
        <v>1030</v>
      </c>
      <c r="F1093" s="5" t="s">
        <v>1016</v>
      </c>
      <c r="G1093" s="6" t="str">
        <f aca="false">INDEX(Catalogo_Causas!$B$2:$B$10,MATCH(F1093,Catalogo_Causas!$A$2:$A$10,0))</f>
        <v>Limpieza no programada (CIP)</v>
      </c>
      <c r="H1093" s="6" t="str">
        <f aca="false">INDEX(Catalogo_Causas!$C$2:$C$10,MATCH(F1093,Catalogo_Causas!$A$2:$A$10,0))</f>
        <v>Calidad</v>
      </c>
      <c r="I1093" s="5" t="n">
        <v>29</v>
      </c>
      <c r="J1093" s="29" t="n">
        <f aca="false">I1093/60</f>
        <v>0.483333333333333</v>
      </c>
    </row>
    <row r="1094" customFormat="false" ht="15" hidden="false" customHeight="false" outlineLevel="0" collapsed="false">
      <c r="A1094" s="5" t="s">
        <v>2136</v>
      </c>
      <c r="B1094" s="9" t="n">
        <v>45901</v>
      </c>
      <c r="C1094" s="9" t="n">
        <v>45901</v>
      </c>
      <c r="D1094" s="5" t="s">
        <v>144</v>
      </c>
      <c r="E1094" s="5" t="s">
        <v>1030</v>
      </c>
      <c r="F1094" s="5" t="s">
        <v>1016</v>
      </c>
      <c r="G1094" s="6" t="str">
        <f aca="false">INDEX(Catalogo_Causas!$B$2:$B$10,MATCH(F1094,Catalogo_Causas!$A$2:$A$10,0))</f>
        <v>Limpieza no programada (CIP)</v>
      </c>
      <c r="H1094" s="6" t="str">
        <f aca="false">INDEX(Catalogo_Causas!$C$2:$C$10,MATCH(F1094,Catalogo_Causas!$A$2:$A$10,0))</f>
        <v>Calidad</v>
      </c>
      <c r="I1094" s="5" t="n">
        <v>16</v>
      </c>
      <c r="J1094" s="29" t="n">
        <f aca="false">I1094/60</f>
        <v>0.266666666666667</v>
      </c>
    </row>
    <row r="1095" customFormat="false" ht="15" hidden="false" customHeight="false" outlineLevel="0" collapsed="false">
      <c r="A1095" s="5" t="s">
        <v>2137</v>
      </c>
      <c r="B1095" s="9" t="n">
        <v>45901</v>
      </c>
      <c r="C1095" s="9" t="n">
        <v>45901</v>
      </c>
      <c r="D1095" s="5" t="s">
        <v>144</v>
      </c>
      <c r="E1095" s="5" t="s">
        <v>1030</v>
      </c>
      <c r="F1095" s="5" t="s">
        <v>1014</v>
      </c>
      <c r="G1095" s="6" t="str">
        <f aca="false">INDEX(Catalogo_Causas!$B$2:$B$10,MATCH(F1095,Catalogo_Causas!$A$2:$A$10,0))</f>
        <v>Retención de calidad</v>
      </c>
      <c r="H1095" s="6" t="str">
        <f aca="false">INDEX(Catalogo_Causas!$C$2:$C$10,MATCH(F1095,Catalogo_Causas!$A$2:$A$10,0))</f>
        <v>Calidad</v>
      </c>
      <c r="I1095" s="5" t="n">
        <v>25</v>
      </c>
      <c r="J1095" s="29" t="n">
        <f aca="false">I1095/60</f>
        <v>0.416666666666667</v>
      </c>
    </row>
    <row r="1096" customFormat="false" ht="15" hidden="false" customHeight="false" outlineLevel="0" collapsed="false">
      <c r="A1096" s="5" t="s">
        <v>2138</v>
      </c>
      <c r="B1096" s="9" t="n">
        <v>45901</v>
      </c>
      <c r="C1096" s="9" t="n">
        <v>45902</v>
      </c>
      <c r="D1096" s="5" t="s">
        <v>130</v>
      </c>
      <c r="E1096" s="5" t="s">
        <v>1045</v>
      </c>
      <c r="F1096" s="5" t="s">
        <v>1016</v>
      </c>
      <c r="G1096" s="6" t="str">
        <f aca="false">INDEX(Catalogo_Causas!$B$2:$B$10,MATCH(F1096,Catalogo_Causas!$A$2:$A$10,0))</f>
        <v>Limpieza no programada (CIP)</v>
      </c>
      <c r="H1096" s="6" t="str">
        <f aca="false">INDEX(Catalogo_Causas!$C$2:$C$10,MATCH(F1096,Catalogo_Causas!$A$2:$A$10,0))</f>
        <v>Calidad</v>
      </c>
      <c r="I1096" s="5" t="n">
        <v>125</v>
      </c>
      <c r="J1096" s="29" t="n">
        <f aca="false">I1096/60</f>
        <v>2.08333333333333</v>
      </c>
    </row>
    <row r="1097" customFormat="false" ht="15" hidden="false" customHeight="false" outlineLevel="0" collapsed="false">
      <c r="A1097" s="5" t="s">
        <v>2139</v>
      </c>
      <c r="B1097" s="9" t="n">
        <v>45901</v>
      </c>
      <c r="C1097" s="9" t="n">
        <v>45902</v>
      </c>
      <c r="D1097" s="5" t="s">
        <v>138</v>
      </c>
      <c r="E1097" s="5" t="s">
        <v>1039</v>
      </c>
      <c r="F1097" s="5" t="s">
        <v>1012</v>
      </c>
      <c r="G1097" s="6" t="str">
        <f aca="false">INDEX(Catalogo_Causas!$B$2:$B$10,MATCH(F1097,Catalogo_Causas!$A$2:$A$10,0))</f>
        <v>Falta de materia prima</v>
      </c>
      <c r="H1097" s="6" t="str">
        <f aca="false">INDEX(Catalogo_Causas!$C$2:$C$10,MATCH(F1097,Catalogo_Causas!$A$2:$A$10,0))</f>
        <v>Material / suministro</v>
      </c>
      <c r="I1097" s="5" t="n">
        <v>20</v>
      </c>
      <c r="J1097" s="29" t="n">
        <f aca="false">I1097/60</f>
        <v>0.333333333333333</v>
      </c>
    </row>
    <row r="1098" customFormat="false" ht="15" hidden="false" customHeight="false" outlineLevel="0" collapsed="false">
      <c r="A1098" s="5" t="s">
        <v>2140</v>
      </c>
      <c r="B1098" s="9" t="n">
        <v>45901</v>
      </c>
      <c r="C1098" s="9" t="n">
        <v>45902</v>
      </c>
      <c r="D1098" s="5" t="s">
        <v>142</v>
      </c>
      <c r="E1098" s="5" t="s">
        <v>1041</v>
      </c>
      <c r="F1098" s="5" t="s">
        <v>1007</v>
      </c>
      <c r="G1098" s="6" t="str">
        <f aca="false">INDEX(Catalogo_Causas!$B$2:$B$10,MATCH(F1098,Catalogo_Causas!$A$2:$A$10,0))</f>
        <v>Cambio de formato excedido</v>
      </c>
      <c r="H1098" s="6" t="str">
        <f aca="false">INDEX(Catalogo_Causas!$C$2:$C$10,MATCH(F1098,Catalogo_Causas!$A$2:$A$10,0))</f>
        <v>Operacional</v>
      </c>
      <c r="I1098" s="5" t="n">
        <v>22</v>
      </c>
      <c r="J1098" s="29" t="n">
        <f aca="false">I1098/60</f>
        <v>0.366666666666667</v>
      </c>
    </row>
    <row r="1099" customFormat="false" ht="15" hidden="false" customHeight="false" outlineLevel="0" collapsed="false">
      <c r="A1099" s="5" t="s">
        <v>2141</v>
      </c>
      <c r="B1099" s="9" t="n">
        <v>45901</v>
      </c>
      <c r="C1099" s="9" t="n">
        <v>45903</v>
      </c>
      <c r="D1099" s="5" t="s">
        <v>130</v>
      </c>
      <c r="E1099" s="5" t="s">
        <v>1030</v>
      </c>
      <c r="F1099" s="5" t="s">
        <v>1007</v>
      </c>
      <c r="G1099" s="6" t="str">
        <f aca="false">INDEX(Catalogo_Causas!$B$2:$B$10,MATCH(F1099,Catalogo_Causas!$A$2:$A$10,0))</f>
        <v>Cambio de formato excedido</v>
      </c>
      <c r="H1099" s="6" t="str">
        <f aca="false">INDEX(Catalogo_Causas!$C$2:$C$10,MATCH(F1099,Catalogo_Causas!$A$2:$A$10,0))</f>
        <v>Operacional</v>
      </c>
      <c r="I1099" s="5" t="n">
        <v>25</v>
      </c>
      <c r="J1099" s="29" t="n">
        <f aca="false">I1099/60</f>
        <v>0.416666666666667</v>
      </c>
    </row>
    <row r="1100" customFormat="false" ht="15" hidden="false" customHeight="false" outlineLevel="0" collapsed="false">
      <c r="A1100" s="5" t="s">
        <v>2142</v>
      </c>
      <c r="B1100" s="9" t="n">
        <v>45901</v>
      </c>
      <c r="C1100" s="9" t="n">
        <v>45903</v>
      </c>
      <c r="D1100" s="5" t="s">
        <v>132</v>
      </c>
      <c r="E1100" s="5" t="s">
        <v>1032</v>
      </c>
      <c r="F1100" s="5" t="s">
        <v>1002</v>
      </c>
      <c r="G1100" s="6" t="str">
        <f aca="false">INDEX(Catalogo_Causas!$B$2:$B$10,MATCH(F1100,Catalogo_Causas!$A$2:$A$10,0))</f>
        <v>Falla mecánica</v>
      </c>
      <c r="H1100" s="6" t="str">
        <f aca="false">INDEX(Catalogo_Causas!$C$2:$C$10,MATCH(F1100,Catalogo_Causas!$A$2:$A$10,0))</f>
        <v>Operacional</v>
      </c>
      <c r="I1100" s="5" t="n">
        <v>123</v>
      </c>
      <c r="J1100" s="29" t="n">
        <f aca="false">I1100/60</f>
        <v>2.05</v>
      </c>
    </row>
    <row r="1101" customFormat="false" ht="15" hidden="false" customHeight="false" outlineLevel="0" collapsed="false">
      <c r="A1101" s="5" t="s">
        <v>2143</v>
      </c>
      <c r="B1101" s="9" t="n">
        <v>45901</v>
      </c>
      <c r="C1101" s="9" t="n">
        <v>45904</v>
      </c>
      <c r="D1101" s="5" t="s">
        <v>134</v>
      </c>
      <c r="E1101" s="5" t="s">
        <v>1032</v>
      </c>
      <c r="F1101" s="5" t="s">
        <v>1018</v>
      </c>
      <c r="G1101" s="6" t="str">
        <f aca="false">INDEX(Catalogo_Causas!$B$2:$B$10,MATCH(F1101,Catalogo_Causas!$A$2:$A$10,0))</f>
        <v>Falta de personal</v>
      </c>
      <c r="H1101" s="6" t="str">
        <f aca="false">INDEX(Catalogo_Causas!$C$2:$C$10,MATCH(F1101,Catalogo_Causas!$A$2:$A$10,0))</f>
        <v>Personal</v>
      </c>
      <c r="I1101" s="5" t="n">
        <v>108</v>
      </c>
      <c r="J1101" s="29" t="n">
        <f aca="false">I1101/60</f>
        <v>1.8</v>
      </c>
    </row>
    <row r="1102" customFormat="false" ht="15" hidden="false" customHeight="false" outlineLevel="0" collapsed="false">
      <c r="A1102" s="5" t="s">
        <v>2144</v>
      </c>
      <c r="B1102" s="9" t="n">
        <v>45901</v>
      </c>
      <c r="C1102" s="9" t="n">
        <v>45904</v>
      </c>
      <c r="D1102" s="5" t="s">
        <v>138</v>
      </c>
      <c r="E1102" s="5" t="s">
        <v>1056</v>
      </c>
      <c r="F1102" s="5" t="s">
        <v>1002</v>
      </c>
      <c r="G1102" s="6" t="str">
        <f aca="false">INDEX(Catalogo_Causas!$B$2:$B$10,MATCH(F1102,Catalogo_Causas!$A$2:$A$10,0))</f>
        <v>Falla mecánica</v>
      </c>
      <c r="H1102" s="6" t="str">
        <f aca="false">INDEX(Catalogo_Causas!$C$2:$C$10,MATCH(F1102,Catalogo_Causas!$A$2:$A$10,0))</f>
        <v>Operacional</v>
      </c>
      <c r="I1102" s="5" t="n">
        <v>79</v>
      </c>
      <c r="J1102" s="29" t="n">
        <f aca="false">I1102/60</f>
        <v>1.31666666666667</v>
      </c>
    </row>
    <row r="1103" customFormat="false" ht="15" hidden="false" customHeight="false" outlineLevel="0" collapsed="false">
      <c r="A1103" s="5" t="s">
        <v>2145</v>
      </c>
      <c r="B1103" s="9" t="n">
        <v>45901</v>
      </c>
      <c r="C1103" s="9" t="n">
        <v>45904</v>
      </c>
      <c r="D1103" s="5" t="s">
        <v>142</v>
      </c>
      <c r="E1103" s="5" t="s">
        <v>1051</v>
      </c>
      <c r="F1103" s="5" t="s">
        <v>1002</v>
      </c>
      <c r="G1103" s="6" t="str">
        <f aca="false">INDEX(Catalogo_Causas!$B$2:$B$10,MATCH(F1103,Catalogo_Causas!$A$2:$A$10,0))</f>
        <v>Falla mecánica</v>
      </c>
      <c r="H1103" s="6" t="str">
        <f aca="false">INDEX(Catalogo_Causas!$C$2:$C$10,MATCH(F1103,Catalogo_Causas!$A$2:$A$10,0))</f>
        <v>Operacional</v>
      </c>
      <c r="I1103" s="5" t="n">
        <v>121</v>
      </c>
      <c r="J1103" s="29" t="n">
        <f aca="false">I1103/60</f>
        <v>2.01666666666667</v>
      </c>
    </row>
    <row r="1104" customFormat="false" ht="15" hidden="false" customHeight="false" outlineLevel="0" collapsed="false">
      <c r="A1104" s="5" t="s">
        <v>2146</v>
      </c>
      <c r="B1104" s="9" t="n">
        <v>45901</v>
      </c>
      <c r="C1104" s="9" t="n">
        <v>45904</v>
      </c>
      <c r="D1104" s="5" t="s">
        <v>144</v>
      </c>
      <c r="E1104" s="5" t="s">
        <v>1043</v>
      </c>
      <c r="F1104" s="5" t="s">
        <v>1018</v>
      </c>
      <c r="G1104" s="6" t="str">
        <f aca="false">INDEX(Catalogo_Causas!$B$2:$B$10,MATCH(F1104,Catalogo_Causas!$A$2:$A$10,0))</f>
        <v>Falta de personal</v>
      </c>
      <c r="H1104" s="6" t="str">
        <f aca="false">INDEX(Catalogo_Causas!$C$2:$C$10,MATCH(F1104,Catalogo_Causas!$A$2:$A$10,0))</f>
        <v>Personal</v>
      </c>
      <c r="I1104" s="5" t="n">
        <v>62</v>
      </c>
      <c r="J1104" s="29" t="n">
        <f aca="false">I1104/60</f>
        <v>1.03333333333333</v>
      </c>
    </row>
    <row r="1105" customFormat="false" ht="15" hidden="false" customHeight="false" outlineLevel="0" collapsed="false">
      <c r="A1105" s="5" t="s">
        <v>2147</v>
      </c>
      <c r="B1105" s="9" t="n">
        <v>45901</v>
      </c>
      <c r="C1105" s="9" t="n">
        <v>45905</v>
      </c>
      <c r="D1105" s="5" t="s">
        <v>132</v>
      </c>
      <c r="E1105" s="5" t="s">
        <v>1073</v>
      </c>
      <c r="F1105" s="5" t="s">
        <v>1014</v>
      </c>
      <c r="G1105" s="6" t="str">
        <f aca="false">INDEX(Catalogo_Causas!$B$2:$B$10,MATCH(F1105,Catalogo_Causas!$A$2:$A$10,0))</f>
        <v>Retención de calidad</v>
      </c>
      <c r="H1105" s="6" t="str">
        <f aca="false">INDEX(Catalogo_Causas!$C$2:$C$10,MATCH(F1105,Catalogo_Causas!$A$2:$A$10,0))</f>
        <v>Calidad</v>
      </c>
      <c r="I1105" s="5" t="n">
        <v>32</v>
      </c>
      <c r="J1105" s="29" t="n">
        <f aca="false">I1105/60</f>
        <v>0.533333333333333</v>
      </c>
    </row>
    <row r="1106" customFormat="false" ht="15" hidden="false" customHeight="false" outlineLevel="0" collapsed="false">
      <c r="A1106" s="5" t="s">
        <v>2148</v>
      </c>
      <c r="B1106" s="9" t="n">
        <v>45901</v>
      </c>
      <c r="C1106" s="9" t="n">
        <v>45905</v>
      </c>
      <c r="D1106" s="5" t="s">
        <v>132</v>
      </c>
      <c r="E1106" s="5" t="s">
        <v>1032</v>
      </c>
      <c r="F1106" s="5" t="s">
        <v>1005</v>
      </c>
      <c r="G1106" s="6" t="str">
        <f aca="false">INDEX(Catalogo_Causas!$B$2:$B$10,MATCH(F1106,Catalogo_Causas!$A$2:$A$10,0))</f>
        <v>Falla eléctrica / control</v>
      </c>
      <c r="H1106" s="6" t="str">
        <f aca="false">INDEX(Catalogo_Causas!$C$2:$C$10,MATCH(F1106,Catalogo_Causas!$A$2:$A$10,0))</f>
        <v>Operacional</v>
      </c>
      <c r="I1106" s="5" t="n">
        <v>58</v>
      </c>
      <c r="J1106" s="29" t="n">
        <f aca="false">I1106/60</f>
        <v>0.966666666666667</v>
      </c>
    </row>
    <row r="1107" customFormat="false" ht="15" hidden="false" customHeight="false" outlineLevel="0" collapsed="false">
      <c r="A1107" s="5" t="s">
        <v>2149</v>
      </c>
      <c r="B1107" s="9" t="n">
        <v>45901</v>
      </c>
      <c r="C1107" s="9" t="n">
        <v>45905</v>
      </c>
      <c r="D1107" s="5" t="s">
        <v>138</v>
      </c>
      <c r="E1107" s="5" t="s">
        <v>1034</v>
      </c>
      <c r="F1107" s="5" t="s">
        <v>1007</v>
      </c>
      <c r="G1107" s="6" t="str">
        <f aca="false">INDEX(Catalogo_Causas!$B$2:$B$10,MATCH(F1107,Catalogo_Causas!$A$2:$A$10,0))</f>
        <v>Cambio de formato excedido</v>
      </c>
      <c r="H1107" s="6" t="str">
        <f aca="false">INDEX(Catalogo_Causas!$C$2:$C$10,MATCH(F1107,Catalogo_Causas!$A$2:$A$10,0))</f>
        <v>Operacional</v>
      </c>
      <c r="I1107" s="5" t="n">
        <v>69</v>
      </c>
      <c r="J1107" s="29" t="n">
        <f aca="false">I1107/60</f>
        <v>1.15</v>
      </c>
    </row>
    <row r="1108" customFormat="false" ht="15" hidden="false" customHeight="false" outlineLevel="0" collapsed="false">
      <c r="A1108" s="5" t="s">
        <v>2150</v>
      </c>
      <c r="B1108" s="9" t="n">
        <v>45901</v>
      </c>
      <c r="C1108" s="9" t="n">
        <v>45905</v>
      </c>
      <c r="D1108" s="5" t="s">
        <v>142</v>
      </c>
      <c r="E1108" s="5" t="s">
        <v>1051</v>
      </c>
      <c r="F1108" s="5" t="s">
        <v>1005</v>
      </c>
      <c r="G1108" s="6" t="str">
        <f aca="false">INDEX(Catalogo_Causas!$B$2:$B$10,MATCH(F1108,Catalogo_Causas!$A$2:$A$10,0))</f>
        <v>Falla eléctrica / control</v>
      </c>
      <c r="H1108" s="6" t="str">
        <f aca="false">INDEX(Catalogo_Causas!$C$2:$C$10,MATCH(F1108,Catalogo_Causas!$A$2:$A$10,0))</f>
        <v>Operacional</v>
      </c>
      <c r="I1108" s="5" t="n">
        <v>74</v>
      </c>
      <c r="J1108" s="29" t="n">
        <f aca="false">I1108/60</f>
        <v>1.23333333333333</v>
      </c>
    </row>
    <row r="1109" customFormat="false" ht="15" hidden="false" customHeight="false" outlineLevel="0" collapsed="false">
      <c r="A1109" s="5" t="s">
        <v>2151</v>
      </c>
      <c r="B1109" s="9" t="n">
        <v>45901</v>
      </c>
      <c r="C1109" s="9" t="n">
        <v>45906</v>
      </c>
      <c r="D1109" s="5" t="s">
        <v>132</v>
      </c>
      <c r="E1109" s="5" t="s">
        <v>1073</v>
      </c>
      <c r="F1109" s="5" t="s">
        <v>1005</v>
      </c>
      <c r="G1109" s="6" t="str">
        <f aca="false">INDEX(Catalogo_Causas!$B$2:$B$10,MATCH(F1109,Catalogo_Causas!$A$2:$A$10,0))</f>
        <v>Falla eléctrica / control</v>
      </c>
      <c r="H1109" s="6" t="str">
        <f aca="false">INDEX(Catalogo_Causas!$C$2:$C$10,MATCH(F1109,Catalogo_Causas!$A$2:$A$10,0))</f>
        <v>Operacional</v>
      </c>
      <c r="I1109" s="5" t="n">
        <v>29</v>
      </c>
      <c r="J1109" s="29" t="n">
        <f aca="false">I1109/60</f>
        <v>0.483333333333333</v>
      </c>
    </row>
    <row r="1110" customFormat="false" ht="15" hidden="false" customHeight="false" outlineLevel="0" collapsed="false">
      <c r="A1110" s="5" t="s">
        <v>2152</v>
      </c>
      <c r="B1110" s="9" t="n">
        <v>45901</v>
      </c>
      <c r="C1110" s="9" t="n">
        <v>45906</v>
      </c>
      <c r="D1110" s="5" t="s">
        <v>142</v>
      </c>
      <c r="E1110" s="5" t="s">
        <v>1030</v>
      </c>
      <c r="F1110" s="5" t="s">
        <v>1007</v>
      </c>
      <c r="G1110" s="6" t="str">
        <f aca="false">INDEX(Catalogo_Causas!$B$2:$B$10,MATCH(F1110,Catalogo_Causas!$A$2:$A$10,0))</f>
        <v>Cambio de formato excedido</v>
      </c>
      <c r="H1110" s="6" t="str">
        <f aca="false">INDEX(Catalogo_Causas!$C$2:$C$10,MATCH(F1110,Catalogo_Causas!$A$2:$A$10,0))</f>
        <v>Operacional</v>
      </c>
      <c r="I1110" s="5" t="n">
        <v>107</v>
      </c>
      <c r="J1110" s="29" t="n">
        <f aca="false">I1110/60</f>
        <v>1.78333333333333</v>
      </c>
    </row>
    <row r="1111" customFormat="false" ht="15" hidden="false" customHeight="false" outlineLevel="0" collapsed="false">
      <c r="A1111" s="5" t="s">
        <v>2153</v>
      </c>
      <c r="B1111" s="9" t="n">
        <v>45901</v>
      </c>
      <c r="C1111" s="9" t="n">
        <v>45906</v>
      </c>
      <c r="D1111" s="5" t="s">
        <v>144</v>
      </c>
      <c r="E1111" s="5" t="s">
        <v>1043</v>
      </c>
      <c r="F1111" s="5" t="s">
        <v>1016</v>
      </c>
      <c r="G1111" s="6" t="str">
        <f aca="false">INDEX(Catalogo_Causas!$B$2:$B$10,MATCH(F1111,Catalogo_Causas!$A$2:$A$10,0))</f>
        <v>Limpieza no programada (CIP)</v>
      </c>
      <c r="H1111" s="6" t="str">
        <f aca="false">INDEX(Catalogo_Causas!$C$2:$C$10,MATCH(F1111,Catalogo_Causas!$A$2:$A$10,0))</f>
        <v>Calidad</v>
      </c>
      <c r="I1111" s="5" t="n">
        <v>112</v>
      </c>
      <c r="J1111" s="29" t="n">
        <f aca="false">I1111/60</f>
        <v>1.86666666666667</v>
      </c>
    </row>
    <row r="1112" customFormat="false" ht="15" hidden="false" customHeight="false" outlineLevel="0" collapsed="false">
      <c r="A1112" s="5" t="s">
        <v>2154</v>
      </c>
      <c r="B1112" s="9" t="n">
        <v>45901</v>
      </c>
      <c r="C1112" s="9" t="n">
        <v>45906</v>
      </c>
      <c r="D1112" s="5" t="s">
        <v>144</v>
      </c>
      <c r="E1112" s="5" t="s">
        <v>1032</v>
      </c>
      <c r="F1112" s="5" t="s">
        <v>1014</v>
      </c>
      <c r="G1112" s="6" t="str">
        <f aca="false">INDEX(Catalogo_Causas!$B$2:$B$10,MATCH(F1112,Catalogo_Causas!$A$2:$A$10,0))</f>
        <v>Retención de calidad</v>
      </c>
      <c r="H1112" s="6" t="str">
        <f aca="false">INDEX(Catalogo_Causas!$C$2:$C$10,MATCH(F1112,Catalogo_Causas!$A$2:$A$10,0))</f>
        <v>Calidad</v>
      </c>
      <c r="I1112" s="5" t="n">
        <v>111</v>
      </c>
      <c r="J1112" s="29" t="n">
        <f aca="false">I1112/60</f>
        <v>1.85</v>
      </c>
    </row>
    <row r="1113" customFormat="false" ht="15" hidden="false" customHeight="false" outlineLevel="0" collapsed="false">
      <c r="A1113" s="5" t="s">
        <v>2155</v>
      </c>
      <c r="B1113" s="9" t="n">
        <v>45908</v>
      </c>
      <c r="C1113" s="9" t="n">
        <v>45908</v>
      </c>
      <c r="D1113" s="5" t="s">
        <v>130</v>
      </c>
      <c r="E1113" s="5" t="s">
        <v>1045</v>
      </c>
      <c r="F1113" s="5" t="s">
        <v>1014</v>
      </c>
      <c r="G1113" s="6" t="str">
        <f aca="false">INDEX(Catalogo_Causas!$B$2:$B$10,MATCH(F1113,Catalogo_Causas!$A$2:$A$10,0))</f>
        <v>Retención de calidad</v>
      </c>
      <c r="H1113" s="6" t="str">
        <f aca="false">INDEX(Catalogo_Causas!$C$2:$C$10,MATCH(F1113,Catalogo_Causas!$A$2:$A$10,0))</f>
        <v>Calidad</v>
      </c>
      <c r="I1113" s="5" t="n">
        <v>57</v>
      </c>
      <c r="J1113" s="29" t="n">
        <f aca="false">I1113/60</f>
        <v>0.95</v>
      </c>
    </row>
    <row r="1114" customFormat="false" ht="15" hidden="false" customHeight="false" outlineLevel="0" collapsed="false">
      <c r="A1114" s="5" t="s">
        <v>2156</v>
      </c>
      <c r="B1114" s="9" t="n">
        <v>45908</v>
      </c>
      <c r="C1114" s="9" t="n">
        <v>45908</v>
      </c>
      <c r="D1114" s="5" t="s">
        <v>130</v>
      </c>
      <c r="E1114" s="5" t="s">
        <v>1030</v>
      </c>
      <c r="F1114" s="5" t="s">
        <v>1018</v>
      </c>
      <c r="G1114" s="6" t="str">
        <f aca="false">INDEX(Catalogo_Causas!$B$2:$B$10,MATCH(F1114,Catalogo_Causas!$A$2:$A$10,0))</f>
        <v>Falta de personal</v>
      </c>
      <c r="H1114" s="6" t="str">
        <f aca="false">INDEX(Catalogo_Causas!$C$2:$C$10,MATCH(F1114,Catalogo_Causas!$A$2:$A$10,0))</f>
        <v>Personal</v>
      </c>
      <c r="I1114" s="5" t="n">
        <v>59</v>
      </c>
      <c r="J1114" s="29" t="n">
        <f aca="false">I1114/60</f>
        <v>0.983333333333333</v>
      </c>
    </row>
    <row r="1115" customFormat="false" ht="15" hidden="false" customHeight="false" outlineLevel="0" collapsed="false">
      <c r="A1115" s="5" t="s">
        <v>2157</v>
      </c>
      <c r="B1115" s="9" t="n">
        <v>45908</v>
      </c>
      <c r="C1115" s="9" t="n">
        <v>45908</v>
      </c>
      <c r="D1115" s="5" t="s">
        <v>142</v>
      </c>
      <c r="E1115" s="5" t="s">
        <v>1041</v>
      </c>
      <c r="F1115" s="5" t="s">
        <v>1012</v>
      </c>
      <c r="G1115" s="6" t="str">
        <f aca="false">INDEX(Catalogo_Causas!$B$2:$B$10,MATCH(F1115,Catalogo_Causas!$A$2:$A$10,0))</f>
        <v>Falta de materia prima</v>
      </c>
      <c r="H1115" s="6" t="str">
        <f aca="false">INDEX(Catalogo_Causas!$C$2:$C$10,MATCH(F1115,Catalogo_Causas!$A$2:$A$10,0))</f>
        <v>Material / suministro</v>
      </c>
      <c r="I1115" s="5" t="n">
        <v>39</v>
      </c>
      <c r="J1115" s="29" t="n">
        <f aca="false">I1115/60</f>
        <v>0.65</v>
      </c>
    </row>
    <row r="1116" customFormat="false" ht="15" hidden="false" customHeight="false" outlineLevel="0" collapsed="false">
      <c r="A1116" s="5" t="s">
        <v>2158</v>
      </c>
      <c r="B1116" s="9" t="n">
        <v>45908</v>
      </c>
      <c r="C1116" s="9" t="n">
        <v>45909</v>
      </c>
      <c r="D1116" s="5" t="s">
        <v>132</v>
      </c>
      <c r="E1116" s="5" t="s">
        <v>1073</v>
      </c>
      <c r="F1116" s="5" t="s">
        <v>1014</v>
      </c>
      <c r="G1116" s="6" t="str">
        <f aca="false">INDEX(Catalogo_Causas!$B$2:$B$10,MATCH(F1116,Catalogo_Causas!$A$2:$A$10,0))</f>
        <v>Retención de calidad</v>
      </c>
      <c r="H1116" s="6" t="str">
        <f aca="false">INDEX(Catalogo_Causas!$C$2:$C$10,MATCH(F1116,Catalogo_Causas!$A$2:$A$10,0))</f>
        <v>Calidad</v>
      </c>
      <c r="I1116" s="5" t="n">
        <v>199</v>
      </c>
      <c r="J1116" s="29" t="n">
        <f aca="false">I1116/60</f>
        <v>3.31666666666667</v>
      </c>
    </row>
    <row r="1117" customFormat="false" ht="15" hidden="false" customHeight="false" outlineLevel="0" collapsed="false">
      <c r="A1117" s="5" t="s">
        <v>2159</v>
      </c>
      <c r="B1117" s="9" t="n">
        <v>45908</v>
      </c>
      <c r="C1117" s="9" t="n">
        <v>45910</v>
      </c>
      <c r="D1117" s="5" t="s">
        <v>140</v>
      </c>
      <c r="E1117" s="5" t="s">
        <v>1032</v>
      </c>
      <c r="F1117" s="5" t="s">
        <v>1007</v>
      </c>
      <c r="G1117" s="6" t="str">
        <f aca="false">INDEX(Catalogo_Causas!$B$2:$B$10,MATCH(F1117,Catalogo_Causas!$A$2:$A$10,0))</f>
        <v>Cambio de formato excedido</v>
      </c>
      <c r="H1117" s="6" t="str">
        <f aca="false">INDEX(Catalogo_Causas!$C$2:$C$10,MATCH(F1117,Catalogo_Causas!$A$2:$A$10,0))</f>
        <v>Operacional</v>
      </c>
      <c r="I1117" s="5" t="n">
        <v>39</v>
      </c>
      <c r="J1117" s="29" t="n">
        <f aca="false">I1117/60</f>
        <v>0.65</v>
      </c>
    </row>
    <row r="1118" customFormat="false" ht="15" hidden="false" customHeight="false" outlineLevel="0" collapsed="false">
      <c r="A1118" s="5" t="s">
        <v>2160</v>
      </c>
      <c r="B1118" s="9" t="n">
        <v>45908</v>
      </c>
      <c r="C1118" s="9" t="n">
        <v>45910</v>
      </c>
      <c r="D1118" s="5" t="s">
        <v>140</v>
      </c>
      <c r="E1118" s="5" t="s">
        <v>1032</v>
      </c>
      <c r="F1118" s="5" t="s">
        <v>1002</v>
      </c>
      <c r="G1118" s="6" t="str">
        <f aca="false">INDEX(Catalogo_Causas!$B$2:$B$10,MATCH(F1118,Catalogo_Causas!$A$2:$A$10,0))</f>
        <v>Falla mecánica</v>
      </c>
      <c r="H1118" s="6" t="str">
        <f aca="false">INDEX(Catalogo_Causas!$C$2:$C$10,MATCH(F1118,Catalogo_Causas!$A$2:$A$10,0))</f>
        <v>Operacional</v>
      </c>
      <c r="I1118" s="5" t="n">
        <v>72</v>
      </c>
      <c r="J1118" s="29" t="n">
        <f aca="false">I1118/60</f>
        <v>1.2</v>
      </c>
    </row>
    <row r="1119" customFormat="false" ht="15" hidden="false" customHeight="false" outlineLevel="0" collapsed="false">
      <c r="A1119" s="5" t="s">
        <v>2161</v>
      </c>
      <c r="B1119" s="9" t="n">
        <v>45908</v>
      </c>
      <c r="C1119" s="9" t="n">
        <v>45910</v>
      </c>
      <c r="D1119" s="5" t="s">
        <v>144</v>
      </c>
      <c r="E1119" s="5" t="s">
        <v>1032</v>
      </c>
      <c r="F1119" s="5" t="s">
        <v>1014</v>
      </c>
      <c r="G1119" s="6" t="str">
        <f aca="false">INDEX(Catalogo_Causas!$B$2:$B$10,MATCH(F1119,Catalogo_Causas!$A$2:$A$10,0))</f>
        <v>Retención de calidad</v>
      </c>
      <c r="H1119" s="6" t="str">
        <f aca="false">INDEX(Catalogo_Causas!$C$2:$C$10,MATCH(F1119,Catalogo_Causas!$A$2:$A$10,0))</f>
        <v>Calidad</v>
      </c>
      <c r="I1119" s="5" t="n">
        <v>10</v>
      </c>
      <c r="J1119" s="29" t="n">
        <f aca="false">I1119/60</f>
        <v>0.166666666666667</v>
      </c>
    </row>
    <row r="1120" customFormat="false" ht="15" hidden="false" customHeight="false" outlineLevel="0" collapsed="false">
      <c r="A1120" s="5" t="s">
        <v>2162</v>
      </c>
      <c r="B1120" s="9" t="n">
        <v>45908</v>
      </c>
      <c r="C1120" s="9" t="n">
        <v>45910</v>
      </c>
      <c r="D1120" s="5" t="s">
        <v>144</v>
      </c>
      <c r="E1120" s="5" t="s">
        <v>1030</v>
      </c>
      <c r="F1120" s="5" t="s">
        <v>1002</v>
      </c>
      <c r="G1120" s="6" t="str">
        <f aca="false">INDEX(Catalogo_Causas!$B$2:$B$10,MATCH(F1120,Catalogo_Causas!$A$2:$A$10,0))</f>
        <v>Falla mecánica</v>
      </c>
      <c r="H1120" s="6" t="str">
        <f aca="false">INDEX(Catalogo_Causas!$C$2:$C$10,MATCH(F1120,Catalogo_Causas!$A$2:$A$10,0))</f>
        <v>Operacional</v>
      </c>
      <c r="I1120" s="5" t="n">
        <v>45</v>
      </c>
      <c r="J1120" s="29" t="n">
        <f aca="false">I1120/60</f>
        <v>0.75</v>
      </c>
    </row>
    <row r="1121" customFormat="false" ht="15" hidden="false" customHeight="false" outlineLevel="0" collapsed="false">
      <c r="A1121" s="5" t="s">
        <v>2163</v>
      </c>
      <c r="B1121" s="9" t="n">
        <v>45908</v>
      </c>
      <c r="C1121" s="9" t="n">
        <v>45911</v>
      </c>
      <c r="D1121" s="5" t="s">
        <v>130</v>
      </c>
      <c r="E1121" s="5" t="s">
        <v>1030</v>
      </c>
      <c r="F1121" s="5" t="s">
        <v>1007</v>
      </c>
      <c r="G1121" s="6" t="str">
        <f aca="false">INDEX(Catalogo_Causas!$B$2:$B$10,MATCH(F1121,Catalogo_Causas!$A$2:$A$10,0))</f>
        <v>Cambio de formato excedido</v>
      </c>
      <c r="H1121" s="6" t="str">
        <f aca="false">INDEX(Catalogo_Causas!$C$2:$C$10,MATCH(F1121,Catalogo_Causas!$A$2:$A$10,0))</f>
        <v>Operacional</v>
      </c>
      <c r="I1121" s="5" t="n">
        <v>106</v>
      </c>
      <c r="J1121" s="29" t="n">
        <f aca="false">I1121/60</f>
        <v>1.76666666666667</v>
      </c>
    </row>
    <row r="1122" customFormat="false" ht="15" hidden="false" customHeight="false" outlineLevel="0" collapsed="false">
      <c r="A1122" s="5" t="s">
        <v>2164</v>
      </c>
      <c r="B1122" s="9" t="n">
        <v>45908</v>
      </c>
      <c r="C1122" s="9" t="n">
        <v>45911</v>
      </c>
      <c r="D1122" s="5" t="s">
        <v>134</v>
      </c>
      <c r="E1122" s="5" t="s">
        <v>1032</v>
      </c>
      <c r="F1122" s="5" t="s">
        <v>1007</v>
      </c>
      <c r="G1122" s="6" t="str">
        <f aca="false">INDEX(Catalogo_Causas!$B$2:$B$10,MATCH(F1122,Catalogo_Causas!$A$2:$A$10,0))</f>
        <v>Cambio de formato excedido</v>
      </c>
      <c r="H1122" s="6" t="str">
        <f aca="false">INDEX(Catalogo_Causas!$C$2:$C$10,MATCH(F1122,Catalogo_Causas!$A$2:$A$10,0))</f>
        <v>Operacional</v>
      </c>
      <c r="I1122" s="5" t="n">
        <v>140</v>
      </c>
      <c r="J1122" s="29" t="n">
        <f aca="false">I1122/60</f>
        <v>2.33333333333333</v>
      </c>
    </row>
    <row r="1123" customFormat="false" ht="15" hidden="false" customHeight="false" outlineLevel="0" collapsed="false">
      <c r="A1123" s="5" t="s">
        <v>2165</v>
      </c>
      <c r="B1123" s="9" t="n">
        <v>45908</v>
      </c>
      <c r="C1123" s="9" t="n">
        <v>45911</v>
      </c>
      <c r="D1123" s="5" t="s">
        <v>136</v>
      </c>
      <c r="E1123" s="5" t="s">
        <v>1101</v>
      </c>
      <c r="F1123" s="5" t="s">
        <v>1002</v>
      </c>
      <c r="G1123" s="6" t="str">
        <f aca="false">INDEX(Catalogo_Causas!$B$2:$B$10,MATCH(F1123,Catalogo_Causas!$A$2:$A$10,0))</f>
        <v>Falla mecánica</v>
      </c>
      <c r="H1123" s="6" t="str">
        <f aca="false">INDEX(Catalogo_Causas!$C$2:$C$10,MATCH(F1123,Catalogo_Causas!$A$2:$A$10,0))</f>
        <v>Operacional</v>
      </c>
      <c r="I1123" s="5" t="n">
        <v>89</v>
      </c>
      <c r="J1123" s="29" t="n">
        <f aca="false">I1123/60</f>
        <v>1.48333333333333</v>
      </c>
    </row>
    <row r="1124" customFormat="false" ht="15" hidden="false" customHeight="false" outlineLevel="0" collapsed="false">
      <c r="A1124" s="5" t="s">
        <v>2166</v>
      </c>
      <c r="B1124" s="9" t="n">
        <v>45908</v>
      </c>
      <c r="C1124" s="9" t="n">
        <v>45911</v>
      </c>
      <c r="D1124" s="5" t="s">
        <v>142</v>
      </c>
      <c r="E1124" s="5" t="s">
        <v>1030</v>
      </c>
      <c r="F1124" s="5" t="s">
        <v>1018</v>
      </c>
      <c r="G1124" s="6" t="str">
        <f aca="false">INDEX(Catalogo_Causas!$B$2:$B$10,MATCH(F1124,Catalogo_Causas!$A$2:$A$10,0))</f>
        <v>Falta de personal</v>
      </c>
      <c r="H1124" s="6" t="str">
        <f aca="false">INDEX(Catalogo_Causas!$C$2:$C$10,MATCH(F1124,Catalogo_Causas!$A$2:$A$10,0))</f>
        <v>Personal</v>
      </c>
      <c r="I1124" s="5" t="n">
        <v>41</v>
      </c>
      <c r="J1124" s="29" t="n">
        <f aca="false">I1124/60</f>
        <v>0.683333333333333</v>
      </c>
    </row>
    <row r="1125" customFormat="false" ht="15" hidden="false" customHeight="false" outlineLevel="0" collapsed="false">
      <c r="A1125" s="5" t="s">
        <v>2167</v>
      </c>
      <c r="B1125" s="9" t="n">
        <v>45908</v>
      </c>
      <c r="C1125" s="9" t="n">
        <v>45912</v>
      </c>
      <c r="D1125" s="5" t="s">
        <v>134</v>
      </c>
      <c r="E1125" s="5" t="s">
        <v>1054</v>
      </c>
      <c r="F1125" s="5" t="s">
        <v>1021</v>
      </c>
      <c r="G1125" s="6" t="str">
        <f aca="false">INDEX(Catalogo_Causas!$B$2:$B$10,MATCH(F1125,Catalogo_Causas!$A$2:$A$10,0))</f>
        <v>Falla de servicios (vapor/amoniaco/aire)</v>
      </c>
      <c r="H1125" s="6" t="str">
        <f aca="false">INDEX(Catalogo_Causas!$C$2:$C$10,MATCH(F1125,Catalogo_Causas!$A$2:$A$10,0))</f>
        <v>Servicios</v>
      </c>
      <c r="I1125" s="5" t="n">
        <v>31</v>
      </c>
      <c r="J1125" s="29" t="n">
        <f aca="false">I1125/60</f>
        <v>0.516666666666667</v>
      </c>
    </row>
    <row r="1126" customFormat="false" ht="15" hidden="false" customHeight="false" outlineLevel="0" collapsed="false">
      <c r="A1126" s="5" t="s">
        <v>2168</v>
      </c>
      <c r="B1126" s="9" t="n">
        <v>45908</v>
      </c>
      <c r="C1126" s="9" t="n">
        <v>45912</v>
      </c>
      <c r="D1126" s="5" t="s">
        <v>138</v>
      </c>
      <c r="E1126" s="5" t="s">
        <v>1056</v>
      </c>
      <c r="F1126" s="5" t="s">
        <v>1012</v>
      </c>
      <c r="G1126" s="6" t="str">
        <f aca="false">INDEX(Catalogo_Causas!$B$2:$B$10,MATCH(F1126,Catalogo_Causas!$A$2:$A$10,0))</f>
        <v>Falta de materia prima</v>
      </c>
      <c r="H1126" s="6" t="str">
        <f aca="false">INDEX(Catalogo_Causas!$C$2:$C$10,MATCH(F1126,Catalogo_Causas!$A$2:$A$10,0))</f>
        <v>Material / suministro</v>
      </c>
      <c r="I1126" s="5" t="n">
        <v>75</v>
      </c>
      <c r="J1126" s="29" t="n">
        <f aca="false">I1126/60</f>
        <v>1.25</v>
      </c>
    </row>
    <row r="1127" customFormat="false" ht="15" hidden="false" customHeight="false" outlineLevel="0" collapsed="false">
      <c r="A1127" s="5" t="s">
        <v>2169</v>
      </c>
      <c r="B1127" s="9" t="n">
        <v>45908</v>
      </c>
      <c r="C1127" s="9" t="n">
        <v>45912</v>
      </c>
      <c r="D1127" s="5" t="s">
        <v>144</v>
      </c>
      <c r="E1127" s="5" t="s">
        <v>1043</v>
      </c>
      <c r="F1127" s="5" t="s">
        <v>1009</v>
      </c>
      <c r="G1127" s="6" t="str">
        <f aca="false">INDEX(Catalogo_Causas!$B$2:$B$10,MATCH(F1127,Catalogo_Causas!$A$2:$A$10,0))</f>
        <v>Falta de material de empaque</v>
      </c>
      <c r="H1127" s="6" t="str">
        <f aca="false">INDEX(Catalogo_Causas!$C$2:$C$10,MATCH(F1127,Catalogo_Causas!$A$2:$A$10,0))</f>
        <v>Material / suministro</v>
      </c>
      <c r="I1127" s="5" t="n">
        <v>104</v>
      </c>
      <c r="J1127" s="29" t="n">
        <f aca="false">I1127/60</f>
        <v>1.73333333333333</v>
      </c>
    </row>
    <row r="1128" customFormat="false" ht="15" hidden="false" customHeight="false" outlineLevel="0" collapsed="false">
      <c r="A1128" s="5" t="s">
        <v>2170</v>
      </c>
      <c r="B1128" s="9" t="n">
        <v>45908</v>
      </c>
      <c r="C1128" s="9" t="n">
        <v>45913</v>
      </c>
      <c r="D1128" s="5" t="s">
        <v>130</v>
      </c>
      <c r="E1128" s="5" t="s">
        <v>1078</v>
      </c>
      <c r="F1128" s="5" t="s">
        <v>1007</v>
      </c>
      <c r="G1128" s="6" t="str">
        <f aca="false">INDEX(Catalogo_Causas!$B$2:$B$10,MATCH(F1128,Catalogo_Causas!$A$2:$A$10,0))</f>
        <v>Cambio de formato excedido</v>
      </c>
      <c r="H1128" s="6" t="str">
        <f aca="false">INDEX(Catalogo_Causas!$C$2:$C$10,MATCH(F1128,Catalogo_Causas!$A$2:$A$10,0))</f>
        <v>Operacional</v>
      </c>
      <c r="I1128" s="5" t="n">
        <v>10</v>
      </c>
      <c r="J1128" s="29" t="n">
        <f aca="false">I1128/60</f>
        <v>0.166666666666667</v>
      </c>
    </row>
    <row r="1129" customFormat="false" ht="15" hidden="false" customHeight="false" outlineLevel="0" collapsed="false">
      <c r="A1129" s="5" t="s">
        <v>2171</v>
      </c>
      <c r="B1129" s="9" t="n">
        <v>45908</v>
      </c>
      <c r="C1129" s="9" t="n">
        <v>45913</v>
      </c>
      <c r="D1129" s="5" t="s">
        <v>132</v>
      </c>
      <c r="E1129" s="5" t="s">
        <v>1073</v>
      </c>
      <c r="F1129" s="5" t="s">
        <v>1016</v>
      </c>
      <c r="G1129" s="6" t="str">
        <f aca="false">INDEX(Catalogo_Causas!$B$2:$B$10,MATCH(F1129,Catalogo_Causas!$A$2:$A$10,0))</f>
        <v>Limpieza no programada (CIP)</v>
      </c>
      <c r="H1129" s="6" t="str">
        <f aca="false">INDEX(Catalogo_Causas!$C$2:$C$10,MATCH(F1129,Catalogo_Causas!$A$2:$A$10,0))</f>
        <v>Calidad</v>
      </c>
      <c r="I1129" s="5" t="n">
        <v>45</v>
      </c>
      <c r="J1129" s="29" t="n">
        <f aca="false">I1129/60</f>
        <v>0.75</v>
      </c>
    </row>
    <row r="1130" customFormat="false" ht="15" hidden="false" customHeight="false" outlineLevel="0" collapsed="false">
      <c r="A1130" s="5" t="s">
        <v>2172</v>
      </c>
      <c r="B1130" s="9" t="n">
        <v>45908</v>
      </c>
      <c r="C1130" s="9" t="n">
        <v>45913</v>
      </c>
      <c r="D1130" s="5" t="s">
        <v>138</v>
      </c>
      <c r="E1130" s="5" t="s">
        <v>1039</v>
      </c>
      <c r="F1130" s="5" t="s">
        <v>1005</v>
      </c>
      <c r="G1130" s="6" t="str">
        <f aca="false">INDEX(Catalogo_Causas!$B$2:$B$10,MATCH(F1130,Catalogo_Causas!$A$2:$A$10,0))</f>
        <v>Falla eléctrica / control</v>
      </c>
      <c r="H1130" s="6" t="str">
        <f aca="false">INDEX(Catalogo_Causas!$C$2:$C$10,MATCH(F1130,Catalogo_Causas!$A$2:$A$10,0))</f>
        <v>Operacional</v>
      </c>
      <c r="I1130" s="5" t="n">
        <v>63</v>
      </c>
      <c r="J1130" s="29" t="n">
        <f aca="false">I1130/60</f>
        <v>1.05</v>
      </c>
    </row>
    <row r="1131" customFormat="false" ht="15" hidden="false" customHeight="false" outlineLevel="0" collapsed="false">
      <c r="A1131" s="5" t="s">
        <v>2173</v>
      </c>
      <c r="B1131" s="9" t="n">
        <v>45908</v>
      </c>
      <c r="C1131" s="9" t="n">
        <v>45913</v>
      </c>
      <c r="D1131" s="5" t="s">
        <v>144</v>
      </c>
      <c r="E1131" s="5" t="s">
        <v>1030</v>
      </c>
      <c r="F1131" s="5" t="s">
        <v>1002</v>
      </c>
      <c r="G1131" s="6" t="str">
        <f aca="false">INDEX(Catalogo_Causas!$B$2:$B$10,MATCH(F1131,Catalogo_Causas!$A$2:$A$10,0))</f>
        <v>Falla mecánica</v>
      </c>
      <c r="H1131" s="6" t="str">
        <f aca="false">INDEX(Catalogo_Causas!$C$2:$C$10,MATCH(F1131,Catalogo_Causas!$A$2:$A$10,0))</f>
        <v>Operacional</v>
      </c>
      <c r="I1131" s="5" t="n">
        <v>29</v>
      </c>
      <c r="J1131" s="29" t="n">
        <f aca="false">I1131/60</f>
        <v>0.483333333333333</v>
      </c>
    </row>
    <row r="1132" customFormat="false" ht="15" hidden="false" customHeight="false" outlineLevel="0" collapsed="false">
      <c r="A1132" s="5" t="s">
        <v>2174</v>
      </c>
      <c r="B1132" s="9" t="n">
        <v>45915</v>
      </c>
      <c r="C1132" s="9" t="n">
        <v>45915</v>
      </c>
      <c r="D1132" s="5" t="s">
        <v>132</v>
      </c>
      <c r="E1132" s="5" t="s">
        <v>1073</v>
      </c>
      <c r="F1132" s="5" t="s">
        <v>1014</v>
      </c>
      <c r="G1132" s="6" t="str">
        <f aca="false">INDEX(Catalogo_Causas!$B$2:$B$10,MATCH(F1132,Catalogo_Causas!$A$2:$A$10,0))</f>
        <v>Retención de calidad</v>
      </c>
      <c r="H1132" s="6" t="str">
        <f aca="false">INDEX(Catalogo_Causas!$C$2:$C$10,MATCH(F1132,Catalogo_Causas!$A$2:$A$10,0))</f>
        <v>Calidad</v>
      </c>
      <c r="I1132" s="5" t="n">
        <v>32</v>
      </c>
      <c r="J1132" s="29" t="n">
        <f aca="false">I1132/60</f>
        <v>0.533333333333333</v>
      </c>
    </row>
    <row r="1133" customFormat="false" ht="15" hidden="false" customHeight="false" outlineLevel="0" collapsed="false">
      <c r="A1133" s="5" t="s">
        <v>2175</v>
      </c>
      <c r="B1133" s="9" t="n">
        <v>45915</v>
      </c>
      <c r="C1133" s="9" t="n">
        <v>45915</v>
      </c>
      <c r="D1133" s="5" t="s">
        <v>134</v>
      </c>
      <c r="E1133" s="5" t="s">
        <v>1054</v>
      </c>
      <c r="F1133" s="5" t="s">
        <v>1007</v>
      </c>
      <c r="G1133" s="6" t="str">
        <f aca="false">INDEX(Catalogo_Causas!$B$2:$B$10,MATCH(F1133,Catalogo_Causas!$A$2:$A$10,0))</f>
        <v>Cambio de formato excedido</v>
      </c>
      <c r="H1133" s="6" t="str">
        <f aca="false">INDEX(Catalogo_Causas!$C$2:$C$10,MATCH(F1133,Catalogo_Causas!$A$2:$A$10,0))</f>
        <v>Operacional</v>
      </c>
      <c r="I1133" s="5" t="n">
        <v>132</v>
      </c>
      <c r="J1133" s="29" t="n">
        <f aca="false">I1133/60</f>
        <v>2.2</v>
      </c>
    </row>
    <row r="1134" customFormat="false" ht="15" hidden="false" customHeight="false" outlineLevel="0" collapsed="false">
      <c r="A1134" s="5" t="s">
        <v>2176</v>
      </c>
      <c r="B1134" s="9" t="n">
        <v>45915</v>
      </c>
      <c r="C1134" s="9" t="n">
        <v>45915</v>
      </c>
      <c r="D1134" s="5" t="s">
        <v>134</v>
      </c>
      <c r="E1134" s="5" t="s">
        <v>1054</v>
      </c>
      <c r="F1134" s="5" t="s">
        <v>1002</v>
      </c>
      <c r="G1134" s="6" t="str">
        <f aca="false">INDEX(Catalogo_Causas!$B$2:$B$10,MATCH(F1134,Catalogo_Causas!$A$2:$A$10,0))</f>
        <v>Falla mecánica</v>
      </c>
      <c r="H1134" s="6" t="str">
        <f aca="false">INDEX(Catalogo_Causas!$C$2:$C$10,MATCH(F1134,Catalogo_Causas!$A$2:$A$10,0))</f>
        <v>Operacional</v>
      </c>
      <c r="I1134" s="5" t="n">
        <v>63</v>
      </c>
      <c r="J1134" s="29" t="n">
        <f aca="false">I1134/60</f>
        <v>1.05</v>
      </c>
    </row>
    <row r="1135" customFormat="false" ht="15" hidden="false" customHeight="false" outlineLevel="0" collapsed="false">
      <c r="A1135" s="5" t="s">
        <v>2177</v>
      </c>
      <c r="B1135" s="9" t="n">
        <v>45915</v>
      </c>
      <c r="C1135" s="9" t="n">
        <v>45915</v>
      </c>
      <c r="D1135" s="5" t="s">
        <v>140</v>
      </c>
      <c r="E1135" s="5" t="s">
        <v>1045</v>
      </c>
      <c r="F1135" s="5" t="s">
        <v>1007</v>
      </c>
      <c r="G1135" s="6" t="str">
        <f aca="false">INDEX(Catalogo_Causas!$B$2:$B$10,MATCH(F1135,Catalogo_Causas!$A$2:$A$10,0))</f>
        <v>Cambio de formato excedido</v>
      </c>
      <c r="H1135" s="6" t="str">
        <f aca="false">INDEX(Catalogo_Causas!$C$2:$C$10,MATCH(F1135,Catalogo_Causas!$A$2:$A$10,0))</f>
        <v>Operacional</v>
      </c>
      <c r="I1135" s="5" t="n">
        <v>51</v>
      </c>
      <c r="J1135" s="29" t="n">
        <f aca="false">I1135/60</f>
        <v>0.85</v>
      </c>
    </row>
    <row r="1136" customFormat="false" ht="15" hidden="false" customHeight="false" outlineLevel="0" collapsed="false">
      <c r="A1136" s="5" t="s">
        <v>2178</v>
      </c>
      <c r="B1136" s="9" t="n">
        <v>45915</v>
      </c>
      <c r="C1136" s="9" t="n">
        <v>45915</v>
      </c>
      <c r="D1136" s="5" t="s">
        <v>142</v>
      </c>
      <c r="E1136" s="5" t="s">
        <v>1030</v>
      </c>
      <c r="F1136" s="5" t="s">
        <v>1005</v>
      </c>
      <c r="G1136" s="6" t="str">
        <f aca="false">INDEX(Catalogo_Causas!$B$2:$B$10,MATCH(F1136,Catalogo_Causas!$A$2:$A$10,0))</f>
        <v>Falla eléctrica / control</v>
      </c>
      <c r="H1136" s="6" t="str">
        <f aca="false">INDEX(Catalogo_Causas!$C$2:$C$10,MATCH(F1136,Catalogo_Causas!$A$2:$A$10,0))</f>
        <v>Operacional</v>
      </c>
      <c r="I1136" s="5" t="n">
        <v>34</v>
      </c>
      <c r="J1136" s="29" t="n">
        <f aca="false">I1136/60</f>
        <v>0.566666666666667</v>
      </c>
    </row>
    <row r="1137" customFormat="false" ht="15" hidden="false" customHeight="false" outlineLevel="0" collapsed="false">
      <c r="A1137" s="5" t="s">
        <v>2179</v>
      </c>
      <c r="B1137" s="9" t="n">
        <v>45915</v>
      </c>
      <c r="C1137" s="9" t="n">
        <v>45916</v>
      </c>
      <c r="D1137" s="5" t="s">
        <v>132</v>
      </c>
      <c r="E1137" s="5" t="s">
        <v>1084</v>
      </c>
      <c r="F1137" s="5" t="s">
        <v>1009</v>
      </c>
      <c r="G1137" s="6" t="str">
        <f aca="false">INDEX(Catalogo_Causas!$B$2:$B$10,MATCH(F1137,Catalogo_Causas!$A$2:$A$10,0))</f>
        <v>Falta de material de empaque</v>
      </c>
      <c r="H1137" s="6" t="str">
        <f aca="false">INDEX(Catalogo_Causas!$C$2:$C$10,MATCH(F1137,Catalogo_Causas!$A$2:$A$10,0))</f>
        <v>Material / suministro</v>
      </c>
      <c r="I1137" s="5" t="n">
        <v>191</v>
      </c>
      <c r="J1137" s="29" t="n">
        <f aca="false">I1137/60</f>
        <v>3.18333333333333</v>
      </c>
    </row>
    <row r="1138" customFormat="false" ht="15" hidden="false" customHeight="false" outlineLevel="0" collapsed="false">
      <c r="A1138" s="5" t="s">
        <v>2180</v>
      </c>
      <c r="B1138" s="9" t="n">
        <v>45915</v>
      </c>
      <c r="C1138" s="9" t="n">
        <v>45916</v>
      </c>
      <c r="D1138" s="5" t="s">
        <v>136</v>
      </c>
      <c r="E1138" s="5" t="s">
        <v>1032</v>
      </c>
      <c r="F1138" s="5" t="s">
        <v>1014</v>
      </c>
      <c r="G1138" s="6" t="str">
        <f aca="false">INDEX(Catalogo_Causas!$B$2:$B$10,MATCH(F1138,Catalogo_Causas!$A$2:$A$10,0))</f>
        <v>Retención de calidad</v>
      </c>
      <c r="H1138" s="6" t="str">
        <f aca="false">INDEX(Catalogo_Causas!$C$2:$C$10,MATCH(F1138,Catalogo_Causas!$A$2:$A$10,0))</f>
        <v>Calidad</v>
      </c>
      <c r="I1138" s="5" t="n">
        <v>33</v>
      </c>
      <c r="J1138" s="29" t="n">
        <f aca="false">I1138/60</f>
        <v>0.55</v>
      </c>
    </row>
    <row r="1139" customFormat="false" ht="15" hidden="false" customHeight="false" outlineLevel="0" collapsed="false">
      <c r="A1139" s="5" t="s">
        <v>2181</v>
      </c>
      <c r="B1139" s="9" t="n">
        <v>45915</v>
      </c>
      <c r="C1139" s="9" t="n">
        <v>45916</v>
      </c>
      <c r="D1139" s="5" t="s">
        <v>144</v>
      </c>
      <c r="E1139" s="5" t="s">
        <v>1043</v>
      </c>
      <c r="F1139" s="5" t="s">
        <v>1005</v>
      </c>
      <c r="G1139" s="6" t="str">
        <f aca="false">INDEX(Catalogo_Causas!$B$2:$B$10,MATCH(F1139,Catalogo_Causas!$A$2:$A$10,0))</f>
        <v>Falla eléctrica / control</v>
      </c>
      <c r="H1139" s="6" t="str">
        <f aca="false">INDEX(Catalogo_Causas!$C$2:$C$10,MATCH(F1139,Catalogo_Causas!$A$2:$A$10,0))</f>
        <v>Operacional</v>
      </c>
      <c r="I1139" s="5" t="n">
        <v>26</v>
      </c>
      <c r="J1139" s="29" t="n">
        <f aca="false">I1139/60</f>
        <v>0.433333333333333</v>
      </c>
    </row>
    <row r="1140" customFormat="false" ht="15" hidden="false" customHeight="false" outlineLevel="0" collapsed="false">
      <c r="A1140" s="5" t="s">
        <v>2182</v>
      </c>
      <c r="B1140" s="9" t="n">
        <v>45915</v>
      </c>
      <c r="C1140" s="9" t="n">
        <v>45917</v>
      </c>
      <c r="D1140" s="5" t="s">
        <v>132</v>
      </c>
      <c r="E1140" s="5" t="s">
        <v>1032</v>
      </c>
      <c r="F1140" s="5" t="s">
        <v>1014</v>
      </c>
      <c r="G1140" s="6" t="str">
        <f aca="false">INDEX(Catalogo_Causas!$B$2:$B$10,MATCH(F1140,Catalogo_Causas!$A$2:$A$10,0))</f>
        <v>Retención de calidad</v>
      </c>
      <c r="H1140" s="6" t="str">
        <f aca="false">INDEX(Catalogo_Causas!$C$2:$C$10,MATCH(F1140,Catalogo_Causas!$A$2:$A$10,0))</f>
        <v>Calidad</v>
      </c>
      <c r="I1140" s="5" t="n">
        <v>99</v>
      </c>
      <c r="J1140" s="29" t="n">
        <f aca="false">I1140/60</f>
        <v>1.65</v>
      </c>
    </row>
    <row r="1141" customFormat="false" ht="15" hidden="false" customHeight="false" outlineLevel="0" collapsed="false">
      <c r="A1141" s="5" t="s">
        <v>2183</v>
      </c>
      <c r="B1141" s="9" t="n">
        <v>45915</v>
      </c>
      <c r="C1141" s="9" t="n">
        <v>45917</v>
      </c>
      <c r="D1141" s="5" t="s">
        <v>136</v>
      </c>
      <c r="E1141" s="5" t="s">
        <v>1051</v>
      </c>
      <c r="F1141" s="5" t="s">
        <v>1012</v>
      </c>
      <c r="G1141" s="6" t="str">
        <f aca="false">INDEX(Catalogo_Causas!$B$2:$B$10,MATCH(F1141,Catalogo_Causas!$A$2:$A$10,0))</f>
        <v>Falta de materia prima</v>
      </c>
      <c r="H1141" s="6" t="str">
        <f aca="false">INDEX(Catalogo_Causas!$C$2:$C$10,MATCH(F1141,Catalogo_Causas!$A$2:$A$10,0))</f>
        <v>Material / suministro</v>
      </c>
      <c r="I1141" s="5" t="n">
        <v>60</v>
      </c>
      <c r="J1141" s="29" t="n">
        <f aca="false">I1141/60</f>
        <v>1</v>
      </c>
    </row>
    <row r="1142" customFormat="false" ht="15" hidden="false" customHeight="false" outlineLevel="0" collapsed="false">
      <c r="A1142" s="5" t="s">
        <v>2184</v>
      </c>
      <c r="B1142" s="9" t="n">
        <v>45915</v>
      </c>
      <c r="C1142" s="9" t="n">
        <v>45917</v>
      </c>
      <c r="D1142" s="5" t="s">
        <v>136</v>
      </c>
      <c r="E1142" s="5" t="s">
        <v>1051</v>
      </c>
      <c r="F1142" s="5" t="s">
        <v>1002</v>
      </c>
      <c r="G1142" s="6" t="str">
        <f aca="false">INDEX(Catalogo_Causas!$B$2:$B$10,MATCH(F1142,Catalogo_Causas!$A$2:$A$10,0))</f>
        <v>Falla mecánica</v>
      </c>
      <c r="H1142" s="6" t="str">
        <f aca="false">INDEX(Catalogo_Causas!$C$2:$C$10,MATCH(F1142,Catalogo_Causas!$A$2:$A$10,0))</f>
        <v>Operacional</v>
      </c>
      <c r="I1142" s="5" t="n">
        <v>150</v>
      </c>
      <c r="J1142" s="29" t="n">
        <f aca="false">I1142/60</f>
        <v>2.5</v>
      </c>
    </row>
    <row r="1143" customFormat="false" ht="15" hidden="false" customHeight="false" outlineLevel="0" collapsed="false">
      <c r="A1143" s="5" t="s">
        <v>2185</v>
      </c>
      <c r="B1143" s="9" t="n">
        <v>45915</v>
      </c>
      <c r="C1143" s="9" t="n">
        <v>45917</v>
      </c>
      <c r="D1143" s="5" t="s">
        <v>138</v>
      </c>
      <c r="E1143" s="5" t="s">
        <v>1034</v>
      </c>
      <c r="F1143" s="5" t="s">
        <v>1002</v>
      </c>
      <c r="G1143" s="6" t="str">
        <f aca="false">INDEX(Catalogo_Causas!$B$2:$B$10,MATCH(F1143,Catalogo_Causas!$A$2:$A$10,0))</f>
        <v>Falla mecánica</v>
      </c>
      <c r="H1143" s="6" t="str">
        <f aca="false">INDEX(Catalogo_Causas!$C$2:$C$10,MATCH(F1143,Catalogo_Causas!$A$2:$A$10,0))</f>
        <v>Operacional</v>
      </c>
      <c r="I1143" s="5" t="n">
        <v>70</v>
      </c>
      <c r="J1143" s="29" t="n">
        <f aca="false">I1143/60</f>
        <v>1.16666666666667</v>
      </c>
    </row>
    <row r="1144" customFormat="false" ht="15" hidden="false" customHeight="false" outlineLevel="0" collapsed="false">
      <c r="A1144" s="5" t="s">
        <v>2186</v>
      </c>
      <c r="B1144" s="9" t="n">
        <v>45915</v>
      </c>
      <c r="C1144" s="9" t="n">
        <v>45918</v>
      </c>
      <c r="D1144" s="5" t="s">
        <v>130</v>
      </c>
      <c r="E1144" s="5" t="s">
        <v>1078</v>
      </c>
      <c r="F1144" s="5" t="s">
        <v>1009</v>
      </c>
      <c r="G1144" s="6" t="str">
        <f aca="false">INDEX(Catalogo_Causas!$B$2:$B$10,MATCH(F1144,Catalogo_Causas!$A$2:$A$10,0))</f>
        <v>Falta de material de empaque</v>
      </c>
      <c r="H1144" s="6" t="str">
        <f aca="false">INDEX(Catalogo_Causas!$C$2:$C$10,MATCH(F1144,Catalogo_Causas!$A$2:$A$10,0))</f>
        <v>Material / suministro</v>
      </c>
      <c r="I1144" s="5" t="n">
        <v>36</v>
      </c>
      <c r="J1144" s="29" t="n">
        <f aca="false">I1144/60</f>
        <v>0.6</v>
      </c>
    </row>
    <row r="1145" customFormat="false" ht="15" hidden="false" customHeight="false" outlineLevel="0" collapsed="false">
      <c r="A1145" s="5" t="s">
        <v>2187</v>
      </c>
      <c r="B1145" s="9" t="n">
        <v>45915</v>
      </c>
      <c r="C1145" s="9" t="n">
        <v>45918</v>
      </c>
      <c r="D1145" s="5" t="s">
        <v>138</v>
      </c>
      <c r="E1145" s="5" t="s">
        <v>1034</v>
      </c>
      <c r="F1145" s="5" t="s">
        <v>1016</v>
      </c>
      <c r="G1145" s="6" t="str">
        <f aca="false">INDEX(Catalogo_Causas!$B$2:$B$10,MATCH(F1145,Catalogo_Causas!$A$2:$A$10,0))</f>
        <v>Limpieza no programada (CIP)</v>
      </c>
      <c r="H1145" s="6" t="str">
        <f aca="false">INDEX(Catalogo_Causas!$C$2:$C$10,MATCH(F1145,Catalogo_Causas!$A$2:$A$10,0))</f>
        <v>Calidad</v>
      </c>
      <c r="I1145" s="5" t="n">
        <v>25</v>
      </c>
      <c r="J1145" s="29" t="n">
        <f aca="false">I1145/60</f>
        <v>0.416666666666667</v>
      </c>
    </row>
    <row r="1146" customFormat="false" ht="15" hidden="false" customHeight="false" outlineLevel="0" collapsed="false">
      <c r="A1146" s="5" t="s">
        <v>2188</v>
      </c>
      <c r="B1146" s="9" t="n">
        <v>45915</v>
      </c>
      <c r="C1146" s="9" t="n">
        <v>45918</v>
      </c>
      <c r="D1146" s="5" t="s">
        <v>140</v>
      </c>
      <c r="E1146" s="5" t="s">
        <v>1032</v>
      </c>
      <c r="F1146" s="5" t="s">
        <v>1007</v>
      </c>
      <c r="G1146" s="6" t="str">
        <f aca="false">INDEX(Catalogo_Causas!$B$2:$B$10,MATCH(F1146,Catalogo_Causas!$A$2:$A$10,0))</f>
        <v>Cambio de formato excedido</v>
      </c>
      <c r="H1146" s="6" t="str">
        <f aca="false">INDEX(Catalogo_Causas!$C$2:$C$10,MATCH(F1146,Catalogo_Causas!$A$2:$A$10,0))</f>
        <v>Operacional</v>
      </c>
      <c r="I1146" s="5" t="n">
        <v>142</v>
      </c>
      <c r="J1146" s="29" t="n">
        <f aca="false">I1146/60</f>
        <v>2.36666666666667</v>
      </c>
    </row>
    <row r="1147" customFormat="false" ht="15" hidden="false" customHeight="false" outlineLevel="0" collapsed="false">
      <c r="A1147" s="5" t="s">
        <v>2189</v>
      </c>
      <c r="B1147" s="9" t="n">
        <v>45915</v>
      </c>
      <c r="C1147" s="9" t="n">
        <v>45918</v>
      </c>
      <c r="D1147" s="5" t="s">
        <v>144</v>
      </c>
      <c r="E1147" s="5" t="s">
        <v>1032</v>
      </c>
      <c r="F1147" s="5" t="s">
        <v>1018</v>
      </c>
      <c r="G1147" s="6" t="str">
        <f aca="false">INDEX(Catalogo_Causas!$B$2:$B$10,MATCH(F1147,Catalogo_Causas!$A$2:$A$10,0))</f>
        <v>Falta de personal</v>
      </c>
      <c r="H1147" s="6" t="str">
        <f aca="false">INDEX(Catalogo_Causas!$C$2:$C$10,MATCH(F1147,Catalogo_Causas!$A$2:$A$10,0))</f>
        <v>Personal</v>
      </c>
      <c r="I1147" s="5" t="n">
        <v>73</v>
      </c>
      <c r="J1147" s="29" t="n">
        <f aca="false">I1147/60</f>
        <v>1.21666666666667</v>
      </c>
    </row>
    <row r="1148" customFormat="false" ht="15" hidden="false" customHeight="false" outlineLevel="0" collapsed="false">
      <c r="A1148" s="5" t="s">
        <v>2190</v>
      </c>
      <c r="B1148" s="9" t="n">
        <v>45915</v>
      </c>
      <c r="C1148" s="9" t="n">
        <v>45919</v>
      </c>
      <c r="D1148" s="5" t="s">
        <v>132</v>
      </c>
      <c r="E1148" s="5" t="s">
        <v>1084</v>
      </c>
      <c r="F1148" s="5" t="s">
        <v>1016</v>
      </c>
      <c r="G1148" s="6" t="str">
        <f aca="false">INDEX(Catalogo_Causas!$B$2:$B$10,MATCH(F1148,Catalogo_Causas!$A$2:$A$10,0))</f>
        <v>Limpieza no programada (CIP)</v>
      </c>
      <c r="H1148" s="6" t="str">
        <f aca="false">INDEX(Catalogo_Causas!$C$2:$C$10,MATCH(F1148,Catalogo_Causas!$A$2:$A$10,0))</f>
        <v>Calidad</v>
      </c>
      <c r="I1148" s="5" t="n">
        <v>78</v>
      </c>
      <c r="J1148" s="29" t="n">
        <f aca="false">I1148/60</f>
        <v>1.3</v>
      </c>
    </row>
    <row r="1149" customFormat="false" ht="15" hidden="false" customHeight="false" outlineLevel="0" collapsed="false">
      <c r="A1149" s="5" t="s">
        <v>2191</v>
      </c>
      <c r="B1149" s="9" t="n">
        <v>45915</v>
      </c>
      <c r="C1149" s="9" t="n">
        <v>45919</v>
      </c>
      <c r="D1149" s="5" t="s">
        <v>136</v>
      </c>
      <c r="E1149" s="5" t="s">
        <v>1032</v>
      </c>
      <c r="F1149" s="5" t="s">
        <v>1007</v>
      </c>
      <c r="G1149" s="6" t="str">
        <f aca="false">INDEX(Catalogo_Causas!$B$2:$B$10,MATCH(F1149,Catalogo_Causas!$A$2:$A$10,0))</f>
        <v>Cambio de formato excedido</v>
      </c>
      <c r="H1149" s="6" t="str">
        <f aca="false">INDEX(Catalogo_Causas!$C$2:$C$10,MATCH(F1149,Catalogo_Causas!$A$2:$A$10,0))</f>
        <v>Operacional</v>
      </c>
      <c r="I1149" s="5" t="n">
        <v>32</v>
      </c>
      <c r="J1149" s="29" t="n">
        <f aca="false">I1149/60</f>
        <v>0.533333333333333</v>
      </c>
    </row>
    <row r="1150" customFormat="false" ht="15" hidden="false" customHeight="false" outlineLevel="0" collapsed="false">
      <c r="A1150" s="5" t="s">
        <v>2192</v>
      </c>
      <c r="B1150" s="9" t="n">
        <v>45915</v>
      </c>
      <c r="C1150" s="9" t="n">
        <v>45919</v>
      </c>
      <c r="D1150" s="5" t="s">
        <v>140</v>
      </c>
      <c r="E1150" s="5" t="s">
        <v>1032</v>
      </c>
      <c r="F1150" s="5" t="s">
        <v>1005</v>
      </c>
      <c r="G1150" s="6" t="str">
        <f aca="false">INDEX(Catalogo_Causas!$B$2:$B$10,MATCH(F1150,Catalogo_Causas!$A$2:$A$10,0))</f>
        <v>Falla eléctrica / control</v>
      </c>
      <c r="H1150" s="6" t="str">
        <f aca="false">INDEX(Catalogo_Causas!$C$2:$C$10,MATCH(F1150,Catalogo_Causas!$A$2:$A$10,0))</f>
        <v>Operacional</v>
      </c>
      <c r="I1150" s="5" t="n">
        <v>33</v>
      </c>
      <c r="J1150" s="29" t="n">
        <f aca="false">I1150/60</f>
        <v>0.55</v>
      </c>
    </row>
    <row r="1151" customFormat="false" ht="15" hidden="false" customHeight="false" outlineLevel="0" collapsed="false">
      <c r="A1151" s="5" t="s">
        <v>2193</v>
      </c>
      <c r="B1151" s="9" t="n">
        <v>45915</v>
      </c>
      <c r="C1151" s="9" t="n">
        <v>45920</v>
      </c>
      <c r="D1151" s="5" t="s">
        <v>134</v>
      </c>
      <c r="E1151" s="5" t="s">
        <v>1030</v>
      </c>
      <c r="F1151" s="5" t="s">
        <v>1018</v>
      </c>
      <c r="G1151" s="6" t="str">
        <f aca="false">INDEX(Catalogo_Causas!$B$2:$B$10,MATCH(F1151,Catalogo_Causas!$A$2:$A$10,0))</f>
        <v>Falta de personal</v>
      </c>
      <c r="H1151" s="6" t="str">
        <f aca="false">INDEX(Catalogo_Causas!$C$2:$C$10,MATCH(F1151,Catalogo_Causas!$A$2:$A$10,0))</f>
        <v>Personal</v>
      </c>
      <c r="I1151" s="5" t="n">
        <v>60</v>
      </c>
      <c r="J1151" s="29" t="n">
        <f aca="false">I1151/60</f>
        <v>1</v>
      </c>
    </row>
    <row r="1152" customFormat="false" ht="15" hidden="false" customHeight="false" outlineLevel="0" collapsed="false">
      <c r="A1152" s="5" t="s">
        <v>2194</v>
      </c>
      <c r="B1152" s="9" t="n">
        <v>45915</v>
      </c>
      <c r="C1152" s="9" t="n">
        <v>45920</v>
      </c>
      <c r="D1152" s="5" t="s">
        <v>138</v>
      </c>
      <c r="E1152" s="5" t="s">
        <v>1039</v>
      </c>
      <c r="F1152" s="5" t="s">
        <v>1007</v>
      </c>
      <c r="G1152" s="6" t="str">
        <f aca="false">INDEX(Catalogo_Causas!$B$2:$B$10,MATCH(F1152,Catalogo_Causas!$A$2:$A$10,0))</f>
        <v>Cambio de formato excedido</v>
      </c>
      <c r="H1152" s="6" t="str">
        <f aca="false">INDEX(Catalogo_Causas!$C$2:$C$10,MATCH(F1152,Catalogo_Causas!$A$2:$A$10,0))</f>
        <v>Operacional</v>
      </c>
      <c r="I1152" s="5" t="n">
        <v>69</v>
      </c>
      <c r="J1152" s="29" t="n">
        <f aca="false">I1152/60</f>
        <v>1.15</v>
      </c>
    </row>
    <row r="1153" customFormat="false" ht="15" hidden="false" customHeight="false" outlineLevel="0" collapsed="false">
      <c r="A1153" s="5" t="s">
        <v>2195</v>
      </c>
      <c r="B1153" s="9" t="n">
        <v>45915</v>
      </c>
      <c r="C1153" s="9" t="n">
        <v>45920</v>
      </c>
      <c r="D1153" s="5" t="s">
        <v>144</v>
      </c>
      <c r="E1153" s="5" t="s">
        <v>1032</v>
      </c>
      <c r="F1153" s="5" t="s">
        <v>1007</v>
      </c>
      <c r="G1153" s="6" t="str">
        <f aca="false">INDEX(Catalogo_Causas!$B$2:$B$10,MATCH(F1153,Catalogo_Causas!$A$2:$A$10,0))</f>
        <v>Cambio de formato excedido</v>
      </c>
      <c r="H1153" s="6" t="str">
        <f aca="false">INDEX(Catalogo_Causas!$C$2:$C$10,MATCH(F1153,Catalogo_Causas!$A$2:$A$10,0))</f>
        <v>Operacional</v>
      </c>
      <c r="I1153" s="5" t="n">
        <v>60</v>
      </c>
      <c r="J1153" s="29" t="n">
        <f aca="false">I1153/60</f>
        <v>1</v>
      </c>
    </row>
    <row r="1154" customFormat="false" ht="15" hidden="false" customHeight="false" outlineLevel="0" collapsed="false">
      <c r="A1154" s="5" t="s">
        <v>2196</v>
      </c>
      <c r="B1154" s="9" t="n">
        <v>45922</v>
      </c>
      <c r="C1154" s="9" t="n">
        <v>45923</v>
      </c>
      <c r="D1154" s="5" t="s">
        <v>130</v>
      </c>
      <c r="E1154" s="5" t="s">
        <v>1078</v>
      </c>
      <c r="F1154" s="5" t="s">
        <v>1018</v>
      </c>
      <c r="G1154" s="6" t="str">
        <f aca="false">INDEX(Catalogo_Causas!$B$2:$B$10,MATCH(F1154,Catalogo_Causas!$A$2:$A$10,0))</f>
        <v>Falta de personal</v>
      </c>
      <c r="H1154" s="6" t="str">
        <f aca="false">INDEX(Catalogo_Causas!$C$2:$C$10,MATCH(F1154,Catalogo_Causas!$A$2:$A$10,0))</f>
        <v>Personal</v>
      </c>
      <c r="I1154" s="5" t="n">
        <v>60</v>
      </c>
      <c r="J1154" s="29" t="n">
        <f aca="false">I1154/60</f>
        <v>1</v>
      </c>
    </row>
    <row r="1155" customFormat="false" ht="15" hidden="false" customHeight="false" outlineLevel="0" collapsed="false">
      <c r="A1155" s="5" t="s">
        <v>2197</v>
      </c>
      <c r="B1155" s="9" t="n">
        <v>45922</v>
      </c>
      <c r="C1155" s="9" t="n">
        <v>45923</v>
      </c>
      <c r="D1155" s="5" t="s">
        <v>130</v>
      </c>
      <c r="E1155" s="5" t="s">
        <v>1078</v>
      </c>
      <c r="F1155" s="5" t="s">
        <v>1009</v>
      </c>
      <c r="G1155" s="6" t="str">
        <f aca="false">INDEX(Catalogo_Causas!$B$2:$B$10,MATCH(F1155,Catalogo_Causas!$A$2:$A$10,0))</f>
        <v>Falta de material de empaque</v>
      </c>
      <c r="H1155" s="6" t="str">
        <f aca="false">INDEX(Catalogo_Causas!$C$2:$C$10,MATCH(F1155,Catalogo_Causas!$A$2:$A$10,0))</f>
        <v>Material / suministro</v>
      </c>
      <c r="I1155" s="5" t="n">
        <v>25</v>
      </c>
      <c r="J1155" s="29" t="n">
        <f aca="false">I1155/60</f>
        <v>0.416666666666667</v>
      </c>
    </row>
    <row r="1156" customFormat="false" ht="15" hidden="false" customHeight="false" outlineLevel="0" collapsed="false">
      <c r="A1156" s="5" t="s">
        <v>2198</v>
      </c>
      <c r="B1156" s="9" t="n">
        <v>45922</v>
      </c>
      <c r="C1156" s="9" t="n">
        <v>45923</v>
      </c>
      <c r="D1156" s="5" t="s">
        <v>132</v>
      </c>
      <c r="E1156" s="5" t="s">
        <v>1084</v>
      </c>
      <c r="F1156" s="5" t="s">
        <v>1002</v>
      </c>
      <c r="G1156" s="6" t="str">
        <f aca="false">INDEX(Catalogo_Causas!$B$2:$B$10,MATCH(F1156,Catalogo_Causas!$A$2:$A$10,0))</f>
        <v>Falla mecánica</v>
      </c>
      <c r="H1156" s="6" t="str">
        <f aca="false">INDEX(Catalogo_Causas!$C$2:$C$10,MATCH(F1156,Catalogo_Causas!$A$2:$A$10,0))</f>
        <v>Operacional</v>
      </c>
      <c r="I1156" s="5" t="n">
        <v>17</v>
      </c>
      <c r="J1156" s="29" t="n">
        <f aca="false">I1156/60</f>
        <v>0.283333333333333</v>
      </c>
    </row>
    <row r="1157" customFormat="false" ht="15" hidden="false" customHeight="false" outlineLevel="0" collapsed="false">
      <c r="A1157" s="5" t="s">
        <v>2199</v>
      </c>
      <c r="B1157" s="9" t="n">
        <v>45922</v>
      </c>
      <c r="C1157" s="9" t="n">
        <v>45923</v>
      </c>
      <c r="D1157" s="5" t="s">
        <v>134</v>
      </c>
      <c r="E1157" s="5" t="s">
        <v>1032</v>
      </c>
      <c r="F1157" s="5" t="s">
        <v>1009</v>
      </c>
      <c r="G1157" s="6" t="str">
        <f aca="false">INDEX(Catalogo_Causas!$B$2:$B$10,MATCH(F1157,Catalogo_Causas!$A$2:$A$10,0))</f>
        <v>Falta de material de empaque</v>
      </c>
      <c r="H1157" s="6" t="str">
        <f aca="false">INDEX(Catalogo_Causas!$C$2:$C$10,MATCH(F1157,Catalogo_Causas!$A$2:$A$10,0))</f>
        <v>Material / suministro</v>
      </c>
      <c r="I1157" s="5" t="n">
        <v>69</v>
      </c>
      <c r="J1157" s="29" t="n">
        <f aca="false">I1157/60</f>
        <v>1.15</v>
      </c>
    </row>
    <row r="1158" customFormat="false" ht="15" hidden="false" customHeight="false" outlineLevel="0" collapsed="false">
      <c r="A1158" s="5" t="s">
        <v>2200</v>
      </c>
      <c r="B1158" s="9" t="n">
        <v>45922</v>
      </c>
      <c r="C1158" s="9" t="n">
        <v>45923</v>
      </c>
      <c r="D1158" s="5" t="s">
        <v>136</v>
      </c>
      <c r="E1158" s="5" t="s">
        <v>1101</v>
      </c>
      <c r="F1158" s="5" t="s">
        <v>1012</v>
      </c>
      <c r="G1158" s="6" t="str">
        <f aca="false">INDEX(Catalogo_Causas!$B$2:$B$10,MATCH(F1158,Catalogo_Causas!$A$2:$A$10,0))</f>
        <v>Falta de materia prima</v>
      </c>
      <c r="H1158" s="6" t="str">
        <f aca="false">INDEX(Catalogo_Causas!$C$2:$C$10,MATCH(F1158,Catalogo_Causas!$A$2:$A$10,0))</f>
        <v>Material / suministro</v>
      </c>
      <c r="I1158" s="5" t="n">
        <v>48</v>
      </c>
      <c r="J1158" s="29" t="n">
        <f aca="false">I1158/60</f>
        <v>0.8</v>
      </c>
    </row>
    <row r="1159" customFormat="false" ht="15" hidden="false" customHeight="false" outlineLevel="0" collapsed="false">
      <c r="A1159" s="5" t="s">
        <v>2201</v>
      </c>
      <c r="B1159" s="9" t="n">
        <v>45922</v>
      </c>
      <c r="C1159" s="9" t="n">
        <v>45923</v>
      </c>
      <c r="D1159" s="5" t="s">
        <v>138</v>
      </c>
      <c r="E1159" s="5" t="s">
        <v>1034</v>
      </c>
      <c r="F1159" s="5" t="s">
        <v>1009</v>
      </c>
      <c r="G1159" s="6" t="str">
        <f aca="false">INDEX(Catalogo_Causas!$B$2:$B$10,MATCH(F1159,Catalogo_Causas!$A$2:$A$10,0))</f>
        <v>Falta de material de empaque</v>
      </c>
      <c r="H1159" s="6" t="str">
        <f aca="false">INDEX(Catalogo_Causas!$C$2:$C$10,MATCH(F1159,Catalogo_Causas!$A$2:$A$10,0))</f>
        <v>Material / suministro</v>
      </c>
      <c r="I1159" s="5" t="n">
        <v>103</v>
      </c>
      <c r="J1159" s="29" t="n">
        <f aca="false">I1159/60</f>
        <v>1.71666666666667</v>
      </c>
    </row>
    <row r="1160" customFormat="false" ht="15" hidden="false" customHeight="false" outlineLevel="0" collapsed="false">
      <c r="A1160" s="5" t="s">
        <v>2202</v>
      </c>
      <c r="B1160" s="9" t="n">
        <v>45922</v>
      </c>
      <c r="C1160" s="9" t="n">
        <v>45924</v>
      </c>
      <c r="D1160" s="5" t="s">
        <v>136</v>
      </c>
      <c r="E1160" s="5" t="s">
        <v>1051</v>
      </c>
      <c r="F1160" s="5" t="s">
        <v>1018</v>
      </c>
      <c r="G1160" s="6" t="str">
        <f aca="false">INDEX(Catalogo_Causas!$B$2:$B$10,MATCH(F1160,Catalogo_Causas!$A$2:$A$10,0))</f>
        <v>Falta de personal</v>
      </c>
      <c r="H1160" s="6" t="str">
        <f aca="false">INDEX(Catalogo_Causas!$C$2:$C$10,MATCH(F1160,Catalogo_Causas!$A$2:$A$10,0))</f>
        <v>Personal</v>
      </c>
      <c r="I1160" s="5" t="n">
        <v>62</v>
      </c>
      <c r="J1160" s="29" t="n">
        <f aca="false">I1160/60</f>
        <v>1.03333333333333</v>
      </c>
    </row>
    <row r="1161" customFormat="false" ht="15" hidden="false" customHeight="false" outlineLevel="0" collapsed="false">
      <c r="A1161" s="5" t="s">
        <v>2203</v>
      </c>
      <c r="B1161" s="9" t="n">
        <v>45922</v>
      </c>
      <c r="C1161" s="9" t="n">
        <v>45924</v>
      </c>
      <c r="D1161" s="5" t="s">
        <v>140</v>
      </c>
      <c r="E1161" s="5" t="s">
        <v>1045</v>
      </c>
      <c r="F1161" s="5" t="s">
        <v>1014</v>
      </c>
      <c r="G1161" s="6" t="str">
        <f aca="false">INDEX(Catalogo_Causas!$B$2:$B$10,MATCH(F1161,Catalogo_Causas!$A$2:$A$10,0))</f>
        <v>Retención de calidad</v>
      </c>
      <c r="H1161" s="6" t="str">
        <f aca="false">INDEX(Catalogo_Causas!$C$2:$C$10,MATCH(F1161,Catalogo_Causas!$A$2:$A$10,0))</f>
        <v>Calidad</v>
      </c>
      <c r="I1161" s="5" t="n">
        <v>131</v>
      </c>
      <c r="J1161" s="29" t="n">
        <f aca="false">I1161/60</f>
        <v>2.18333333333333</v>
      </c>
    </row>
    <row r="1162" customFormat="false" ht="15" hidden="false" customHeight="false" outlineLevel="0" collapsed="false">
      <c r="A1162" s="5" t="s">
        <v>2204</v>
      </c>
      <c r="B1162" s="9" t="n">
        <v>45922</v>
      </c>
      <c r="C1162" s="9" t="n">
        <v>45925</v>
      </c>
      <c r="D1162" s="5" t="s">
        <v>132</v>
      </c>
      <c r="E1162" s="5" t="s">
        <v>1073</v>
      </c>
      <c r="F1162" s="5" t="s">
        <v>1002</v>
      </c>
      <c r="G1162" s="6" t="str">
        <f aca="false">INDEX(Catalogo_Causas!$B$2:$B$10,MATCH(F1162,Catalogo_Causas!$A$2:$A$10,0))</f>
        <v>Falla mecánica</v>
      </c>
      <c r="H1162" s="6" t="str">
        <f aca="false">INDEX(Catalogo_Causas!$C$2:$C$10,MATCH(F1162,Catalogo_Causas!$A$2:$A$10,0))</f>
        <v>Operacional</v>
      </c>
      <c r="I1162" s="5" t="n">
        <v>15</v>
      </c>
      <c r="J1162" s="29" t="n">
        <f aca="false">I1162/60</f>
        <v>0.25</v>
      </c>
    </row>
    <row r="1163" customFormat="false" ht="15" hidden="false" customHeight="false" outlineLevel="0" collapsed="false">
      <c r="A1163" s="5" t="s">
        <v>2205</v>
      </c>
      <c r="B1163" s="9" t="n">
        <v>45922</v>
      </c>
      <c r="C1163" s="9" t="n">
        <v>45925</v>
      </c>
      <c r="D1163" s="5" t="s">
        <v>134</v>
      </c>
      <c r="E1163" s="5" t="s">
        <v>1054</v>
      </c>
      <c r="F1163" s="5" t="s">
        <v>1002</v>
      </c>
      <c r="G1163" s="6" t="str">
        <f aca="false">INDEX(Catalogo_Causas!$B$2:$B$10,MATCH(F1163,Catalogo_Causas!$A$2:$A$10,0))</f>
        <v>Falla mecánica</v>
      </c>
      <c r="H1163" s="6" t="str">
        <f aca="false">INDEX(Catalogo_Causas!$C$2:$C$10,MATCH(F1163,Catalogo_Causas!$A$2:$A$10,0))</f>
        <v>Operacional</v>
      </c>
      <c r="I1163" s="5" t="n">
        <v>57</v>
      </c>
      <c r="J1163" s="29" t="n">
        <f aca="false">I1163/60</f>
        <v>0.95</v>
      </c>
    </row>
    <row r="1164" customFormat="false" ht="15" hidden="false" customHeight="false" outlineLevel="0" collapsed="false">
      <c r="A1164" s="5" t="s">
        <v>2206</v>
      </c>
      <c r="B1164" s="9" t="n">
        <v>45922</v>
      </c>
      <c r="C1164" s="9" t="n">
        <v>45925</v>
      </c>
      <c r="D1164" s="5" t="s">
        <v>138</v>
      </c>
      <c r="E1164" s="5" t="s">
        <v>1056</v>
      </c>
      <c r="F1164" s="5" t="s">
        <v>1018</v>
      </c>
      <c r="G1164" s="6" t="str">
        <f aca="false">INDEX(Catalogo_Causas!$B$2:$B$10,MATCH(F1164,Catalogo_Causas!$A$2:$A$10,0))</f>
        <v>Falta de personal</v>
      </c>
      <c r="H1164" s="6" t="str">
        <f aca="false">INDEX(Catalogo_Causas!$C$2:$C$10,MATCH(F1164,Catalogo_Causas!$A$2:$A$10,0))</f>
        <v>Personal</v>
      </c>
      <c r="I1164" s="5" t="n">
        <v>68</v>
      </c>
      <c r="J1164" s="29" t="n">
        <f aca="false">I1164/60</f>
        <v>1.13333333333333</v>
      </c>
    </row>
    <row r="1165" customFormat="false" ht="15" hidden="false" customHeight="false" outlineLevel="0" collapsed="false">
      <c r="A1165" s="5" t="s">
        <v>2207</v>
      </c>
      <c r="B1165" s="9" t="n">
        <v>45922</v>
      </c>
      <c r="C1165" s="9" t="n">
        <v>45925</v>
      </c>
      <c r="D1165" s="5" t="s">
        <v>140</v>
      </c>
      <c r="E1165" s="5" t="s">
        <v>1036</v>
      </c>
      <c r="F1165" s="5" t="s">
        <v>1005</v>
      </c>
      <c r="G1165" s="6" t="str">
        <f aca="false">INDEX(Catalogo_Causas!$B$2:$B$10,MATCH(F1165,Catalogo_Causas!$A$2:$A$10,0))</f>
        <v>Falla eléctrica / control</v>
      </c>
      <c r="H1165" s="6" t="str">
        <f aca="false">INDEX(Catalogo_Causas!$C$2:$C$10,MATCH(F1165,Catalogo_Causas!$A$2:$A$10,0))</f>
        <v>Operacional</v>
      </c>
      <c r="I1165" s="5" t="n">
        <v>39</v>
      </c>
      <c r="J1165" s="29" t="n">
        <f aca="false">I1165/60</f>
        <v>0.65</v>
      </c>
    </row>
    <row r="1166" customFormat="false" ht="15" hidden="false" customHeight="false" outlineLevel="0" collapsed="false">
      <c r="A1166" s="5" t="s">
        <v>2208</v>
      </c>
      <c r="B1166" s="9" t="n">
        <v>45922</v>
      </c>
      <c r="C1166" s="9" t="n">
        <v>45925</v>
      </c>
      <c r="D1166" s="5" t="s">
        <v>142</v>
      </c>
      <c r="E1166" s="5" t="s">
        <v>1030</v>
      </c>
      <c r="F1166" s="5" t="s">
        <v>1005</v>
      </c>
      <c r="G1166" s="6" t="str">
        <f aca="false">INDEX(Catalogo_Causas!$B$2:$B$10,MATCH(F1166,Catalogo_Causas!$A$2:$A$10,0))</f>
        <v>Falla eléctrica / control</v>
      </c>
      <c r="H1166" s="6" t="str">
        <f aca="false">INDEX(Catalogo_Causas!$C$2:$C$10,MATCH(F1166,Catalogo_Causas!$A$2:$A$10,0))</f>
        <v>Operacional</v>
      </c>
      <c r="I1166" s="5" t="n">
        <v>38</v>
      </c>
      <c r="J1166" s="29" t="n">
        <f aca="false">I1166/60</f>
        <v>0.633333333333333</v>
      </c>
    </row>
    <row r="1167" customFormat="false" ht="15" hidden="false" customHeight="false" outlineLevel="0" collapsed="false">
      <c r="A1167" s="5" t="s">
        <v>2209</v>
      </c>
      <c r="B1167" s="9" t="n">
        <v>45922</v>
      </c>
      <c r="C1167" s="9" t="n">
        <v>45926</v>
      </c>
      <c r="D1167" s="5" t="s">
        <v>138</v>
      </c>
      <c r="E1167" s="5" t="s">
        <v>1039</v>
      </c>
      <c r="F1167" s="5" t="s">
        <v>1002</v>
      </c>
      <c r="G1167" s="6" t="str">
        <f aca="false">INDEX(Catalogo_Causas!$B$2:$B$10,MATCH(F1167,Catalogo_Causas!$A$2:$A$10,0))</f>
        <v>Falla mecánica</v>
      </c>
      <c r="H1167" s="6" t="str">
        <f aca="false">INDEX(Catalogo_Causas!$C$2:$C$10,MATCH(F1167,Catalogo_Causas!$A$2:$A$10,0))</f>
        <v>Operacional</v>
      </c>
      <c r="I1167" s="5" t="n">
        <v>39</v>
      </c>
      <c r="J1167" s="29" t="n">
        <f aca="false">I1167/60</f>
        <v>0.65</v>
      </c>
    </row>
    <row r="1168" customFormat="false" ht="15" hidden="false" customHeight="false" outlineLevel="0" collapsed="false">
      <c r="A1168" s="5" t="s">
        <v>2210</v>
      </c>
      <c r="B1168" s="9" t="n">
        <v>45922</v>
      </c>
      <c r="C1168" s="9" t="n">
        <v>45926</v>
      </c>
      <c r="D1168" s="5" t="s">
        <v>144</v>
      </c>
      <c r="E1168" s="5" t="s">
        <v>1043</v>
      </c>
      <c r="F1168" s="5" t="s">
        <v>1002</v>
      </c>
      <c r="G1168" s="6" t="str">
        <f aca="false">INDEX(Catalogo_Causas!$B$2:$B$10,MATCH(F1168,Catalogo_Causas!$A$2:$A$10,0))</f>
        <v>Falla mecánica</v>
      </c>
      <c r="H1168" s="6" t="str">
        <f aca="false">INDEX(Catalogo_Causas!$C$2:$C$10,MATCH(F1168,Catalogo_Causas!$A$2:$A$10,0))</f>
        <v>Operacional</v>
      </c>
      <c r="I1168" s="5" t="n">
        <v>60</v>
      </c>
      <c r="J1168" s="29" t="n">
        <f aca="false">I1168/60</f>
        <v>1</v>
      </c>
    </row>
    <row r="1169" customFormat="false" ht="15" hidden="false" customHeight="false" outlineLevel="0" collapsed="false">
      <c r="A1169" s="5" t="s">
        <v>2211</v>
      </c>
      <c r="B1169" s="9" t="n">
        <v>45922</v>
      </c>
      <c r="C1169" s="9" t="n">
        <v>45927</v>
      </c>
      <c r="D1169" s="5" t="s">
        <v>138</v>
      </c>
      <c r="E1169" s="5" t="s">
        <v>1056</v>
      </c>
      <c r="F1169" s="5" t="s">
        <v>1021</v>
      </c>
      <c r="G1169" s="6" t="str">
        <f aca="false">INDEX(Catalogo_Causas!$B$2:$B$10,MATCH(F1169,Catalogo_Causas!$A$2:$A$10,0))</f>
        <v>Falla de servicios (vapor/amoniaco/aire)</v>
      </c>
      <c r="H1169" s="6" t="str">
        <f aca="false">INDEX(Catalogo_Causas!$C$2:$C$10,MATCH(F1169,Catalogo_Causas!$A$2:$A$10,0))</f>
        <v>Servicios</v>
      </c>
      <c r="I1169" s="5" t="n">
        <v>44</v>
      </c>
      <c r="J1169" s="29" t="n">
        <f aca="false">I1169/60</f>
        <v>0.733333333333333</v>
      </c>
    </row>
    <row r="1170" customFormat="false" ht="15" hidden="false" customHeight="false" outlineLevel="0" collapsed="false">
      <c r="A1170" s="5" t="s">
        <v>2212</v>
      </c>
      <c r="B1170" s="9" t="n">
        <v>45922</v>
      </c>
      <c r="C1170" s="9" t="n">
        <v>45927</v>
      </c>
      <c r="D1170" s="5" t="s">
        <v>140</v>
      </c>
      <c r="E1170" s="5" t="s">
        <v>1045</v>
      </c>
      <c r="F1170" s="5" t="s">
        <v>1002</v>
      </c>
      <c r="G1170" s="6" t="str">
        <f aca="false">INDEX(Catalogo_Causas!$B$2:$B$10,MATCH(F1170,Catalogo_Causas!$A$2:$A$10,0))</f>
        <v>Falla mecánica</v>
      </c>
      <c r="H1170" s="6" t="str">
        <f aca="false">INDEX(Catalogo_Causas!$C$2:$C$10,MATCH(F1170,Catalogo_Causas!$A$2:$A$10,0))</f>
        <v>Operacional</v>
      </c>
      <c r="I1170" s="5" t="n">
        <v>19</v>
      </c>
      <c r="J1170" s="29" t="n">
        <f aca="false">I1170/60</f>
        <v>0.316666666666667</v>
      </c>
    </row>
    <row r="1171" customFormat="false" ht="15" hidden="false" customHeight="false" outlineLevel="0" collapsed="false">
      <c r="A1171" s="5" t="s">
        <v>2213</v>
      </c>
      <c r="B1171" s="9" t="n">
        <v>45922</v>
      </c>
      <c r="C1171" s="9" t="n">
        <v>45927</v>
      </c>
      <c r="D1171" s="5" t="s">
        <v>140</v>
      </c>
      <c r="E1171" s="5" t="s">
        <v>1045</v>
      </c>
      <c r="F1171" s="5" t="s">
        <v>1014</v>
      </c>
      <c r="G1171" s="6" t="str">
        <f aca="false">INDEX(Catalogo_Causas!$B$2:$B$10,MATCH(F1171,Catalogo_Causas!$A$2:$A$10,0))</f>
        <v>Retención de calidad</v>
      </c>
      <c r="H1171" s="6" t="str">
        <f aca="false">INDEX(Catalogo_Causas!$C$2:$C$10,MATCH(F1171,Catalogo_Causas!$A$2:$A$10,0))</f>
        <v>Calidad</v>
      </c>
      <c r="I1171" s="5" t="n">
        <v>54</v>
      </c>
      <c r="J1171" s="29" t="n">
        <f aca="false">I1171/60</f>
        <v>0.9</v>
      </c>
    </row>
    <row r="1172" customFormat="false" ht="15" hidden="false" customHeight="false" outlineLevel="0" collapsed="false">
      <c r="A1172" s="5" t="s">
        <v>2214</v>
      </c>
      <c r="B1172" s="9" t="n">
        <v>45929</v>
      </c>
      <c r="C1172" s="9" t="n">
        <v>45929</v>
      </c>
      <c r="D1172" s="5" t="s">
        <v>134</v>
      </c>
      <c r="E1172" s="5" t="s">
        <v>1054</v>
      </c>
      <c r="F1172" s="5" t="s">
        <v>1005</v>
      </c>
      <c r="G1172" s="6" t="str">
        <f aca="false">INDEX(Catalogo_Causas!$B$2:$B$10,MATCH(F1172,Catalogo_Causas!$A$2:$A$10,0))</f>
        <v>Falla eléctrica / control</v>
      </c>
      <c r="H1172" s="6" t="str">
        <f aca="false">INDEX(Catalogo_Causas!$C$2:$C$10,MATCH(F1172,Catalogo_Causas!$A$2:$A$10,0))</f>
        <v>Operacional</v>
      </c>
      <c r="I1172" s="5" t="n">
        <v>70</v>
      </c>
      <c r="J1172" s="29" t="n">
        <f aca="false">I1172/60</f>
        <v>1.16666666666667</v>
      </c>
    </row>
    <row r="1173" customFormat="false" ht="15" hidden="false" customHeight="false" outlineLevel="0" collapsed="false">
      <c r="A1173" s="5" t="s">
        <v>2215</v>
      </c>
      <c r="B1173" s="9" t="n">
        <v>45929</v>
      </c>
      <c r="C1173" s="9" t="n">
        <v>45929</v>
      </c>
      <c r="D1173" s="5" t="s">
        <v>134</v>
      </c>
      <c r="E1173" s="5" t="s">
        <v>1032</v>
      </c>
      <c r="F1173" s="5" t="s">
        <v>1009</v>
      </c>
      <c r="G1173" s="6" t="str">
        <f aca="false">INDEX(Catalogo_Causas!$B$2:$B$10,MATCH(F1173,Catalogo_Causas!$A$2:$A$10,0))</f>
        <v>Falta de material de empaque</v>
      </c>
      <c r="H1173" s="6" t="str">
        <f aca="false">INDEX(Catalogo_Causas!$C$2:$C$10,MATCH(F1173,Catalogo_Causas!$A$2:$A$10,0))</f>
        <v>Material / suministro</v>
      </c>
      <c r="I1173" s="5" t="n">
        <v>18</v>
      </c>
      <c r="J1173" s="29" t="n">
        <f aca="false">I1173/60</f>
        <v>0.3</v>
      </c>
    </row>
    <row r="1174" customFormat="false" ht="15" hidden="false" customHeight="false" outlineLevel="0" collapsed="false">
      <c r="A1174" s="5" t="s">
        <v>2216</v>
      </c>
      <c r="B1174" s="9" t="n">
        <v>45929</v>
      </c>
      <c r="C1174" s="9" t="n">
        <v>45929</v>
      </c>
      <c r="D1174" s="5" t="s">
        <v>138</v>
      </c>
      <c r="E1174" s="5" t="s">
        <v>1056</v>
      </c>
      <c r="F1174" s="5" t="s">
        <v>1007</v>
      </c>
      <c r="G1174" s="6" t="str">
        <f aca="false">INDEX(Catalogo_Causas!$B$2:$B$10,MATCH(F1174,Catalogo_Causas!$A$2:$A$10,0))</f>
        <v>Cambio de formato excedido</v>
      </c>
      <c r="H1174" s="6" t="str">
        <f aca="false">INDEX(Catalogo_Causas!$C$2:$C$10,MATCH(F1174,Catalogo_Causas!$A$2:$A$10,0))</f>
        <v>Operacional</v>
      </c>
      <c r="I1174" s="5" t="n">
        <v>40</v>
      </c>
      <c r="J1174" s="29" t="n">
        <f aca="false">I1174/60</f>
        <v>0.666666666666667</v>
      </c>
    </row>
    <row r="1175" customFormat="false" ht="15" hidden="false" customHeight="false" outlineLevel="0" collapsed="false">
      <c r="A1175" s="5" t="s">
        <v>2217</v>
      </c>
      <c r="B1175" s="9" t="n">
        <v>45929</v>
      </c>
      <c r="C1175" s="9" t="n">
        <v>45929</v>
      </c>
      <c r="D1175" s="5" t="s">
        <v>140</v>
      </c>
      <c r="E1175" s="5" t="s">
        <v>1036</v>
      </c>
      <c r="F1175" s="5" t="s">
        <v>1014</v>
      </c>
      <c r="G1175" s="6" t="str">
        <f aca="false">INDEX(Catalogo_Causas!$B$2:$B$10,MATCH(F1175,Catalogo_Causas!$A$2:$A$10,0))</f>
        <v>Retención de calidad</v>
      </c>
      <c r="H1175" s="6" t="str">
        <f aca="false">INDEX(Catalogo_Causas!$C$2:$C$10,MATCH(F1175,Catalogo_Causas!$A$2:$A$10,0))</f>
        <v>Calidad</v>
      </c>
      <c r="I1175" s="5" t="n">
        <v>32</v>
      </c>
      <c r="J1175" s="29" t="n">
        <f aca="false">I1175/60</f>
        <v>0.533333333333333</v>
      </c>
    </row>
    <row r="1176" customFormat="false" ht="15" hidden="false" customHeight="false" outlineLevel="0" collapsed="false">
      <c r="A1176" s="5" t="s">
        <v>2218</v>
      </c>
      <c r="B1176" s="9" t="n">
        <v>45929</v>
      </c>
      <c r="C1176" s="9" t="n">
        <v>45929</v>
      </c>
      <c r="D1176" s="5" t="s">
        <v>140</v>
      </c>
      <c r="E1176" s="5" t="s">
        <v>1045</v>
      </c>
      <c r="F1176" s="5" t="s">
        <v>1009</v>
      </c>
      <c r="G1176" s="6" t="str">
        <f aca="false">INDEX(Catalogo_Causas!$B$2:$B$10,MATCH(F1176,Catalogo_Causas!$A$2:$A$10,0))</f>
        <v>Falta de material de empaque</v>
      </c>
      <c r="H1176" s="6" t="str">
        <f aca="false">INDEX(Catalogo_Causas!$C$2:$C$10,MATCH(F1176,Catalogo_Causas!$A$2:$A$10,0))</f>
        <v>Material / suministro</v>
      </c>
      <c r="I1176" s="5" t="n">
        <v>179</v>
      </c>
      <c r="J1176" s="29" t="n">
        <f aca="false">I1176/60</f>
        <v>2.98333333333333</v>
      </c>
    </row>
    <row r="1177" customFormat="false" ht="15" hidden="false" customHeight="false" outlineLevel="0" collapsed="false">
      <c r="A1177" s="5" t="s">
        <v>2219</v>
      </c>
      <c r="B1177" s="9" t="n">
        <v>45929</v>
      </c>
      <c r="C1177" s="9" t="n">
        <v>45929</v>
      </c>
      <c r="D1177" s="5" t="s">
        <v>144</v>
      </c>
      <c r="E1177" s="5" t="s">
        <v>1043</v>
      </c>
      <c r="F1177" s="5" t="s">
        <v>1014</v>
      </c>
      <c r="G1177" s="6" t="str">
        <f aca="false">INDEX(Catalogo_Causas!$B$2:$B$10,MATCH(F1177,Catalogo_Causas!$A$2:$A$10,0))</f>
        <v>Retención de calidad</v>
      </c>
      <c r="H1177" s="6" t="str">
        <f aca="false">INDEX(Catalogo_Causas!$C$2:$C$10,MATCH(F1177,Catalogo_Causas!$A$2:$A$10,0))</f>
        <v>Calidad</v>
      </c>
      <c r="I1177" s="5" t="n">
        <v>53</v>
      </c>
      <c r="J1177" s="29" t="n">
        <f aca="false">I1177/60</f>
        <v>0.883333333333333</v>
      </c>
    </row>
    <row r="1178" customFormat="false" ht="15" hidden="false" customHeight="false" outlineLevel="0" collapsed="false">
      <c r="A1178" s="5" t="s">
        <v>2220</v>
      </c>
      <c r="B1178" s="9" t="n">
        <v>45929</v>
      </c>
      <c r="C1178" s="9" t="n">
        <v>45930</v>
      </c>
      <c r="D1178" s="5" t="s">
        <v>134</v>
      </c>
      <c r="E1178" s="5" t="s">
        <v>1030</v>
      </c>
      <c r="F1178" s="5" t="s">
        <v>1002</v>
      </c>
      <c r="G1178" s="6" t="str">
        <f aca="false">INDEX(Catalogo_Causas!$B$2:$B$10,MATCH(F1178,Catalogo_Causas!$A$2:$A$10,0))</f>
        <v>Falla mecánica</v>
      </c>
      <c r="H1178" s="6" t="str">
        <f aca="false">INDEX(Catalogo_Causas!$C$2:$C$10,MATCH(F1178,Catalogo_Causas!$A$2:$A$10,0))</f>
        <v>Operacional</v>
      </c>
      <c r="I1178" s="5" t="n">
        <v>10</v>
      </c>
      <c r="J1178" s="29" t="n">
        <f aca="false">I1178/60</f>
        <v>0.166666666666667</v>
      </c>
    </row>
    <row r="1179" customFormat="false" ht="15" hidden="false" customHeight="false" outlineLevel="0" collapsed="false">
      <c r="A1179" s="5" t="s">
        <v>2221</v>
      </c>
      <c r="B1179" s="9" t="n">
        <v>45929</v>
      </c>
      <c r="C1179" s="9" t="n">
        <v>45930</v>
      </c>
      <c r="D1179" s="5" t="s">
        <v>134</v>
      </c>
      <c r="E1179" s="5" t="s">
        <v>1030</v>
      </c>
      <c r="F1179" s="5" t="s">
        <v>1012</v>
      </c>
      <c r="G1179" s="6" t="str">
        <f aca="false">INDEX(Catalogo_Causas!$B$2:$B$10,MATCH(F1179,Catalogo_Causas!$A$2:$A$10,0))</f>
        <v>Falta de materia prima</v>
      </c>
      <c r="H1179" s="6" t="str">
        <f aca="false">INDEX(Catalogo_Causas!$C$2:$C$10,MATCH(F1179,Catalogo_Causas!$A$2:$A$10,0))</f>
        <v>Material / suministro</v>
      </c>
      <c r="I1179" s="5" t="n">
        <v>22</v>
      </c>
      <c r="J1179" s="29" t="n">
        <f aca="false">I1179/60</f>
        <v>0.366666666666667</v>
      </c>
    </row>
    <row r="1180" customFormat="false" ht="15" hidden="false" customHeight="false" outlineLevel="0" collapsed="false">
      <c r="A1180" s="5" t="s">
        <v>2222</v>
      </c>
      <c r="B1180" s="9" t="n">
        <v>45929</v>
      </c>
      <c r="C1180" s="9" t="n">
        <v>45931</v>
      </c>
      <c r="D1180" s="5" t="s">
        <v>136</v>
      </c>
      <c r="E1180" s="5" t="s">
        <v>1101</v>
      </c>
      <c r="F1180" s="5" t="s">
        <v>1016</v>
      </c>
      <c r="G1180" s="6" t="str">
        <f aca="false">INDEX(Catalogo_Causas!$B$2:$B$10,MATCH(F1180,Catalogo_Causas!$A$2:$A$10,0))</f>
        <v>Limpieza no programada (CIP)</v>
      </c>
      <c r="H1180" s="6" t="str">
        <f aca="false">INDEX(Catalogo_Causas!$C$2:$C$10,MATCH(F1180,Catalogo_Causas!$A$2:$A$10,0))</f>
        <v>Calidad</v>
      </c>
      <c r="I1180" s="5" t="n">
        <v>52</v>
      </c>
      <c r="J1180" s="29" t="n">
        <f aca="false">I1180/60</f>
        <v>0.866666666666667</v>
      </c>
    </row>
    <row r="1181" customFormat="false" ht="15" hidden="false" customHeight="false" outlineLevel="0" collapsed="false">
      <c r="A1181" s="5" t="s">
        <v>2223</v>
      </c>
      <c r="B1181" s="9" t="n">
        <v>45929</v>
      </c>
      <c r="C1181" s="9" t="n">
        <v>45932</v>
      </c>
      <c r="D1181" s="5" t="s">
        <v>130</v>
      </c>
      <c r="E1181" s="5" t="s">
        <v>1045</v>
      </c>
      <c r="F1181" s="5" t="s">
        <v>1018</v>
      </c>
      <c r="G1181" s="6" t="str">
        <f aca="false">INDEX(Catalogo_Causas!$B$2:$B$10,MATCH(F1181,Catalogo_Causas!$A$2:$A$10,0))</f>
        <v>Falta de personal</v>
      </c>
      <c r="H1181" s="6" t="str">
        <f aca="false">INDEX(Catalogo_Causas!$C$2:$C$10,MATCH(F1181,Catalogo_Causas!$A$2:$A$10,0))</f>
        <v>Personal</v>
      </c>
      <c r="I1181" s="5" t="n">
        <v>41</v>
      </c>
      <c r="J1181" s="29" t="n">
        <f aca="false">I1181/60</f>
        <v>0.683333333333333</v>
      </c>
    </row>
    <row r="1182" customFormat="false" ht="15" hidden="false" customHeight="false" outlineLevel="0" collapsed="false">
      <c r="A1182" s="5" t="s">
        <v>2224</v>
      </c>
      <c r="B1182" s="9" t="n">
        <v>45929</v>
      </c>
      <c r="C1182" s="9" t="n">
        <v>45932</v>
      </c>
      <c r="D1182" s="5" t="s">
        <v>134</v>
      </c>
      <c r="E1182" s="5" t="s">
        <v>1054</v>
      </c>
      <c r="F1182" s="5" t="s">
        <v>1014</v>
      </c>
      <c r="G1182" s="6" t="str">
        <f aca="false">INDEX(Catalogo_Causas!$B$2:$B$10,MATCH(F1182,Catalogo_Causas!$A$2:$A$10,0))</f>
        <v>Retención de calidad</v>
      </c>
      <c r="H1182" s="6" t="str">
        <f aca="false">INDEX(Catalogo_Causas!$C$2:$C$10,MATCH(F1182,Catalogo_Causas!$A$2:$A$10,0))</f>
        <v>Calidad</v>
      </c>
      <c r="I1182" s="5" t="n">
        <v>81</v>
      </c>
      <c r="J1182" s="29" t="n">
        <f aca="false">I1182/60</f>
        <v>1.35</v>
      </c>
    </row>
    <row r="1183" customFormat="false" ht="15" hidden="false" customHeight="false" outlineLevel="0" collapsed="false">
      <c r="A1183" s="5" t="s">
        <v>2225</v>
      </c>
      <c r="B1183" s="9" t="n">
        <v>45929</v>
      </c>
      <c r="C1183" s="9" t="n">
        <v>45932</v>
      </c>
      <c r="D1183" s="5" t="s">
        <v>138</v>
      </c>
      <c r="E1183" s="5" t="s">
        <v>1056</v>
      </c>
      <c r="F1183" s="5" t="s">
        <v>1005</v>
      </c>
      <c r="G1183" s="6" t="str">
        <f aca="false">INDEX(Catalogo_Causas!$B$2:$B$10,MATCH(F1183,Catalogo_Causas!$A$2:$A$10,0))</f>
        <v>Falla eléctrica / control</v>
      </c>
      <c r="H1183" s="6" t="str">
        <f aca="false">INDEX(Catalogo_Causas!$C$2:$C$10,MATCH(F1183,Catalogo_Causas!$A$2:$A$10,0))</f>
        <v>Operacional</v>
      </c>
      <c r="I1183" s="5" t="n">
        <v>21</v>
      </c>
      <c r="J1183" s="29" t="n">
        <f aca="false">I1183/60</f>
        <v>0.35</v>
      </c>
    </row>
    <row r="1184" customFormat="false" ht="15" hidden="false" customHeight="false" outlineLevel="0" collapsed="false">
      <c r="A1184" s="5" t="s">
        <v>2226</v>
      </c>
      <c r="B1184" s="9" t="n">
        <v>45929</v>
      </c>
      <c r="C1184" s="9" t="n">
        <v>45932</v>
      </c>
      <c r="D1184" s="5" t="s">
        <v>142</v>
      </c>
      <c r="E1184" s="5" t="s">
        <v>1051</v>
      </c>
      <c r="F1184" s="5" t="s">
        <v>1002</v>
      </c>
      <c r="G1184" s="6" t="str">
        <f aca="false">INDEX(Catalogo_Causas!$B$2:$B$10,MATCH(F1184,Catalogo_Causas!$A$2:$A$10,0))</f>
        <v>Falla mecánica</v>
      </c>
      <c r="H1184" s="6" t="str">
        <f aca="false">INDEX(Catalogo_Causas!$C$2:$C$10,MATCH(F1184,Catalogo_Causas!$A$2:$A$10,0))</f>
        <v>Operacional</v>
      </c>
      <c r="I1184" s="5" t="n">
        <v>87</v>
      </c>
      <c r="J1184" s="29" t="n">
        <f aca="false">I1184/60</f>
        <v>1.45</v>
      </c>
    </row>
    <row r="1185" customFormat="false" ht="15" hidden="false" customHeight="false" outlineLevel="0" collapsed="false">
      <c r="A1185" s="5" t="s">
        <v>2227</v>
      </c>
      <c r="B1185" s="9" t="n">
        <v>45929</v>
      </c>
      <c r="C1185" s="9" t="n">
        <v>45933</v>
      </c>
      <c r="D1185" s="5" t="s">
        <v>130</v>
      </c>
      <c r="E1185" s="5" t="s">
        <v>1030</v>
      </c>
      <c r="F1185" s="5" t="s">
        <v>1002</v>
      </c>
      <c r="G1185" s="6" t="str">
        <f aca="false">INDEX(Catalogo_Causas!$B$2:$B$10,MATCH(F1185,Catalogo_Causas!$A$2:$A$10,0))</f>
        <v>Falla mecánica</v>
      </c>
      <c r="H1185" s="6" t="str">
        <f aca="false">INDEX(Catalogo_Causas!$C$2:$C$10,MATCH(F1185,Catalogo_Causas!$A$2:$A$10,0))</f>
        <v>Operacional</v>
      </c>
      <c r="I1185" s="5" t="n">
        <v>122</v>
      </c>
      <c r="J1185" s="29" t="n">
        <f aca="false">I1185/60</f>
        <v>2.03333333333333</v>
      </c>
    </row>
    <row r="1186" customFormat="false" ht="15" hidden="false" customHeight="false" outlineLevel="0" collapsed="false">
      <c r="A1186" s="5" t="s">
        <v>2228</v>
      </c>
      <c r="B1186" s="9" t="n">
        <v>45929</v>
      </c>
      <c r="C1186" s="9" t="n">
        <v>45933</v>
      </c>
      <c r="D1186" s="5" t="s">
        <v>142</v>
      </c>
      <c r="E1186" s="5" t="s">
        <v>1041</v>
      </c>
      <c r="F1186" s="5" t="s">
        <v>1021</v>
      </c>
      <c r="G1186" s="6" t="str">
        <f aca="false">INDEX(Catalogo_Causas!$B$2:$B$10,MATCH(F1186,Catalogo_Causas!$A$2:$A$10,0))</f>
        <v>Falla de servicios (vapor/amoniaco/aire)</v>
      </c>
      <c r="H1186" s="6" t="str">
        <f aca="false">INDEX(Catalogo_Causas!$C$2:$C$10,MATCH(F1186,Catalogo_Causas!$A$2:$A$10,0))</f>
        <v>Servicios</v>
      </c>
      <c r="I1186" s="5" t="n">
        <v>200</v>
      </c>
      <c r="J1186" s="29" t="n">
        <f aca="false">I1186/60</f>
        <v>3.33333333333333</v>
      </c>
    </row>
    <row r="1187" customFormat="false" ht="15" hidden="false" customHeight="false" outlineLevel="0" collapsed="false">
      <c r="A1187" s="5" t="s">
        <v>2229</v>
      </c>
      <c r="B1187" s="9" t="n">
        <v>45929</v>
      </c>
      <c r="C1187" s="9" t="n">
        <v>45933</v>
      </c>
      <c r="D1187" s="5" t="s">
        <v>144</v>
      </c>
      <c r="E1187" s="5" t="s">
        <v>1043</v>
      </c>
      <c r="F1187" s="5" t="s">
        <v>1007</v>
      </c>
      <c r="G1187" s="6" t="str">
        <f aca="false">INDEX(Catalogo_Causas!$B$2:$B$10,MATCH(F1187,Catalogo_Causas!$A$2:$A$10,0))</f>
        <v>Cambio de formato excedido</v>
      </c>
      <c r="H1187" s="6" t="str">
        <f aca="false">INDEX(Catalogo_Causas!$C$2:$C$10,MATCH(F1187,Catalogo_Causas!$A$2:$A$10,0))</f>
        <v>Operacional</v>
      </c>
      <c r="I1187" s="5" t="n">
        <v>31</v>
      </c>
      <c r="J1187" s="29" t="n">
        <f aca="false">I1187/60</f>
        <v>0.516666666666667</v>
      </c>
    </row>
    <row r="1188" customFormat="false" ht="15" hidden="false" customHeight="false" outlineLevel="0" collapsed="false">
      <c r="A1188" s="5" t="s">
        <v>2230</v>
      </c>
      <c r="B1188" s="9" t="n">
        <v>45929</v>
      </c>
      <c r="C1188" s="9" t="n">
        <v>45934</v>
      </c>
      <c r="D1188" s="5" t="s">
        <v>136</v>
      </c>
      <c r="E1188" s="5" t="s">
        <v>1032</v>
      </c>
      <c r="F1188" s="5" t="s">
        <v>1002</v>
      </c>
      <c r="G1188" s="6" t="str">
        <f aca="false">INDEX(Catalogo_Causas!$B$2:$B$10,MATCH(F1188,Catalogo_Causas!$A$2:$A$10,0))</f>
        <v>Falla mecánica</v>
      </c>
      <c r="H1188" s="6" t="str">
        <f aca="false">INDEX(Catalogo_Causas!$C$2:$C$10,MATCH(F1188,Catalogo_Causas!$A$2:$A$10,0))</f>
        <v>Operacional</v>
      </c>
      <c r="I1188" s="5" t="n">
        <v>60</v>
      </c>
      <c r="J1188" s="29" t="n">
        <f aca="false">I1188/60</f>
        <v>1</v>
      </c>
    </row>
    <row r="1189" customFormat="false" ht="15" hidden="false" customHeight="false" outlineLevel="0" collapsed="false">
      <c r="A1189" s="5" t="s">
        <v>2231</v>
      </c>
      <c r="B1189" s="9" t="n">
        <v>45936</v>
      </c>
      <c r="C1189" s="9" t="n">
        <v>45936</v>
      </c>
      <c r="D1189" s="5" t="s">
        <v>138</v>
      </c>
      <c r="E1189" s="5" t="s">
        <v>1039</v>
      </c>
      <c r="F1189" s="5" t="s">
        <v>1002</v>
      </c>
      <c r="G1189" s="6" t="str">
        <f aca="false">INDEX(Catalogo_Causas!$B$2:$B$10,MATCH(F1189,Catalogo_Causas!$A$2:$A$10,0))</f>
        <v>Falla mecánica</v>
      </c>
      <c r="H1189" s="6" t="str">
        <f aca="false">INDEX(Catalogo_Causas!$C$2:$C$10,MATCH(F1189,Catalogo_Causas!$A$2:$A$10,0))</f>
        <v>Operacional</v>
      </c>
      <c r="I1189" s="5" t="n">
        <v>53</v>
      </c>
      <c r="J1189" s="29" t="n">
        <f aca="false">I1189/60</f>
        <v>0.883333333333333</v>
      </c>
    </row>
    <row r="1190" customFormat="false" ht="15" hidden="false" customHeight="false" outlineLevel="0" collapsed="false">
      <c r="A1190" s="5" t="s">
        <v>2232</v>
      </c>
      <c r="B1190" s="9" t="n">
        <v>45936</v>
      </c>
      <c r="C1190" s="9" t="n">
        <v>45936</v>
      </c>
      <c r="D1190" s="5" t="s">
        <v>138</v>
      </c>
      <c r="E1190" s="5" t="s">
        <v>1039</v>
      </c>
      <c r="F1190" s="5" t="s">
        <v>1012</v>
      </c>
      <c r="G1190" s="6" t="str">
        <f aca="false">INDEX(Catalogo_Causas!$B$2:$B$10,MATCH(F1190,Catalogo_Causas!$A$2:$A$10,0))</f>
        <v>Falta de materia prima</v>
      </c>
      <c r="H1190" s="6" t="str">
        <f aca="false">INDEX(Catalogo_Causas!$C$2:$C$10,MATCH(F1190,Catalogo_Causas!$A$2:$A$10,0))</f>
        <v>Material / suministro</v>
      </c>
      <c r="I1190" s="5" t="n">
        <v>46</v>
      </c>
      <c r="J1190" s="29" t="n">
        <f aca="false">I1190/60</f>
        <v>0.766666666666667</v>
      </c>
    </row>
    <row r="1191" customFormat="false" ht="15" hidden="false" customHeight="false" outlineLevel="0" collapsed="false">
      <c r="A1191" s="5" t="s">
        <v>2233</v>
      </c>
      <c r="B1191" s="9" t="n">
        <v>45936</v>
      </c>
      <c r="C1191" s="9" t="n">
        <v>45936</v>
      </c>
      <c r="D1191" s="5" t="s">
        <v>142</v>
      </c>
      <c r="E1191" s="5" t="s">
        <v>1041</v>
      </c>
      <c r="F1191" s="5" t="s">
        <v>1021</v>
      </c>
      <c r="G1191" s="6" t="str">
        <f aca="false">INDEX(Catalogo_Causas!$B$2:$B$10,MATCH(F1191,Catalogo_Causas!$A$2:$A$10,0))</f>
        <v>Falla de servicios (vapor/amoniaco/aire)</v>
      </c>
      <c r="H1191" s="6" t="str">
        <f aca="false">INDEX(Catalogo_Causas!$C$2:$C$10,MATCH(F1191,Catalogo_Causas!$A$2:$A$10,0))</f>
        <v>Servicios</v>
      </c>
      <c r="I1191" s="5" t="n">
        <v>70</v>
      </c>
      <c r="J1191" s="29" t="n">
        <f aca="false">I1191/60</f>
        <v>1.16666666666667</v>
      </c>
    </row>
    <row r="1192" customFormat="false" ht="15" hidden="false" customHeight="false" outlineLevel="0" collapsed="false">
      <c r="A1192" s="5" t="s">
        <v>2234</v>
      </c>
      <c r="B1192" s="9" t="n">
        <v>45936</v>
      </c>
      <c r="C1192" s="9" t="n">
        <v>45937</v>
      </c>
      <c r="D1192" s="5" t="s">
        <v>132</v>
      </c>
      <c r="E1192" s="5" t="s">
        <v>1073</v>
      </c>
      <c r="F1192" s="5" t="s">
        <v>1002</v>
      </c>
      <c r="G1192" s="6" t="str">
        <f aca="false">INDEX(Catalogo_Causas!$B$2:$B$10,MATCH(F1192,Catalogo_Causas!$A$2:$A$10,0))</f>
        <v>Falla mecánica</v>
      </c>
      <c r="H1192" s="6" t="str">
        <f aca="false">INDEX(Catalogo_Causas!$C$2:$C$10,MATCH(F1192,Catalogo_Causas!$A$2:$A$10,0))</f>
        <v>Operacional</v>
      </c>
      <c r="I1192" s="5" t="n">
        <v>35</v>
      </c>
      <c r="J1192" s="29" t="n">
        <f aca="false">I1192/60</f>
        <v>0.583333333333333</v>
      </c>
    </row>
    <row r="1193" customFormat="false" ht="15" hidden="false" customHeight="false" outlineLevel="0" collapsed="false">
      <c r="A1193" s="5" t="s">
        <v>2235</v>
      </c>
      <c r="B1193" s="9" t="n">
        <v>45936</v>
      </c>
      <c r="C1193" s="9" t="n">
        <v>45938</v>
      </c>
      <c r="D1193" s="5" t="s">
        <v>138</v>
      </c>
      <c r="E1193" s="5" t="s">
        <v>1034</v>
      </c>
      <c r="F1193" s="5" t="s">
        <v>1009</v>
      </c>
      <c r="G1193" s="6" t="str">
        <f aca="false">INDEX(Catalogo_Causas!$B$2:$B$10,MATCH(F1193,Catalogo_Causas!$A$2:$A$10,0))</f>
        <v>Falta de material de empaque</v>
      </c>
      <c r="H1193" s="6" t="str">
        <f aca="false">INDEX(Catalogo_Causas!$C$2:$C$10,MATCH(F1193,Catalogo_Causas!$A$2:$A$10,0))</f>
        <v>Material / suministro</v>
      </c>
      <c r="I1193" s="5" t="n">
        <v>98</v>
      </c>
      <c r="J1193" s="29" t="n">
        <f aca="false">I1193/60</f>
        <v>1.63333333333333</v>
      </c>
    </row>
    <row r="1194" customFormat="false" ht="15" hidden="false" customHeight="false" outlineLevel="0" collapsed="false">
      <c r="A1194" s="5" t="s">
        <v>2236</v>
      </c>
      <c r="B1194" s="9" t="n">
        <v>45936</v>
      </c>
      <c r="C1194" s="9" t="n">
        <v>45938</v>
      </c>
      <c r="D1194" s="5" t="s">
        <v>140</v>
      </c>
      <c r="E1194" s="5" t="s">
        <v>1045</v>
      </c>
      <c r="F1194" s="5" t="s">
        <v>1002</v>
      </c>
      <c r="G1194" s="6" t="str">
        <f aca="false">INDEX(Catalogo_Causas!$B$2:$B$10,MATCH(F1194,Catalogo_Causas!$A$2:$A$10,0))</f>
        <v>Falla mecánica</v>
      </c>
      <c r="H1194" s="6" t="str">
        <f aca="false">INDEX(Catalogo_Causas!$C$2:$C$10,MATCH(F1194,Catalogo_Causas!$A$2:$A$10,0))</f>
        <v>Operacional</v>
      </c>
      <c r="I1194" s="5" t="n">
        <v>22</v>
      </c>
      <c r="J1194" s="29" t="n">
        <f aca="false">I1194/60</f>
        <v>0.366666666666667</v>
      </c>
    </row>
    <row r="1195" customFormat="false" ht="15" hidden="false" customHeight="false" outlineLevel="0" collapsed="false">
      <c r="A1195" s="5" t="s">
        <v>2237</v>
      </c>
      <c r="B1195" s="9" t="n">
        <v>45936</v>
      </c>
      <c r="C1195" s="9" t="n">
        <v>45938</v>
      </c>
      <c r="D1195" s="5" t="s">
        <v>142</v>
      </c>
      <c r="E1195" s="5" t="s">
        <v>1030</v>
      </c>
      <c r="F1195" s="5" t="s">
        <v>1002</v>
      </c>
      <c r="G1195" s="6" t="str">
        <f aca="false">INDEX(Catalogo_Causas!$B$2:$B$10,MATCH(F1195,Catalogo_Causas!$A$2:$A$10,0))</f>
        <v>Falla mecánica</v>
      </c>
      <c r="H1195" s="6" t="str">
        <f aca="false">INDEX(Catalogo_Causas!$C$2:$C$10,MATCH(F1195,Catalogo_Causas!$A$2:$A$10,0))</f>
        <v>Operacional</v>
      </c>
      <c r="I1195" s="5" t="n">
        <v>41</v>
      </c>
      <c r="J1195" s="29" t="n">
        <f aca="false">I1195/60</f>
        <v>0.683333333333333</v>
      </c>
    </row>
    <row r="1196" customFormat="false" ht="15" hidden="false" customHeight="false" outlineLevel="0" collapsed="false">
      <c r="A1196" s="5" t="s">
        <v>2238</v>
      </c>
      <c r="B1196" s="9" t="n">
        <v>45936</v>
      </c>
      <c r="C1196" s="9" t="n">
        <v>45939</v>
      </c>
      <c r="D1196" s="5" t="s">
        <v>132</v>
      </c>
      <c r="E1196" s="5" t="s">
        <v>1032</v>
      </c>
      <c r="F1196" s="5" t="s">
        <v>1005</v>
      </c>
      <c r="G1196" s="6" t="str">
        <f aca="false">INDEX(Catalogo_Causas!$B$2:$B$10,MATCH(F1196,Catalogo_Causas!$A$2:$A$10,0))</f>
        <v>Falla eléctrica / control</v>
      </c>
      <c r="H1196" s="6" t="str">
        <f aca="false">INDEX(Catalogo_Causas!$C$2:$C$10,MATCH(F1196,Catalogo_Causas!$A$2:$A$10,0))</f>
        <v>Operacional</v>
      </c>
      <c r="I1196" s="5" t="n">
        <v>42</v>
      </c>
      <c r="J1196" s="29" t="n">
        <f aca="false">I1196/60</f>
        <v>0.7</v>
      </c>
    </row>
    <row r="1197" customFormat="false" ht="15" hidden="false" customHeight="false" outlineLevel="0" collapsed="false">
      <c r="A1197" s="5" t="s">
        <v>2239</v>
      </c>
      <c r="B1197" s="9" t="n">
        <v>45936</v>
      </c>
      <c r="C1197" s="9" t="n">
        <v>45939</v>
      </c>
      <c r="D1197" s="5" t="s">
        <v>134</v>
      </c>
      <c r="E1197" s="5" t="s">
        <v>1054</v>
      </c>
      <c r="F1197" s="5" t="s">
        <v>1012</v>
      </c>
      <c r="G1197" s="6" t="str">
        <f aca="false">INDEX(Catalogo_Causas!$B$2:$B$10,MATCH(F1197,Catalogo_Causas!$A$2:$A$10,0))</f>
        <v>Falta de materia prima</v>
      </c>
      <c r="H1197" s="6" t="str">
        <f aca="false">INDEX(Catalogo_Causas!$C$2:$C$10,MATCH(F1197,Catalogo_Causas!$A$2:$A$10,0))</f>
        <v>Material / suministro</v>
      </c>
      <c r="I1197" s="5" t="n">
        <v>31</v>
      </c>
      <c r="J1197" s="29" t="n">
        <f aca="false">I1197/60</f>
        <v>0.516666666666667</v>
      </c>
    </row>
    <row r="1198" customFormat="false" ht="15" hidden="false" customHeight="false" outlineLevel="0" collapsed="false">
      <c r="A1198" s="5" t="s">
        <v>2240</v>
      </c>
      <c r="B1198" s="9" t="n">
        <v>45936</v>
      </c>
      <c r="C1198" s="9" t="n">
        <v>45940</v>
      </c>
      <c r="D1198" s="5" t="s">
        <v>132</v>
      </c>
      <c r="E1198" s="5" t="s">
        <v>1073</v>
      </c>
      <c r="F1198" s="5" t="s">
        <v>1012</v>
      </c>
      <c r="G1198" s="6" t="str">
        <f aca="false">INDEX(Catalogo_Causas!$B$2:$B$10,MATCH(F1198,Catalogo_Causas!$A$2:$A$10,0))</f>
        <v>Falta de materia prima</v>
      </c>
      <c r="H1198" s="6" t="str">
        <f aca="false">INDEX(Catalogo_Causas!$C$2:$C$10,MATCH(F1198,Catalogo_Causas!$A$2:$A$10,0))</f>
        <v>Material / suministro</v>
      </c>
      <c r="I1198" s="5" t="n">
        <v>99</v>
      </c>
      <c r="J1198" s="29" t="n">
        <f aca="false">I1198/60</f>
        <v>1.65</v>
      </c>
    </row>
    <row r="1199" customFormat="false" ht="15" hidden="false" customHeight="false" outlineLevel="0" collapsed="false">
      <c r="A1199" s="5" t="s">
        <v>2241</v>
      </c>
      <c r="B1199" s="9" t="n">
        <v>45936</v>
      </c>
      <c r="C1199" s="9" t="n">
        <v>45940</v>
      </c>
      <c r="D1199" s="5" t="s">
        <v>142</v>
      </c>
      <c r="E1199" s="5" t="s">
        <v>1051</v>
      </c>
      <c r="F1199" s="5" t="s">
        <v>1018</v>
      </c>
      <c r="G1199" s="6" t="str">
        <f aca="false">INDEX(Catalogo_Causas!$B$2:$B$10,MATCH(F1199,Catalogo_Causas!$A$2:$A$10,0))</f>
        <v>Falta de personal</v>
      </c>
      <c r="H1199" s="6" t="str">
        <f aca="false">INDEX(Catalogo_Causas!$C$2:$C$10,MATCH(F1199,Catalogo_Causas!$A$2:$A$10,0))</f>
        <v>Personal</v>
      </c>
      <c r="I1199" s="5" t="n">
        <v>114</v>
      </c>
      <c r="J1199" s="29" t="n">
        <f aca="false">I1199/60</f>
        <v>1.9</v>
      </c>
    </row>
    <row r="1200" customFormat="false" ht="15" hidden="false" customHeight="false" outlineLevel="0" collapsed="false">
      <c r="A1200" s="5" t="s">
        <v>2242</v>
      </c>
      <c r="B1200" s="9" t="n">
        <v>45936</v>
      </c>
      <c r="C1200" s="9" t="n">
        <v>45940</v>
      </c>
      <c r="D1200" s="5" t="s">
        <v>142</v>
      </c>
      <c r="E1200" s="5" t="s">
        <v>1041</v>
      </c>
      <c r="F1200" s="5" t="s">
        <v>1007</v>
      </c>
      <c r="G1200" s="6" t="str">
        <f aca="false">INDEX(Catalogo_Causas!$B$2:$B$10,MATCH(F1200,Catalogo_Causas!$A$2:$A$10,0))</f>
        <v>Cambio de formato excedido</v>
      </c>
      <c r="H1200" s="6" t="str">
        <f aca="false">INDEX(Catalogo_Causas!$C$2:$C$10,MATCH(F1200,Catalogo_Causas!$A$2:$A$10,0))</f>
        <v>Operacional</v>
      </c>
      <c r="I1200" s="5" t="n">
        <v>47</v>
      </c>
      <c r="J1200" s="29" t="n">
        <f aca="false">I1200/60</f>
        <v>0.783333333333333</v>
      </c>
    </row>
    <row r="1201" customFormat="false" ht="15" hidden="false" customHeight="false" outlineLevel="0" collapsed="false">
      <c r="A1201" s="5" t="s">
        <v>2243</v>
      </c>
      <c r="B1201" s="9" t="n">
        <v>45936</v>
      </c>
      <c r="C1201" s="9" t="n">
        <v>45940</v>
      </c>
      <c r="D1201" s="5" t="s">
        <v>142</v>
      </c>
      <c r="E1201" s="5" t="s">
        <v>1051</v>
      </c>
      <c r="F1201" s="5" t="s">
        <v>1012</v>
      </c>
      <c r="G1201" s="6" t="str">
        <f aca="false">INDEX(Catalogo_Causas!$B$2:$B$10,MATCH(F1201,Catalogo_Causas!$A$2:$A$10,0))</f>
        <v>Falta de materia prima</v>
      </c>
      <c r="H1201" s="6" t="str">
        <f aca="false">INDEX(Catalogo_Causas!$C$2:$C$10,MATCH(F1201,Catalogo_Causas!$A$2:$A$10,0))</f>
        <v>Material / suministro</v>
      </c>
      <c r="I1201" s="5" t="n">
        <v>13</v>
      </c>
      <c r="J1201" s="29" t="n">
        <f aca="false">I1201/60</f>
        <v>0.216666666666667</v>
      </c>
    </row>
    <row r="1202" customFormat="false" ht="15" hidden="false" customHeight="false" outlineLevel="0" collapsed="false">
      <c r="A1202" s="5" t="s">
        <v>2244</v>
      </c>
      <c r="B1202" s="9" t="n">
        <v>45936</v>
      </c>
      <c r="C1202" s="9" t="n">
        <v>45941</v>
      </c>
      <c r="D1202" s="5" t="s">
        <v>142</v>
      </c>
      <c r="E1202" s="5" t="s">
        <v>1051</v>
      </c>
      <c r="F1202" s="5" t="s">
        <v>1009</v>
      </c>
      <c r="G1202" s="6" t="str">
        <f aca="false">INDEX(Catalogo_Causas!$B$2:$B$10,MATCH(F1202,Catalogo_Causas!$A$2:$A$10,0))</f>
        <v>Falta de material de empaque</v>
      </c>
      <c r="H1202" s="6" t="str">
        <f aca="false">INDEX(Catalogo_Causas!$C$2:$C$10,MATCH(F1202,Catalogo_Causas!$A$2:$A$10,0))</f>
        <v>Material / suministro</v>
      </c>
      <c r="I1202" s="5" t="n">
        <v>43</v>
      </c>
      <c r="J1202" s="29" t="n">
        <f aca="false">I1202/60</f>
        <v>0.716666666666667</v>
      </c>
    </row>
    <row r="1203" customFormat="false" ht="15" hidden="false" customHeight="false" outlineLevel="0" collapsed="false">
      <c r="A1203" s="5" t="s">
        <v>2245</v>
      </c>
      <c r="B1203" s="9" t="n">
        <v>45936</v>
      </c>
      <c r="C1203" s="9" t="n">
        <v>45941</v>
      </c>
      <c r="D1203" s="5" t="s">
        <v>142</v>
      </c>
      <c r="E1203" s="5" t="s">
        <v>1030</v>
      </c>
      <c r="F1203" s="5" t="s">
        <v>1009</v>
      </c>
      <c r="G1203" s="6" t="str">
        <f aca="false">INDEX(Catalogo_Causas!$B$2:$B$10,MATCH(F1203,Catalogo_Causas!$A$2:$A$10,0))</f>
        <v>Falta de material de empaque</v>
      </c>
      <c r="H1203" s="6" t="str">
        <f aca="false">INDEX(Catalogo_Causas!$C$2:$C$10,MATCH(F1203,Catalogo_Causas!$A$2:$A$10,0))</f>
        <v>Material / suministro</v>
      </c>
      <c r="I1203" s="5" t="n">
        <v>21</v>
      </c>
      <c r="J1203" s="29" t="n">
        <f aca="false">I1203/60</f>
        <v>0.35</v>
      </c>
    </row>
    <row r="1204" customFormat="false" ht="15" hidden="false" customHeight="false" outlineLevel="0" collapsed="false">
      <c r="A1204" s="5" t="s">
        <v>2246</v>
      </c>
      <c r="B1204" s="9" t="n">
        <v>45943</v>
      </c>
      <c r="C1204" s="9" t="n">
        <v>45943</v>
      </c>
      <c r="D1204" s="5" t="s">
        <v>132</v>
      </c>
      <c r="E1204" s="5" t="s">
        <v>1073</v>
      </c>
      <c r="F1204" s="5" t="s">
        <v>1002</v>
      </c>
      <c r="G1204" s="6" t="str">
        <f aca="false">INDEX(Catalogo_Causas!$B$2:$B$10,MATCH(F1204,Catalogo_Causas!$A$2:$A$10,0))</f>
        <v>Falla mecánica</v>
      </c>
      <c r="H1204" s="6" t="str">
        <f aca="false">INDEX(Catalogo_Causas!$C$2:$C$10,MATCH(F1204,Catalogo_Causas!$A$2:$A$10,0))</f>
        <v>Operacional</v>
      </c>
      <c r="I1204" s="5" t="n">
        <v>17</v>
      </c>
      <c r="J1204" s="29" t="n">
        <f aca="false">I1204/60</f>
        <v>0.283333333333333</v>
      </c>
    </row>
    <row r="1205" customFormat="false" ht="15" hidden="false" customHeight="false" outlineLevel="0" collapsed="false">
      <c r="A1205" s="5" t="s">
        <v>2247</v>
      </c>
      <c r="B1205" s="9" t="n">
        <v>45943</v>
      </c>
      <c r="C1205" s="9" t="n">
        <v>45943</v>
      </c>
      <c r="D1205" s="5" t="s">
        <v>134</v>
      </c>
      <c r="E1205" s="5" t="s">
        <v>1030</v>
      </c>
      <c r="F1205" s="5" t="s">
        <v>1009</v>
      </c>
      <c r="G1205" s="6" t="str">
        <f aca="false">INDEX(Catalogo_Causas!$B$2:$B$10,MATCH(F1205,Catalogo_Causas!$A$2:$A$10,0))</f>
        <v>Falta de material de empaque</v>
      </c>
      <c r="H1205" s="6" t="str">
        <f aca="false">INDEX(Catalogo_Causas!$C$2:$C$10,MATCH(F1205,Catalogo_Causas!$A$2:$A$10,0))</f>
        <v>Material / suministro</v>
      </c>
      <c r="I1205" s="5" t="n">
        <v>89</v>
      </c>
      <c r="J1205" s="29" t="n">
        <f aca="false">I1205/60</f>
        <v>1.48333333333333</v>
      </c>
    </row>
    <row r="1206" customFormat="false" ht="15" hidden="false" customHeight="false" outlineLevel="0" collapsed="false">
      <c r="A1206" s="5" t="s">
        <v>2248</v>
      </c>
      <c r="B1206" s="9" t="n">
        <v>45943</v>
      </c>
      <c r="C1206" s="9" t="n">
        <v>45943</v>
      </c>
      <c r="D1206" s="5" t="s">
        <v>140</v>
      </c>
      <c r="E1206" s="5" t="s">
        <v>1032</v>
      </c>
      <c r="F1206" s="5" t="s">
        <v>1007</v>
      </c>
      <c r="G1206" s="6" t="str">
        <f aca="false">INDEX(Catalogo_Causas!$B$2:$B$10,MATCH(F1206,Catalogo_Causas!$A$2:$A$10,0))</f>
        <v>Cambio de formato excedido</v>
      </c>
      <c r="H1206" s="6" t="str">
        <f aca="false">INDEX(Catalogo_Causas!$C$2:$C$10,MATCH(F1206,Catalogo_Causas!$A$2:$A$10,0))</f>
        <v>Operacional</v>
      </c>
      <c r="I1206" s="5" t="n">
        <v>59</v>
      </c>
      <c r="J1206" s="29" t="n">
        <f aca="false">I1206/60</f>
        <v>0.983333333333333</v>
      </c>
    </row>
    <row r="1207" customFormat="false" ht="15" hidden="false" customHeight="false" outlineLevel="0" collapsed="false">
      <c r="A1207" s="5" t="s">
        <v>2249</v>
      </c>
      <c r="B1207" s="9" t="n">
        <v>45943</v>
      </c>
      <c r="C1207" s="9" t="n">
        <v>45944</v>
      </c>
      <c r="D1207" s="5" t="s">
        <v>140</v>
      </c>
      <c r="E1207" s="5" t="s">
        <v>1045</v>
      </c>
      <c r="F1207" s="5" t="s">
        <v>1014</v>
      </c>
      <c r="G1207" s="6" t="str">
        <f aca="false">INDEX(Catalogo_Causas!$B$2:$B$10,MATCH(F1207,Catalogo_Causas!$A$2:$A$10,0))</f>
        <v>Retención de calidad</v>
      </c>
      <c r="H1207" s="6" t="str">
        <f aca="false">INDEX(Catalogo_Causas!$C$2:$C$10,MATCH(F1207,Catalogo_Causas!$A$2:$A$10,0))</f>
        <v>Calidad</v>
      </c>
      <c r="I1207" s="5" t="n">
        <v>52</v>
      </c>
      <c r="J1207" s="29" t="n">
        <f aca="false">I1207/60</f>
        <v>0.866666666666667</v>
      </c>
    </row>
    <row r="1208" customFormat="false" ht="15" hidden="false" customHeight="false" outlineLevel="0" collapsed="false">
      <c r="A1208" s="5" t="s">
        <v>2250</v>
      </c>
      <c r="B1208" s="9" t="n">
        <v>45943</v>
      </c>
      <c r="C1208" s="9" t="n">
        <v>45944</v>
      </c>
      <c r="D1208" s="5" t="s">
        <v>142</v>
      </c>
      <c r="E1208" s="5" t="s">
        <v>1051</v>
      </c>
      <c r="F1208" s="5" t="s">
        <v>1002</v>
      </c>
      <c r="G1208" s="6" t="str">
        <f aca="false">INDEX(Catalogo_Causas!$B$2:$B$10,MATCH(F1208,Catalogo_Causas!$A$2:$A$10,0))</f>
        <v>Falla mecánica</v>
      </c>
      <c r="H1208" s="6" t="str">
        <f aca="false">INDEX(Catalogo_Causas!$C$2:$C$10,MATCH(F1208,Catalogo_Causas!$A$2:$A$10,0))</f>
        <v>Operacional</v>
      </c>
      <c r="I1208" s="5" t="n">
        <v>48</v>
      </c>
      <c r="J1208" s="29" t="n">
        <f aca="false">I1208/60</f>
        <v>0.8</v>
      </c>
    </row>
    <row r="1209" customFormat="false" ht="15" hidden="false" customHeight="false" outlineLevel="0" collapsed="false">
      <c r="A1209" s="5" t="s">
        <v>2251</v>
      </c>
      <c r="B1209" s="9" t="n">
        <v>45943</v>
      </c>
      <c r="C1209" s="9" t="n">
        <v>45945</v>
      </c>
      <c r="D1209" s="5" t="s">
        <v>130</v>
      </c>
      <c r="E1209" s="5" t="s">
        <v>1030</v>
      </c>
      <c r="F1209" s="5" t="s">
        <v>1009</v>
      </c>
      <c r="G1209" s="6" t="str">
        <f aca="false">INDEX(Catalogo_Causas!$B$2:$B$10,MATCH(F1209,Catalogo_Causas!$A$2:$A$10,0))</f>
        <v>Falta de material de empaque</v>
      </c>
      <c r="H1209" s="6" t="str">
        <f aca="false">INDEX(Catalogo_Causas!$C$2:$C$10,MATCH(F1209,Catalogo_Causas!$A$2:$A$10,0))</f>
        <v>Material / suministro</v>
      </c>
      <c r="I1209" s="5" t="n">
        <v>65</v>
      </c>
      <c r="J1209" s="29" t="n">
        <f aca="false">I1209/60</f>
        <v>1.08333333333333</v>
      </c>
    </row>
    <row r="1210" customFormat="false" ht="15" hidden="false" customHeight="false" outlineLevel="0" collapsed="false">
      <c r="A1210" s="5" t="s">
        <v>2252</v>
      </c>
      <c r="B1210" s="9" t="n">
        <v>45943</v>
      </c>
      <c r="C1210" s="9" t="n">
        <v>45945</v>
      </c>
      <c r="D1210" s="5" t="s">
        <v>132</v>
      </c>
      <c r="E1210" s="5" t="s">
        <v>1073</v>
      </c>
      <c r="F1210" s="5" t="s">
        <v>1002</v>
      </c>
      <c r="G1210" s="6" t="str">
        <f aca="false">INDEX(Catalogo_Causas!$B$2:$B$10,MATCH(F1210,Catalogo_Causas!$A$2:$A$10,0))</f>
        <v>Falla mecánica</v>
      </c>
      <c r="H1210" s="6" t="str">
        <f aca="false">INDEX(Catalogo_Causas!$C$2:$C$10,MATCH(F1210,Catalogo_Causas!$A$2:$A$10,0))</f>
        <v>Operacional</v>
      </c>
      <c r="I1210" s="5" t="n">
        <v>25</v>
      </c>
      <c r="J1210" s="29" t="n">
        <f aca="false">I1210/60</f>
        <v>0.416666666666667</v>
      </c>
    </row>
    <row r="1211" customFormat="false" ht="15" hidden="false" customHeight="false" outlineLevel="0" collapsed="false">
      <c r="A1211" s="5" t="s">
        <v>2253</v>
      </c>
      <c r="B1211" s="9" t="n">
        <v>45943</v>
      </c>
      <c r="C1211" s="9" t="n">
        <v>45945</v>
      </c>
      <c r="D1211" s="5" t="s">
        <v>134</v>
      </c>
      <c r="E1211" s="5" t="s">
        <v>1030</v>
      </c>
      <c r="F1211" s="5" t="s">
        <v>1018</v>
      </c>
      <c r="G1211" s="6" t="str">
        <f aca="false">INDEX(Catalogo_Causas!$B$2:$B$10,MATCH(F1211,Catalogo_Causas!$A$2:$A$10,0))</f>
        <v>Falta de personal</v>
      </c>
      <c r="H1211" s="6" t="str">
        <f aca="false">INDEX(Catalogo_Causas!$C$2:$C$10,MATCH(F1211,Catalogo_Causas!$A$2:$A$10,0))</f>
        <v>Personal</v>
      </c>
      <c r="I1211" s="5" t="n">
        <v>49</v>
      </c>
      <c r="J1211" s="29" t="n">
        <f aca="false">I1211/60</f>
        <v>0.816666666666667</v>
      </c>
    </row>
    <row r="1212" customFormat="false" ht="15" hidden="false" customHeight="false" outlineLevel="0" collapsed="false">
      <c r="A1212" s="5" t="s">
        <v>2254</v>
      </c>
      <c r="B1212" s="9" t="n">
        <v>45943</v>
      </c>
      <c r="C1212" s="9" t="n">
        <v>45945</v>
      </c>
      <c r="D1212" s="5" t="s">
        <v>136</v>
      </c>
      <c r="E1212" s="5" t="s">
        <v>1101</v>
      </c>
      <c r="F1212" s="5" t="s">
        <v>1014</v>
      </c>
      <c r="G1212" s="6" t="str">
        <f aca="false">INDEX(Catalogo_Causas!$B$2:$B$10,MATCH(F1212,Catalogo_Causas!$A$2:$A$10,0))</f>
        <v>Retención de calidad</v>
      </c>
      <c r="H1212" s="6" t="str">
        <f aca="false">INDEX(Catalogo_Causas!$C$2:$C$10,MATCH(F1212,Catalogo_Causas!$A$2:$A$10,0))</f>
        <v>Calidad</v>
      </c>
      <c r="I1212" s="5" t="n">
        <v>158</v>
      </c>
      <c r="J1212" s="29" t="n">
        <f aca="false">I1212/60</f>
        <v>2.63333333333333</v>
      </c>
    </row>
    <row r="1213" customFormat="false" ht="15" hidden="false" customHeight="false" outlineLevel="0" collapsed="false">
      <c r="A1213" s="5" t="s">
        <v>2255</v>
      </c>
      <c r="B1213" s="9" t="n">
        <v>45943</v>
      </c>
      <c r="C1213" s="9" t="n">
        <v>45946</v>
      </c>
      <c r="D1213" s="5" t="s">
        <v>130</v>
      </c>
      <c r="E1213" s="5" t="s">
        <v>1078</v>
      </c>
      <c r="F1213" s="5" t="s">
        <v>1007</v>
      </c>
      <c r="G1213" s="6" t="str">
        <f aca="false">INDEX(Catalogo_Causas!$B$2:$B$10,MATCH(F1213,Catalogo_Causas!$A$2:$A$10,0))</f>
        <v>Cambio de formato excedido</v>
      </c>
      <c r="H1213" s="6" t="str">
        <f aca="false">INDEX(Catalogo_Causas!$C$2:$C$10,MATCH(F1213,Catalogo_Causas!$A$2:$A$10,0))</f>
        <v>Operacional</v>
      </c>
      <c r="I1213" s="5" t="n">
        <v>163</v>
      </c>
      <c r="J1213" s="29" t="n">
        <f aca="false">I1213/60</f>
        <v>2.71666666666667</v>
      </c>
    </row>
    <row r="1214" customFormat="false" ht="15" hidden="false" customHeight="false" outlineLevel="0" collapsed="false">
      <c r="A1214" s="5" t="s">
        <v>2256</v>
      </c>
      <c r="B1214" s="9" t="n">
        <v>45943</v>
      </c>
      <c r="C1214" s="9" t="n">
        <v>45946</v>
      </c>
      <c r="D1214" s="5" t="s">
        <v>132</v>
      </c>
      <c r="E1214" s="5" t="s">
        <v>1084</v>
      </c>
      <c r="F1214" s="5" t="s">
        <v>1021</v>
      </c>
      <c r="G1214" s="6" t="str">
        <f aca="false">INDEX(Catalogo_Causas!$B$2:$B$10,MATCH(F1214,Catalogo_Causas!$A$2:$A$10,0))</f>
        <v>Falla de servicios (vapor/amoniaco/aire)</v>
      </c>
      <c r="H1214" s="6" t="str">
        <f aca="false">INDEX(Catalogo_Causas!$C$2:$C$10,MATCH(F1214,Catalogo_Causas!$A$2:$A$10,0))</f>
        <v>Servicios</v>
      </c>
      <c r="I1214" s="5" t="n">
        <v>14</v>
      </c>
      <c r="J1214" s="29" t="n">
        <f aca="false">I1214/60</f>
        <v>0.233333333333333</v>
      </c>
    </row>
    <row r="1215" customFormat="false" ht="15" hidden="false" customHeight="false" outlineLevel="0" collapsed="false">
      <c r="A1215" s="5" t="s">
        <v>2257</v>
      </c>
      <c r="B1215" s="9" t="n">
        <v>45943</v>
      </c>
      <c r="C1215" s="9" t="n">
        <v>45946</v>
      </c>
      <c r="D1215" s="5" t="s">
        <v>136</v>
      </c>
      <c r="E1215" s="5" t="s">
        <v>1032</v>
      </c>
      <c r="F1215" s="5" t="s">
        <v>1007</v>
      </c>
      <c r="G1215" s="6" t="str">
        <f aca="false">INDEX(Catalogo_Causas!$B$2:$B$10,MATCH(F1215,Catalogo_Causas!$A$2:$A$10,0))</f>
        <v>Cambio de formato excedido</v>
      </c>
      <c r="H1215" s="6" t="str">
        <f aca="false">INDEX(Catalogo_Causas!$C$2:$C$10,MATCH(F1215,Catalogo_Causas!$A$2:$A$10,0))</f>
        <v>Operacional</v>
      </c>
      <c r="I1215" s="5" t="n">
        <v>21</v>
      </c>
      <c r="J1215" s="29" t="n">
        <f aca="false">I1215/60</f>
        <v>0.35</v>
      </c>
    </row>
    <row r="1216" customFormat="false" ht="15" hidden="false" customHeight="false" outlineLevel="0" collapsed="false">
      <c r="A1216" s="5" t="s">
        <v>2258</v>
      </c>
      <c r="B1216" s="9" t="n">
        <v>45943</v>
      </c>
      <c r="C1216" s="9" t="n">
        <v>45946</v>
      </c>
      <c r="D1216" s="5" t="s">
        <v>142</v>
      </c>
      <c r="E1216" s="5" t="s">
        <v>1051</v>
      </c>
      <c r="F1216" s="5" t="s">
        <v>1016</v>
      </c>
      <c r="G1216" s="6" t="str">
        <f aca="false">INDEX(Catalogo_Causas!$B$2:$B$10,MATCH(F1216,Catalogo_Causas!$A$2:$A$10,0))</f>
        <v>Limpieza no programada (CIP)</v>
      </c>
      <c r="H1216" s="6" t="str">
        <f aca="false">INDEX(Catalogo_Causas!$C$2:$C$10,MATCH(F1216,Catalogo_Causas!$A$2:$A$10,0))</f>
        <v>Calidad</v>
      </c>
      <c r="I1216" s="5" t="n">
        <v>96</v>
      </c>
      <c r="J1216" s="29" t="n">
        <f aca="false">I1216/60</f>
        <v>1.6</v>
      </c>
    </row>
    <row r="1217" customFormat="false" ht="15" hidden="false" customHeight="false" outlineLevel="0" collapsed="false">
      <c r="A1217" s="5" t="s">
        <v>2259</v>
      </c>
      <c r="B1217" s="9" t="n">
        <v>45943</v>
      </c>
      <c r="C1217" s="9" t="n">
        <v>45947</v>
      </c>
      <c r="D1217" s="5" t="s">
        <v>138</v>
      </c>
      <c r="E1217" s="5" t="s">
        <v>1039</v>
      </c>
      <c r="F1217" s="5" t="s">
        <v>1005</v>
      </c>
      <c r="G1217" s="6" t="str">
        <f aca="false">INDEX(Catalogo_Causas!$B$2:$B$10,MATCH(F1217,Catalogo_Causas!$A$2:$A$10,0))</f>
        <v>Falla eléctrica / control</v>
      </c>
      <c r="H1217" s="6" t="str">
        <f aca="false">INDEX(Catalogo_Causas!$C$2:$C$10,MATCH(F1217,Catalogo_Causas!$A$2:$A$10,0))</f>
        <v>Operacional</v>
      </c>
      <c r="I1217" s="5" t="n">
        <v>26</v>
      </c>
      <c r="J1217" s="29" t="n">
        <f aca="false">I1217/60</f>
        <v>0.433333333333333</v>
      </c>
    </row>
    <row r="1218" customFormat="false" ht="15" hidden="false" customHeight="false" outlineLevel="0" collapsed="false">
      <c r="A1218" s="5" t="s">
        <v>2260</v>
      </c>
      <c r="B1218" s="9" t="n">
        <v>45943</v>
      </c>
      <c r="C1218" s="9" t="n">
        <v>45947</v>
      </c>
      <c r="D1218" s="5" t="s">
        <v>144</v>
      </c>
      <c r="E1218" s="5" t="s">
        <v>1043</v>
      </c>
      <c r="F1218" s="5" t="s">
        <v>1005</v>
      </c>
      <c r="G1218" s="6" t="str">
        <f aca="false">INDEX(Catalogo_Causas!$B$2:$B$10,MATCH(F1218,Catalogo_Causas!$A$2:$A$10,0))</f>
        <v>Falla eléctrica / control</v>
      </c>
      <c r="H1218" s="6" t="str">
        <f aca="false">INDEX(Catalogo_Causas!$C$2:$C$10,MATCH(F1218,Catalogo_Causas!$A$2:$A$10,0))</f>
        <v>Operacional</v>
      </c>
      <c r="I1218" s="5" t="n">
        <v>140</v>
      </c>
      <c r="J1218" s="29" t="n">
        <f aca="false">I1218/60</f>
        <v>2.33333333333333</v>
      </c>
    </row>
    <row r="1219" customFormat="false" ht="15" hidden="false" customHeight="false" outlineLevel="0" collapsed="false">
      <c r="A1219" s="5" t="s">
        <v>2261</v>
      </c>
      <c r="B1219" s="9" t="n">
        <v>45943</v>
      </c>
      <c r="C1219" s="9" t="n">
        <v>45948</v>
      </c>
      <c r="D1219" s="5" t="s">
        <v>132</v>
      </c>
      <c r="E1219" s="5" t="s">
        <v>1073</v>
      </c>
      <c r="F1219" s="5" t="s">
        <v>1007</v>
      </c>
      <c r="G1219" s="6" t="str">
        <f aca="false">INDEX(Catalogo_Causas!$B$2:$B$10,MATCH(F1219,Catalogo_Causas!$A$2:$A$10,0))</f>
        <v>Cambio de formato excedido</v>
      </c>
      <c r="H1219" s="6" t="str">
        <f aca="false">INDEX(Catalogo_Causas!$C$2:$C$10,MATCH(F1219,Catalogo_Causas!$A$2:$A$10,0))</f>
        <v>Operacional</v>
      </c>
      <c r="I1219" s="5" t="n">
        <v>65</v>
      </c>
      <c r="J1219" s="29" t="n">
        <f aca="false">I1219/60</f>
        <v>1.08333333333333</v>
      </c>
    </row>
    <row r="1220" customFormat="false" ht="15" hidden="false" customHeight="false" outlineLevel="0" collapsed="false">
      <c r="A1220" s="5" t="s">
        <v>2262</v>
      </c>
      <c r="B1220" s="9" t="n">
        <v>45950</v>
      </c>
      <c r="C1220" s="9" t="n">
        <v>45950</v>
      </c>
      <c r="D1220" s="5" t="s">
        <v>136</v>
      </c>
      <c r="E1220" s="5" t="s">
        <v>1051</v>
      </c>
      <c r="F1220" s="5" t="s">
        <v>1016</v>
      </c>
      <c r="G1220" s="6" t="str">
        <f aca="false">INDEX(Catalogo_Causas!$B$2:$B$10,MATCH(F1220,Catalogo_Causas!$A$2:$A$10,0))</f>
        <v>Limpieza no programada (CIP)</v>
      </c>
      <c r="H1220" s="6" t="str">
        <f aca="false">INDEX(Catalogo_Causas!$C$2:$C$10,MATCH(F1220,Catalogo_Causas!$A$2:$A$10,0))</f>
        <v>Calidad</v>
      </c>
      <c r="I1220" s="5" t="n">
        <v>56</v>
      </c>
      <c r="J1220" s="29" t="n">
        <f aca="false">I1220/60</f>
        <v>0.933333333333333</v>
      </c>
    </row>
    <row r="1221" customFormat="false" ht="15" hidden="false" customHeight="false" outlineLevel="0" collapsed="false">
      <c r="A1221" s="5" t="s">
        <v>2263</v>
      </c>
      <c r="B1221" s="9" t="n">
        <v>45950</v>
      </c>
      <c r="C1221" s="9" t="n">
        <v>45950</v>
      </c>
      <c r="D1221" s="5" t="s">
        <v>142</v>
      </c>
      <c r="E1221" s="5" t="s">
        <v>1030</v>
      </c>
      <c r="F1221" s="5" t="s">
        <v>1007</v>
      </c>
      <c r="G1221" s="6" t="str">
        <f aca="false">INDEX(Catalogo_Causas!$B$2:$B$10,MATCH(F1221,Catalogo_Causas!$A$2:$A$10,0))</f>
        <v>Cambio de formato excedido</v>
      </c>
      <c r="H1221" s="6" t="str">
        <f aca="false">INDEX(Catalogo_Causas!$C$2:$C$10,MATCH(F1221,Catalogo_Causas!$A$2:$A$10,0))</f>
        <v>Operacional</v>
      </c>
      <c r="I1221" s="5" t="n">
        <v>181</v>
      </c>
      <c r="J1221" s="29" t="n">
        <f aca="false">I1221/60</f>
        <v>3.01666666666667</v>
      </c>
    </row>
    <row r="1222" customFormat="false" ht="15" hidden="false" customHeight="false" outlineLevel="0" collapsed="false">
      <c r="A1222" s="5" t="s">
        <v>2264</v>
      </c>
      <c r="B1222" s="9" t="n">
        <v>45950</v>
      </c>
      <c r="C1222" s="9" t="n">
        <v>45951</v>
      </c>
      <c r="D1222" s="5" t="s">
        <v>136</v>
      </c>
      <c r="E1222" s="5" t="s">
        <v>1032</v>
      </c>
      <c r="F1222" s="5" t="s">
        <v>1007</v>
      </c>
      <c r="G1222" s="6" t="str">
        <f aca="false">INDEX(Catalogo_Causas!$B$2:$B$10,MATCH(F1222,Catalogo_Causas!$A$2:$A$10,0))</f>
        <v>Cambio de formato excedido</v>
      </c>
      <c r="H1222" s="6" t="str">
        <f aca="false">INDEX(Catalogo_Causas!$C$2:$C$10,MATCH(F1222,Catalogo_Causas!$A$2:$A$10,0))</f>
        <v>Operacional</v>
      </c>
      <c r="I1222" s="5" t="n">
        <v>108</v>
      </c>
      <c r="J1222" s="29" t="n">
        <f aca="false">I1222/60</f>
        <v>1.8</v>
      </c>
    </row>
    <row r="1223" customFormat="false" ht="15" hidden="false" customHeight="false" outlineLevel="0" collapsed="false">
      <c r="A1223" s="5" t="s">
        <v>2265</v>
      </c>
      <c r="B1223" s="9" t="n">
        <v>45950</v>
      </c>
      <c r="C1223" s="9" t="n">
        <v>45951</v>
      </c>
      <c r="D1223" s="5" t="s">
        <v>138</v>
      </c>
      <c r="E1223" s="5" t="s">
        <v>1039</v>
      </c>
      <c r="F1223" s="5" t="s">
        <v>1007</v>
      </c>
      <c r="G1223" s="6" t="str">
        <f aca="false">INDEX(Catalogo_Causas!$B$2:$B$10,MATCH(F1223,Catalogo_Causas!$A$2:$A$10,0))</f>
        <v>Cambio de formato excedido</v>
      </c>
      <c r="H1223" s="6" t="str">
        <f aca="false">INDEX(Catalogo_Causas!$C$2:$C$10,MATCH(F1223,Catalogo_Causas!$A$2:$A$10,0))</f>
        <v>Operacional</v>
      </c>
      <c r="I1223" s="5" t="n">
        <v>110</v>
      </c>
      <c r="J1223" s="29" t="n">
        <f aca="false">I1223/60</f>
        <v>1.83333333333333</v>
      </c>
    </row>
    <row r="1224" customFormat="false" ht="15" hidden="false" customHeight="false" outlineLevel="0" collapsed="false">
      <c r="A1224" s="5" t="s">
        <v>2266</v>
      </c>
      <c r="B1224" s="9" t="n">
        <v>45950</v>
      </c>
      <c r="C1224" s="9" t="n">
        <v>45951</v>
      </c>
      <c r="D1224" s="5" t="s">
        <v>138</v>
      </c>
      <c r="E1224" s="5" t="s">
        <v>1039</v>
      </c>
      <c r="F1224" s="5" t="s">
        <v>1007</v>
      </c>
      <c r="G1224" s="6" t="str">
        <f aca="false">INDEX(Catalogo_Causas!$B$2:$B$10,MATCH(F1224,Catalogo_Causas!$A$2:$A$10,0))</f>
        <v>Cambio de formato excedido</v>
      </c>
      <c r="H1224" s="6" t="str">
        <f aca="false">INDEX(Catalogo_Causas!$C$2:$C$10,MATCH(F1224,Catalogo_Causas!$A$2:$A$10,0))</f>
        <v>Operacional</v>
      </c>
      <c r="I1224" s="5" t="n">
        <v>39</v>
      </c>
      <c r="J1224" s="29" t="n">
        <f aca="false">I1224/60</f>
        <v>0.65</v>
      </c>
    </row>
    <row r="1225" customFormat="false" ht="15" hidden="false" customHeight="false" outlineLevel="0" collapsed="false">
      <c r="A1225" s="5" t="s">
        <v>2267</v>
      </c>
      <c r="B1225" s="9" t="n">
        <v>45950</v>
      </c>
      <c r="C1225" s="9" t="n">
        <v>45951</v>
      </c>
      <c r="D1225" s="5" t="s">
        <v>142</v>
      </c>
      <c r="E1225" s="5" t="s">
        <v>1030</v>
      </c>
      <c r="F1225" s="5" t="s">
        <v>1002</v>
      </c>
      <c r="G1225" s="6" t="str">
        <f aca="false">INDEX(Catalogo_Causas!$B$2:$B$10,MATCH(F1225,Catalogo_Causas!$A$2:$A$10,0))</f>
        <v>Falla mecánica</v>
      </c>
      <c r="H1225" s="6" t="str">
        <f aca="false">INDEX(Catalogo_Causas!$C$2:$C$10,MATCH(F1225,Catalogo_Causas!$A$2:$A$10,0))</f>
        <v>Operacional</v>
      </c>
      <c r="I1225" s="5" t="n">
        <v>61</v>
      </c>
      <c r="J1225" s="29" t="n">
        <f aca="false">I1225/60</f>
        <v>1.01666666666667</v>
      </c>
    </row>
    <row r="1226" customFormat="false" ht="15" hidden="false" customHeight="false" outlineLevel="0" collapsed="false">
      <c r="A1226" s="5" t="s">
        <v>2268</v>
      </c>
      <c r="B1226" s="9" t="n">
        <v>45950</v>
      </c>
      <c r="C1226" s="9" t="n">
        <v>45951</v>
      </c>
      <c r="D1226" s="5" t="s">
        <v>142</v>
      </c>
      <c r="E1226" s="5" t="s">
        <v>1051</v>
      </c>
      <c r="F1226" s="5" t="s">
        <v>1007</v>
      </c>
      <c r="G1226" s="6" t="str">
        <f aca="false">INDEX(Catalogo_Causas!$B$2:$B$10,MATCH(F1226,Catalogo_Causas!$A$2:$A$10,0))</f>
        <v>Cambio de formato excedido</v>
      </c>
      <c r="H1226" s="6" t="str">
        <f aca="false">INDEX(Catalogo_Causas!$C$2:$C$10,MATCH(F1226,Catalogo_Causas!$A$2:$A$10,0))</f>
        <v>Operacional</v>
      </c>
      <c r="I1226" s="5" t="n">
        <v>37</v>
      </c>
      <c r="J1226" s="29" t="n">
        <f aca="false">I1226/60</f>
        <v>0.616666666666667</v>
      </c>
    </row>
    <row r="1227" customFormat="false" ht="15" hidden="false" customHeight="false" outlineLevel="0" collapsed="false">
      <c r="A1227" s="5" t="s">
        <v>2269</v>
      </c>
      <c r="B1227" s="9" t="n">
        <v>45950</v>
      </c>
      <c r="C1227" s="9" t="n">
        <v>45952</v>
      </c>
      <c r="D1227" s="5" t="s">
        <v>130</v>
      </c>
      <c r="E1227" s="5" t="s">
        <v>1078</v>
      </c>
      <c r="F1227" s="5" t="s">
        <v>1005</v>
      </c>
      <c r="G1227" s="6" t="str">
        <f aca="false">INDEX(Catalogo_Causas!$B$2:$B$10,MATCH(F1227,Catalogo_Causas!$A$2:$A$10,0))</f>
        <v>Falla eléctrica / control</v>
      </c>
      <c r="H1227" s="6" t="str">
        <f aca="false">INDEX(Catalogo_Causas!$C$2:$C$10,MATCH(F1227,Catalogo_Causas!$A$2:$A$10,0))</f>
        <v>Operacional</v>
      </c>
      <c r="I1227" s="5" t="n">
        <v>17</v>
      </c>
      <c r="J1227" s="29" t="n">
        <f aca="false">I1227/60</f>
        <v>0.283333333333333</v>
      </c>
    </row>
    <row r="1228" customFormat="false" ht="15" hidden="false" customHeight="false" outlineLevel="0" collapsed="false">
      <c r="A1228" s="5" t="s">
        <v>2270</v>
      </c>
      <c r="B1228" s="9" t="n">
        <v>45950</v>
      </c>
      <c r="C1228" s="9" t="n">
        <v>45952</v>
      </c>
      <c r="D1228" s="5" t="s">
        <v>130</v>
      </c>
      <c r="E1228" s="5" t="s">
        <v>1078</v>
      </c>
      <c r="F1228" s="5" t="s">
        <v>1002</v>
      </c>
      <c r="G1228" s="6" t="str">
        <f aca="false">INDEX(Catalogo_Causas!$B$2:$B$10,MATCH(F1228,Catalogo_Causas!$A$2:$A$10,0))</f>
        <v>Falla mecánica</v>
      </c>
      <c r="H1228" s="6" t="str">
        <f aca="false">INDEX(Catalogo_Causas!$C$2:$C$10,MATCH(F1228,Catalogo_Causas!$A$2:$A$10,0))</f>
        <v>Operacional</v>
      </c>
      <c r="I1228" s="5" t="n">
        <v>22</v>
      </c>
      <c r="J1228" s="29" t="n">
        <f aca="false">I1228/60</f>
        <v>0.366666666666667</v>
      </c>
    </row>
    <row r="1229" customFormat="false" ht="15" hidden="false" customHeight="false" outlineLevel="0" collapsed="false">
      <c r="A1229" s="5" t="s">
        <v>2271</v>
      </c>
      <c r="B1229" s="9" t="n">
        <v>45950</v>
      </c>
      <c r="C1229" s="9" t="n">
        <v>45952</v>
      </c>
      <c r="D1229" s="5" t="s">
        <v>140</v>
      </c>
      <c r="E1229" s="5" t="s">
        <v>1045</v>
      </c>
      <c r="F1229" s="5" t="s">
        <v>1018</v>
      </c>
      <c r="G1229" s="6" t="str">
        <f aca="false">INDEX(Catalogo_Causas!$B$2:$B$10,MATCH(F1229,Catalogo_Causas!$A$2:$A$10,0))</f>
        <v>Falta de personal</v>
      </c>
      <c r="H1229" s="6" t="str">
        <f aca="false">INDEX(Catalogo_Causas!$C$2:$C$10,MATCH(F1229,Catalogo_Causas!$A$2:$A$10,0))</f>
        <v>Personal</v>
      </c>
      <c r="I1229" s="5" t="n">
        <v>80</v>
      </c>
      <c r="J1229" s="29" t="n">
        <f aca="false">I1229/60</f>
        <v>1.33333333333333</v>
      </c>
    </row>
    <row r="1230" customFormat="false" ht="15" hidden="false" customHeight="false" outlineLevel="0" collapsed="false">
      <c r="A1230" s="5" t="s">
        <v>2272</v>
      </c>
      <c r="B1230" s="9" t="n">
        <v>45950</v>
      </c>
      <c r="C1230" s="9" t="n">
        <v>45952</v>
      </c>
      <c r="D1230" s="5" t="s">
        <v>142</v>
      </c>
      <c r="E1230" s="5" t="s">
        <v>1041</v>
      </c>
      <c r="F1230" s="5" t="s">
        <v>1005</v>
      </c>
      <c r="G1230" s="6" t="str">
        <f aca="false">INDEX(Catalogo_Causas!$B$2:$B$10,MATCH(F1230,Catalogo_Causas!$A$2:$A$10,0))</f>
        <v>Falla eléctrica / control</v>
      </c>
      <c r="H1230" s="6" t="str">
        <f aca="false">INDEX(Catalogo_Causas!$C$2:$C$10,MATCH(F1230,Catalogo_Causas!$A$2:$A$10,0))</f>
        <v>Operacional</v>
      </c>
      <c r="I1230" s="5" t="n">
        <v>195</v>
      </c>
      <c r="J1230" s="29" t="n">
        <f aca="false">I1230/60</f>
        <v>3.25</v>
      </c>
    </row>
    <row r="1231" customFormat="false" ht="15" hidden="false" customHeight="false" outlineLevel="0" collapsed="false">
      <c r="A1231" s="5" t="s">
        <v>2273</v>
      </c>
      <c r="B1231" s="9" t="n">
        <v>45950</v>
      </c>
      <c r="C1231" s="9" t="n">
        <v>45953</v>
      </c>
      <c r="D1231" s="5" t="s">
        <v>136</v>
      </c>
      <c r="E1231" s="5" t="s">
        <v>1101</v>
      </c>
      <c r="F1231" s="5" t="s">
        <v>1012</v>
      </c>
      <c r="G1231" s="6" t="str">
        <f aca="false">INDEX(Catalogo_Causas!$B$2:$B$10,MATCH(F1231,Catalogo_Causas!$A$2:$A$10,0))</f>
        <v>Falta de materia prima</v>
      </c>
      <c r="H1231" s="6" t="str">
        <f aca="false">INDEX(Catalogo_Causas!$C$2:$C$10,MATCH(F1231,Catalogo_Causas!$A$2:$A$10,0))</f>
        <v>Material / suministro</v>
      </c>
      <c r="I1231" s="5" t="n">
        <v>15</v>
      </c>
      <c r="J1231" s="29" t="n">
        <f aca="false">I1231/60</f>
        <v>0.25</v>
      </c>
    </row>
    <row r="1232" customFormat="false" ht="15" hidden="false" customHeight="false" outlineLevel="0" collapsed="false">
      <c r="A1232" s="5" t="s">
        <v>2274</v>
      </c>
      <c r="B1232" s="9" t="n">
        <v>45950</v>
      </c>
      <c r="C1232" s="9" t="n">
        <v>45953</v>
      </c>
      <c r="D1232" s="5" t="s">
        <v>136</v>
      </c>
      <c r="E1232" s="5" t="s">
        <v>1101</v>
      </c>
      <c r="F1232" s="5" t="s">
        <v>1002</v>
      </c>
      <c r="G1232" s="6" t="str">
        <f aca="false">INDEX(Catalogo_Causas!$B$2:$B$10,MATCH(F1232,Catalogo_Causas!$A$2:$A$10,0))</f>
        <v>Falla mecánica</v>
      </c>
      <c r="H1232" s="6" t="str">
        <f aca="false">INDEX(Catalogo_Causas!$C$2:$C$10,MATCH(F1232,Catalogo_Causas!$A$2:$A$10,0))</f>
        <v>Operacional</v>
      </c>
      <c r="I1232" s="5" t="n">
        <v>122</v>
      </c>
      <c r="J1232" s="29" t="n">
        <f aca="false">I1232/60</f>
        <v>2.03333333333333</v>
      </c>
    </row>
    <row r="1233" customFormat="false" ht="15" hidden="false" customHeight="false" outlineLevel="0" collapsed="false">
      <c r="A1233" s="5" t="s">
        <v>2275</v>
      </c>
      <c r="B1233" s="9" t="n">
        <v>45950</v>
      </c>
      <c r="C1233" s="9" t="n">
        <v>45953</v>
      </c>
      <c r="D1233" s="5" t="s">
        <v>138</v>
      </c>
      <c r="E1233" s="5" t="s">
        <v>1034</v>
      </c>
      <c r="F1233" s="5" t="s">
        <v>1005</v>
      </c>
      <c r="G1233" s="6" t="str">
        <f aca="false">INDEX(Catalogo_Causas!$B$2:$B$10,MATCH(F1233,Catalogo_Causas!$A$2:$A$10,0))</f>
        <v>Falla eléctrica / control</v>
      </c>
      <c r="H1233" s="6" t="str">
        <f aca="false">INDEX(Catalogo_Causas!$C$2:$C$10,MATCH(F1233,Catalogo_Causas!$A$2:$A$10,0))</f>
        <v>Operacional</v>
      </c>
      <c r="I1233" s="5" t="n">
        <v>63</v>
      </c>
      <c r="J1233" s="29" t="n">
        <f aca="false">I1233/60</f>
        <v>1.05</v>
      </c>
    </row>
    <row r="1234" customFormat="false" ht="15" hidden="false" customHeight="false" outlineLevel="0" collapsed="false">
      <c r="A1234" s="5" t="s">
        <v>2276</v>
      </c>
      <c r="B1234" s="9" t="n">
        <v>45950</v>
      </c>
      <c r="C1234" s="9" t="n">
        <v>45954</v>
      </c>
      <c r="D1234" s="5" t="s">
        <v>130</v>
      </c>
      <c r="E1234" s="5" t="s">
        <v>1078</v>
      </c>
      <c r="F1234" s="5" t="s">
        <v>1002</v>
      </c>
      <c r="G1234" s="6" t="str">
        <f aca="false">INDEX(Catalogo_Causas!$B$2:$B$10,MATCH(F1234,Catalogo_Causas!$A$2:$A$10,0))</f>
        <v>Falla mecánica</v>
      </c>
      <c r="H1234" s="6" t="str">
        <f aca="false">INDEX(Catalogo_Causas!$C$2:$C$10,MATCH(F1234,Catalogo_Causas!$A$2:$A$10,0))</f>
        <v>Operacional</v>
      </c>
      <c r="I1234" s="5" t="n">
        <v>56</v>
      </c>
      <c r="J1234" s="29" t="n">
        <f aca="false">I1234/60</f>
        <v>0.933333333333333</v>
      </c>
    </row>
    <row r="1235" customFormat="false" ht="15" hidden="false" customHeight="false" outlineLevel="0" collapsed="false">
      <c r="A1235" s="5" t="s">
        <v>2277</v>
      </c>
      <c r="B1235" s="9" t="n">
        <v>45950</v>
      </c>
      <c r="C1235" s="9" t="n">
        <v>45954</v>
      </c>
      <c r="D1235" s="5" t="s">
        <v>132</v>
      </c>
      <c r="E1235" s="5" t="s">
        <v>1032</v>
      </c>
      <c r="F1235" s="5" t="s">
        <v>1009</v>
      </c>
      <c r="G1235" s="6" t="str">
        <f aca="false">INDEX(Catalogo_Causas!$B$2:$B$10,MATCH(F1235,Catalogo_Causas!$A$2:$A$10,0))</f>
        <v>Falta de material de empaque</v>
      </c>
      <c r="H1235" s="6" t="str">
        <f aca="false">INDEX(Catalogo_Causas!$C$2:$C$10,MATCH(F1235,Catalogo_Causas!$A$2:$A$10,0))</f>
        <v>Material / suministro</v>
      </c>
      <c r="I1235" s="5" t="n">
        <v>12</v>
      </c>
      <c r="J1235" s="29" t="n">
        <f aca="false">I1235/60</f>
        <v>0.2</v>
      </c>
    </row>
    <row r="1236" customFormat="false" ht="15" hidden="false" customHeight="false" outlineLevel="0" collapsed="false">
      <c r="A1236" s="5" t="s">
        <v>2278</v>
      </c>
      <c r="B1236" s="9" t="n">
        <v>45950</v>
      </c>
      <c r="C1236" s="9" t="n">
        <v>45954</v>
      </c>
      <c r="D1236" s="5" t="s">
        <v>144</v>
      </c>
      <c r="E1236" s="5" t="s">
        <v>1030</v>
      </c>
      <c r="F1236" s="5" t="s">
        <v>1009</v>
      </c>
      <c r="G1236" s="6" t="str">
        <f aca="false">INDEX(Catalogo_Causas!$B$2:$B$10,MATCH(F1236,Catalogo_Causas!$A$2:$A$10,0))</f>
        <v>Falta de material de empaque</v>
      </c>
      <c r="H1236" s="6" t="str">
        <f aca="false">INDEX(Catalogo_Causas!$C$2:$C$10,MATCH(F1236,Catalogo_Causas!$A$2:$A$10,0))</f>
        <v>Material / suministro</v>
      </c>
      <c r="I1236" s="5" t="n">
        <v>116</v>
      </c>
      <c r="J1236" s="29" t="n">
        <f aca="false">I1236/60</f>
        <v>1.93333333333333</v>
      </c>
    </row>
    <row r="1237" customFormat="false" ht="15" hidden="false" customHeight="false" outlineLevel="0" collapsed="false">
      <c r="A1237" s="5" t="s">
        <v>2279</v>
      </c>
      <c r="B1237" s="9" t="n">
        <v>45950</v>
      </c>
      <c r="C1237" s="9" t="n">
        <v>45954</v>
      </c>
      <c r="D1237" s="5" t="s">
        <v>144</v>
      </c>
      <c r="E1237" s="5" t="s">
        <v>1043</v>
      </c>
      <c r="F1237" s="5" t="s">
        <v>1012</v>
      </c>
      <c r="G1237" s="6" t="str">
        <f aca="false">INDEX(Catalogo_Causas!$B$2:$B$10,MATCH(F1237,Catalogo_Causas!$A$2:$A$10,0))</f>
        <v>Falta de materia prima</v>
      </c>
      <c r="H1237" s="6" t="str">
        <f aca="false">INDEX(Catalogo_Causas!$C$2:$C$10,MATCH(F1237,Catalogo_Causas!$A$2:$A$10,0))</f>
        <v>Material / suministro</v>
      </c>
      <c r="I1237" s="5" t="n">
        <v>51</v>
      </c>
      <c r="J1237" s="29" t="n">
        <f aca="false">I1237/60</f>
        <v>0.85</v>
      </c>
    </row>
    <row r="1238" customFormat="false" ht="15" hidden="false" customHeight="false" outlineLevel="0" collapsed="false">
      <c r="A1238" s="5" t="s">
        <v>2280</v>
      </c>
      <c r="B1238" s="9" t="n">
        <v>45950</v>
      </c>
      <c r="C1238" s="9" t="n">
        <v>45955</v>
      </c>
      <c r="D1238" s="5" t="s">
        <v>132</v>
      </c>
      <c r="E1238" s="5" t="s">
        <v>1073</v>
      </c>
      <c r="F1238" s="5" t="s">
        <v>1005</v>
      </c>
      <c r="G1238" s="6" t="str">
        <f aca="false">INDEX(Catalogo_Causas!$B$2:$B$10,MATCH(F1238,Catalogo_Causas!$A$2:$A$10,0))</f>
        <v>Falla eléctrica / control</v>
      </c>
      <c r="H1238" s="6" t="str">
        <f aca="false">INDEX(Catalogo_Causas!$C$2:$C$10,MATCH(F1238,Catalogo_Causas!$A$2:$A$10,0))</f>
        <v>Operacional</v>
      </c>
      <c r="I1238" s="5" t="n">
        <v>95</v>
      </c>
      <c r="J1238" s="29" t="n">
        <f aca="false">I1238/60</f>
        <v>1.58333333333333</v>
      </c>
    </row>
    <row r="1239" customFormat="false" ht="15" hidden="false" customHeight="false" outlineLevel="0" collapsed="false">
      <c r="A1239" s="5" t="s">
        <v>2281</v>
      </c>
      <c r="B1239" s="9" t="n">
        <v>45950</v>
      </c>
      <c r="C1239" s="9" t="n">
        <v>45955</v>
      </c>
      <c r="D1239" s="5" t="s">
        <v>134</v>
      </c>
      <c r="E1239" s="5" t="s">
        <v>1054</v>
      </c>
      <c r="F1239" s="5" t="s">
        <v>1005</v>
      </c>
      <c r="G1239" s="6" t="str">
        <f aca="false">INDEX(Catalogo_Causas!$B$2:$B$10,MATCH(F1239,Catalogo_Causas!$A$2:$A$10,0))</f>
        <v>Falla eléctrica / control</v>
      </c>
      <c r="H1239" s="6" t="str">
        <f aca="false">INDEX(Catalogo_Causas!$C$2:$C$10,MATCH(F1239,Catalogo_Causas!$A$2:$A$10,0))</f>
        <v>Operacional</v>
      </c>
      <c r="I1239" s="5" t="n">
        <v>97</v>
      </c>
      <c r="J1239" s="29" t="n">
        <f aca="false">I1239/60</f>
        <v>1.61666666666667</v>
      </c>
    </row>
    <row r="1240" customFormat="false" ht="15" hidden="false" customHeight="false" outlineLevel="0" collapsed="false">
      <c r="A1240" s="5" t="s">
        <v>2282</v>
      </c>
      <c r="B1240" s="9" t="n">
        <v>45950</v>
      </c>
      <c r="C1240" s="9" t="n">
        <v>45955</v>
      </c>
      <c r="D1240" s="5" t="s">
        <v>142</v>
      </c>
      <c r="E1240" s="5" t="s">
        <v>1041</v>
      </c>
      <c r="F1240" s="5" t="s">
        <v>1002</v>
      </c>
      <c r="G1240" s="6" t="str">
        <f aca="false">INDEX(Catalogo_Causas!$B$2:$B$10,MATCH(F1240,Catalogo_Causas!$A$2:$A$10,0))</f>
        <v>Falla mecánica</v>
      </c>
      <c r="H1240" s="6" t="str">
        <f aca="false">INDEX(Catalogo_Causas!$C$2:$C$10,MATCH(F1240,Catalogo_Causas!$A$2:$A$10,0))</f>
        <v>Operacional</v>
      </c>
      <c r="I1240" s="5" t="n">
        <v>44</v>
      </c>
      <c r="J1240" s="29" t="n">
        <f aca="false">I1240/60</f>
        <v>0.733333333333333</v>
      </c>
    </row>
    <row r="1241" customFormat="false" ht="15" hidden="false" customHeight="false" outlineLevel="0" collapsed="false">
      <c r="A1241" s="5" t="s">
        <v>2283</v>
      </c>
      <c r="B1241" s="9" t="n">
        <v>45957</v>
      </c>
      <c r="C1241" s="9" t="n">
        <v>45957</v>
      </c>
      <c r="D1241" s="5" t="s">
        <v>138</v>
      </c>
      <c r="E1241" s="5" t="s">
        <v>1034</v>
      </c>
      <c r="F1241" s="5" t="s">
        <v>1007</v>
      </c>
      <c r="G1241" s="6" t="str">
        <f aca="false">INDEX(Catalogo_Causas!$B$2:$B$10,MATCH(F1241,Catalogo_Causas!$A$2:$A$10,0))</f>
        <v>Cambio de formato excedido</v>
      </c>
      <c r="H1241" s="6" t="str">
        <f aca="false">INDEX(Catalogo_Causas!$C$2:$C$10,MATCH(F1241,Catalogo_Causas!$A$2:$A$10,0))</f>
        <v>Operacional</v>
      </c>
      <c r="I1241" s="5" t="n">
        <v>106</v>
      </c>
      <c r="J1241" s="29" t="n">
        <f aca="false">I1241/60</f>
        <v>1.76666666666667</v>
      </c>
    </row>
    <row r="1242" customFormat="false" ht="15" hidden="false" customHeight="false" outlineLevel="0" collapsed="false">
      <c r="A1242" s="5" t="s">
        <v>2284</v>
      </c>
      <c r="B1242" s="9" t="n">
        <v>45957</v>
      </c>
      <c r="C1242" s="9" t="n">
        <v>45957</v>
      </c>
      <c r="D1242" s="5" t="s">
        <v>138</v>
      </c>
      <c r="E1242" s="5" t="s">
        <v>1039</v>
      </c>
      <c r="F1242" s="5" t="s">
        <v>1018</v>
      </c>
      <c r="G1242" s="6" t="str">
        <f aca="false">INDEX(Catalogo_Causas!$B$2:$B$10,MATCH(F1242,Catalogo_Causas!$A$2:$A$10,0))</f>
        <v>Falta de personal</v>
      </c>
      <c r="H1242" s="6" t="str">
        <f aca="false">INDEX(Catalogo_Causas!$C$2:$C$10,MATCH(F1242,Catalogo_Causas!$A$2:$A$10,0))</f>
        <v>Personal</v>
      </c>
      <c r="I1242" s="5" t="n">
        <v>72</v>
      </c>
      <c r="J1242" s="29" t="n">
        <f aca="false">I1242/60</f>
        <v>1.2</v>
      </c>
    </row>
    <row r="1243" customFormat="false" ht="15" hidden="false" customHeight="false" outlineLevel="0" collapsed="false">
      <c r="A1243" s="5" t="s">
        <v>2285</v>
      </c>
      <c r="B1243" s="9" t="n">
        <v>45957</v>
      </c>
      <c r="C1243" s="9" t="n">
        <v>45958</v>
      </c>
      <c r="D1243" s="5" t="s">
        <v>132</v>
      </c>
      <c r="E1243" s="5" t="s">
        <v>1032</v>
      </c>
      <c r="F1243" s="5" t="s">
        <v>1005</v>
      </c>
      <c r="G1243" s="6" t="str">
        <f aca="false">INDEX(Catalogo_Causas!$B$2:$B$10,MATCH(F1243,Catalogo_Causas!$A$2:$A$10,0))</f>
        <v>Falla eléctrica / control</v>
      </c>
      <c r="H1243" s="6" t="str">
        <f aca="false">INDEX(Catalogo_Causas!$C$2:$C$10,MATCH(F1243,Catalogo_Causas!$A$2:$A$10,0))</f>
        <v>Operacional</v>
      </c>
      <c r="I1243" s="5" t="n">
        <v>33</v>
      </c>
      <c r="J1243" s="29" t="n">
        <f aca="false">I1243/60</f>
        <v>0.55</v>
      </c>
    </row>
    <row r="1244" customFormat="false" ht="15" hidden="false" customHeight="false" outlineLevel="0" collapsed="false">
      <c r="A1244" s="5" t="s">
        <v>2286</v>
      </c>
      <c r="B1244" s="9" t="n">
        <v>45957</v>
      </c>
      <c r="C1244" s="9" t="n">
        <v>45958</v>
      </c>
      <c r="D1244" s="5" t="s">
        <v>134</v>
      </c>
      <c r="E1244" s="5" t="s">
        <v>1032</v>
      </c>
      <c r="F1244" s="5" t="s">
        <v>1005</v>
      </c>
      <c r="G1244" s="6" t="str">
        <f aca="false">INDEX(Catalogo_Causas!$B$2:$B$10,MATCH(F1244,Catalogo_Causas!$A$2:$A$10,0))</f>
        <v>Falla eléctrica / control</v>
      </c>
      <c r="H1244" s="6" t="str">
        <f aca="false">INDEX(Catalogo_Causas!$C$2:$C$10,MATCH(F1244,Catalogo_Causas!$A$2:$A$10,0))</f>
        <v>Operacional</v>
      </c>
      <c r="I1244" s="5" t="n">
        <v>61</v>
      </c>
      <c r="J1244" s="29" t="n">
        <f aca="false">I1244/60</f>
        <v>1.01666666666667</v>
      </c>
    </row>
    <row r="1245" customFormat="false" ht="15" hidden="false" customHeight="false" outlineLevel="0" collapsed="false">
      <c r="A1245" s="5" t="s">
        <v>2287</v>
      </c>
      <c r="B1245" s="9" t="n">
        <v>45957</v>
      </c>
      <c r="C1245" s="9" t="n">
        <v>45958</v>
      </c>
      <c r="D1245" s="5" t="s">
        <v>136</v>
      </c>
      <c r="E1245" s="5" t="s">
        <v>1051</v>
      </c>
      <c r="F1245" s="5" t="s">
        <v>1007</v>
      </c>
      <c r="G1245" s="6" t="str">
        <f aca="false">INDEX(Catalogo_Causas!$B$2:$B$10,MATCH(F1245,Catalogo_Causas!$A$2:$A$10,0))</f>
        <v>Cambio de formato excedido</v>
      </c>
      <c r="H1245" s="6" t="str">
        <f aca="false">INDEX(Catalogo_Causas!$C$2:$C$10,MATCH(F1245,Catalogo_Causas!$A$2:$A$10,0))</f>
        <v>Operacional</v>
      </c>
      <c r="I1245" s="5" t="n">
        <v>131</v>
      </c>
      <c r="J1245" s="29" t="n">
        <f aca="false">I1245/60</f>
        <v>2.18333333333333</v>
      </c>
    </row>
    <row r="1246" customFormat="false" ht="15" hidden="false" customHeight="false" outlineLevel="0" collapsed="false">
      <c r="A1246" s="5" t="s">
        <v>2288</v>
      </c>
      <c r="B1246" s="9" t="n">
        <v>45957</v>
      </c>
      <c r="C1246" s="9" t="n">
        <v>45958</v>
      </c>
      <c r="D1246" s="5" t="s">
        <v>138</v>
      </c>
      <c r="E1246" s="5" t="s">
        <v>1056</v>
      </c>
      <c r="F1246" s="5" t="s">
        <v>1018</v>
      </c>
      <c r="G1246" s="6" t="str">
        <f aca="false">INDEX(Catalogo_Causas!$B$2:$B$10,MATCH(F1246,Catalogo_Causas!$A$2:$A$10,0))</f>
        <v>Falta de personal</v>
      </c>
      <c r="H1246" s="6" t="str">
        <f aca="false">INDEX(Catalogo_Causas!$C$2:$C$10,MATCH(F1246,Catalogo_Causas!$A$2:$A$10,0))</f>
        <v>Personal</v>
      </c>
      <c r="I1246" s="5" t="n">
        <v>38</v>
      </c>
      <c r="J1246" s="29" t="n">
        <f aca="false">I1246/60</f>
        <v>0.633333333333333</v>
      </c>
    </row>
    <row r="1247" customFormat="false" ht="15" hidden="false" customHeight="false" outlineLevel="0" collapsed="false">
      <c r="A1247" s="5" t="s">
        <v>2289</v>
      </c>
      <c r="B1247" s="9" t="n">
        <v>45957</v>
      </c>
      <c r="C1247" s="9" t="n">
        <v>45958</v>
      </c>
      <c r="D1247" s="5" t="s">
        <v>144</v>
      </c>
      <c r="E1247" s="5" t="s">
        <v>1043</v>
      </c>
      <c r="F1247" s="5" t="s">
        <v>1002</v>
      </c>
      <c r="G1247" s="6" t="str">
        <f aca="false">INDEX(Catalogo_Causas!$B$2:$B$10,MATCH(F1247,Catalogo_Causas!$A$2:$A$10,0))</f>
        <v>Falla mecánica</v>
      </c>
      <c r="H1247" s="6" t="str">
        <f aca="false">INDEX(Catalogo_Causas!$C$2:$C$10,MATCH(F1247,Catalogo_Causas!$A$2:$A$10,0))</f>
        <v>Operacional</v>
      </c>
      <c r="I1247" s="5" t="n">
        <v>76</v>
      </c>
      <c r="J1247" s="29" t="n">
        <f aca="false">I1247/60</f>
        <v>1.26666666666667</v>
      </c>
    </row>
    <row r="1248" customFormat="false" ht="15" hidden="false" customHeight="false" outlineLevel="0" collapsed="false">
      <c r="A1248" s="5" t="s">
        <v>2290</v>
      </c>
      <c r="B1248" s="9" t="n">
        <v>45957</v>
      </c>
      <c r="C1248" s="9" t="n">
        <v>45959</v>
      </c>
      <c r="D1248" s="5" t="s">
        <v>132</v>
      </c>
      <c r="E1248" s="5" t="s">
        <v>1032</v>
      </c>
      <c r="F1248" s="5" t="s">
        <v>1014</v>
      </c>
      <c r="G1248" s="6" t="str">
        <f aca="false">INDEX(Catalogo_Causas!$B$2:$B$10,MATCH(F1248,Catalogo_Causas!$A$2:$A$10,0))</f>
        <v>Retención de calidad</v>
      </c>
      <c r="H1248" s="6" t="str">
        <f aca="false">INDEX(Catalogo_Causas!$C$2:$C$10,MATCH(F1248,Catalogo_Causas!$A$2:$A$10,0))</f>
        <v>Calidad</v>
      </c>
      <c r="I1248" s="5" t="n">
        <v>26</v>
      </c>
      <c r="J1248" s="29" t="n">
        <f aca="false">I1248/60</f>
        <v>0.433333333333333</v>
      </c>
    </row>
    <row r="1249" customFormat="false" ht="15" hidden="false" customHeight="false" outlineLevel="0" collapsed="false">
      <c r="A1249" s="5" t="s">
        <v>2291</v>
      </c>
      <c r="B1249" s="9" t="n">
        <v>45957</v>
      </c>
      <c r="C1249" s="9" t="n">
        <v>45959</v>
      </c>
      <c r="D1249" s="5" t="s">
        <v>140</v>
      </c>
      <c r="E1249" s="5" t="s">
        <v>1036</v>
      </c>
      <c r="F1249" s="5" t="s">
        <v>1009</v>
      </c>
      <c r="G1249" s="6" t="str">
        <f aca="false">INDEX(Catalogo_Causas!$B$2:$B$10,MATCH(F1249,Catalogo_Causas!$A$2:$A$10,0))</f>
        <v>Falta de material de empaque</v>
      </c>
      <c r="H1249" s="6" t="str">
        <f aca="false">INDEX(Catalogo_Causas!$C$2:$C$10,MATCH(F1249,Catalogo_Causas!$A$2:$A$10,0))</f>
        <v>Material / suministro</v>
      </c>
      <c r="I1249" s="5" t="n">
        <v>31</v>
      </c>
      <c r="J1249" s="29" t="n">
        <f aca="false">I1249/60</f>
        <v>0.516666666666667</v>
      </c>
    </row>
    <row r="1250" customFormat="false" ht="15" hidden="false" customHeight="false" outlineLevel="0" collapsed="false">
      <c r="A1250" s="5" t="s">
        <v>2292</v>
      </c>
      <c r="B1250" s="9" t="n">
        <v>45957</v>
      </c>
      <c r="C1250" s="9" t="n">
        <v>45959</v>
      </c>
      <c r="D1250" s="5" t="s">
        <v>142</v>
      </c>
      <c r="E1250" s="5" t="s">
        <v>1041</v>
      </c>
      <c r="F1250" s="5" t="s">
        <v>1005</v>
      </c>
      <c r="G1250" s="6" t="str">
        <f aca="false">INDEX(Catalogo_Causas!$B$2:$B$10,MATCH(F1250,Catalogo_Causas!$A$2:$A$10,0))</f>
        <v>Falla eléctrica / control</v>
      </c>
      <c r="H1250" s="6" t="str">
        <f aca="false">INDEX(Catalogo_Causas!$C$2:$C$10,MATCH(F1250,Catalogo_Causas!$A$2:$A$10,0))</f>
        <v>Operacional</v>
      </c>
      <c r="I1250" s="5" t="n">
        <v>38</v>
      </c>
      <c r="J1250" s="29" t="n">
        <f aca="false">I1250/60</f>
        <v>0.633333333333333</v>
      </c>
    </row>
    <row r="1251" customFormat="false" ht="15" hidden="false" customHeight="false" outlineLevel="0" collapsed="false">
      <c r="A1251" s="5" t="s">
        <v>2293</v>
      </c>
      <c r="B1251" s="9" t="n">
        <v>45957</v>
      </c>
      <c r="C1251" s="9" t="n">
        <v>45959</v>
      </c>
      <c r="D1251" s="5" t="s">
        <v>142</v>
      </c>
      <c r="E1251" s="5" t="s">
        <v>1051</v>
      </c>
      <c r="F1251" s="5" t="s">
        <v>1002</v>
      </c>
      <c r="G1251" s="6" t="str">
        <f aca="false">INDEX(Catalogo_Causas!$B$2:$B$10,MATCH(F1251,Catalogo_Causas!$A$2:$A$10,0))</f>
        <v>Falla mecánica</v>
      </c>
      <c r="H1251" s="6" t="str">
        <f aca="false">INDEX(Catalogo_Causas!$C$2:$C$10,MATCH(F1251,Catalogo_Causas!$A$2:$A$10,0))</f>
        <v>Operacional</v>
      </c>
      <c r="I1251" s="5" t="n">
        <v>16</v>
      </c>
      <c r="J1251" s="29" t="n">
        <f aca="false">I1251/60</f>
        <v>0.266666666666667</v>
      </c>
    </row>
    <row r="1252" customFormat="false" ht="15" hidden="false" customHeight="false" outlineLevel="0" collapsed="false">
      <c r="A1252" s="5" t="s">
        <v>2294</v>
      </c>
      <c r="B1252" s="9" t="n">
        <v>45957</v>
      </c>
      <c r="C1252" s="9" t="n">
        <v>45959</v>
      </c>
      <c r="D1252" s="5" t="s">
        <v>142</v>
      </c>
      <c r="E1252" s="5" t="s">
        <v>1041</v>
      </c>
      <c r="F1252" s="5" t="s">
        <v>1005</v>
      </c>
      <c r="G1252" s="6" t="str">
        <f aca="false">INDEX(Catalogo_Causas!$B$2:$B$10,MATCH(F1252,Catalogo_Causas!$A$2:$A$10,0))</f>
        <v>Falla eléctrica / control</v>
      </c>
      <c r="H1252" s="6" t="str">
        <f aca="false">INDEX(Catalogo_Causas!$C$2:$C$10,MATCH(F1252,Catalogo_Causas!$A$2:$A$10,0))</f>
        <v>Operacional</v>
      </c>
      <c r="I1252" s="5" t="n">
        <v>73</v>
      </c>
      <c r="J1252" s="29" t="n">
        <f aca="false">I1252/60</f>
        <v>1.21666666666667</v>
      </c>
    </row>
    <row r="1253" customFormat="false" ht="15" hidden="false" customHeight="false" outlineLevel="0" collapsed="false">
      <c r="A1253" s="5" t="s">
        <v>2295</v>
      </c>
      <c r="B1253" s="9" t="n">
        <v>45957</v>
      </c>
      <c r="C1253" s="9" t="n">
        <v>45960</v>
      </c>
      <c r="D1253" s="5" t="s">
        <v>132</v>
      </c>
      <c r="E1253" s="5" t="s">
        <v>1073</v>
      </c>
      <c r="F1253" s="5" t="s">
        <v>1002</v>
      </c>
      <c r="G1253" s="6" t="str">
        <f aca="false">INDEX(Catalogo_Causas!$B$2:$B$10,MATCH(F1253,Catalogo_Causas!$A$2:$A$10,0))</f>
        <v>Falla mecánica</v>
      </c>
      <c r="H1253" s="6" t="str">
        <f aca="false">INDEX(Catalogo_Causas!$C$2:$C$10,MATCH(F1253,Catalogo_Causas!$A$2:$A$10,0))</f>
        <v>Operacional</v>
      </c>
      <c r="I1253" s="5" t="n">
        <v>62</v>
      </c>
      <c r="J1253" s="29" t="n">
        <f aca="false">I1253/60</f>
        <v>1.03333333333333</v>
      </c>
    </row>
    <row r="1254" customFormat="false" ht="15" hidden="false" customHeight="false" outlineLevel="0" collapsed="false">
      <c r="A1254" s="5" t="s">
        <v>2296</v>
      </c>
      <c r="B1254" s="9" t="n">
        <v>45957</v>
      </c>
      <c r="C1254" s="9" t="n">
        <v>45960</v>
      </c>
      <c r="D1254" s="5" t="s">
        <v>136</v>
      </c>
      <c r="E1254" s="5" t="s">
        <v>1032</v>
      </c>
      <c r="F1254" s="5" t="s">
        <v>1021</v>
      </c>
      <c r="G1254" s="6" t="str">
        <f aca="false">INDEX(Catalogo_Causas!$B$2:$B$10,MATCH(F1254,Catalogo_Causas!$A$2:$A$10,0))</f>
        <v>Falla de servicios (vapor/amoniaco/aire)</v>
      </c>
      <c r="H1254" s="6" t="str">
        <f aca="false">INDEX(Catalogo_Causas!$C$2:$C$10,MATCH(F1254,Catalogo_Causas!$A$2:$A$10,0))</f>
        <v>Servicios</v>
      </c>
      <c r="I1254" s="5" t="n">
        <v>31</v>
      </c>
      <c r="J1254" s="29" t="n">
        <f aca="false">I1254/60</f>
        <v>0.516666666666667</v>
      </c>
    </row>
    <row r="1255" customFormat="false" ht="15" hidden="false" customHeight="false" outlineLevel="0" collapsed="false">
      <c r="A1255" s="5" t="s">
        <v>2297</v>
      </c>
      <c r="B1255" s="9" t="n">
        <v>45957</v>
      </c>
      <c r="C1255" s="9" t="n">
        <v>45960</v>
      </c>
      <c r="D1255" s="5" t="s">
        <v>138</v>
      </c>
      <c r="E1255" s="5" t="s">
        <v>1056</v>
      </c>
      <c r="F1255" s="5" t="s">
        <v>1002</v>
      </c>
      <c r="G1255" s="6" t="str">
        <f aca="false">INDEX(Catalogo_Causas!$B$2:$B$10,MATCH(F1255,Catalogo_Causas!$A$2:$A$10,0))</f>
        <v>Falla mecánica</v>
      </c>
      <c r="H1255" s="6" t="str">
        <f aca="false">INDEX(Catalogo_Causas!$C$2:$C$10,MATCH(F1255,Catalogo_Causas!$A$2:$A$10,0))</f>
        <v>Operacional</v>
      </c>
      <c r="I1255" s="5" t="n">
        <v>60</v>
      </c>
      <c r="J1255" s="29" t="n">
        <f aca="false">I1255/60</f>
        <v>1</v>
      </c>
    </row>
    <row r="1256" customFormat="false" ht="15" hidden="false" customHeight="false" outlineLevel="0" collapsed="false">
      <c r="A1256" s="5" t="s">
        <v>2298</v>
      </c>
      <c r="B1256" s="9" t="n">
        <v>45957</v>
      </c>
      <c r="C1256" s="9" t="n">
        <v>45961</v>
      </c>
      <c r="D1256" s="5" t="s">
        <v>130</v>
      </c>
      <c r="E1256" s="5" t="s">
        <v>1030</v>
      </c>
      <c r="F1256" s="5" t="s">
        <v>1016</v>
      </c>
      <c r="G1256" s="6" t="str">
        <f aca="false">INDEX(Catalogo_Causas!$B$2:$B$10,MATCH(F1256,Catalogo_Causas!$A$2:$A$10,0))</f>
        <v>Limpieza no programada (CIP)</v>
      </c>
      <c r="H1256" s="6" t="str">
        <f aca="false">INDEX(Catalogo_Causas!$C$2:$C$10,MATCH(F1256,Catalogo_Causas!$A$2:$A$10,0))</f>
        <v>Calidad</v>
      </c>
      <c r="I1256" s="5" t="n">
        <v>27</v>
      </c>
      <c r="J1256" s="29" t="n">
        <f aca="false">I1256/60</f>
        <v>0.45</v>
      </c>
    </row>
    <row r="1257" customFormat="false" ht="15" hidden="false" customHeight="false" outlineLevel="0" collapsed="false">
      <c r="A1257" s="5" t="s">
        <v>2299</v>
      </c>
      <c r="B1257" s="9" t="n">
        <v>45957</v>
      </c>
      <c r="C1257" s="9" t="n">
        <v>45961</v>
      </c>
      <c r="D1257" s="5" t="s">
        <v>132</v>
      </c>
      <c r="E1257" s="5" t="s">
        <v>1032</v>
      </c>
      <c r="F1257" s="5" t="s">
        <v>1014</v>
      </c>
      <c r="G1257" s="6" t="str">
        <f aca="false">INDEX(Catalogo_Causas!$B$2:$B$10,MATCH(F1257,Catalogo_Causas!$A$2:$A$10,0))</f>
        <v>Retención de calidad</v>
      </c>
      <c r="H1257" s="6" t="str">
        <f aca="false">INDEX(Catalogo_Causas!$C$2:$C$10,MATCH(F1257,Catalogo_Causas!$A$2:$A$10,0))</f>
        <v>Calidad</v>
      </c>
      <c r="I1257" s="5" t="n">
        <v>45</v>
      </c>
      <c r="J1257" s="29" t="n">
        <f aca="false">I1257/60</f>
        <v>0.75</v>
      </c>
    </row>
    <row r="1258" customFormat="false" ht="15" hidden="false" customHeight="false" outlineLevel="0" collapsed="false">
      <c r="A1258" s="5" t="s">
        <v>2300</v>
      </c>
      <c r="B1258" s="9" t="n">
        <v>45957</v>
      </c>
      <c r="C1258" s="9" t="n">
        <v>45961</v>
      </c>
      <c r="D1258" s="5" t="s">
        <v>136</v>
      </c>
      <c r="E1258" s="5" t="s">
        <v>1051</v>
      </c>
      <c r="F1258" s="5" t="s">
        <v>1007</v>
      </c>
      <c r="G1258" s="6" t="str">
        <f aca="false">INDEX(Catalogo_Causas!$B$2:$B$10,MATCH(F1258,Catalogo_Causas!$A$2:$A$10,0))</f>
        <v>Cambio de formato excedido</v>
      </c>
      <c r="H1258" s="6" t="str">
        <f aca="false">INDEX(Catalogo_Causas!$C$2:$C$10,MATCH(F1258,Catalogo_Causas!$A$2:$A$10,0))</f>
        <v>Operacional</v>
      </c>
      <c r="I1258" s="5" t="n">
        <v>27</v>
      </c>
      <c r="J1258" s="29" t="n">
        <f aca="false">I1258/60</f>
        <v>0.45</v>
      </c>
    </row>
    <row r="1259" customFormat="false" ht="15" hidden="false" customHeight="false" outlineLevel="0" collapsed="false">
      <c r="A1259" s="5" t="s">
        <v>2301</v>
      </c>
      <c r="B1259" s="9" t="n">
        <v>45957</v>
      </c>
      <c r="C1259" s="9" t="n">
        <v>45961</v>
      </c>
      <c r="D1259" s="5" t="s">
        <v>142</v>
      </c>
      <c r="E1259" s="5" t="s">
        <v>1051</v>
      </c>
      <c r="F1259" s="5" t="s">
        <v>1002</v>
      </c>
      <c r="G1259" s="6" t="str">
        <f aca="false">INDEX(Catalogo_Causas!$B$2:$B$10,MATCH(F1259,Catalogo_Causas!$A$2:$A$10,0))</f>
        <v>Falla mecánica</v>
      </c>
      <c r="H1259" s="6" t="str">
        <f aca="false">INDEX(Catalogo_Causas!$C$2:$C$10,MATCH(F1259,Catalogo_Causas!$A$2:$A$10,0))</f>
        <v>Operacional</v>
      </c>
      <c r="I1259" s="5" t="n">
        <v>92</v>
      </c>
      <c r="J1259" s="29" t="n">
        <f aca="false">I1259/60</f>
        <v>1.53333333333333</v>
      </c>
    </row>
    <row r="1260" customFormat="false" ht="15" hidden="false" customHeight="false" outlineLevel="0" collapsed="false">
      <c r="A1260" s="5" t="s">
        <v>2302</v>
      </c>
      <c r="B1260" s="9" t="n">
        <v>45957</v>
      </c>
      <c r="C1260" s="9" t="n">
        <v>45961</v>
      </c>
      <c r="D1260" s="5" t="s">
        <v>142</v>
      </c>
      <c r="E1260" s="5" t="s">
        <v>1041</v>
      </c>
      <c r="F1260" s="5" t="s">
        <v>1018</v>
      </c>
      <c r="G1260" s="6" t="str">
        <f aca="false">INDEX(Catalogo_Causas!$B$2:$B$10,MATCH(F1260,Catalogo_Causas!$A$2:$A$10,0))</f>
        <v>Falta de personal</v>
      </c>
      <c r="H1260" s="6" t="str">
        <f aca="false">INDEX(Catalogo_Causas!$C$2:$C$10,MATCH(F1260,Catalogo_Causas!$A$2:$A$10,0))</f>
        <v>Personal</v>
      </c>
      <c r="I1260" s="5" t="n">
        <v>29</v>
      </c>
      <c r="J1260" s="29" t="n">
        <f aca="false">I1260/60</f>
        <v>0.483333333333333</v>
      </c>
    </row>
    <row r="1261" customFormat="false" ht="15" hidden="false" customHeight="false" outlineLevel="0" collapsed="false">
      <c r="A1261" s="5" t="s">
        <v>2303</v>
      </c>
      <c r="B1261" s="9" t="n">
        <v>45957</v>
      </c>
      <c r="C1261" s="9" t="n">
        <v>45961</v>
      </c>
      <c r="D1261" s="5" t="s">
        <v>144</v>
      </c>
      <c r="E1261" s="5" t="s">
        <v>1043</v>
      </c>
      <c r="F1261" s="5" t="s">
        <v>1002</v>
      </c>
      <c r="G1261" s="6" t="str">
        <f aca="false">INDEX(Catalogo_Causas!$B$2:$B$10,MATCH(F1261,Catalogo_Causas!$A$2:$A$10,0))</f>
        <v>Falla mecánica</v>
      </c>
      <c r="H1261" s="6" t="str">
        <f aca="false">INDEX(Catalogo_Causas!$C$2:$C$10,MATCH(F1261,Catalogo_Causas!$A$2:$A$10,0))</f>
        <v>Operacional</v>
      </c>
      <c r="I1261" s="5" t="n">
        <v>129</v>
      </c>
      <c r="J1261" s="29" t="n">
        <f aca="false">I1261/60</f>
        <v>2.15</v>
      </c>
    </row>
    <row r="1262" customFormat="false" ht="15" hidden="false" customHeight="false" outlineLevel="0" collapsed="false">
      <c r="A1262" s="5" t="s">
        <v>2304</v>
      </c>
      <c r="B1262" s="9" t="n">
        <v>45957</v>
      </c>
      <c r="C1262" s="9" t="n">
        <v>45961</v>
      </c>
      <c r="D1262" s="5" t="s">
        <v>144</v>
      </c>
      <c r="E1262" s="5" t="s">
        <v>1030</v>
      </c>
      <c r="F1262" s="5" t="s">
        <v>1002</v>
      </c>
      <c r="G1262" s="6" t="str">
        <f aca="false">INDEX(Catalogo_Causas!$B$2:$B$10,MATCH(F1262,Catalogo_Causas!$A$2:$A$10,0))</f>
        <v>Falla mecánica</v>
      </c>
      <c r="H1262" s="6" t="str">
        <f aca="false">INDEX(Catalogo_Causas!$C$2:$C$10,MATCH(F1262,Catalogo_Causas!$A$2:$A$10,0))</f>
        <v>Operacional</v>
      </c>
      <c r="I1262" s="5" t="n">
        <v>38</v>
      </c>
      <c r="J1262" s="29" t="n">
        <f aca="false">I1262/60</f>
        <v>0.633333333333333</v>
      </c>
    </row>
    <row r="1263" customFormat="false" ht="15" hidden="false" customHeight="false" outlineLevel="0" collapsed="false">
      <c r="A1263" s="5" t="s">
        <v>2305</v>
      </c>
      <c r="B1263" s="9" t="n">
        <v>45957</v>
      </c>
      <c r="C1263" s="9" t="n">
        <v>45962</v>
      </c>
      <c r="D1263" s="5" t="s">
        <v>138</v>
      </c>
      <c r="E1263" s="5" t="s">
        <v>1039</v>
      </c>
      <c r="F1263" s="5" t="s">
        <v>1012</v>
      </c>
      <c r="G1263" s="6" t="str">
        <f aca="false">INDEX(Catalogo_Causas!$B$2:$B$10,MATCH(F1263,Catalogo_Causas!$A$2:$A$10,0))</f>
        <v>Falta de materia prima</v>
      </c>
      <c r="H1263" s="6" t="str">
        <f aca="false">INDEX(Catalogo_Causas!$C$2:$C$10,MATCH(F1263,Catalogo_Causas!$A$2:$A$10,0))</f>
        <v>Material / suministro</v>
      </c>
      <c r="I1263" s="5" t="n">
        <v>80</v>
      </c>
      <c r="J1263" s="29" t="n">
        <f aca="false">I1263/60</f>
        <v>1.33333333333333</v>
      </c>
    </row>
    <row r="1264" customFormat="false" ht="15" hidden="false" customHeight="false" outlineLevel="0" collapsed="false">
      <c r="A1264" s="5" t="s">
        <v>2306</v>
      </c>
      <c r="B1264" s="9" t="n">
        <v>45957</v>
      </c>
      <c r="C1264" s="9" t="n">
        <v>45962</v>
      </c>
      <c r="D1264" s="5" t="s">
        <v>138</v>
      </c>
      <c r="E1264" s="5" t="s">
        <v>1056</v>
      </c>
      <c r="F1264" s="5" t="s">
        <v>1007</v>
      </c>
      <c r="G1264" s="6" t="str">
        <f aca="false">INDEX(Catalogo_Causas!$B$2:$B$10,MATCH(F1264,Catalogo_Causas!$A$2:$A$10,0))</f>
        <v>Cambio de formato excedido</v>
      </c>
      <c r="H1264" s="6" t="str">
        <f aca="false">INDEX(Catalogo_Causas!$C$2:$C$10,MATCH(F1264,Catalogo_Causas!$A$2:$A$10,0))</f>
        <v>Operacional</v>
      </c>
      <c r="I1264" s="5" t="n">
        <v>58</v>
      </c>
      <c r="J1264" s="29" t="n">
        <f aca="false">I1264/60</f>
        <v>0.966666666666667</v>
      </c>
    </row>
    <row r="1265" customFormat="false" ht="15" hidden="false" customHeight="false" outlineLevel="0" collapsed="false">
      <c r="A1265" s="5" t="s">
        <v>2307</v>
      </c>
      <c r="B1265" s="9" t="n">
        <v>45957</v>
      </c>
      <c r="C1265" s="9" t="n">
        <v>45962</v>
      </c>
      <c r="D1265" s="5" t="s">
        <v>140</v>
      </c>
      <c r="E1265" s="5" t="s">
        <v>1045</v>
      </c>
      <c r="F1265" s="5" t="s">
        <v>1009</v>
      </c>
      <c r="G1265" s="6" t="str">
        <f aca="false">INDEX(Catalogo_Causas!$B$2:$B$10,MATCH(F1265,Catalogo_Causas!$A$2:$A$10,0))</f>
        <v>Falta de material de empaque</v>
      </c>
      <c r="H1265" s="6" t="str">
        <f aca="false">INDEX(Catalogo_Causas!$C$2:$C$10,MATCH(F1265,Catalogo_Causas!$A$2:$A$10,0))</f>
        <v>Material / suministro</v>
      </c>
      <c r="I1265" s="5" t="n">
        <v>35</v>
      </c>
      <c r="J1265" s="29" t="n">
        <f aca="false">I1265/60</f>
        <v>0.583333333333333</v>
      </c>
    </row>
    <row r="1266" customFormat="false" ht="15" hidden="false" customHeight="false" outlineLevel="0" collapsed="false">
      <c r="A1266" s="5" t="s">
        <v>2308</v>
      </c>
      <c r="B1266" s="9" t="n">
        <v>45957</v>
      </c>
      <c r="C1266" s="9" t="n">
        <v>45962</v>
      </c>
      <c r="D1266" s="5" t="s">
        <v>142</v>
      </c>
      <c r="E1266" s="5" t="s">
        <v>1041</v>
      </c>
      <c r="F1266" s="5" t="s">
        <v>1018</v>
      </c>
      <c r="G1266" s="6" t="str">
        <f aca="false">INDEX(Catalogo_Causas!$B$2:$B$10,MATCH(F1266,Catalogo_Causas!$A$2:$A$10,0))</f>
        <v>Falta de personal</v>
      </c>
      <c r="H1266" s="6" t="str">
        <f aca="false">INDEX(Catalogo_Causas!$C$2:$C$10,MATCH(F1266,Catalogo_Causas!$A$2:$A$10,0))</f>
        <v>Personal</v>
      </c>
      <c r="I1266" s="5" t="n">
        <v>27</v>
      </c>
      <c r="J1266" s="29" t="n">
        <f aca="false">I1266/60</f>
        <v>0.45</v>
      </c>
    </row>
    <row r="1267" customFormat="false" ht="15" hidden="false" customHeight="false" outlineLevel="0" collapsed="false">
      <c r="A1267" s="5" t="s">
        <v>2309</v>
      </c>
      <c r="B1267" s="9" t="n">
        <v>45957</v>
      </c>
      <c r="C1267" s="9" t="n">
        <v>45962</v>
      </c>
      <c r="D1267" s="5" t="s">
        <v>144</v>
      </c>
      <c r="E1267" s="5" t="s">
        <v>1032</v>
      </c>
      <c r="F1267" s="5" t="s">
        <v>1005</v>
      </c>
      <c r="G1267" s="6" t="str">
        <f aca="false">INDEX(Catalogo_Causas!$B$2:$B$10,MATCH(F1267,Catalogo_Causas!$A$2:$A$10,0))</f>
        <v>Falla eléctrica / control</v>
      </c>
      <c r="H1267" s="6" t="str">
        <f aca="false">INDEX(Catalogo_Causas!$C$2:$C$10,MATCH(F1267,Catalogo_Causas!$A$2:$A$10,0))</f>
        <v>Operacional</v>
      </c>
      <c r="I1267" s="5" t="n">
        <v>42</v>
      </c>
      <c r="J1267" s="29" t="n">
        <f aca="false">I1267/60</f>
        <v>0.7</v>
      </c>
    </row>
    <row r="1268" customFormat="false" ht="15" hidden="false" customHeight="false" outlineLevel="0" collapsed="false">
      <c r="A1268" s="5" t="s">
        <v>2310</v>
      </c>
      <c r="B1268" s="9" t="n">
        <v>45964</v>
      </c>
      <c r="C1268" s="9" t="n">
        <v>45964</v>
      </c>
      <c r="D1268" s="5" t="s">
        <v>142</v>
      </c>
      <c r="E1268" s="5" t="s">
        <v>1051</v>
      </c>
      <c r="F1268" s="5" t="s">
        <v>1021</v>
      </c>
      <c r="G1268" s="6" t="str">
        <f aca="false">INDEX(Catalogo_Causas!$B$2:$B$10,MATCH(F1268,Catalogo_Causas!$A$2:$A$10,0))</f>
        <v>Falla de servicios (vapor/amoniaco/aire)</v>
      </c>
      <c r="H1268" s="6" t="str">
        <f aca="false">INDEX(Catalogo_Causas!$C$2:$C$10,MATCH(F1268,Catalogo_Causas!$A$2:$A$10,0))</f>
        <v>Servicios</v>
      </c>
      <c r="I1268" s="5" t="n">
        <v>60</v>
      </c>
      <c r="J1268" s="29" t="n">
        <f aca="false">I1268/60</f>
        <v>1</v>
      </c>
    </row>
    <row r="1269" customFormat="false" ht="15" hidden="false" customHeight="false" outlineLevel="0" collapsed="false">
      <c r="A1269" s="5" t="s">
        <v>2311</v>
      </c>
      <c r="B1269" s="9" t="n">
        <v>45964</v>
      </c>
      <c r="C1269" s="9" t="n">
        <v>45964</v>
      </c>
      <c r="D1269" s="5" t="s">
        <v>144</v>
      </c>
      <c r="E1269" s="5" t="s">
        <v>1030</v>
      </c>
      <c r="F1269" s="5" t="s">
        <v>1002</v>
      </c>
      <c r="G1269" s="6" t="str">
        <f aca="false">INDEX(Catalogo_Causas!$B$2:$B$10,MATCH(F1269,Catalogo_Causas!$A$2:$A$10,0))</f>
        <v>Falla mecánica</v>
      </c>
      <c r="H1269" s="6" t="str">
        <f aca="false">INDEX(Catalogo_Causas!$C$2:$C$10,MATCH(F1269,Catalogo_Causas!$A$2:$A$10,0))</f>
        <v>Operacional</v>
      </c>
      <c r="I1269" s="5" t="n">
        <v>61</v>
      </c>
      <c r="J1269" s="29" t="n">
        <f aca="false">I1269/60</f>
        <v>1.01666666666667</v>
      </c>
    </row>
    <row r="1270" customFormat="false" ht="15" hidden="false" customHeight="false" outlineLevel="0" collapsed="false">
      <c r="A1270" s="5" t="s">
        <v>2312</v>
      </c>
      <c r="B1270" s="9" t="n">
        <v>45964</v>
      </c>
      <c r="C1270" s="9" t="n">
        <v>45965</v>
      </c>
      <c r="D1270" s="5" t="s">
        <v>134</v>
      </c>
      <c r="E1270" s="5" t="s">
        <v>1054</v>
      </c>
      <c r="F1270" s="5" t="s">
        <v>1002</v>
      </c>
      <c r="G1270" s="6" t="str">
        <f aca="false">INDEX(Catalogo_Causas!$B$2:$B$10,MATCH(F1270,Catalogo_Causas!$A$2:$A$10,0))</f>
        <v>Falla mecánica</v>
      </c>
      <c r="H1270" s="6" t="str">
        <f aca="false">INDEX(Catalogo_Causas!$C$2:$C$10,MATCH(F1270,Catalogo_Causas!$A$2:$A$10,0))</f>
        <v>Operacional</v>
      </c>
      <c r="I1270" s="5" t="n">
        <v>278</v>
      </c>
      <c r="J1270" s="29" t="n">
        <f aca="false">I1270/60</f>
        <v>4.63333333333333</v>
      </c>
    </row>
    <row r="1271" customFormat="false" ht="15" hidden="false" customHeight="false" outlineLevel="0" collapsed="false">
      <c r="A1271" s="5" t="s">
        <v>2313</v>
      </c>
      <c r="B1271" s="9" t="n">
        <v>45964</v>
      </c>
      <c r="C1271" s="9" t="n">
        <v>45965</v>
      </c>
      <c r="D1271" s="5" t="s">
        <v>136</v>
      </c>
      <c r="E1271" s="5" t="s">
        <v>1051</v>
      </c>
      <c r="F1271" s="5" t="s">
        <v>1012</v>
      </c>
      <c r="G1271" s="6" t="str">
        <f aca="false">INDEX(Catalogo_Causas!$B$2:$B$10,MATCH(F1271,Catalogo_Causas!$A$2:$A$10,0))</f>
        <v>Falta de materia prima</v>
      </c>
      <c r="H1271" s="6" t="str">
        <f aca="false">INDEX(Catalogo_Causas!$C$2:$C$10,MATCH(F1271,Catalogo_Causas!$A$2:$A$10,0))</f>
        <v>Material / suministro</v>
      </c>
      <c r="I1271" s="5" t="n">
        <v>26</v>
      </c>
      <c r="J1271" s="29" t="n">
        <f aca="false">I1271/60</f>
        <v>0.433333333333333</v>
      </c>
    </row>
    <row r="1272" customFormat="false" ht="15" hidden="false" customHeight="false" outlineLevel="0" collapsed="false">
      <c r="A1272" s="5" t="s">
        <v>2314</v>
      </c>
      <c r="B1272" s="9" t="n">
        <v>45964</v>
      </c>
      <c r="C1272" s="9" t="n">
        <v>45965</v>
      </c>
      <c r="D1272" s="5" t="s">
        <v>144</v>
      </c>
      <c r="E1272" s="5" t="s">
        <v>1030</v>
      </c>
      <c r="F1272" s="5" t="s">
        <v>1002</v>
      </c>
      <c r="G1272" s="6" t="str">
        <f aca="false">INDEX(Catalogo_Causas!$B$2:$B$10,MATCH(F1272,Catalogo_Causas!$A$2:$A$10,0))</f>
        <v>Falla mecánica</v>
      </c>
      <c r="H1272" s="6" t="str">
        <f aca="false">INDEX(Catalogo_Causas!$C$2:$C$10,MATCH(F1272,Catalogo_Causas!$A$2:$A$10,0))</f>
        <v>Operacional</v>
      </c>
      <c r="I1272" s="5" t="n">
        <v>45</v>
      </c>
      <c r="J1272" s="29" t="n">
        <f aca="false">I1272/60</f>
        <v>0.75</v>
      </c>
    </row>
    <row r="1273" customFormat="false" ht="15" hidden="false" customHeight="false" outlineLevel="0" collapsed="false">
      <c r="A1273" s="5" t="s">
        <v>2315</v>
      </c>
      <c r="B1273" s="9" t="n">
        <v>45964</v>
      </c>
      <c r="C1273" s="9" t="n">
        <v>45966</v>
      </c>
      <c r="D1273" s="5" t="s">
        <v>142</v>
      </c>
      <c r="E1273" s="5" t="s">
        <v>1041</v>
      </c>
      <c r="F1273" s="5" t="s">
        <v>1007</v>
      </c>
      <c r="G1273" s="6" t="str">
        <f aca="false">INDEX(Catalogo_Causas!$B$2:$B$10,MATCH(F1273,Catalogo_Causas!$A$2:$A$10,0))</f>
        <v>Cambio de formato excedido</v>
      </c>
      <c r="H1273" s="6" t="str">
        <f aca="false">INDEX(Catalogo_Causas!$C$2:$C$10,MATCH(F1273,Catalogo_Causas!$A$2:$A$10,0))</f>
        <v>Operacional</v>
      </c>
      <c r="I1273" s="5" t="n">
        <v>63</v>
      </c>
      <c r="J1273" s="29" t="n">
        <f aca="false">I1273/60</f>
        <v>1.05</v>
      </c>
    </row>
    <row r="1274" customFormat="false" ht="15" hidden="false" customHeight="false" outlineLevel="0" collapsed="false">
      <c r="A1274" s="5" t="s">
        <v>2316</v>
      </c>
      <c r="B1274" s="9" t="n">
        <v>45964</v>
      </c>
      <c r="C1274" s="9" t="n">
        <v>45967</v>
      </c>
      <c r="D1274" s="5" t="s">
        <v>130</v>
      </c>
      <c r="E1274" s="5" t="s">
        <v>1045</v>
      </c>
      <c r="F1274" s="5" t="s">
        <v>1007</v>
      </c>
      <c r="G1274" s="6" t="str">
        <f aca="false">INDEX(Catalogo_Causas!$B$2:$B$10,MATCH(F1274,Catalogo_Causas!$A$2:$A$10,0))</f>
        <v>Cambio de formato excedido</v>
      </c>
      <c r="H1274" s="6" t="str">
        <f aca="false">INDEX(Catalogo_Causas!$C$2:$C$10,MATCH(F1274,Catalogo_Causas!$A$2:$A$10,0))</f>
        <v>Operacional</v>
      </c>
      <c r="I1274" s="5" t="n">
        <v>18</v>
      </c>
      <c r="J1274" s="29" t="n">
        <f aca="false">I1274/60</f>
        <v>0.3</v>
      </c>
    </row>
    <row r="1275" customFormat="false" ht="15" hidden="false" customHeight="false" outlineLevel="0" collapsed="false">
      <c r="A1275" s="5" t="s">
        <v>2317</v>
      </c>
      <c r="B1275" s="9" t="n">
        <v>45964</v>
      </c>
      <c r="C1275" s="9" t="n">
        <v>45967</v>
      </c>
      <c r="D1275" s="5" t="s">
        <v>132</v>
      </c>
      <c r="E1275" s="5" t="s">
        <v>1032</v>
      </c>
      <c r="F1275" s="5" t="s">
        <v>1007</v>
      </c>
      <c r="G1275" s="6" t="str">
        <f aca="false">INDEX(Catalogo_Causas!$B$2:$B$10,MATCH(F1275,Catalogo_Causas!$A$2:$A$10,0))</f>
        <v>Cambio de formato excedido</v>
      </c>
      <c r="H1275" s="6" t="str">
        <f aca="false">INDEX(Catalogo_Causas!$C$2:$C$10,MATCH(F1275,Catalogo_Causas!$A$2:$A$10,0))</f>
        <v>Operacional</v>
      </c>
      <c r="I1275" s="5" t="n">
        <v>41</v>
      </c>
      <c r="J1275" s="29" t="n">
        <f aca="false">I1275/60</f>
        <v>0.683333333333333</v>
      </c>
    </row>
    <row r="1276" customFormat="false" ht="15" hidden="false" customHeight="false" outlineLevel="0" collapsed="false">
      <c r="A1276" s="5" t="s">
        <v>2318</v>
      </c>
      <c r="B1276" s="9" t="n">
        <v>45964</v>
      </c>
      <c r="C1276" s="9" t="n">
        <v>45967</v>
      </c>
      <c r="D1276" s="5" t="s">
        <v>134</v>
      </c>
      <c r="E1276" s="5" t="s">
        <v>1030</v>
      </c>
      <c r="F1276" s="5" t="s">
        <v>1016</v>
      </c>
      <c r="G1276" s="6" t="str">
        <f aca="false">INDEX(Catalogo_Causas!$B$2:$B$10,MATCH(F1276,Catalogo_Causas!$A$2:$A$10,0))</f>
        <v>Limpieza no programada (CIP)</v>
      </c>
      <c r="H1276" s="6" t="str">
        <f aca="false">INDEX(Catalogo_Causas!$C$2:$C$10,MATCH(F1276,Catalogo_Causas!$A$2:$A$10,0))</f>
        <v>Calidad</v>
      </c>
      <c r="I1276" s="5" t="n">
        <v>43</v>
      </c>
      <c r="J1276" s="29" t="n">
        <f aca="false">I1276/60</f>
        <v>0.716666666666667</v>
      </c>
    </row>
    <row r="1277" customFormat="false" ht="15" hidden="false" customHeight="false" outlineLevel="0" collapsed="false">
      <c r="A1277" s="5" t="s">
        <v>2319</v>
      </c>
      <c r="B1277" s="9" t="n">
        <v>45964</v>
      </c>
      <c r="C1277" s="9" t="n">
        <v>45967</v>
      </c>
      <c r="D1277" s="5" t="s">
        <v>138</v>
      </c>
      <c r="E1277" s="5" t="s">
        <v>1034</v>
      </c>
      <c r="F1277" s="5" t="s">
        <v>1002</v>
      </c>
      <c r="G1277" s="6" t="str">
        <f aca="false">INDEX(Catalogo_Causas!$B$2:$B$10,MATCH(F1277,Catalogo_Causas!$A$2:$A$10,0))</f>
        <v>Falla mecánica</v>
      </c>
      <c r="H1277" s="6" t="str">
        <f aca="false">INDEX(Catalogo_Causas!$C$2:$C$10,MATCH(F1277,Catalogo_Causas!$A$2:$A$10,0))</f>
        <v>Operacional</v>
      </c>
      <c r="I1277" s="5" t="n">
        <v>17</v>
      </c>
      <c r="J1277" s="29" t="n">
        <f aca="false">I1277/60</f>
        <v>0.283333333333333</v>
      </c>
    </row>
    <row r="1278" customFormat="false" ht="15" hidden="false" customHeight="false" outlineLevel="0" collapsed="false">
      <c r="A1278" s="5" t="s">
        <v>2320</v>
      </c>
      <c r="B1278" s="9" t="n">
        <v>45964</v>
      </c>
      <c r="C1278" s="9" t="n">
        <v>45967</v>
      </c>
      <c r="D1278" s="5" t="s">
        <v>142</v>
      </c>
      <c r="E1278" s="5" t="s">
        <v>1041</v>
      </c>
      <c r="F1278" s="5" t="s">
        <v>1002</v>
      </c>
      <c r="G1278" s="6" t="str">
        <f aca="false">INDEX(Catalogo_Causas!$B$2:$B$10,MATCH(F1278,Catalogo_Causas!$A$2:$A$10,0))</f>
        <v>Falla mecánica</v>
      </c>
      <c r="H1278" s="6" t="str">
        <f aca="false">INDEX(Catalogo_Causas!$C$2:$C$10,MATCH(F1278,Catalogo_Causas!$A$2:$A$10,0))</f>
        <v>Operacional</v>
      </c>
      <c r="I1278" s="5" t="n">
        <v>95</v>
      </c>
      <c r="J1278" s="29" t="n">
        <f aca="false">I1278/60</f>
        <v>1.58333333333333</v>
      </c>
    </row>
    <row r="1279" customFormat="false" ht="15" hidden="false" customHeight="false" outlineLevel="0" collapsed="false">
      <c r="A1279" s="5" t="s">
        <v>2321</v>
      </c>
      <c r="B1279" s="9" t="n">
        <v>45964</v>
      </c>
      <c r="C1279" s="9" t="n">
        <v>45967</v>
      </c>
      <c r="D1279" s="5" t="s">
        <v>142</v>
      </c>
      <c r="E1279" s="5" t="s">
        <v>1051</v>
      </c>
      <c r="F1279" s="5" t="s">
        <v>1002</v>
      </c>
      <c r="G1279" s="6" t="str">
        <f aca="false">INDEX(Catalogo_Causas!$B$2:$B$10,MATCH(F1279,Catalogo_Causas!$A$2:$A$10,0))</f>
        <v>Falla mecánica</v>
      </c>
      <c r="H1279" s="6" t="str">
        <f aca="false">INDEX(Catalogo_Causas!$C$2:$C$10,MATCH(F1279,Catalogo_Causas!$A$2:$A$10,0))</f>
        <v>Operacional</v>
      </c>
      <c r="I1279" s="5" t="n">
        <v>21</v>
      </c>
      <c r="J1279" s="29" t="n">
        <f aca="false">I1279/60</f>
        <v>0.35</v>
      </c>
    </row>
    <row r="1280" customFormat="false" ht="15" hidden="false" customHeight="false" outlineLevel="0" collapsed="false">
      <c r="A1280" s="5" t="s">
        <v>2322</v>
      </c>
      <c r="B1280" s="9" t="n">
        <v>45964</v>
      </c>
      <c r="C1280" s="9" t="n">
        <v>45968</v>
      </c>
      <c r="D1280" s="5" t="s">
        <v>132</v>
      </c>
      <c r="E1280" s="5" t="s">
        <v>1032</v>
      </c>
      <c r="F1280" s="5" t="s">
        <v>1005</v>
      </c>
      <c r="G1280" s="6" t="str">
        <f aca="false">INDEX(Catalogo_Causas!$B$2:$B$10,MATCH(F1280,Catalogo_Causas!$A$2:$A$10,0))</f>
        <v>Falla eléctrica / control</v>
      </c>
      <c r="H1280" s="6" t="str">
        <f aca="false">INDEX(Catalogo_Causas!$C$2:$C$10,MATCH(F1280,Catalogo_Causas!$A$2:$A$10,0))</f>
        <v>Operacional</v>
      </c>
      <c r="I1280" s="5" t="n">
        <v>32</v>
      </c>
      <c r="J1280" s="29" t="n">
        <f aca="false">I1280/60</f>
        <v>0.533333333333333</v>
      </c>
    </row>
    <row r="1281" customFormat="false" ht="15" hidden="false" customHeight="false" outlineLevel="0" collapsed="false">
      <c r="A1281" s="5" t="s">
        <v>2323</v>
      </c>
      <c r="B1281" s="9" t="n">
        <v>45964</v>
      </c>
      <c r="C1281" s="9" t="n">
        <v>45968</v>
      </c>
      <c r="D1281" s="5" t="s">
        <v>136</v>
      </c>
      <c r="E1281" s="5" t="s">
        <v>1032</v>
      </c>
      <c r="F1281" s="5" t="s">
        <v>1002</v>
      </c>
      <c r="G1281" s="6" t="str">
        <f aca="false">INDEX(Catalogo_Causas!$B$2:$B$10,MATCH(F1281,Catalogo_Causas!$A$2:$A$10,0))</f>
        <v>Falla mecánica</v>
      </c>
      <c r="H1281" s="6" t="str">
        <f aca="false">INDEX(Catalogo_Causas!$C$2:$C$10,MATCH(F1281,Catalogo_Causas!$A$2:$A$10,0))</f>
        <v>Operacional</v>
      </c>
      <c r="I1281" s="5" t="n">
        <v>192</v>
      </c>
      <c r="J1281" s="29" t="n">
        <f aca="false">I1281/60</f>
        <v>3.2</v>
      </c>
    </row>
    <row r="1282" customFormat="false" ht="15" hidden="false" customHeight="false" outlineLevel="0" collapsed="false">
      <c r="A1282" s="5" t="s">
        <v>2324</v>
      </c>
      <c r="B1282" s="9" t="n">
        <v>45964</v>
      </c>
      <c r="C1282" s="9" t="n">
        <v>45968</v>
      </c>
      <c r="D1282" s="5" t="s">
        <v>136</v>
      </c>
      <c r="E1282" s="5" t="s">
        <v>1101</v>
      </c>
      <c r="F1282" s="5" t="s">
        <v>1007</v>
      </c>
      <c r="G1282" s="6" t="str">
        <f aca="false">INDEX(Catalogo_Causas!$B$2:$B$10,MATCH(F1282,Catalogo_Causas!$A$2:$A$10,0))</f>
        <v>Cambio de formato excedido</v>
      </c>
      <c r="H1282" s="6" t="str">
        <f aca="false">INDEX(Catalogo_Causas!$C$2:$C$10,MATCH(F1282,Catalogo_Causas!$A$2:$A$10,0))</f>
        <v>Operacional</v>
      </c>
      <c r="I1282" s="5" t="n">
        <v>85</v>
      </c>
      <c r="J1282" s="29" t="n">
        <f aca="false">I1282/60</f>
        <v>1.41666666666667</v>
      </c>
    </row>
    <row r="1283" customFormat="false" ht="15" hidden="false" customHeight="false" outlineLevel="0" collapsed="false">
      <c r="A1283" s="5" t="s">
        <v>2325</v>
      </c>
      <c r="B1283" s="9" t="n">
        <v>45964</v>
      </c>
      <c r="C1283" s="9" t="n">
        <v>45968</v>
      </c>
      <c r="D1283" s="5" t="s">
        <v>138</v>
      </c>
      <c r="E1283" s="5" t="s">
        <v>1039</v>
      </c>
      <c r="F1283" s="5" t="s">
        <v>1014</v>
      </c>
      <c r="G1283" s="6" t="str">
        <f aca="false">INDEX(Catalogo_Causas!$B$2:$B$10,MATCH(F1283,Catalogo_Causas!$A$2:$A$10,0))</f>
        <v>Retención de calidad</v>
      </c>
      <c r="H1283" s="6" t="str">
        <f aca="false">INDEX(Catalogo_Causas!$C$2:$C$10,MATCH(F1283,Catalogo_Causas!$A$2:$A$10,0))</f>
        <v>Calidad</v>
      </c>
      <c r="I1283" s="5" t="n">
        <v>138</v>
      </c>
      <c r="J1283" s="29" t="n">
        <f aca="false">I1283/60</f>
        <v>2.3</v>
      </c>
    </row>
    <row r="1284" customFormat="false" ht="15" hidden="false" customHeight="false" outlineLevel="0" collapsed="false">
      <c r="A1284" s="5" t="s">
        <v>2326</v>
      </c>
      <c r="B1284" s="9" t="n">
        <v>45964</v>
      </c>
      <c r="C1284" s="9" t="n">
        <v>45968</v>
      </c>
      <c r="D1284" s="5" t="s">
        <v>142</v>
      </c>
      <c r="E1284" s="5" t="s">
        <v>1041</v>
      </c>
      <c r="F1284" s="5" t="s">
        <v>1005</v>
      </c>
      <c r="G1284" s="6" t="str">
        <f aca="false">INDEX(Catalogo_Causas!$B$2:$B$10,MATCH(F1284,Catalogo_Causas!$A$2:$A$10,0))</f>
        <v>Falla eléctrica / control</v>
      </c>
      <c r="H1284" s="6" t="str">
        <f aca="false">INDEX(Catalogo_Causas!$C$2:$C$10,MATCH(F1284,Catalogo_Causas!$A$2:$A$10,0))</f>
        <v>Operacional</v>
      </c>
      <c r="I1284" s="5" t="n">
        <v>29</v>
      </c>
      <c r="J1284" s="29" t="n">
        <f aca="false">I1284/60</f>
        <v>0.483333333333333</v>
      </c>
    </row>
    <row r="1285" customFormat="false" ht="15" hidden="false" customHeight="false" outlineLevel="0" collapsed="false">
      <c r="A1285" s="5" t="s">
        <v>2327</v>
      </c>
      <c r="B1285" s="9" t="n">
        <v>45964</v>
      </c>
      <c r="C1285" s="9" t="n">
        <v>45968</v>
      </c>
      <c r="D1285" s="5" t="s">
        <v>142</v>
      </c>
      <c r="E1285" s="5" t="s">
        <v>1051</v>
      </c>
      <c r="F1285" s="5" t="s">
        <v>1007</v>
      </c>
      <c r="G1285" s="6" t="str">
        <f aca="false">INDEX(Catalogo_Causas!$B$2:$B$10,MATCH(F1285,Catalogo_Causas!$A$2:$A$10,0))</f>
        <v>Cambio de formato excedido</v>
      </c>
      <c r="H1285" s="6" t="str">
        <f aca="false">INDEX(Catalogo_Causas!$C$2:$C$10,MATCH(F1285,Catalogo_Causas!$A$2:$A$10,0))</f>
        <v>Operacional</v>
      </c>
      <c r="I1285" s="5" t="n">
        <v>67</v>
      </c>
      <c r="J1285" s="29" t="n">
        <f aca="false">I1285/60</f>
        <v>1.11666666666667</v>
      </c>
    </row>
    <row r="1286" customFormat="false" ht="15" hidden="false" customHeight="false" outlineLevel="0" collapsed="false">
      <c r="A1286" s="5" t="s">
        <v>2328</v>
      </c>
      <c r="B1286" s="9" t="n">
        <v>45964</v>
      </c>
      <c r="C1286" s="9" t="n">
        <v>45968</v>
      </c>
      <c r="D1286" s="5" t="s">
        <v>144</v>
      </c>
      <c r="E1286" s="5" t="s">
        <v>1030</v>
      </c>
      <c r="F1286" s="5" t="s">
        <v>1002</v>
      </c>
      <c r="G1286" s="6" t="str">
        <f aca="false">INDEX(Catalogo_Causas!$B$2:$B$10,MATCH(F1286,Catalogo_Causas!$A$2:$A$10,0))</f>
        <v>Falla mecánica</v>
      </c>
      <c r="H1286" s="6" t="str">
        <f aca="false">INDEX(Catalogo_Causas!$C$2:$C$10,MATCH(F1286,Catalogo_Causas!$A$2:$A$10,0))</f>
        <v>Operacional</v>
      </c>
      <c r="I1286" s="5" t="n">
        <v>13</v>
      </c>
      <c r="J1286" s="29" t="n">
        <f aca="false">I1286/60</f>
        <v>0.216666666666667</v>
      </c>
    </row>
    <row r="1287" customFormat="false" ht="15" hidden="false" customHeight="false" outlineLevel="0" collapsed="false">
      <c r="A1287" s="5" t="s">
        <v>2329</v>
      </c>
      <c r="B1287" s="9" t="n">
        <v>45964</v>
      </c>
      <c r="C1287" s="9" t="n">
        <v>45969</v>
      </c>
      <c r="D1287" s="5" t="s">
        <v>140</v>
      </c>
      <c r="E1287" s="5" t="s">
        <v>1032</v>
      </c>
      <c r="F1287" s="5" t="s">
        <v>1009</v>
      </c>
      <c r="G1287" s="6" t="str">
        <f aca="false">INDEX(Catalogo_Causas!$B$2:$B$10,MATCH(F1287,Catalogo_Causas!$A$2:$A$10,0))</f>
        <v>Falta de material de empaque</v>
      </c>
      <c r="H1287" s="6" t="str">
        <f aca="false">INDEX(Catalogo_Causas!$C$2:$C$10,MATCH(F1287,Catalogo_Causas!$A$2:$A$10,0))</f>
        <v>Material / suministro</v>
      </c>
      <c r="I1287" s="5" t="n">
        <v>33</v>
      </c>
      <c r="J1287" s="29" t="n">
        <f aca="false">I1287/60</f>
        <v>0.55</v>
      </c>
    </row>
    <row r="1288" customFormat="false" ht="15" hidden="false" customHeight="false" outlineLevel="0" collapsed="false">
      <c r="A1288" s="5" t="s">
        <v>2330</v>
      </c>
      <c r="B1288" s="9" t="n">
        <v>45971</v>
      </c>
      <c r="C1288" s="9" t="n">
        <v>45971</v>
      </c>
      <c r="D1288" s="5" t="s">
        <v>132</v>
      </c>
      <c r="E1288" s="5" t="s">
        <v>1073</v>
      </c>
      <c r="F1288" s="5" t="s">
        <v>1007</v>
      </c>
      <c r="G1288" s="6" t="str">
        <f aca="false">INDEX(Catalogo_Causas!$B$2:$B$10,MATCH(F1288,Catalogo_Causas!$A$2:$A$10,0))</f>
        <v>Cambio de formato excedido</v>
      </c>
      <c r="H1288" s="6" t="str">
        <f aca="false">INDEX(Catalogo_Causas!$C$2:$C$10,MATCH(F1288,Catalogo_Causas!$A$2:$A$10,0))</f>
        <v>Operacional</v>
      </c>
      <c r="I1288" s="5" t="n">
        <v>39</v>
      </c>
      <c r="J1288" s="29" t="n">
        <f aca="false">I1288/60</f>
        <v>0.65</v>
      </c>
    </row>
    <row r="1289" customFormat="false" ht="15" hidden="false" customHeight="false" outlineLevel="0" collapsed="false">
      <c r="A1289" s="5" t="s">
        <v>2331</v>
      </c>
      <c r="B1289" s="9" t="n">
        <v>45971</v>
      </c>
      <c r="C1289" s="9" t="n">
        <v>45971</v>
      </c>
      <c r="D1289" s="5" t="s">
        <v>134</v>
      </c>
      <c r="E1289" s="5" t="s">
        <v>1030</v>
      </c>
      <c r="F1289" s="5" t="s">
        <v>1012</v>
      </c>
      <c r="G1289" s="6" t="str">
        <f aca="false">INDEX(Catalogo_Causas!$B$2:$B$10,MATCH(F1289,Catalogo_Causas!$A$2:$A$10,0))</f>
        <v>Falta de materia prima</v>
      </c>
      <c r="H1289" s="6" t="str">
        <f aca="false">INDEX(Catalogo_Causas!$C$2:$C$10,MATCH(F1289,Catalogo_Causas!$A$2:$A$10,0))</f>
        <v>Material / suministro</v>
      </c>
      <c r="I1289" s="5" t="n">
        <v>64</v>
      </c>
      <c r="J1289" s="29" t="n">
        <f aca="false">I1289/60</f>
        <v>1.06666666666667</v>
      </c>
    </row>
    <row r="1290" customFormat="false" ht="15" hidden="false" customHeight="false" outlineLevel="0" collapsed="false">
      <c r="A1290" s="5" t="s">
        <v>2332</v>
      </c>
      <c r="B1290" s="9" t="n">
        <v>45971</v>
      </c>
      <c r="C1290" s="9" t="n">
        <v>45971</v>
      </c>
      <c r="D1290" s="5" t="s">
        <v>136</v>
      </c>
      <c r="E1290" s="5" t="s">
        <v>1032</v>
      </c>
      <c r="F1290" s="5" t="s">
        <v>1005</v>
      </c>
      <c r="G1290" s="6" t="str">
        <f aca="false">INDEX(Catalogo_Causas!$B$2:$B$10,MATCH(F1290,Catalogo_Causas!$A$2:$A$10,0))</f>
        <v>Falla eléctrica / control</v>
      </c>
      <c r="H1290" s="6" t="str">
        <f aca="false">INDEX(Catalogo_Causas!$C$2:$C$10,MATCH(F1290,Catalogo_Causas!$A$2:$A$10,0))</f>
        <v>Operacional</v>
      </c>
      <c r="I1290" s="5" t="n">
        <v>34</v>
      </c>
      <c r="J1290" s="29" t="n">
        <f aca="false">I1290/60</f>
        <v>0.566666666666667</v>
      </c>
    </row>
    <row r="1291" customFormat="false" ht="15" hidden="false" customHeight="false" outlineLevel="0" collapsed="false">
      <c r="A1291" s="5" t="s">
        <v>2333</v>
      </c>
      <c r="B1291" s="9" t="n">
        <v>45971</v>
      </c>
      <c r="C1291" s="9" t="n">
        <v>45971</v>
      </c>
      <c r="D1291" s="5" t="s">
        <v>136</v>
      </c>
      <c r="E1291" s="5" t="s">
        <v>1051</v>
      </c>
      <c r="F1291" s="5" t="s">
        <v>1007</v>
      </c>
      <c r="G1291" s="6" t="str">
        <f aca="false">INDEX(Catalogo_Causas!$B$2:$B$10,MATCH(F1291,Catalogo_Causas!$A$2:$A$10,0))</f>
        <v>Cambio de formato excedido</v>
      </c>
      <c r="H1291" s="6" t="str">
        <f aca="false">INDEX(Catalogo_Causas!$C$2:$C$10,MATCH(F1291,Catalogo_Causas!$A$2:$A$10,0))</f>
        <v>Operacional</v>
      </c>
      <c r="I1291" s="5" t="n">
        <v>41</v>
      </c>
      <c r="J1291" s="29" t="n">
        <f aca="false">I1291/60</f>
        <v>0.683333333333333</v>
      </c>
    </row>
    <row r="1292" customFormat="false" ht="15" hidden="false" customHeight="false" outlineLevel="0" collapsed="false">
      <c r="A1292" s="5" t="s">
        <v>2334</v>
      </c>
      <c r="B1292" s="9" t="n">
        <v>45971</v>
      </c>
      <c r="C1292" s="9" t="n">
        <v>45972</v>
      </c>
      <c r="D1292" s="5" t="s">
        <v>132</v>
      </c>
      <c r="E1292" s="5" t="s">
        <v>1032</v>
      </c>
      <c r="F1292" s="5" t="s">
        <v>1009</v>
      </c>
      <c r="G1292" s="6" t="str">
        <f aca="false">INDEX(Catalogo_Causas!$B$2:$B$10,MATCH(F1292,Catalogo_Causas!$A$2:$A$10,0))</f>
        <v>Falta de material de empaque</v>
      </c>
      <c r="H1292" s="6" t="str">
        <f aca="false">INDEX(Catalogo_Causas!$C$2:$C$10,MATCH(F1292,Catalogo_Causas!$A$2:$A$10,0))</f>
        <v>Material / suministro</v>
      </c>
      <c r="I1292" s="5" t="n">
        <v>10</v>
      </c>
      <c r="J1292" s="29" t="n">
        <f aca="false">I1292/60</f>
        <v>0.166666666666667</v>
      </c>
    </row>
    <row r="1293" customFormat="false" ht="15" hidden="false" customHeight="false" outlineLevel="0" collapsed="false">
      <c r="A1293" s="5" t="s">
        <v>2335</v>
      </c>
      <c r="B1293" s="9" t="n">
        <v>45971</v>
      </c>
      <c r="C1293" s="9" t="n">
        <v>45972</v>
      </c>
      <c r="D1293" s="5" t="s">
        <v>134</v>
      </c>
      <c r="E1293" s="5" t="s">
        <v>1030</v>
      </c>
      <c r="F1293" s="5" t="s">
        <v>1012</v>
      </c>
      <c r="G1293" s="6" t="str">
        <f aca="false">INDEX(Catalogo_Causas!$B$2:$B$10,MATCH(F1293,Catalogo_Causas!$A$2:$A$10,0))</f>
        <v>Falta de materia prima</v>
      </c>
      <c r="H1293" s="6" t="str">
        <f aca="false">INDEX(Catalogo_Causas!$C$2:$C$10,MATCH(F1293,Catalogo_Causas!$A$2:$A$10,0))</f>
        <v>Material / suministro</v>
      </c>
      <c r="I1293" s="5" t="n">
        <v>69</v>
      </c>
      <c r="J1293" s="29" t="n">
        <f aca="false">I1293/60</f>
        <v>1.15</v>
      </c>
    </row>
    <row r="1294" customFormat="false" ht="15" hidden="false" customHeight="false" outlineLevel="0" collapsed="false">
      <c r="A1294" s="5" t="s">
        <v>2336</v>
      </c>
      <c r="B1294" s="9" t="n">
        <v>45971</v>
      </c>
      <c r="C1294" s="9" t="n">
        <v>45972</v>
      </c>
      <c r="D1294" s="5" t="s">
        <v>136</v>
      </c>
      <c r="E1294" s="5" t="s">
        <v>1101</v>
      </c>
      <c r="F1294" s="5" t="s">
        <v>1009</v>
      </c>
      <c r="G1294" s="6" t="str">
        <f aca="false">INDEX(Catalogo_Causas!$B$2:$B$10,MATCH(F1294,Catalogo_Causas!$A$2:$A$10,0))</f>
        <v>Falta de material de empaque</v>
      </c>
      <c r="H1294" s="6" t="str">
        <f aca="false">INDEX(Catalogo_Causas!$C$2:$C$10,MATCH(F1294,Catalogo_Causas!$A$2:$A$10,0))</f>
        <v>Material / suministro</v>
      </c>
      <c r="I1294" s="5" t="n">
        <v>43</v>
      </c>
      <c r="J1294" s="29" t="n">
        <f aca="false">I1294/60</f>
        <v>0.716666666666667</v>
      </c>
    </row>
    <row r="1295" customFormat="false" ht="15" hidden="false" customHeight="false" outlineLevel="0" collapsed="false">
      <c r="A1295" s="5" t="s">
        <v>2337</v>
      </c>
      <c r="B1295" s="9" t="n">
        <v>45971</v>
      </c>
      <c r="C1295" s="9" t="n">
        <v>45972</v>
      </c>
      <c r="D1295" s="5" t="s">
        <v>140</v>
      </c>
      <c r="E1295" s="5" t="s">
        <v>1045</v>
      </c>
      <c r="F1295" s="5" t="s">
        <v>1002</v>
      </c>
      <c r="G1295" s="6" t="str">
        <f aca="false">INDEX(Catalogo_Causas!$B$2:$B$10,MATCH(F1295,Catalogo_Causas!$A$2:$A$10,0))</f>
        <v>Falla mecánica</v>
      </c>
      <c r="H1295" s="6" t="str">
        <f aca="false">INDEX(Catalogo_Causas!$C$2:$C$10,MATCH(F1295,Catalogo_Causas!$A$2:$A$10,0))</f>
        <v>Operacional</v>
      </c>
      <c r="I1295" s="5" t="n">
        <v>29</v>
      </c>
      <c r="J1295" s="29" t="n">
        <f aca="false">I1295/60</f>
        <v>0.483333333333333</v>
      </c>
    </row>
    <row r="1296" customFormat="false" ht="15" hidden="false" customHeight="false" outlineLevel="0" collapsed="false">
      <c r="A1296" s="5" t="s">
        <v>2338</v>
      </c>
      <c r="B1296" s="9" t="n">
        <v>45971</v>
      </c>
      <c r="C1296" s="9" t="n">
        <v>45973</v>
      </c>
      <c r="D1296" s="5" t="s">
        <v>134</v>
      </c>
      <c r="E1296" s="5" t="s">
        <v>1054</v>
      </c>
      <c r="F1296" s="5" t="s">
        <v>1012</v>
      </c>
      <c r="G1296" s="6" t="str">
        <f aca="false">INDEX(Catalogo_Causas!$B$2:$B$10,MATCH(F1296,Catalogo_Causas!$A$2:$A$10,0))</f>
        <v>Falta de materia prima</v>
      </c>
      <c r="H1296" s="6" t="str">
        <f aca="false">INDEX(Catalogo_Causas!$C$2:$C$10,MATCH(F1296,Catalogo_Causas!$A$2:$A$10,0))</f>
        <v>Material / suministro</v>
      </c>
      <c r="I1296" s="5" t="n">
        <v>27</v>
      </c>
      <c r="J1296" s="29" t="n">
        <f aca="false">I1296/60</f>
        <v>0.45</v>
      </c>
    </row>
    <row r="1297" customFormat="false" ht="15" hidden="false" customHeight="false" outlineLevel="0" collapsed="false">
      <c r="A1297" s="5" t="s">
        <v>2339</v>
      </c>
      <c r="B1297" s="9" t="n">
        <v>45971</v>
      </c>
      <c r="C1297" s="9" t="n">
        <v>45973</v>
      </c>
      <c r="D1297" s="5" t="s">
        <v>136</v>
      </c>
      <c r="E1297" s="5" t="s">
        <v>1051</v>
      </c>
      <c r="F1297" s="5" t="s">
        <v>1002</v>
      </c>
      <c r="G1297" s="6" t="str">
        <f aca="false">INDEX(Catalogo_Causas!$B$2:$B$10,MATCH(F1297,Catalogo_Causas!$A$2:$A$10,0))</f>
        <v>Falla mecánica</v>
      </c>
      <c r="H1297" s="6" t="str">
        <f aca="false">INDEX(Catalogo_Causas!$C$2:$C$10,MATCH(F1297,Catalogo_Causas!$A$2:$A$10,0))</f>
        <v>Operacional</v>
      </c>
      <c r="I1297" s="5" t="n">
        <v>20</v>
      </c>
      <c r="J1297" s="29" t="n">
        <f aca="false">I1297/60</f>
        <v>0.333333333333333</v>
      </c>
    </row>
    <row r="1298" customFormat="false" ht="15" hidden="false" customHeight="false" outlineLevel="0" collapsed="false">
      <c r="A1298" s="5" t="s">
        <v>2340</v>
      </c>
      <c r="B1298" s="9" t="n">
        <v>45971</v>
      </c>
      <c r="C1298" s="9" t="n">
        <v>45973</v>
      </c>
      <c r="D1298" s="5" t="s">
        <v>140</v>
      </c>
      <c r="E1298" s="5" t="s">
        <v>1032</v>
      </c>
      <c r="F1298" s="5" t="s">
        <v>1005</v>
      </c>
      <c r="G1298" s="6" t="str">
        <f aca="false">INDEX(Catalogo_Causas!$B$2:$B$10,MATCH(F1298,Catalogo_Causas!$A$2:$A$10,0))</f>
        <v>Falla eléctrica / control</v>
      </c>
      <c r="H1298" s="6" t="str">
        <f aca="false">INDEX(Catalogo_Causas!$C$2:$C$10,MATCH(F1298,Catalogo_Causas!$A$2:$A$10,0))</f>
        <v>Operacional</v>
      </c>
      <c r="I1298" s="5" t="n">
        <v>18</v>
      </c>
      <c r="J1298" s="29" t="n">
        <f aca="false">I1298/60</f>
        <v>0.3</v>
      </c>
    </row>
    <row r="1299" customFormat="false" ht="15" hidden="false" customHeight="false" outlineLevel="0" collapsed="false">
      <c r="A1299" s="5" t="s">
        <v>2341</v>
      </c>
      <c r="B1299" s="9" t="n">
        <v>45971</v>
      </c>
      <c r="C1299" s="9" t="n">
        <v>45974</v>
      </c>
      <c r="D1299" s="5" t="s">
        <v>130</v>
      </c>
      <c r="E1299" s="5" t="s">
        <v>1030</v>
      </c>
      <c r="F1299" s="5" t="s">
        <v>1002</v>
      </c>
      <c r="G1299" s="6" t="str">
        <f aca="false">INDEX(Catalogo_Causas!$B$2:$B$10,MATCH(F1299,Catalogo_Causas!$A$2:$A$10,0))</f>
        <v>Falla mecánica</v>
      </c>
      <c r="H1299" s="6" t="str">
        <f aca="false">INDEX(Catalogo_Causas!$C$2:$C$10,MATCH(F1299,Catalogo_Causas!$A$2:$A$10,0))</f>
        <v>Operacional</v>
      </c>
      <c r="I1299" s="5" t="n">
        <v>26</v>
      </c>
      <c r="J1299" s="29" t="n">
        <f aca="false">I1299/60</f>
        <v>0.433333333333333</v>
      </c>
    </row>
    <row r="1300" customFormat="false" ht="15" hidden="false" customHeight="false" outlineLevel="0" collapsed="false">
      <c r="A1300" s="5" t="s">
        <v>2342</v>
      </c>
      <c r="B1300" s="9" t="n">
        <v>45971</v>
      </c>
      <c r="C1300" s="9" t="n">
        <v>45974</v>
      </c>
      <c r="D1300" s="5" t="s">
        <v>130</v>
      </c>
      <c r="E1300" s="5" t="s">
        <v>1030</v>
      </c>
      <c r="F1300" s="5" t="s">
        <v>1014</v>
      </c>
      <c r="G1300" s="6" t="str">
        <f aca="false">INDEX(Catalogo_Causas!$B$2:$B$10,MATCH(F1300,Catalogo_Causas!$A$2:$A$10,0))</f>
        <v>Retención de calidad</v>
      </c>
      <c r="H1300" s="6" t="str">
        <f aca="false">INDEX(Catalogo_Causas!$C$2:$C$10,MATCH(F1300,Catalogo_Causas!$A$2:$A$10,0))</f>
        <v>Calidad</v>
      </c>
      <c r="I1300" s="5" t="n">
        <v>10</v>
      </c>
      <c r="J1300" s="29" t="n">
        <f aca="false">I1300/60</f>
        <v>0.166666666666667</v>
      </c>
    </row>
    <row r="1301" customFormat="false" ht="15" hidden="false" customHeight="false" outlineLevel="0" collapsed="false">
      <c r="A1301" s="5" t="s">
        <v>2343</v>
      </c>
      <c r="B1301" s="9" t="n">
        <v>45971</v>
      </c>
      <c r="C1301" s="9" t="n">
        <v>45974</v>
      </c>
      <c r="D1301" s="5" t="s">
        <v>132</v>
      </c>
      <c r="E1301" s="5" t="s">
        <v>1032</v>
      </c>
      <c r="F1301" s="5" t="s">
        <v>1005</v>
      </c>
      <c r="G1301" s="6" t="str">
        <f aca="false">INDEX(Catalogo_Causas!$B$2:$B$10,MATCH(F1301,Catalogo_Causas!$A$2:$A$10,0))</f>
        <v>Falla eléctrica / control</v>
      </c>
      <c r="H1301" s="6" t="str">
        <f aca="false">INDEX(Catalogo_Causas!$C$2:$C$10,MATCH(F1301,Catalogo_Causas!$A$2:$A$10,0))</f>
        <v>Operacional</v>
      </c>
      <c r="I1301" s="5" t="n">
        <v>72</v>
      </c>
      <c r="J1301" s="29" t="n">
        <f aca="false">I1301/60</f>
        <v>1.2</v>
      </c>
    </row>
    <row r="1302" customFormat="false" ht="15" hidden="false" customHeight="false" outlineLevel="0" collapsed="false">
      <c r="A1302" s="5" t="s">
        <v>2344</v>
      </c>
      <c r="B1302" s="9" t="n">
        <v>45971</v>
      </c>
      <c r="C1302" s="9" t="n">
        <v>45974</v>
      </c>
      <c r="D1302" s="5" t="s">
        <v>138</v>
      </c>
      <c r="E1302" s="5" t="s">
        <v>1039</v>
      </c>
      <c r="F1302" s="5" t="s">
        <v>1007</v>
      </c>
      <c r="G1302" s="6" t="str">
        <f aca="false">INDEX(Catalogo_Causas!$B$2:$B$10,MATCH(F1302,Catalogo_Causas!$A$2:$A$10,0))</f>
        <v>Cambio de formato excedido</v>
      </c>
      <c r="H1302" s="6" t="str">
        <f aca="false">INDEX(Catalogo_Causas!$C$2:$C$10,MATCH(F1302,Catalogo_Causas!$A$2:$A$10,0))</f>
        <v>Operacional</v>
      </c>
      <c r="I1302" s="5" t="n">
        <v>40</v>
      </c>
      <c r="J1302" s="29" t="n">
        <f aca="false">I1302/60</f>
        <v>0.666666666666667</v>
      </c>
    </row>
    <row r="1303" customFormat="false" ht="15" hidden="false" customHeight="false" outlineLevel="0" collapsed="false">
      <c r="A1303" s="5" t="s">
        <v>2345</v>
      </c>
      <c r="B1303" s="9" t="n">
        <v>45971</v>
      </c>
      <c r="C1303" s="9" t="n">
        <v>45974</v>
      </c>
      <c r="D1303" s="5" t="s">
        <v>142</v>
      </c>
      <c r="E1303" s="5" t="s">
        <v>1030</v>
      </c>
      <c r="F1303" s="5" t="s">
        <v>1005</v>
      </c>
      <c r="G1303" s="6" t="str">
        <f aca="false">INDEX(Catalogo_Causas!$B$2:$B$10,MATCH(F1303,Catalogo_Causas!$A$2:$A$10,0))</f>
        <v>Falla eléctrica / control</v>
      </c>
      <c r="H1303" s="6" t="str">
        <f aca="false">INDEX(Catalogo_Causas!$C$2:$C$10,MATCH(F1303,Catalogo_Causas!$A$2:$A$10,0))</f>
        <v>Operacional</v>
      </c>
      <c r="I1303" s="5" t="n">
        <v>25</v>
      </c>
      <c r="J1303" s="29" t="n">
        <f aca="false">I1303/60</f>
        <v>0.416666666666667</v>
      </c>
    </row>
    <row r="1304" customFormat="false" ht="15" hidden="false" customHeight="false" outlineLevel="0" collapsed="false">
      <c r="A1304" s="5" t="s">
        <v>2346</v>
      </c>
      <c r="B1304" s="9" t="n">
        <v>45971</v>
      </c>
      <c r="C1304" s="9" t="n">
        <v>45975</v>
      </c>
      <c r="D1304" s="5" t="s">
        <v>132</v>
      </c>
      <c r="E1304" s="5" t="s">
        <v>1073</v>
      </c>
      <c r="F1304" s="5" t="s">
        <v>1005</v>
      </c>
      <c r="G1304" s="6" t="str">
        <f aca="false">INDEX(Catalogo_Causas!$B$2:$B$10,MATCH(F1304,Catalogo_Causas!$A$2:$A$10,0))</f>
        <v>Falla eléctrica / control</v>
      </c>
      <c r="H1304" s="6" t="str">
        <f aca="false">INDEX(Catalogo_Causas!$C$2:$C$10,MATCH(F1304,Catalogo_Causas!$A$2:$A$10,0))</f>
        <v>Operacional</v>
      </c>
      <c r="I1304" s="5" t="n">
        <v>17</v>
      </c>
      <c r="J1304" s="29" t="n">
        <f aca="false">I1304/60</f>
        <v>0.283333333333333</v>
      </c>
    </row>
    <row r="1305" customFormat="false" ht="15" hidden="false" customHeight="false" outlineLevel="0" collapsed="false">
      <c r="A1305" s="5" t="s">
        <v>2347</v>
      </c>
      <c r="B1305" s="9" t="n">
        <v>45971</v>
      </c>
      <c r="C1305" s="9" t="n">
        <v>45975</v>
      </c>
      <c r="D1305" s="5" t="s">
        <v>136</v>
      </c>
      <c r="E1305" s="5" t="s">
        <v>1051</v>
      </c>
      <c r="F1305" s="5" t="s">
        <v>1005</v>
      </c>
      <c r="G1305" s="6" t="str">
        <f aca="false">INDEX(Catalogo_Causas!$B$2:$B$10,MATCH(F1305,Catalogo_Causas!$A$2:$A$10,0))</f>
        <v>Falla eléctrica / control</v>
      </c>
      <c r="H1305" s="6" t="str">
        <f aca="false">INDEX(Catalogo_Causas!$C$2:$C$10,MATCH(F1305,Catalogo_Causas!$A$2:$A$10,0))</f>
        <v>Operacional</v>
      </c>
      <c r="I1305" s="5" t="n">
        <v>73</v>
      </c>
      <c r="J1305" s="29" t="n">
        <f aca="false">I1305/60</f>
        <v>1.21666666666667</v>
      </c>
    </row>
    <row r="1306" customFormat="false" ht="15" hidden="false" customHeight="false" outlineLevel="0" collapsed="false">
      <c r="A1306" s="5" t="s">
        <v>2348</v>
      </c>
      <c r="B1306" s="9" t="n">
        <v>45971</v>
      </c>
      <c r="C1306" s="9" t="n">
        <v>45975</v>
      </c>
      <c r="D1306" s="5" t="s">
        <v>138</v>
      </c>
      <c r="E1306" s="5" t="s">
        <v>1034</v>
      </c>
      <c r="F1306" s="5" t="s">
        <v>1021</v>
      </c>
      <c r="G1306" s="6" t="str">
        <f aca="false">INDEX(Catalogo_Causas!$B$2:$B$10,MATCH(F1306,Catalogo_Causas!$A$2:$A$10,0))</f>
        <v>Falla de servicios (vapor/amoniaco/aire)</v>
      </c>
      <c r="H1306" s="6" t="str">
        <f aca="false">INDEX(Catalogo_Causas!$C$2:$C$10,MATCH(F1306,Catalogo_Causas!$A$2:$A$10,0))</f>
        <v>Servicios</v>
      </c>
      <c r="I1306" s="5" t="n">
        <v>52</v>
      </c>
      <c r="J1306" s="29" t="n">
        <f aca="false">I1306/60</f>
        <v>0.866666666666667</v>
      </c>
    </row>
    <row r="1307" customFormat="false" ht="15" hidden="false" customHeight="false" outlineLevel="0" collapsed="false">
      <c r="A1307" s="5" t="s">
        <v>2349</v>
      </c>
      <c r="B1307" s="9" t="n">
        <v>45971</v>
      </c>
      <c r="C1307" s="9" t="n">
        <v>45975</v>
      </c>
      <c r="D1307" s="5" t="s">
        <v>140</v>
      </c>
      <c r="E1307" s="5" t="s">
        <v>1045</v>
      </c>
      <c r="F1307" s="5" t="s">
        <v>1005</v>
      </c>
      <c r="G1307" s="6" t="str">
        <f aca="false">INDEX(Catalogo_Causas!$B$2:$B$10,MATCH(F1307,Catalogo_Causas!$A$2:$A$10,0))</f>
        <v>Falla eléctrica / control</v>
      </c>
      <c r="H1307" s="6" t="str">
        <f aca="false">INDEX(Catalogo_Causas!$C$2:$C$10,MATCH(F1307,Catalogo_Causas!$A$2:$A$10,0))</f>
        <v>Operacional</v>
      </c>
      <c r="I1307" s="5" t="n">
        <v>53</v>
      </c>
      <c r="J1307" s="29" t="n">
        <f aca="false">I1307/60</f>
        <v>0.883333333333333</v>
      </c>
    </row>
    <row r="1308" customFormat="false" ht="15" hidden="false" customHeight="false" outlineLevel="0" collapsed="false">
      <c r="A1308" s="5" t="s">
        <v>2350</v>
      </c>
      <c r="B1308" s="9" t="n">
        <v>45971</v>
      </c>
      <c r="C1308" s="9" t="n">
        <v>45976</v>
      </c>
      <c r="D1308" s="5" t="s">
        <v>134</v>
      </c>
      <c r="E1308" s="5" t="s">
        <v>1054</v>
      </c>
      <c r="F1308" s="5" t="s">
        <v>1002</v>
      </c>
      <c r="G1308" s="6" t="str">
        <f aca="false">INDEX(Catalogo_Causas!$B$2:$B$10,MATCH(F1308,Catalogo_Causas!$A$2:$A$10,0))</f>
        <v>Falla mecánica</v>
      </c>
      <c r="H1308" s="6" t="str">
        <f aca="false">INDEX(Catalogo_Causas!$C$2:$C$10,MATCH(F1308,Catalogo_Causas!$A$2:$A$10,0))</f>
        <v>Operacional</v>
      </c>
      <c r="I1308" s="5" t="n">
        <v>39</v>
      </c>
      <c r="J1308" s="29" t="n">
        <f aca="false">I1308/60</f>
        <v>0.65</v>
      </c>
    </row>
    <row r="1309" customFormat="false" ht="15" hidden="false" customHeight="false" outlineLevel="0" collapsed="false">
      <c r="A1309" s="5" t="s">
        <v>2351</v>
      </c>
      <c r="B1309" s="9" t="n">
        <v>45971</v>
      </c>
      <c r="C1309" s="9" t="n">
        <v>45976</v>
      </c>
      <c r="D1309" s="5" t="s">
        <v>142</v>
      </c>
      <c r="E1309" s="5" t="s">
        <v>1051</v>
      </c>
      <c r="F1309" s="5" t="s">
        <v>1012</v>
      </c>
      <c r="G1309" s="6" t="str">
        <f aca="false">INDEX(Catalogo_Causas!$B$2:$B$10,MATCH(F1309,Catalogo_Causas!$A$2:$A$10,0))</f>
        <v>Falta de materia prima</v>
      </c>
      <c r="H1309" s="6" t="str">
        <f aca="false">INDEX(Catalogo_Causas!$C$2:$C$10,MATCH(F1309,Catalogo_Causas!$A$2:$A$10,0))</f>
        <v>Material / suministro</v>
      </c>
      <c r="I1309" s="5" t="n">
        <v>89</v>
      </c>
      <c r="J1309" s="29" t="n">
        <f aca="false">I1309/60</f>
        <v>1.48333333333333</v>
      </c>
    </row>
    <row r="1310" customFormat="false" ht="15" hidden="false" customHeight="false" outlineLevel="0" collapsed="false">
      <c r="A1310" s="5" t="s">
        <v>2352</v>
      </c>
      <c r="B1310" s="9" t="n">
        <v>45971</v>
      </c>
      <c r="C1310" s="9" t="n">
        <v>45976</v>
      </c>
      <c r="D1310" s="5" t="s">
        <v>142</v>
      </c>
      <c r="E1310" s="5" t="s">
        <v>1051</v>
      </c>
      <c r="F1310" s="5" t="s">
        <v>1002</v>
      </c>
      <c r="G1310" s="6" t="str">
        <f aca="false">INDEX(Catalogo_Causas!$B$2:$B$10,MATCH(F1310,Catalogo_Causas!$A$2:$A$10,0))</f>
        <v>Falla mecánica</v>
      </c>
      <c r="H1310" s="6" t="str">
        <f aca="false">INDEX(Catalogo_Causas!$C$2:$C$10,MATCH(F1310,Catalogo_Causas!$A$2:$A$10,0))</f>
        <v>Operacional</v>
      </c>
      <c r="I1310" s="5" t="n">
        <v>72</v>
      </c>
      <c r="J1310" s="29" t="n">
        <f aca="false">I1310/60</f>
        <v>1.2</v>
      </c>
    </row>
    <row r="1311" customFormat="false" ht="15" hidden="false" customHeight="false" outlineLevel="0" collapsed="false">
      <c r="A1311" s="5" t="s">
        <v>2353</v>
      </c>
      <c r="B1311" s="9" t="n">
        <v>45971</v>
      </c>
      <c r="C1311" s="9" t="n">
        <v>45976</v>
      </c>
      <c r="D1311" s="5" t="s">
        <v>144</v>
      </c>
      <c r="E1311" s="5" t="s">
        <v>1043</v>
      </c>
      <c r="F1311" s="5" t="s">
        <v>1002</v>
      </c>
      <c r="G1311" s="6" t="str">
        <f aca="false">INDEX(Catalogo_Causas!$B$2:$B$10,MATCH(F1311,Catalogo_Causas!$A$2:$A$10,0))</f>
        <v>Falla mecánica</v>
      </c>
      <c r="H1311" s="6" t="str">
        <f aca="false">INDEX(Catalogo_Causas!$C$2:$C$10,MATCH(F1311,Catalogo_Causas!$A$2:$A$10,0))</f>
        <v>Operacional</v>
      </c>
      <c r="I1311" s="5" t="n">
        <v>19</v>
      </c>
      <c r="J1311" s="29" t="n">
        <f aca="false">I1311/60</f>
        <v>0.316666666666667</v>
      </c>
    </row>
    <row r="1312" customFormat="false" ht="15" hidden="false" customHeight="false" outlineLevel="0" collapsed="false">
      <c r="A1312" s="5" t="s">
        <v>2354</v>
      </c>
      <c r="B1312" s="9" t="n">
        <v>45978</v>
      </c>
      <c r="C1312" s="9" t="n">
        <v>45978</v>
      </c>
      <c r="D1312" s="5" t="s">
        <v>130</v>
      </c>
      <c r="E1312" s="5" t="s">
        <v>1078</v>
      </c>
      <c r="F1312" s="5" t="s">
        <v>1002</v>
      </c>
      <c r="G1312" s="6" t="str">
        <f aca="false">INDEX(Catalogo_Causas!$B$2:$B$10,MATCH(F1312,Catalogo_Causas!$A$2:$A$10,0))</f>
        <v>Falla mecánica</v>
      </c>
      <c r="H1312" s="6" t="str">
        <f aca="false">INDEX(Catalogo_Causas!$C$2:$C$10,MATCH(F1312,Catalogo_Causas!$A$2:$A$10,0))</f>
        <v>Operacional</v>
      </c>
      <c r="I1312" s="5" t="n">
        <v>79</v>
      </c>
      <c r="J1312" s="29" t="n">
        <f aca="false">I1312/60</f>
        <v>1.31666666666667</v>
      </c>
    </row>
    <row r="1313" customFormat="false" ht="15" hidden="false" customHeight="false" outlineLevel="0" collapsed="false">
      <c r="A1313" s="5" t="s">
        <v>2355</v>
      </c>
      <c r="B1313" s="9" t="n">
        <v>45978</v>
      </c>
      <c r="C1313" s="9" t="n">
        <v>45978</v>
      </c>
      <c r="D1313" s="5" t="s">
        <v>134</v>
      </c>
      <c r="E1313" s="5" t="s">
        <v>1030</v>
      </c>
      <c r="F1313" s="5" t="s">
        <v>1002</v>
      </c>
      <c r="G1313" s="6" t="str">
        <f aca="false">INDEX(Catalogo_Causas!$B$2:$B$10,MATCH(F1313,Catalogo_Causas!$A$2:$A$10,0))</f>
        <v>Falla mecánica</v>
      </c>
      <c r="H1313" s="6" t="str">
        <f aca="false">INDEX(Catalogo_Causas!$C$2:$C$10,MATCH(F1313,Catalogo_Causas!$A$2:$A$10,0))</f>
        <v>Operacional</v>
      </c>
      <c r="I1313" s="5" t="n">
        <v>28</v>
      </c>
      <c r="J1313" s="29" t="n">
        <f aca="false">I1313/60</f>
        <v>0.466666666666667</v>
      </c>
    </row>
    <row r="1314" customFormat="false" ht="15" hidden="false" customHeight="false" outlineLevel="0" collapsed="false">
      <c r="A1314" s="5" t="s">
        <v>2356</v>
      </c>
      <c r="B1314" s="9" t="n">
        <v>45978</v>
      </c>
      <c r="C1314" s="9" t="n">
        <v>45978</v>
      </c>
      <c r="D1314" s="5" t="s">
        <v>134</v>
      </c>
      <c r="E1314" s="5" t="s">
        <v>1032</v>
      </c>
      <c r="F1314" s="5" t="s">
        <v>1014</v>
      </c>
      <c r="G1314" s="6" t="str">
        <f aca="false">INDEX(Catalogo_Causas!$B$2:$B$10,MATCH(F1314,Catalogo_Causas!$A$2:$A$10,0))</f>
        <v>Retención de calidad</v>
      </c>
      <c r="H1314" s="6" t="str">
        <f aca="false">INDEX(Catalogo_Causas!$C$2:$C$10,MATCH(F1314,Catalogo_Causas!$A$2:$A$10,0))</f>
        <v>Calidad</v>
      </c>
      <c r="I1314" s="5" t="n">
        <v>49</v>
      </c>
      <c r="J1314" s="29" t="n">
        <f aca="false">I1314/60</f>
        <v>0.816666666666667</v>
      </c>
    </row>
    <row r="1315" customFormat="false" ht="15" hidden="false" customHeight="false" outlineLevel="0" collapsed="false">
      <c r="A1315" s="5" t="s">
        <v>2357</v>
      </c>
      <c r="B1315" s="9" t="n">
        <v>45978</v>
      </c>
      <c r="C1315" s="9" t="n">
        <v>45979</v>
      </c>
      <c r="D1315" s="5" t="s">
        <v>130</v>
      </c>
      <c r="E1315" s="5" t="s">
        <v>1030</v>
      </c>
      <c r="F1315" s="5" t="s">
        <v>1018</v>
      </c>
      <c r="G1315" s="6" t="str">
        <f aca="false">INDEX(Catalogo_Causas!$B$2:$B$10,MATCH(F1315,Catalogo_Causas!$A$2:$A$10,0))</f>
        <v>Falta de personal</v>
      </c>
      <c r="H1315" s="6" t="str">
        <f aca="false">INDEX(Catalogo_Causas!$C$2:$C$10,MATCH(F1315,Catalogo_Causas!$A$2:$A$10,0))</f>
        <v>Personal</v>
      </c>
      <c r="I1315" s="5" t="n">
        <v>19</v>
      </c>
      <c r="J1315" s="29" t="n">
        <f aca="false">I1315/60</f>
        <v>0.316666666666667</v>
      </c>
    </row>
    <row r="1316" customFormat="false" ht="15" hidden="false" customHeight="false" outlineLevel="0" collapsed="false">
      <c r="A1316" s="5" t="s">
        <v>2358</v>
      </c>
      <c r="B1316" s="9" t="n">
        <v>45978</v>
      </c>
      <c r="C1316" s="9" t="n">
        <v>45979</v>
      </c>
      <c r="D1316" s="5" t="s">
        <v>136</v>
      </c>
      <c r="E1316" s="5" t="s">
        <v>1032</v>
      </c>
      <c r="F1316" s="5" t="s">
        <v>1007</v>
      </c>
      <c r="G1316" s="6" t="str">
        <f aca="false">INDEX(Catalogo_Causas!$B$2:$B$10,MATCH(F1316,Catalogo_Causas!$A$2:$A$10,0))</f>
        <v>Cambio de formato excedido</v>
      </c>
      <c r="H1316" s="6" t="str">
        <f aca="false">INDEX(Catalogo_Causas!$C$2:$C$10,MATCH(F1316,Catalogo_Causas!$A$2:$A$10,0))</f>
        <v>Operacional</v>
      </c>
      <c r="I1316" s="5" t="n">
        <v>45</v>
      </c>
      <c r="J1316" s="29" t="n">
        <f aca="false">I1316/60</f>
        <v>0.75</v>
      </c>
    </row>
    <row r="1317" customFormat="false" ht="15" hidden="false" customHeight="false" outlineLevel="0" collapsed="false">
      <c r="A1317" s="5" t="s">
        <v>2359</v>
      </c>
      <c r="B1317" s="9" t="n">
        <v>45978</v>
      </c>
      <c r="C1317" s="9" t="n">
        <v>45979</v>
      </c>
      <c r="D1317" s="5" t="s">
        <v>138</v>
      </c>
      <c r="E1317" s="5" t="s">
        <v>1034</v>
      </c>
      <c r="F1317" s="5" t="s">
        <v>1007</v>
      </c>
      <c r="G1317" s="6" t="str">
        <f aca="false">INDEX(Catalogo_Causas!$B$2:$B$10,MATCH(F1317,Catalogo_Causas!$A$2:$A$10,0))</f>
        <v>Cambio de formato excedido</v>
      </c>
      <c r="H1317" s="6" t="str">
        <f aca="false">INDEX(Catalogo_Causas!$C$2:$C$10,MATCH(F1317,Catalogo_Causas!$A$2:$A$10,0))</f>
        <v>Operacional</v>
      </c>
      <c r="I1317" s="5" t="n">
        <v>176</v>
      </c>
      <c r="J1317" s="29" t="n">
        <f aca="false">I1317/60</f>
        <v>2.93333333333333</v>
      </c>
    </row>
    <row r="1318" customFormat="false" ht="15" hidden="false" customHeight="false" outlineLevel="0" collapsed="false">
      <c r="A1318" s="5" t="s">
        <v>2360</v>
      </c>
      <c r="B1318" s="9" t="n">
        <v>45978</v>
      </c>
      <c r="C1318" s="9" t="n">
        <v>45979</v>
      </c>
      <c r="D1318" s="5" t="s">
        <v>142</v>
      </c>
      <c r="E1318" s="5" t="s">
        <v>1030</v>
      </c>
      <c r="F1318" s="5" t="s">
        <v>1007</v>
      </c>
      <c r="G1318" s="6" t="str">
        <f aca="false">INDEX(Catalogo_Causas!$B$2:$B$10,MATCH(F1318,Catalogo_Causas!$A$2:$A$10,0))</f>
        <v>Cambio de formato excedido</v>
      </c>
      <c r="H1318" s="6" t="str">
        <f aca="false">INDEX(Catalogo_Causas!$C$2:$C$10,MATCH(F1318,Catalogo_Causas!$A$2:$A$10,0))</f>
        <v>Operacional</v>
      </c>
      <c r="I1318" s="5" t="n">
        <v>65</v>
      </c>
      <c r="J1318" s="29" t="n">
        <f aca="false">I1318/60</f>
        <v>1.08333333333333</v>
      </c>
    </row>
    <row r="1319" customFormat="false" ht="15" hidden="false" customHeight="false" outlineLevel="0" collapsed="false">
      <c r="A1319" s="5" t="s">
        <v>2361</v>
      </c>
      <c r="B1319" s="9" t="n">
        <v>45978</v>
      </c>
      <c r="C1319" s="9" t="n">
        <v>45980</v>
      </c>
      <c r="D1319" s="5" t="s">
        <v>134</v>
      </c>
      <c r="E1319" s="5" t="s">
        <v>1032</v>
      </c>
      <c r="F1319" s="5" t="s">
        <v>1007</v>
      </c>
      <c r="G1319" s="6" t="str">
        <f aca="false">INDEX(Catalogo_Causas!$B$2:$B$10,MATCH(F1319,Catalogo_Causas!$A$2:$A$10,0))</f>
        <v>Cambio de formato excedido</v>
      </c>
      <c r="H1319" s="6" t="str">
        <f aca="false">INDEX(Catalogo_Causas!$C$2:$C$10,MATCH(F1319,Catalogo_Causas!$A$2:$A$10,0))</f>
        <v>Operacional</v>
      </c>
      <c r="I1319" s="5" t="n">
        <v>33</v>
      </c>
      <c r="J1319" s="29" t="n">
        <f aca="false">I1319/60</f>
        <v>0.55</v>
      </c>
    </row>
    <row r="1320" customFormat="false" ht="15" hidden="false" customHeight="false" outlineLevel="0" collapsed="false">
      <c r="A1320" s="5" t="s">
        <v>2362</v>
      </c>
      <c r="B1320" s="9" t="n">
        <v>45978</v>
      </c>
      <c r="C1320" s="9" t="n">
        <v>45980</v>
      </c>
      <c r="D1320" s="5" t="s">
        <v>140</v>
      </c>
      <c r="E1320" s="5" t="s">
        <v>1045</v>
      </c>
      <c r="F1320" s="5" t="s">
        <v>1007</v>
      </c>
      <c r="G1320" s="6" t="str">
        <f aca="false">INDEX(Catalogo_Causas!$B$2:$B$10,MATCH(F1320,Catalogo_Causas!$A$2:$A$10,0))</f>
        <v>Cambio de formato excedido</v>
      </c>
      <c r="H1320" s="6" t="str">
        <f aca="false">INDEX(Catalogo_Causas!$C$2:$C$10,MATCH(F1320,Catalogo_Causas!$A$2:$A$10,0))</f>
        <v>Operacional</v>
      </c>
      <c r="I1320" s="5" t="n">
        <v>31</v>
      </c>
      <c r="J1320" s="29" t="n">
        <f aca="false">I1320/60</f>
        <v>0.516666666666667</v>
      </c>
    </row>
    <row r="1321" customFormat="false" ht="15" hidden="false" customHeight="false" outlineLevel="0" collapsed="false">
      <c r="A1321" s="5" t="s">
        <v>2363</v>
      </c>
      <c r="B1321" s="9" t="n">
        <v>45978</v>
      </c>
      <c r="C1321" s="9" t="n">
        <v>45980</v>
      </c>
      <c r="D1321" s="5" t="s">
        <v>140</v>
      </c>
      <c r="E1321" s="5" t="s">
        <v>1036</v>
      </c>
      <c r="F1321" s="5" t="s">
        <v>1009</v>
      </c>
      <c r="G1321" s="6" t="str">
        <f aca="false">INDEX(Catalogo_Causas!$B$2:$B$10,MATCH(F1321,Catalogo_Causas!$A$2:$A$10,0))</f>
        <v>Falta de material de empaque</v>
      </c>
      <c r="H1321" s="6" t="str">
        <f aca="false">INDEX(Catalogo_Causas!$C$2:$C$10,MATCH(F1321,Catalogo_Causas!$A$2:$A$10,0))</f>
        <v>Material / suministro</v>
      </c>
      <c r="I1321" s="5" t="n">
        <v>79</v>
      </c>
      <c r="J1321" s="29" t="n">
        <f aca="false">I1321/60</f>
        <v>1.31666666666667</v>
      </c>
    </row>
    <row r="1322" customFormat="false" ht="15" hidden="false" customHeight="false" outlineLevel="0" collapsed="false">
      <c r="A1322" s="5" t="s">
        <v>2364</v>
      </c>
      <c r="B1322" s="9" t="n">
        <v>45978</v>
      </c>
      <c r="C1322" s="9" t="n">
        <v>45981</v>
      </c>
      <c r="D1322" s="5" t="s">
        <v>132</v>
      </c>
      <c r="E1322" s="5" t="s">
        <v>1032</v>
      </c>
      <c r="F1322" s="5" t="s">
        <v>1012</v>
      </c>
      <c r="G1322" s="6" t="str">
        <f aca="false">INDEX(Catalogo_Causas!$B$2:$B$10,MATCH(F1322,Catalogo_Causas!$A$2:$A$10,0))</f>
        <v>Falta de materia prima</v>
      </c>
      <c r="H1322" s="6" t="str">
        <f aca="false">INDEX(Catalogo_Causas!$C$2:$C$10,MATCH(F1322,Catalogo_Causas!$A$2:$A$10,0))</f>
        <v>Material / suministro</v>
      </c>
      <c r="I1322" s="5" t="n">
        <v>20</v>
      </c>
      <c r="J1322" s="29" t="n">
        <f aca="false">I1322/60</f>
        <v>0.333333333333333</v>
      </c>
    </row>
    <row r="1323" customFormat="false" ht="15" hidden="false" customHeight="false" outlineLevel="0" collapsed="false">
      <c r="A1323" s="5" t="s">
        <v>2365</v>
      </c>
      <c r="B1323" s="9" t="n">
        <v>45978</v>
      </c>
      <c r="C1323" s="9" t="n">
        <v>45981</v>
      </c>
      <c r="D1323" s="5" t="s">
        <v>136</v>
      </c>
      <c r="E1323" s="5" t="s">
        <v>1032</v>
      </c>
      <c r="F1323" s="5" t="s">
        <v>1007</v>
      </c>
      <c r="G1323" s="6" t="str">
        <f aca="false">INDEX(Catalogo_Causas!$B$2:$B$10,MATCH(F1323,Catalogo_Causas!$A$2:$A$10,0))</f>
        <v>Cambio de formato excedido</v>
      </c>
      <c r="H1323" s="6" t="str">
        <f aca="false">INDEX(Catalogo_Causas!$C$2:$C$10,MATCH(F1323,Catalogo_Causas!$A$2:$A$10,0))</f>
        <v>Operacional</v>
      </c>
      <c r="I1323" s="5" t="n">
        <v>41</v>
      </c>
      <c r="J1323" s="29" t="n">
        <f aca="false">I1323/60</f>
        <v>0.683333333333333</v>
      </c>
    </row>
    <row r="1324" customFormat="false" ht="15" hidden="false" customHeight="false" outlineLevel="0" collapsed="false">
      <c r="A1324" s="5" t="s">
        <v>2366</v>
      </c>
      <c r="B1324" s="9" t="n">
        <v>45978</v>
      </c>
      <c r="C1324" s="9" t="n">
        <v>45981</v>
      </c>
      <c r="D1324" s="5" t="s">
        <v>138</v>
      </c>
      <c r="E1324" s="5" t="s">
        <v>1034</v>
      </c>
      <c r="F1324" s="5" t="s">
        <v>1014</v>
      </c>
      <c r="G1324" s="6" t="str">
        <f aca="false">INDEX(Catalogo_Causas!$B$2:$B$10,MATCH(F1324,Catalogo_Causas!$A$2:$A$10,0))</f>
        <v>Retención de calidad</v>
      </c>
      <c r="H1324" s="6" t="str">
        <f aca="false">INDEX(Catalogo_Causas!$C$2:$C$10,MATCH(F1324,Catalogo_Causas!$A$2:$A$10,0))</f>
        <v>Calidad</v>
      </c>
      <c r="I1324" s="5" t="n">
        <v>35</v>
      </c>
      <c r="J1324" s="29" t="n">
        <f aca="false">I1324/60</f>
        <v>0.583333333333333</v>
      </c>
    </row>
    <row r="1325" customFormat="false" ht="15" hidden="false" customHeight="false" outlineLevel="0" collapsed="false">
      <c r="A1325" s="5" t="s">
        <v>2367</v>
      </c>
      <c r="B1325" s="9" t="n">
        <v>45978</v>
      </c>
      <c r="C1325" s="9" t="n">
        <v>45982</v>
      </c>
      <c r="D1325" s="5" t="s">
        <v>130</v>
      </c>
      <c r="E1325" s="5" t="s">
        <v>1078</v>
      </c>
      <c r="F1325" s="5" t="s">
        <v>1012</v>
      </c>
      <c r="G1325" s="6" t="str">
        <f aca="false">INDEX(Catalogo_Causas!$B$2:$B$10,MATCH(F1325,Catalogo_Causas!$A$2:$A$10,0))</f>
        <v>Falta de materia prima</v>
      </c>
      <c r="H1325" s="6" t="str">
        <f aca="false">INDEX(Catalogo_Causas!$C$2:$C$10,MATCH(F1325,Catalogo_Causas!$A$2:$A$10,0))</f>
        <v>Material / suministro</v>
      </c>
      <c r="I1325" s="5" t="n">
        <v>43</v>
      </c>
      <c r="J1325" s="29" t="n">
        <f aca="false">I1325/60</f>
        <v>0.716666666666667</v>
      </c>
    </row>
    <row r="1326" customFormat="false" ht="15" hidden="false" customHeight="false" outlineLevel="0" collapsed="false">
      <c r="A1326" s="5" t="s">
        <v>2368</v>
      </c>
      <c r="B1326" s="9" t="n">
        <v>45978</v>
      </c>
      <c r="C1326" s="9" t="n">
        <v>45982</v>
      </c>
      <c r="D1326" s="5" t="s">
        <v>130</v>
      </c>
      <c r="E1326" s="5" t="s">
        <v>1045</v>
      </c>
      <c r="F1326" s="5" t="s">
        <v>1005</v>
      </c>
      <c r="G1326" s="6" t="str">
        <f aca="false">INDEX(Catalogo_Causas!$B$2:$B$10,MATCH(F1326,Catalogo_Causas!$A$2:$A$10,0))</f>
        <v>Falla eléctrica / control</v>
      </c>
      <c r="H1326" s="6" t="str">
        <f aca="false">INDEX(Catalogo_Causas!$C$2:$C$10,MATCH(F1326,Catalogo_Causas!$A$2:$A$10,0))</f>
        <v>Operacional</v>
      </c>
      <c r="I1326" s="5" t="n">
        <v>98</v>
      </c>
      <c r="J1326" s="29" t="n">
        <f aca="false">I1326/60</f>
        <v>1.63333333333333</v>
      </c>
    </row>
    <row r="1327" customFormat="false" ht="15" hidden="false" customHeight="false" outlineLevel="0" collapsed="false">
      <c r="A1327" s="5" t="s">
        <v>2369</v>
      </c>
      <c r="B1327" s="9" t="n">
        <v>45978</v>
      </c>
      <c r="C1327" s="9" t="n">
        <v>45982</v>
      </c>
      <c r="D1327" s="5" t="s">
        <v>132</v>
      </c>
      <c r="E1327" s="5" t="s">
        <v>1032</v>
      </c>
      <c r="F1327" s="5" t="s">
        <v>1016</v>
      </c>
      <c r="G1327" s="6" t="str">
        <f aca="false">INDEX(Catalogo_Causas!$B$2:$B$10,MATCH(F1327,Catalogo_Causas!$A$2:$A$10,0))</f>
        <v>Limpieza no programada (CIP)</v>
      </c>
      <c r="H1327" s="6" t="str">
        <f aca="false">INDEX(Catalogo_Causas!$C$2:$C$10,MATCH(F1327,Catalogo_Causas!$A$2:$A$10,0))</f>
        <v>Calidad</v>
      </c>
      <c r="I1327" s="5" t="n">
        <v>53</v>
      </c>
      <c r="J1327" s="29" t="n">
        <f aca="false">I1327/60</f>
        <v>0.883333333333333</v>
      </c>
    </row>
    <row r="1328" customFormat="false" ht="15" hidden="false" customHeight="false" outlineLevel="0" collapsed="false">
      <c r="A1328" s="5" t="s">
        <v>2370</v>
      </c>
      <c r="B1328" s="9" t="n">
        <v>45978</v>
      </c>
      <c r="C1328" s="9" t="n">
        <v>45982</v>
      </c>
      <c r="D1328" s="5" t="s">
        <v>132</v>
      </c>
      <c r="E1328" s="5" t="s">
        <v>1084</v>
      </c>
      <c r="F1328" s="5" t="s">
        <v>1021</v>
      </c>
      <c r="G1328" s="6" t="str">
        <f aca="false">INDEX(Catalogo_Causas!$B$2:$B$10,MATCH(F1328,Catalogo_Causas!$A$2:$A$10,0))</f>
        <v>Falla de servicios (vapor/amoniaco/aire)</v>
      </c>
      <c r="H1328" s="6" t="str">
        <f aca="false">INDEX(Catalogo_Causas!$C$2:$C$10,MATCH(F1328,Catalogo_Causas!$A$2:$A$10,0))</f>
        <v>Servicios</v>
      </c>
      <c r="I1328" s="5" t="n">
        <v>57</v>
      </c>
      <c r="J1328" s="29" t="n">
        <f aca="false">I1328/60</f>
        <v>0.95</v>
      </c>
    </row>
    <row r="1329" customFormat="false" ht="15" hidden="false" customHeight="false" outlineLevel="0" collapsed="false">
      <c r="A1329" s="5" t="s">
        <v>2371</v>
      </c>
      <c r="B1329" s="9" t="n">
        <v>45978</v>
      </c>
      <c r="C1329" s="9" t="n">
        <v>45982</v>
      </c>
      <c r="D1329" s="5" t="s">
        <v>138</v>
      </c>
      <c r="E1329" s="5" t="s">
        <v>1034</v>
      </c>
      <c r="F1329" s="5" t="s">
        <v>1005</v>
      </c>
      <c r="G1329" s="6" t="str">
        <f aca="false">INDEX(Catalogo_Causas!$B$2:$B$10,MATCH(F1329,Catalogo_Causas!$A$2:$A$10,0))</f>
        <v>Falla eléctrica / control</v>
      </c>
      <c r="H1329" s="6" t="str">
        <f aca="false">INDEX(Catalogo_Causas!$C$2:$C$10,MATCH(F1329,Catalogo_Causas!$A$2:$A$10,0))</f>
        <v>Operacional</v>
      </c>
      <c r="I1329" s="5" t="n">
        <v>44</v>
      </c>
      <c r="J1329" s="29" t="n">
        <f aca="false">I1329/60</f>
        <v>0.733333333333333</v>
      </c>
    </row>
    <row r="1330" customFormat="false" ht="15" hidden="false" customHeight="false" outlineLevel="0" collapsed="false">
      <c r="A1330" s="5" t="s">
        <v>2372</v>
      </c>
      <c r="B1330" s="9" t="n">
        <v>45978</v>
      </c>
      <c r="C1330" s="9" t="n">
        <v>45983</v>
      </c>
      <c r="D1330" s="5" t="s">
        <v>136</v>
      </c>
      <c r="E1330" s="5" t="s">
        <v>1101</v>
      </c>
      <c r="F1330" s="5" t="s">
        <v>1014</v>
      </c>
      <c r="G1330" s="6" t="str">
        <f aca="false">INDEX(Catalogo_Causas!$B$2:$B$10,MATCH(F1330,Catalogo_Causas!$A$2:$A$10,0))</f>
        <v>Retención de calidad</v>
      </c>
      <c r="H1330" s="6" t="str">
        <f aca="false">INDEX(Catalogo_Causas!$C$2:$C$10,MATCH(F1330,Catalogo_Causas!$A$2:$A$10,0))</f>
        <v>Calidad</v>
      </c>
      <c r="I1330" s="5" t="n">
        <v>40</v>
      </c>
      <c r="J1330" s="29" t="n">
        <f aca="false">I1330/60</f>
        <v>0.666666666666667</v>
      </c>
    </row>
    <row r="1331" customFormat="false" ht="15" hidden="false" customHeight="false" outlineLevel="0" collapsed="false">
      <c r="A1331" s="5" t="s">
        <v>2373</v>
      </c>
      <c r="B1331" s="9" t="n">
        <v>45978</v>
      </c>
      <c r="C1331" s="9" t="n">
        <v>45983</v>
      </c>
      <c r="D1331" s="5" t="s">
        <v>136</v>
      </c>
      <c r="E1331" s="5" t="s">
        <v>1051</v>
      </c>
      <c r="F1331" s="5" t="s">
        <v>1021</v>
      </c>
      <c r="G1331" s="6" t="str">
        <f aca="false">INDEX(Catalogo_Causas!$B$2:$B$10,MATCH(F1331,Catalogo_Causas!$A$2:$A$10,0))</f>
        <v>Falla de servicios (vapor/amoniaco/aire)</v>
      </c>
      <c r="H1331" s="6" t="str">
        <f aca="false">INDEX(Catalogo_Causas!$C$2:$C$10,MATCH(F1331,Catalogo_Causas!$A$2:$A$10,0))</f>
        <v>Servicios</v>
      </c>
      <c r="I1331" s="5" t="n">
        <v>72</v>
      </c>
      <c r="J1331" s="29" t="n">
        <f aca="false">I1331/60</f>
        <v>1.2</v>
      </c>
    </row>
    <row r="1332" customFormat="false" ht="15" hidden="false" customHeight="false" outlineLevel="0" collapsed="false">
      <c r="A1332" s="5" t="s">
        <v>2374</v>
      </c>
      <c r="B1332" s="9" t="n">
        <v>45978</v>
      </c>
      <c r="C1332" s="9" t="n">
        <v>45983</v>
      </c>
      <c r="D1332" s="5" t="s">
        <v>138</v>
      </c>
      <c r="E1332" s="5" t="s">
        <v>1056</v>
      </c>
      <c r="F1332" s="5" t="s">
        <v>1002</v>
      </c>
      <c r="G1332" s="6" t="str">
        <f aca="false">INDEX(Catalogo_Causas!$B$2:$B$10,MATCH(F1332,Catalogo_Causas!$A$2:$A$10,0))</f>
        <v>Falla mecánica</v>
      </c>
      <c r="H1332" s="6" t="str">
        <f aca="false">INDEX(Catalogo_Causas!$C$2:$C$10,MATCH(F1332,Catalogo_Causas!$A$2:$A$10,0))</f>
        <v>Operacional</v>
      </c>
      <c r="I1332" s="5" t="n">
        <v>42</v>
      </c>
      <c r="J1332" s="29" t="n">
        <f aca="false">I1332/60</f>
        <v>0.7</v>
      </c>
    </row>
    <row r="1333" customFormat="false" ht="15" hidden="false" customHeight="false" outlineLevel="0" collapsed="false">
      <c r="A1333" s="5" t="s">
        <v>2375</v>
      </c>
      <c r="B1333" s="9" t="n">
        <v>45978</v>
      </c>
      <c r="C1333" s="9" t="n">
        <v>45983</v>
      </c>
      <c r="D1333" s="5" t="s">
        <v>142</v>
      </c>
      <c r="E1333" s="5" t="s">
        <v>1030</v>
      </c>
      <c r="F1333" s="5" t="s">
        <v>1012</v>
      </c>
      <c r="G1333" s="6" t="str">
        <f aca="false">INDEX(Catalogo_Causas!$B$2:$B$10,MATCH(F1333,Catalogo_Causas!$A$2:$A$10,0))</f>
        <v>Falta de materia prima</v>
      </c>
      <c r="H1333" s="6" t="str">
        <f aca="false">INDEX(Catalogo_Causas!$C$2:$C$10,MATCH(F1333,Catalogo_Causas!$A$2:$A$10,0))</f>
        <v>Material / suministro</v>
      </c>
      <c r="I1333" s="5" t="n">
        <v>11</v>
      </c>
      <c r="J1333" s="29" t="n">
        <f aca="false">I1333/60</f>
        <v>0.183333333333333</v>
      </c>
    </row>
    <row r="1334" customFormat="false" ht="15" hidden="false" customHeight="false" outlineLevel="0" collapsed="false">
      <c r="A1334" s="5" t="s">
        <v>2376</v>
      </c>
      <c r="B1334" s="9" t="n">
        <v>45985</v>
      </c>
      <c r="C1334" s="9" t="n">
        <v>45985</v>
      </c>
      <c r="D1334" s="5" t="s">
        <v>130</v>
      </c>
      <c r="E1334" s="5" t="s">
        <v>1030</v>
      </c>
      <c r="F1334" s="5" t="s">
        <v>1007</v>
      </c>
      <c r="G1334" s="6" t="str">
        <f aca="false">INDEX(Catalogo_Causas!$B$2:$B$10,MATCH(F1334,Catalogo_Causas!$A$2:$A$10,0))</f>
        <v>Cambio de formato excedido</v>
      </c>
      <c r="H1334" s="6" t="str">
        <f aca="false">INDEX(Catalogo_Causas!$C$2:$C$10,MATCH(F1334,Catalogo_Causas!$A$2:$A$10,0))</f>
        <v>Operacional</v>
      </c>
      <c r="I1334" s="5" t="n">
        <v>42</v>
      </c>
      <c r="J1334" s="29" t="n">
        <f aca="false">I1334/60</f>
        <v>0.7</v>
      </c>
    </row>
    <row r="1335" customFormat="false" ht="15" hidden="false" customHeight="false" outlineLevel="0" collapsed="false">
      <c r="A1335" s="5" t="s">
        <v>2377</v>
      </c>
      <c r="B1335" s="9" t="n">
        <v>45985</v>
      </c>
      <c r="C1335" s="9" t="n">
        <v>45985</v>
      </c>
      <c r="D1335" s="5" t="s">
        <v>134</v>
      </c>
      <c r="E1335" s="5" t="s">
        <v>1030</v>
      </c>
      <c r="F1335" s="5" t="s">
        <v>1021</v>
      </c>
      <c r="G1335" s="6" t="str">
        <f aca="false">INDEX(Catalogo_Causas!$B$2:$B$10,MATCH(F1335,Catalogo_Causas!$A$2:$A$10,0))</f>
        <v>Falla de servicios (vapor/amoniaco/aire)</v>
      </c>
      <c r="H1335" s="6" t="str">
        <f aca="false">INDEX(Catalogo_Causas!$C$2:$C$10,MATCH(F1335,Catalogo_Causas!$A$2:$A$10,0))</f>
        <v>Servicios</v>
      </c>
      <c r="I1335" s="5" t="n">
        <v>62</v>
      </c>
      <c r="J1335" s="29" t="n">
        <f aca="false">I1335/60</f>
        <v>1.03333333333333</v>
      </c>
    </row>
    <row r="1336" customFormat="false" ht="15" hidden="false" customHeight="false" outlineLevel="0" collapsed="false">
      <c r="A1336" s="5" t="s">
        <v>2378</v>
      </c>
      <c r="B1336" s="9" t="n">
        <v>45985</v>
      </c>
      <c r="C1336" s="9" t="n">
        <v>45985</v>
      </c>
      <c r="D1336" s="5" t="s">
        <v>142</v>
      </c>
      <c r="E1336" s="5" t="s">
        <v>1041</v>
      </c>
      <c r="F1336" s="5" t="s">
        <v>1002</v>
      </c>
      <c r="G1336" s="6" t="str">
        <f aca="false">INDEX(Catalogo_Causas!$B$2:$B$10,MATCH(F1336,Catalogo_Causas!$A$2:$A$10,0))</f>
        <v>Falla mecánica</v>
      </c>
      <c r="H1336" s="6" t="str">
        <f aca="false">INDEX(Catalogo_Causas!$C$2:$C$10,MATCH(F1336,Catalogo_Causas!$A$2:$A$10,0))</f>
        <v>Operacional</v>
      </c>
      <c r="I1336" s="5" t="n">
        <v>140</v>
      </c>
      <c r="J1336" s="29" t="n">
        <f aca="false">I1336/60</f>
        <v>2.33333333333333</v>
      </c>
    </row>
    <row r="1337" customFormat="false" ht="15" hidden="false" customHeight="false" outlineLevel="0" collapsed="false">
      <c r="A1337" s="5" t="s">
        <v>2379</v>
      </c>
      <c r="B1337" s="9" t="n">
        <v>45985</v>
      </c>
      <c r="C1337" s="9" t="n">
        <v>45986</v>
      </c>
      <c r="D1337" s="5" t="s">
        <v>134</v>
      </c>
      <c r="E1337" s="5" t="s">
        <v>1032</v>
      </c>
      <c r="F1337" s="5" t="s">
        <v>1009</v>
      </c>
      <c r="G1337" s="6" t="str">
        <f aca="false">INDEX(Catalogo_Causas!$B$2:$B$10,MATCH(F1337,Catalogo_Causas!$A$2:$A$10,0))</f>
        <v>Falta de material de empaque</v>
      </c>
      <c r="H1337" s="6" t="str">
        <f aca="false">INDEX(Catalogo_Causas!$C$2:$C$10,MATCH(F1337,Catalogo_Causas!$A$2:$A$10,0))</f>
        <v>Material / suministro</v>
      </c>
      <c r="I1337" s="5" t="n">
        <v>39</v>
      </c>
      <c r="J1337" s="29" t="n">
        <f aca="false">I1337/60</f>
        <v>0.65</v>
      </c>
    </row>
    <row r="1338" customFormat="false" ht="15" hidden="false" customHeight="false" outlineLevel="0" collapsed="false">
      <c r="A1338" s="5" t="s">
        <v>2380</v>
      </c>
      <c r="B1338" s="9" t="n">
        <v>45985</v>
      </c>
      <c r="C1338" s="9" t="n">
        <v>45986</v>
      </c>
      <c r="D1338" s="5" t="s">
        <v>136</v>
      </c>
      <c r="E1338" s="5" t="s">
        <v>1051</v>
      </c>
      <c r="F1338" s="5" t="s">
        <v>1021</v>
      </c>
      <c r="G1338" s="6" t="str">
        <f aca="false">INDEX(Catalogo_Causas!$B$2:$B$10,MATCH(F1338,Catalogo_Causas!$A$2:$A$10,0))</f>
        <v>Falla de servicios (vapor/amoniaco/aire)</v>
      </c>
      <c r="H1338" s="6" t="str">
        <f aca="false">INDEX(Catalogo_Causas!$C$2:$C$10,MATCH(F1338,Catalogo_Causas!$A$2:$A$10,0))</f>
        <v>Servicios</v>
      </c>
      <c r="I1338" s="5" t="n">
        <v>35</v>
      </c>
      <c r="J1338" s="29" t="n">
        <f aca="false">I1338/60</f>
        <v>0.583333333333333</v>
      </c>
    </row>
    <row r="1339" customFormat="false" ht="15" hidden="false" customHeight="false" outlineLevel="0" collapsed="false">
      <c r="A1339" s="5" t="s">
        <v>2381</v>
      </c>
      <c r="B1339" s="9" t="n">
        <v>45985</v>
      </c>
      <c r="C1339" s="9" t="n">
        <v>45986</v>
      </c>
      <c r="D1339" s="5" t="s">
        <v>142</v>
      </c>
      <c r="E1339" s="5" t="s">
        <v>1051</v>
      </c>
      <c r="F1339" s="5" t="s">
        <v>1002</v>
      </c>
      <c r="G1339" s="6" t="str">
        <f aca="false">INDEX(Catalogo_Causas!$B$2:$B$10,MATCH(F1339,Catalogo_Causas!$A$2:$A$10,0))</f>
        <v>Falla mecánica</v>
      </c>
      <c r="H1339" s="6" t="str">
        <f aca="false">INDEX(Catalogo_Causas!$C$2:$C$10,MATCH(F1339,Catalogo_Causas!$A$2:$A$10,0))</f>
        <v>Operacional</v>
      </c>
      <c r="I1339" s="5" t="n">
        <v>23</v>
      </c>
      <c r="J1339" s="29" t="n">
        <f aca="false">I1339/60</f>
        <v>0.383333333333333</v>
      </c>
    </row>
    <row r="1340" customFormat="false" ht="15" hidden="false" customHeight="false" outlineLevel="0" collapsed="false">
      <c r="A1340" s="5" t="s">
        <v>2382</v>
      </c>
      <c r="B1340" s="9" t="n">
        <v>45985</v>
      </c>
      <c r="C1340" s="9" t="n">
        <v>45986</v>
      </c>
      <c r="D1340" s="5" t="s">
        <v>142</v>
      </c>
      <c r="E1340" s="5" t="s">
        <v>1030</v>
      </c>
      <c r="F1340" s="5" t="s">
        <v>1021</v>
      </c>
      <c r="G1340" s="6" t="str">
        <f aca="false">INDEX(Catalogo_Causas!$B$2:$B$10,MATCH(F1340,Catalogo_Causas!$A$2:$A$10,0))</f>
        <v>Falla de servicios (vapor/amoniaco/aire)</v>
      </c>
      <c r="H1340" s="6" t="str">
        <f aca="false">INDEX(Catalogo_Causas!$C$2:$C$10,MATCH(F1340,Catalogo_Causas!$A$2:$A$10,0))</f>
        <v>Servicios</v>
      </c>
      <c r="I1340" s="5" t="n">
        <v>56</v>
      </c>
      <c r="J1340" s="29" t="n">
        <f aca="false">I1340/60</f>
        <v>0.933333333333333</v>
      </c>
    </row>
    <row r="1341" customFormat="false" ht="15" hidden="false" customHeight="false" outlineLevel="0" collapsed="false">
      <c r="A1341" s="5" t="s">
        <v>2383</v>
      </c>
      <c r="B1341" s="9" t="n">
        <v>45985</v>
      </c>
      <c r="C1341" s="9" t="n">
        <v>45986</v>
      </c>
      <c r="D1341" s="5" t="s">
        <v>142</v>
      </c>
      <c r="E1341" s="5" t="s">
        <v>1030</v>
      </c>
      <c r="F1341" s="5" t="s">
        <v>1002</v>
      </c>
      <c r="G1341" s="6" t="str">
        <f aca="false">INDEX(Catalogo_Causas!$B$2:$B$10,MATCH(F1341,Catalogo_Causas!$A$2:$A$10,0))</f>
        <v>Falla mecánica</v>
      </c>
      <c r="H1341" s="6" t="str">
        <f aca="false">INDEX(Catalogo_Causas!$C$2:$C$10,MATCH(F1341,Catalogo_Causas!$A$2:$A$10,0))</f>
        <v>Operacional</v>
      </c>
      <c r="I1341" s="5" t="n">
        <v>10</v>
      </c>
      <c r="J1341" s="29" t="n">
        <f aca="false">I1341/60</f>
        <v>0.166666666666667</v>
      </c>
    </row>
    <row r="1342" customFormat="false" ht="15" hidden="false" customHeight="false" outlineLevel="0" collapsed="false">
      <c r="A1342" s="5" t="s">
        <v>2384</v>
      </c>
      <c r="B1342" s="9" t="n">
        <v>45985</v>
      </c>
      <c r="C1342" s="9" t="n">
        <v>45987</v>
      </c>
      <c r="D1342" s="5" t="s">
        <v>134</v>
      </c>
      <c r="E1342" s="5" t="s">
        <v>1030</v>
      </c>
      <c r="F1342" s="5" t="s">
        <v>1021</v>
      </c>
      <c r="G1342" s="6" t="str">
        <f aca="false">INDEX(Catalogo_Causas!$B$2:$B$10,MATCH(F1342,Catalogo_Causas!$A$2:$A$10,0))</f>
        <v>Falla de servicios (vapor/amoniaco/aire)</v>
      </c>
      <c r="H1342" s="6" t="str">
        <f aca="false">INDEX(Catalogo_Causas!$C$2:$C$10,MATCH(F1342,Catalogo_Causas!$A$2:$A$10,0))</f>
        <v>Servicios</v>
      </c>
      <c r="I1342" s="5" t="n">
        <v>80</v>
      </c>
      <c r="J1342" s="29" t="n">
        <f aca="false">I1342/60</f>
        <v>1.33333333333333</v>
      </c>
    </row>
    <row r="1343" customFormat="false" ht="15" hidden="false" customHeight="false" outlineLevel="0" collapsed="false">
      <c r="A1343" s="5" t="s">
        <v>2385</v>
      </c>
      <c r="B1343" s="9" t="n">
        <v>45985</v>
      </c>
      <c r="C1343" s="9" t="n">
        <v>45988</v>
      </c>
      <c r="D1343" s="5" t="s">
        <v>134</v>
      </c>
      <c r="E1343" s="5" t="s">
        <v>1054</v>
      </c>
      <c r="F1343" s="5" t="s">
        <v>1014</v>
      </c>
      <c r="G1343" s="6" t="str">
        <f aca="false">INDEX(Catalogo_Causas!$B$2:$B$10,MATCH(F1343,Catalogo_Causas!$A$2:$A$10,0))</f>
        <v>Retención de calidad</v>
      </c>
      <c r="H1343" s="6" t="str">
        <f aca="false">INDEX(Catalogo_Causas!$C$2:$C$10,MATCH(F1343,Catalogo_Causas!$A$2:$A$10,0))</f>
        <v>Calidad</v>
      </c>
      <c r="I1343" s="5" t="n">
        <v>82</v>
      </c>
      <c r="J1343" s="29" t="n">
        <f aca="false">I1343/60</f>
        <v>1.36666666666667</v>
      </c>
    </row>
    <row r="1344" customFormat="false" ht="15" hidden="false" customHeight="false" outlineLevel="0" collapsed="false">
      <c r="A1344" s="5" t="s">
        <v>2386</v>
      </c>
      <c r="B1344" s="9" t="n">
        <v>45985</v>
      </c>
      <c r="C1344" s="9" t="n">
        <v>45988</v>
      </c>
      <c r="D1344" s="5" t="s">
        <v>142</v>
      </c>
      <c r="E1344" s="5" t="s">
        <v>1041</v>
      </c>
      <c r="F1344" s="5" t="s">
        <v>1002</v>
      </c>
      <c r="G1344" s="6" t="str">
        <f aca="false">INDEX(Catalogo_Causas!$B$2:$B$10,MATCH(F1344,Catalogo_Causas!$A$2:$A$10,0))</f>
        <v>Falla mecánica</v>
      </c>
      <c r="H1344" s="6" t="str">
        <f aca="false">INDEX(Catalogo_Causas!$C$2:$C$10,MATCH(F1344,Catalogo_Causas!$A$2:$A$10,0))</f>
        <v>Operacional</v>
      </c>
      <c r="I1344" s="5" t="n">
        <v>56</v>
      </c>
      <c r="J1344" s="29" t="n">
        <f aca="false">I1344/60</f>
        <v>0.933333333333333</v>
      </c>
    </row>
    <row r="1345" customFormat="false" ht="15" hidden="false" customHeight="false" outlineLevel="0" collapsed="false">
      <c r="A1345" s="5" t="s">
        <v>2387</v>
      </c>
      <c r="B1345" s="9" t="n">
        <v>45985</v>
      </c>
      <c r="C1345" s="9" t="n">
        <v>45988</v>
      </c>
      <c r="D1345" s="5" t="s">
        <v>144</v>
      </c>
      <c r="E1345" s="5" t="s">
        <v>1043</v>
      </c>
      <c r="F1345" s="5" t="s">
        <v>1002</v>
      </c>
      <c r="G1345" s="6" t="str">
        <f aca="false">INDEX(Catalogo_Causas!$B$2:$B$10,MATCH(F1345,Catalogo_Causas!$A$2:$A$10,0))</f>
        <v>Falla mecánica</v>
      </c>
      <c r="H1345" s="6" t="str">
        <f aca="false">INDEX(Catalogo_Causas!$C$2:$C$10,MATCH(F1345,Catalogo_Causas!$A$2:$A$10,0))</f>
        <v>Operacional</v>
      </c>
      <c r="I1345" s="5" t="n">
        <v>62</v>
      </c>
      <c r="J1345" s="29" t="n">
        <f aca="false">I1345/60</f>
        <v>1.03333333333333</v>
      </c>
    </row>
    <row r="1346" customFormat="false" ht="15" hidden="false" customHeight="false" outlineLevel="0" collapsed="false">
      <c r="A1346" s="5" t="s">
        <v>2388</v>
      </c>
      <c r="B1346" s="9" t="n">
        <v>45985</v>
      </c>
      <c r="C1346" s="9" t="n">
        <v>45989</v>
      </c>
      <c r="D1346" s="5" t="s">
        <v>136</v>
      </c>
      <c r="E1346" s="5" t="s">
        <v>1101</v>
      </c>
      <c r="F1346" s="5" t="s">
        <v>1014</v>
      </c>
      <c r="G1346" s="6" t="str">
        <f aca="false">INDEX(Catalogo_Causas!$B$2:$B$10,MATCH(F1346,Catalogo_Causas!$A$2:$A$10,0))</f>
        <v>Retención de calidad</v>
      </c>
      <c r="H1346" s="6" t="str">
        <f aca="false">INDEX(Catalogo_Causas!$C$2:$C$10,MATCH(F1346,Catalogo_Causas!$A$2:$A$10,0))</f>
        <v>Calidad</v>
      </c>
      <c r="I1346" s="5" t="n">
        <v>29</v>
      </c>
      <c r="J1346" s="29" t="n">
        <f aca="false">I1346/60</f>
        <v>0.483333333333333</v>
      </c>
    </row>
    <row r="1347" customFormat="false" ht="15" hidden="false" customHeight="false" outlineLevel="0" collapsed="false">
      <c r="A1347" s="5" t="s">
        <v>2389</v>
      </c>
      <c r="B1347" s="9" t="n">
        <v>45985</v>
      </c>
      <c r="C1347" s="9" t="n">
        <v>45989</v>
      </c>
      <c r="D1347" s="5" t="s">
        <v>144</v>
      </c>
      <c r="E1347" s="5" t="s">
        <v>1032</v>
      </c>
      <c r="F1347" s="5" t="s">
        <v>1002</v>
      </c>
      <c r="G1347" s="6" t="str">
        <f aca="false">INDEX(Catalogo_Causas!$B$2:$B$10,MATCH(F1347,Catalogo_Causas!$A$2:$A$10,0))</f>
        <v>Falla mecánica</v>
      </c>
      <c r="H1347" s="6" t="str">
        <f aca="false">INDEX(Catalogo_Causas!$C$2:$C$10,MATCH(F1347,Catalogo_Causas!$A$2:$A$10,0))</f>
        <v>Operacional</v>
      </c>
      <c r="I1347" s="5" t="n">
        <v>10</v>
      </c>
      <c r="J1347" s="29" t="n">
        <f aca="false">I1347/60</f>
        <v>0.166666666666667</v>
      </c>
    </row>
    <row r="1348" customFormat="false" ht="15" hidden="false" customHeight="false" outlineLevel="0" collapsed="false">
      <c r="A1348" s="5" t="s">
        <v>2390</v>
      </c>
      <c r="B1348" s="9" t="n">
        <v>45985</v>
      </c>
      <c r="C1348" s="9" t="n">
        <v>45989</v>
      </c>
      <c r="D1348" s="5" t="s">
        <v>144</v>
      </c>
      <c r="E1348" s="5" t="s">
        <v>1043</v>
      </c>
      <c r="F1348" s="5" t="s">
        <v>1014</v>
      </c>
      <c r="G1348" s="6" t="str">
        <f aca="false">INDEX(Catalogo_Causas!$B$2:$B$10,MATCH(F1348,Catalogo_Causas!$A$2:$A$10,0))</f>
        <v>Retención de calidad</v>
      </c>
      <c r="H1348" s="6" t="str">
        <f aca="false">INDEX(Catalogo_Causas!$C$2:$C$10,MATCH(F1348,Catalogo_Causas!$A$2:$A$10,0))</f>
        <v>Calidad</v>
      </c>
      <c r="I1348" s="5" t="n">
        <v>29</v>
      </c>
      <c r="J1348" s="29" t="n">
        <f aca="false">I1348/60</f>
        <v>0.483333333333333</v>
      </c>
    </row>
    <row r="1349" customFormat="false" ht="15" hidden="false" customHeight="false" outlineLevel="0" collapsed="false">
      <c r="A1349" s="5" t="s">
        <v>2391</v>
      </c>
      <c r="B1349" s="9" t="n">
        <v>45985</v>
      </c>
      <c r="C1349" s="9" t="n">
        <v>45990</v>
      </c>
      <c r="D1349" s="5" t="s">
        <v>140</v>
      </c>
      <c r="E1349" s="5" t="s">
        <v>1036</v>
      </c>
      <c r="F1349" s="5" t="s">
        <v>1002</v>
      </c>
      <c r="G1349" s="6" t="str">
        <f aca="false">INDEX(Catalogo_Causas!$B$2:$B$10,MATCH(F1349,Catalogo_Causas!$A$2:$A$10,0))</f>
        <v>Falla mecánica</v>
      </c>
      <c r="H1349" s="6" t="str">
        <f aca="false">INDEX(Catalogo_Causas!$C$2:$C$10,MATCH(F1349,Catalogo_Causas!$A$2:$A$10,0))</f>
        <v>Operacional</v>
      </c>
      <c r="I1349" s="5" t="n">
        <v>44</v>
      </c>
      <c r="J1349" s="29" t="n">
        <f aca="false">I1349/60</f>
        <v>0.733333333333333</v>
      </c>
    </row>
    <row r="1350" customFormat="false" ht="15" hidden="false" customHeight="false" outlineLevel="0" collapsed="false">
      <c r="A1350" s="5" t="s">
        <v>2392</v>
      </c>
      <c r="B1350" s="9" t="n">
        <v>45985</v>
      </c>
      <c r="C1350" s="9" t="n">
        <v>45990</v>
      </c>
      <c r="D1350" s="5" t="s">
        <v>140</v>
      </c>
      <c r="E1350" s="5" t="s">
        <v>1036</v>
      </c>
      <c r="F1350" s="5" t="s">
        <v>1012</v>
      </c>
      <c r="G1350" s="6" t="str">
        <f aca="false">INDEX(Catalogo_Causas!$B$2:$B$10,MATCH(F1350,Catalogo_Causas!$A$2:$A$10,0))</f>
        <v>Falta de materia prima</v>
      </c>
      <c r="H1350" s="6" t="str">
        <f aca="false">INDEX(Catalogo_Causas!$C$2:$C$10,MATCH(F1350,Catalogo_Causas!$A$2:$A$10,0))</f>
        <v>Material / suministro</v>
      </c>
      <c r="I1350" s="5" t="n">
        <v>23</v>
      </c>
      <c r="J1350" s="29" t="n">
        <f aca="false">I1350/60</f>
        <v>0.383333333333333</v>
      </c>
    </row>
    <row r="1351" customFormat="false" ht="15" hidden="false" customHeight="false" outlineLevel="0" collapsed="false">
      <c r="A1351" s="5" t="s">
        <v>2393</v>
      </c>
      <c r="B1351" s="9" t="n">
        <v>45992</v>
      </c>
      <c r="C1351" s="9" t="n">
        <v>45992</v>
      </c>
      <c r="D1351" s="5" t="s">
        <v>134</v>
      </c>
      <c r="E1351" s="5" t="s">
        <v>1030</v>
      </c>
      <c r="F1351" s="5" t="s">
        <v>1007</v>
      </c>
      <c r="G1351" s="6" t="str">
        <f aca="false">INDEX(Catalogo_Causas!$B$2:$B$10,MATCH(F1351,Catalogo_Causas!$A$2:$A$10,0))</f>
        <v>Cambio de formato excedido</v>
      </c>
      <c r="H1351" s="6" t="str">
        <f aca="false">INDEX(Catalogo_Causas!$C$2:$C$10,MATCH(F1351,Catalogo_Causas!$A$2:$A$10,0))</f>
        <v>Operacional</v>
      </c>
      <c r="I1351" s="5" t="n">
        <v>39</v>
      </c>
      <c r="J1351" s="29" t="n">
        <f aca="false">I1351/60</f>
        <v>0.65</v>
      </c>
    </row>
    <row r="1352" customFormat="false" ht="15" hidden="false" customHeight="false" outlineLevel="0" collapsed="false">
      <c r="A1352" s="5" t="s">
        <v>2394</v>
      </c>
      <c r="B1352" s="9" t="n">
        <v>45992</v>
      </c>
      <c r="C1352" s="9" t="n">
        <v>45992</v>
      </c>
      <c r="D1352" s="5" t="s">
        <v>136</v>
      </c>
      <c r="E1352" s="5" t="s">
        <v>1101</v>
      </c>
      <c r="F1352" s="5" t="s">
        <v>1016</v>
      </c>
      <c r="G1352" s="6" t="str">
        <f aca="false">INDEX(Catalogo_Causas!$B$2:$B$10,MATCH(F1352,Catalogo_Causas!$A$2:$A$10,0))</f>
        <v>Limpieza no programada (CIP)</v>
      </c>
      <c r="H1352" s="6" t="str">
        <f aca="false">INDEX(Catalogo_Causas!$C$2:$C$10,MATCH(F1352,Catalogo_Causas!$A$2:$A$10,0))</f>
        <v>Calidad</v>
      </c>
      <c r="I1352" s="5" t="n">
        <v>96</v>
      </c>
      <c r="J1352" s="29" t="n">
        <f aca="false">I1352/60</f>
        <v>1.6</v>
      </c>
    </row>
    <row r="1353" customFormat="false" ht="15" hidden="false" customHeight="false" outlineLevel="0" collapsed="false">
      <c r="A1353" s="5" t="s">
        <v>2395</v>
      </c>
      <c r="B1353" s="9" t="n">
        <v>45992</v>
      </c>
      <c r="C1353" s="9" t="n">
        <v>45992</v>
      </c>
      <c r="D1353" s="5" t="s">
        <v>140</v>
      </c>
      <c r="E1353" s="5" t="s">
        <v>1036</v>
      </c>
      <c r="F1353" s="5" t="s">
        <v>1018</v>
      </c>
      <c r="G1353" s="6" t="str">
        <f aca="false">INDEX(Catalogo_Causas!$B$2:$B$10,MATCH(F1353,Catalogo_Causas!$A$2:$A$10,0))</f>
        <v>Falta de personal</v>
      </c>
      <c r="H1353" s="6" t="str">
        <f aca="false">INDEX(Catalogo_Causas!$C$2:$C$10,MATCH(F1353,Catalogo_Causas!$A$2:$A$10,0))</f>
        <v>Personal</v>
      </c>
      <c r="I1353" s="5" t="n">
        <v>43</v>
      </c>
      <c r="J1353" s="29" t="n">
        <f aca="false">I1353/60</f>
        <v>0.716666666666667</v>
      </c>
    </row>
    <row r="1354" customFormat="false" ht="15" hidden="false" customHeight="false" outlineLevel="0" collapsed="false">
      <c r="A1354" s="5" t="s">
        <v>2396</v>
      </c>
      <c r="B1354" s="9" t="n">
        <v>45992</v>
      </c>
      <c r="C1354" s="9" t="n">
        <v>45992</v>
      </c>
      <c r="D1354" s="5" t="s">
        <v>140</v>
      </c>
      <c r="E1354" s="5" t="s">
        <v>1036</v>
      </c>
      <c r="F1354" s="5" t="s">
        <v>1009</v>
      </c>
      <c r="G1354" s="6" t="str">
        <f aca="false">INDEX(Catalogo_Causas!$B$2:$B$10,MATCH(F1354,Catalogo_Causas!$A$2:$A$10,0))</f>
        <v>Falta de material de empaque</v>
      </c>
      <c r="H1354" s="6" t="str">
        <f aca="false">INDEX(Catalogo_Causas!$C$2:$C$10,MATCH(F1354,Catalogo_Causas!$A$2:$A$10,0))</f>
        <v>Material / suministro</v>
      </c>
      <c r="I1354" s="5" t="n">
        <v>94</v>
      </c>
      <c r="J1354" s="29" t="n">
        <f aca="false">I1354/60</f>
        <v>1.56666666666667</v>
      </c>
    </row>
    <row r="1355" customFormat="false" ht="15" hidden="false" customHeight="false" outlineLevel="0" collapsed="false">
      <c r="A1355" s="5" t="s">
        <v>2397</v>
      </c>
      <c r="B1355" s="9" t="n">
        <v>45992</v>
      </c>
      <c r="C1355" s="9" t="n">
        <v>45993</v>
      </c>
      <c r="D1355" s="5" t="s">
        <v>134</v>
      </c>
      <c r="E1355" s="5" t="s">
        <v>1032</v>
      </c>
      <c r="F1355" s="5" t="s">
        <v>1007</v>
      </c>
      <c r="G1355" s="6" t="str">
        <f aca="false">INDEX(Catalogo_Causas!$B$2:$B$10,MATCH(F1355,Catalogo_Causas!$A$2:$A$10,0))</f>
        <v>Cambio de formato excedido</v>
      </c>
      <c r="H1355" s="6" t="str">
        <f aca="false">INDEX(Catalogo_Causas!$C$2:$C$10,MATCH(F1355,Catalogo_Causas!$A$2:$A$10,0))</f>
        <v>Operacional</v>
      </c>
      <c r="I1355" s="5" t="n">
        <v>83</v>
      </c>
      <c r="J1355" s="29" t="n">
        <f aca="false">I1355/60</f>
        <v>1.38333333333333</v>
      </c>
    </row>
    <row r="1356" customFormat="false" ht="15" hidden="false" customHeight="false" outlineLevel="0" collapsed="false">
      <c r="A1356" s="5" t="s">
        <v>2398</v>
      </c>
      <c r="B1356" s="9" t="n">
        <v>45992</v>
      </c>
      <c r="C1356" s="9" t="n">
        <v>45993</v>
      </c>
      <c r="D1356" s="5" t="s">
        <v>138</v>
      </c>
      <c r="E1356" s="5" t="s">
        <v>1039</v>
      </c>
      <c r="F1356" s="5" t="s">
        <v>1009</v>
      </c>
      <c r="G1356" s="6" t="str">
        <f aca="false">INDEX(Catalogo_Causas!$B$2:$B$10,MATCH(F1356,Catalogo_Causas!$A$2:$A$10,0))</f>
        <v>Falta de material de empaque</v>
      </c>
      <c r="H1356" s="6" t="str">
        <f aca="false">INDEX(Catalogo_Causas!$C$2:$C$10,MATCH(F1356,Catalogo_Causas!$A$2:$A$10,0))</f>
        <v>Material / suministro</v>
      </c>
      <c r="I1356" s="5" t="n">
        <v>53</v>
      </c>
      <c r="J1356" s="29" t="n">
        <f aca="false">I1356/60</f>
        <v>0.883333333333333</v>
      </c>
    </row>
    <row r="1357" customFormat="false" ht="15" hidden="false" customHeight="false" outlineLevel="0" collapsed="false">
      <c r="A1357" s="5" t="s">
        <v>2399</v>
      </c>
      <c r="B1357" s="9" t="n">
        <v>45992</v>
      </c>
      <c r="C1357" s="9" t="n">
        <v>45994</v>
      </c>
      <c r="D1357" s="5" t="s">
        <v>132</v>
      </c>
      <c r="E1357" s="5" t="s">
        <v>1032</v>
      </c>
      <c r="F1357" s="5" t="s">
        <v>1005</v>
      </c>
      <c r="G1357" s="6" t="str">
        <f aca="false">INDEX(Catalogo_Causas!$B$2:$B$10,MATCH(F1357,Catalogo_Causas!$A$2:$A$10,0))</f>
        <v>Falla eléctrica / control</v>
      </c>
      <c r="H1357" s="6" t="str">
        <f aca="false">INDEX(Catalogo_Causas!$C$2:$C$10,MATCH(F1357,Catalogo_Causas!$A$2:$A$10,0))</f>
        <v>Operacional</v>
      </c>
      <c r="I1357" s="5" t="n">
        <v>61</v>
      </c>
      <c r="J1357" s="29" t="n">
        <f aca="false">I1357/60</f>
        <v>1.01666666666667</v>
      </c>
    </row>
    <row r="1358" customFormat="false" ht="15" hidden="false" customHeight="false" outlineLevel="0" collapsed="false">
      <c r="A1358" s="5" t="s">
        <v>2400</v>
      </c>
      <c r="B1358" s="9" t="n">
        <v>45992</v>
      </c>
      <c r="C1358" s="9" t="n">
        <v>45994</v>
      </c>
      <c r="D1358" s="5" t="s">
        <v>138</v>
      </c>
      <c r="E1358" s="5" t="s">
        <v>1039</v>
      </c>
      <c r="F1358" s="5" t="s">
        <v>1012</v>
      </c>
      <c r="G1358" s="6" t="str">
        <f aca="false">INDEX(Catalogo_Causas!$B$2:$B$10,MATCH(F1358,Catalogo_Causas!$A$2:$A$10,0))</f>
        <v>Falta de materia prima</v>
      </c>
      <c r="H1358" s="6" t="str">
        <f aca="false">INDEX(Catalogo_Causas!$C$2:$C$10,MATCH(F1358,Catalogo_Causas!$A$2:$A$10,0))</f>
        <v>Material / suministro</v>
      </c>
      <c r="I1358" s="5" t="n">
        <v>37</v>
      </c>
      <c r="J1358" s="29" t="n">
        <f aca="false">I1358/60</f>
        <v>0.616666666666667</v>
      </c>
    </row>
    <row r="1359" customFormat="false" ht="15" hidden="false" customHeight="false" outlineLevel="0" collapsed="false">
      <c r="A1359" s="5" t="s">
        <v>2401</v>
      </c>
      <c r="B1359" s="9" t="n">
        <v>45992</v>
      </c>
      <c r="C1359" s="9" t="n">
        <v>45994</v>
      </c>
      <c r="D1359" s="5" t="s">
        <v>138</v>
      </c>
      <c r="E1359" s="5" t="s">
        <v>1039</v>
      </c>
      <c r="F1359" s="5" t="s">
        <v>1012</v>
      </c>
      <c r="G1359" s="6" t="str">
        <f aca="false">INDEX(Catalogo_Causas!$B$2:$B$10,MATCH(F1359,Catalogo_Causas!$A$2:$A$10,0))</f>
        <v>Falta de materia prima</v>
      </c>
      <c r="H1359" s="6" t="str">
        <f aca="false">INDEX(Catalogo_Causas!$C$2:$C$10,MATCH(F1359,Catalogo_Causas!$A$2:$A$10,0))</f>
        <v>Material / suministro</v>
      </c>
      <c r="I1359" s="5" t="n">
        <v>56</v>
      </c>
      <c r="J1359" s="29" t="n">
        <f aca="false">I1359/60</f>
        <v>0.933333333333333</v>
      </c>
    </row>
    <row r="1360" customFormat="false" ht="15" hidden="false" customHeight="false" outlineLevel="0" collapsed="false">
      <c r="A1360" s="5" t="s">
        <v>2402</v>
      </c>
      <c r="B1360" s="9" t="n">
        <v>45992</v>
      </c>
      <c r="C1360" s="9" t="n">
        <v>45994</v>
      </c>
      <c r="D1360" s="5" t="s">
        <v>142</v>
      </c>
      <c r="E1360" s="5" t="s">
        <v>1051</v>
      </c>
      <c r="F1360" s="5" t="s">
        <v>1002</v>
      </c>
      <c r="G1360" s="6" t="str">
        <f aca="false">INDEX(Catalogo_Causas!$B$2:$B$10,MATCH(F1360,Catalogo_Causas!$A$2:$A$10,0))</f>
        <v>Falla mecánica</v>
      </c>
      <c r="H1360" s="6" t="str">
        <f aca="false">INDEX(Catalogo_Causas!$C$2:$C$10,MATCH(F1360,Catalogo_Causas!$A$2:$A$10,0))</f>
        <v>Operacional</v>
      </c>
      <c r="I1360" s="5" t="n">
        <v>14</v>
      </c>
      <c r="J1360" s="29" t="n">
        <f aca="false">I1360/60</f>
        <v>0.233333333333333</v>
      </c>
    </row>
    <row r="1361" customFormat="false" ht="15" hidden="false" customHeight="false" outlineLevel="0" collapsed="false">
      <c r="A1361" s="5" t="s">
        <v>2403</v>
      </c>
      <c r="B1361" s="9" t="n">
        <v>45992</v>
      </c>
      <c r="C1361" s="9" t="n">
        <v>45994</v>
      </c>
      <c r="D1361" s="5" t="s">
        <v>144</v>
      </c>
      <c r="E1361" s="5" t="s">
        <v>1032</v>
      </c>
      <c r="F1361" s="5" t="s">
        <v>1014</v>
      </c>
      <c r="G1361" s="6" t="str">
        <f aca="false">INDEX(Catalogo_Causas!$B$2:$B$10,MATCH(F1361,Catalogo_Causas!$A$2:$A$10,0))</f>
        <v>Retención de calidad</v>
      </c>
      <c r="H1361" s="6" t="str">
        <f aca="false">INDEX(Catalogo_Causas!$C$2:$C$10,MATCH(F1361,Catalogo_Causas!$A$2:$A$10,0))</f>
        <v>Calidad</v>
      </c>
      <c r="I1361" s="5" t="n">
        <v>147</v>
      </c>
      <c r="J1361" s="29" t="n">
        <f aca="false">I1361/60</f>
        <v>2.45</v>
      </c>
    </row>
    <row r="1362" customFormat="false" ht="15" hidden="false" customHeight="false" outlineLevel="0" collapsed="false">
      <c r="A1362" s="5" t="s">
        <v>2404</v>
      </c>
      <c r="B1362" s="9" t="n">
        <v>45992</v>
      </c>
      <c r="C1362" s="9" t="n">
        <v>45995</v>
      </c>
      <c r="D1362" s="5" t="s">
        <v>132</v>
      </c>
      <c r="E1362" s="5" t="s">
        <v>1032</v>
      </c>
      <c r="F1362" s="5" t="s">
        <v>1005</v>
      </c>
      <c r="G1362" s="6" t="str">
        <f aca="false">INDEX(Catalogo_Causas!$B$2:$B$10,MATCH(F1362,Catalogo_Causas!$A$2:$A$10,0))</f>
        <v>Falla eléctrica / control</v>
      </c>
      <c r="H1362" s="6" t="str">
        <f aca="false">INDEX(Catalogo_Causas!$C$2:$C$10,MATCH(F1362,Catalogo_Causas!$A$2:$A$10,0))</f>
        <v>Operacional</v>
      </c>
      <c r="I1362" s="5" t="n">
        <v>205</v>
      </c>
      <c r="J1362" s="29" t="n">
        <f aca="false">I1362/60</f>
        <v>3.41666666666667</v>
      </c>
    </row>
    <row r="1363" customFormat="false" ht="15" hidden="false" customHeight="false" outlineLevel="0" collapsed="false">
      <c r="A1363" s="5" t="s">
        <v>2405</v>
      </c>
      <c r="B1363" s="9" t="n">
        <v>45992</v>
      </c>
      <c r="C1363" s="9" t="n">
        <v>45995</v>
      </c>
      <c r="D1363" s="5" t="s">
        <v>134</v>
      </c>
      <c r="E1363" s="5" t="s">
        <v>1030</v>
      </c>
      <c r="F1363" s="5" t="s">
        <v>1007</v>
      </c>
      <c r="G1363" s="6" t="str">
        <f aca="false">INDEX(Catalogo_Causas!$B$2:$B$10,MATCH(F1363,Catalogo_Causas!$A$2:$A$10,0))</f>
        <v>Cambio de formato excedido</v>
      </c>
      <c r="H1363" s="6" t="str">
        <f aca="false">INDEX(Catalogo_Causas!$C$2:$C$10,MATCH(F1363,Catalogo_Causas!$A$2:$A$10,0))</f>
        <v>Operacional</v>
      </c>
      <c r="I1363" s="5" t="n">
        <v>158</v>
      </c>
      <c r="J1363" s="29" t="n">
        <f aca="false">I1363/60</f>
        <v>2.63333333333333</v>
      </c>
    </row>
    <row r="1364" customFormat="false" ht="15" hidden="false" customHeight="false" outlineLevel="0" collapsed="false">
      <c r="A1364" s="5" t="s">
        <v>2406</v>
      </c>
      <c r="B1364" s="9" t="n">
        <v>45992</v>
      </c>
      <c r="C1364" s="9" t="n">
        <v>45995</v>
      </c>
      <c r="D1364" s="5" t="s">
        <v>134</v>
      </c>
      <c r="E1364" s="5" t="s">
        <v>1054</v>
      </c>
      <c r="F1364" s="5" t="s">
        <v>1021</v>
      </c>
      <c r="G1364" s="6" t="str">
        <f aca="false">INDEX(Catalogo_Causas!$B$2:$B$10,MATCH(F1364,Catalogo_Causas!$A$2:$A$10,0))</f>
        <v>Falla de servicios (vapor/amoniaco/aire)</v>
      </c>
      <c r="H1364" s="6" t="str">
        <f aca="false">INDEX(Catalogo_Causas!$C$2:$C$10,MATCH(F1364,Catalogo_Causas!$A$2:$A$10,0))</f>
        <v>Servicios</v>
      </c>
      <c r="I1364" s="5" t="n">
        <v>32</v>
      </c>
      <c r="J1364" s="29" t="n">
        <f aca="false">I1364/60</f>
        <v>0.533333333333333</v>
      </c>
    </row>
    <row r="1365" customFormat="false" ht="15" hidden="false" customHeight="false" outlineLevel="0" collapsed="false">
      <c r="A1365" s="5" t="s">
        <v>2407</v>
      </c>
      <c r="B1365" s="9" t="n">
        <v>45992</v>
      </c>
      <c r="C1365" s="9" t="n">
        <v>45995</v>
      </c>
      <c r="D1365" s="5" t="s">
        <v>138</v>
      </c>
      <c r="E1365" s="5" t="s">
        <v>1039</v>
      </c>
      <c r="F1365" s="5" t="s">
        <v>1012</v>
      </c>
      <c r="G1365" s="6" t="str">
        <f aca="false">INDEX(Catalogo_Causas!$B$2:$B$10,MATCH(F1365,Catalogo_Causas!$A$2:$A$10,0))</f>
        <v>Falta de materia prima</v>
      </c>
      <c r="H1365" s="6" t="str">
        <f aca="false">INDEX(Catalogo_Causas!$C$2:$C$10,MATCH(F1365,Catalogo_Causas!$A$2:$A$10,0))</f>
        <v>Material / suministro</v>
      </c>
      <c r="I1365" s="5" t="n">
        <v>30</v>
      </c>
      <c r="J1365" s="29" t="n">
        <f aca="false">I1365/60</f>
        <v>0.5</v>
      </c>
    </row>
    <row r="1366" customFormat="false" ht="15" hidden="false" customHeight="false" outlineLevel="0" collapsed="false">
      <c r="A1366" s="5" t="s">
        <v>2408</v>
      </c>
      <c r="B1366" s="9" t="n">
        <v>45992</v>
      </c>
      <c r="C1366" s="9" t="n">
        <v>45995</v>
      </c>
      <c r="D1366" s="5" t="s">
        <v>138</v>
      </c>
      <c r="E1366" s="5" t="s">
        <v>1056</v>
      </c>
      <c r="F1366" s="5" t="s">
        <v>1018</v>
      </c>
      <c r="G1366" s="6" t="str">
        <f aca="false">INDEX(Catalogo_Causas!$B$2:$B$10,MATCH(F1366,Catalogo_Causas!$A$2:$A$10,0))</f>
        <v>Falta de personal</v>
      </c>
      <c r="H1366" s="6" t="str">
        <f aca="false">INDEX(Catalogo_Causas!$C$2:$C$10,MATCH(F1366,Catalogo_Causas!$A$2:$A$10,0))</f>
        <v>Personal</v>
      </c>
      <c r="I1366" s="5" t="n">
        <v>70</v>
      </c>
      <c r="J1366" s="29" t="n">
        <f aca="false">I1366/60</f>
        <v>1.16666666666667</v>
      </c>
    </row>
    <row r="1367" customFormat="false" ht="15" hidden="false" customHeight="false" outlineLevel="0" collapsed="false">
      <c r="A1367" s="5" t="s">
        <v>2409</v>
      </c>
      <c r="B1367" s="9" t="n">
        <v>45992</v>
      </c>
      <c r="C1367" s="9" t="n">
        <v>45995</v>
      </c>
      <c r="D1367" s="5" t="s">
        <v>142</v>
      </c>
      <c r="E1367" s="5" t="s">
        <v>1051</v>
      </c>
      <c r="F1367" s="5" t="s">
        <v>1009</v>
      </c>
      <c r="G1367" s="6" t="str">
        <f aca="false">INDEX(Catalogo_Causas!$B$2:$B$10,MATCH(F1367,Catalogo_Causas!$A$2:$A$10,0))</f>
        <v>Falta de material de empaque</v>
      </c>
      <c r="H1367" s="6" t="str">
        <f aca="false">INDEX(Catalogo_Causas!$C$2:$C$10,MATCH(F1367,Catalogo_Causas!$A$2:$A$10,0))</f>
        <v>Material / suministro</v>
      </c>
      <c r="I1367" s="5" t="n">
        <v>10</v>
      </c>
      <c r="J1367" s="29" t="n">
        <f aca="false">I1367/60</f>
        <v>0.166666666666667</v>
      </c>
    </row>
    <row r="1368" customFormat="false" ht="15" hidden="false" customHeight="false" outlineLevel="0" collapsed="false">
      <c r="A1368" s="5" t="s">
        <v>2410</v>
      </c>
      <c r="B1368" s="9" t="n">
        <v>45992</v>
      </c>
      <c r="C1368" s="9" t="n">
        <v>45995</v>
      </c>
      <c r="D1368" s="5" t="s">
        <v>142</v>
      </c>
      <c r="E1368" s="5" t="s">
        <v>1051</v>
      </c>
      <c r="F1368" s="5" t="s">
        <v>1018</v>
      </c>
      <c r="G1368" s="6" t="str">
        <f aca="false">INDEX(Catalogo_Causas!$B$2:$B$10,MATCH(F1368,Catalogo_Causas!$A$2:$A$10,0))</f>
        <v>Falta de personal</v>
      </c>
      <c r="H1368" s="6" t="str">
        <f aca="false">INDEX(Catalogo_Causas!$C$2:$C$10,MATCH(F1368,Catalogo_Causas!$A$2:$A$10,0))</f>
        <v>Personal</v>
      </c>
      <c r="I1368" s="5" t="n">
        <v>28</v>
      </c>
      <c r="J1368" s="29" t="n">
        <f aca="false">I1368/60</f>
        <v>0.466666666666667</v>
      </c>
    </row>
    <row r="1369" customFormat="false" ht="15" hidden="false" customHeight="false" outlineLevel="0" collapsed="false">
      <c r="A1369" s="5" t="s">
        <v>2411</v>
      </c>
      <c r="B1369" s="9" t="n">
        <v>45992</v>
      </c>
      <c r="C1369" s="9" t="n">
        <v>45996</v>
      </c>
      <c r="D1369" s="5" t="s">
        <v>132</v>
      </c>
      <c r="E1369" s="5" t="s">
        <v>1032</v>
      </c>
      <c r="F1369" s="5" t="s">
        <v>1002</v>
      </c>
      <c r="G1369" s="6" t="str">
        <f aca="false">INDEX(Catalogo_Causas!$B$2:$B$10,MATCH(F1369,Catalogo_Causas!$A$2:$A$10,0))</f>
        <v>Falla mecánica</v>
      </c>
      <c r="H1369" s="6" t="str">
        <f aca="false">INDEX(Catalogo_Causas!$C$2:$C$10,MATCH(F1369,Catalogo_Causas!$A$2:$A$10,0))</f>
        <v>Operacional</v>
      </c>
      <c r="I1369" s="5" t="n">
        <v>51</v>
      </c>
      <c r="J1369" s="29" t="n">
        <f aca="false">I1369/60</f>
        <v>0.85</v>
      </c>
    </row>
    <row r="1370" customFormat="false" ht="15" hidden="false" customHeight="false" outlineLevel="0" collapsed="false">
      <c r="A1370" s="5" t="s">
        <v>2412</v>
      </c>
      <c r="B1370" s="9" t="n">
        <v>45992</v>
      </c>
      <c r="C1370" s="9" t="n">
        <v>45996</v>
      </c>
      <c r="D1370" s="5" t="s">
        <v>136</v>
      </c>
      <c r="E1370" s="5" t="s">
        <v>1101</v>
      </c>
      <c r="F1370" s="5" t="s">
        <v>1007</v>
      </c>
      <c r="G1370" s="6" t="str">
        <f aca="false">INDEX(Catalogo_Causas!$B$2:$B$10,MATCH(F1370,Catalogo_Causas!$A$2:$A$10,0))</f>
        <v>Cambio de formato excedido</v>
      </c>
      <c r="H1370" s="6" t="str">
        <f aca="false">INDEX(Catalogo_Causas!$C$2:$C$10,MATCH(F1370,Catalogo_Causas!$A$2:$A$10,0))</f>
        <v>Operacional</v>
      </c>
      <c r="I1370" s="5" t="n">
        <v>54</v>
      </c>
      <c r="J1370" s="29" t="n">
        <f aca="false">I1370/60</f>
        <v>0.9</v>
      </c>
    </row>
    <row r="1371" customFormat="false" ht="15" hidden="false" customHeight="false" outlineLevel="0" collapsed="false">
      <c r="A1371" s="5" t="s">
        <v>2413</v>
      </c>
      <c r="B1371" s="9" t="n">
        <v>45999</v>
      </c>
      <c r="C1371" s="9" t="n">
        <v>45999</v>
      </c>
      <c r="D1371" s="5" t="s">
        <v>142</v>
      </c>
      <c r="E1371" s="5" t="s">
        <v>1041</v>
      </c>
      <c r="F1371" s="5" t="s">
        <v>1002</v>
      </c>
      <c r="G1371" s="6" t="str">
        <f aca="false">INDEX(Catalogo_Causas!$B$2:$B$10,MATCH(F1371,Catalogo_Causas!$A$2:$A$10,0))</f>
        <v>Falla mecánica</v>
      </c>
      <c r="H1371" s="6" t="str">
        <f aca="false">INDEX(Catalogo_Causas!$C$2:$C$10,MATCH(F1371,Catalogo_Causas!$A$2:$A$10,0))</f>
        <v>Operacional</v>
      </c>
      <c r="I1371" s="5" t="n">
        <v>130</v>
      </c>
      <c r="J1371" s="29" t="n">
        <f aca="false">I1371/60</f>
        <v>2.16666666666667</v>
      </c>
    </row>
    <row r="1372" customFormat="false" ht="15" hidden="false" customHeight="false" outlineLevel="0" collapsed="false">
      <c r="A1372" s="5" t="s">
        <v>2414</v>
      </c>
      <c r="B1372" s="9" t="n">
        <v>45999</v>
      </c>
      <c r="C1372" s="9" t="n">
        <v>46000</v>
      </c>
      <c r="D1372" s="5" t="s">
        <v>142</v>
      </c>
      <c r="E1372" s="5" t="s">
        <v>1030</v>
      </c>
      <c r="F1372" s="5" t="s">
        <v>1014</v>
      </c>
      <c r="G1372" s="6" t="str">
        <f aca="false">INDEX(Catalogo_Causas!$B$2:$B$10,MATCH(F1372,Catalogo_Causas!$A$2:$A$10,0))</f>
        <v>Retención de calidad</v>
      </c>
      <c r="H1372" s="6" t="str">
        <f aca="false">INDEX(Catalogo_Causas!$C$2:$C$10,MATCH(F1372,Catalogo_Causas!$A$2:$A$10,0))</f>
        <v>Calidad</v>
      </c>
      <c r="I1372" s="5" t="n">
        <v>114</v>
      </c>
      <c r="J1372" s="29" t="n">
        <f aca="false">I1372/60</f>
        <v>1.9</v>
      </c>
    </row>
    <row r="1373" customFormat="false" ht="15" hidden="false" customHeight="false" outlineLevel="0" collapsed="false">
      <c r="A1373" s="5" t="s">
        <v>2415</v>
      </c>
      <c r="B1373" s="9" t="n">
        <v>45999</v>
      </c>
      <c r="C1373" s="9" t="n">
        <v>46000</v>
      </c>
      <c r="D1373" s="5" t="s">
        <v>144</v>
      </c>
      <c r="E1373" s="5" t="s">
        <v>1030</v>
      </c>
      <c r="F1373" s="5" t="s">
        <v>1018</v>
      </c>
      <c r="G1373" s="6" t="str">
        <f aca="false">INDEX(Catalogo_Causas!$B$2:$B$10,MATCH(F1373,Catalogo_Causas!$A$2:$A$10,0))</f>
        <v>Falta de personal</v>
      </c>
      <c r="H1373" s="6" t="str">
        <f aca="false">INDEX(Catalogo_Causas!$C$2:$C$10,MATCH(F1373,Catalogo_Causas!$A$2:$A$10,0))</f>
        <v>Personal</v>
      </c>
      <c r="I1373" s="5" t="n">
        <v>43</v>
      </c>
      <c r="J1373" s="29" t="n">
        <f aca="false">I1373/60</f>
        <v>0.716666666666667</v>
      </c>
    </row>
    <row r="1374" customFormat="false" ht="15" hidden="false" customHeight="false" outlineLevel="0" collapsed="false">
      <c r="A1374" s="5" t="s">
        <v>2416</v>
      </c>
      <c r="B1374" s="9" t="n">
        <v>45999</v>
      </c>
      <c r="C1374" s="9" t="n">
        <v>46001</v>
      </c>
      <c r="D1374" s="5" t="s">
        <v>130</v>
      </c>
      <c r="E1374" s="5" t="s">
        <v>1030</v>
      </c>
      <c r="F1374" s="5" t="s">
        <v>1002</v>
      </c>
      <c r="G1374" s="6" t="str">
        <f aca="false">INDEX(Catalogo_Causas!$B$2:$B$10,MATCH(F1374,Catalogo_Causas!$A$2:$A$10,0))</f>
        <v>Falla mecánica</v>
      </c>
      <c r="H1374" s="6" t="str">
        <f aca="false">INDEX(Catalogo_Causas!$C$2:$C$10,MATCH(F1374,Catalogo_Causas!$A$2:$A$10,0))</f>
        <v>Operacional</v>
      </c>
      <c r="I1374" s="5" t="n">
        <v>69</v>
      </c>
      <c r="J1374" s="29" t="n">
        <f aca="false">I1374/60</f>
        <v>1.15</v>
      </c>
    </row>
    <row r="1375" customFormat="false" ht="15" hidden="false" customHeight="false" outlineLevel="0" collapsed="false">
      <c r="A1375" s="5" t="s">
        <v>2417</v>
      </c>
      <c r="B1375" s="9" t="n">
        <v>45999</v>
      </c>
      <c r="C1375" s="9" t="n">
        <v>46001</v>
      </c>
      <c r="D1375" s="5" t="s">
        <v>132</v>
      </c>
      <c r="E1375" s="5" t="s">
        <v>1032</v>
      </c>
      <c r="F1375" s="5" t="s">
        <v>1021</v>
      </c>
      <c r="G1375" s="6" t="str">
        <f aca="false">INDEX(Catalogo_Causas!$B$2:$B$10,MATCH(F1375,Catalogo_Causas!$A$2:$A$10,0))</f>
        <v>Falla de servicios (vapor/amoniaco/aire)</v>
      </c>
      <c r="H1375" s="6" t="str">
        <f aca="false">INDEX(Catalogo_Causas!$C$2:$C$10,MATCH(F1375,Catalogo_Causas!$A$2:$A$10,0))</f>
        <v>Servicios</v>
      </c>
      <c r="I1375" s="5" t="n">
        <v>72</v>
      </c>
      <c r="J1375" s="29" t="n">
        <f aca="false">I1375/60</f>
        <v>1.2</v>
      </c>
    </row>
    <row r="1376" customFormat="false" ht="15" hidden="false" customHeight="false" outlineLevel="0" collapsed="false">
      <c r="A1376" s="5" t="s">
        <v>2418</v>
      </c>
      <c r="B1376" s="9" t="n">
        <v>45999</v>
      </c>
      <c r="C1376" s="9" t="n">
        <v>46002</v>
      </c>
      <c r="D1376" s="5" t="s">
        <v>138</v>
      </c>
      <c r="E1376" s="5" t="s">
        <v>1034</v>
      </c>
      <c r="F1376" s="5" t="s">
        <v>1016</v>
      </c>
      <c r="G1376" s="6" t="str">
        <f aca="false">INDEX(Catalogo_Causas!$B$2:$B$10,MATCH(F1376,Catalogo_Causas!$A$2:$A$10,0))</f>
        <v>Limpieza no programada (CIP)</v>
      </c>
      <c r="H1376" s="6" t="str">
        <f aca="false">INDEX(Catalogo_Causas!$C$2:$C$10,MATCH(F1376,Catalogo_Causas!$A$2:$A$10,0))</f>
        <v>Calidad</v>
      </c>
      <c r="I1376" s="5" t="n">
        <v>123</v>
      </c>
      <c r="J1376" s="29" t="n">
        <f aca="false">I1376/60</f>
        <v>2.05</v>
      </c>
    </row>
    <row r="1377" customFormat="false" ht="15" hidden="false" customHeight="false" outlineLevel="0" collapsed="false">
      <c r="A1377" s="5" t="s">
        <v>2419</v>
      </c>
      <c r="B1377" s="9" t="n">
        <v>45999</v>
      </c>
      <c r="C1377" s="9" t="n">
        <v>46002</v>
      </c>
      <c r="D1377" s="5" t="s">
        <v>142</v>
      </c>
      <c r="E1377" s="5" t="s">
        <v>1041</v>
      </c>
      <c r="F1377" s="5" t="s">
        <v>1005</v>
      </c>
      <c r="G1377" s="6" t="str">
        <f aca="false">INDEX(Catalogo_Causas!$B$2:$B$10,MATCH(F1377,Catalogo_Causas!$A$2:$A$10,0))</f>
        <v>Falla eléctrica / control</v>
      </c>
      <c r="H1377" s="6" t="str">
        <f aca="false">INDEX(Catalogo_Causas!$C$2:$C$10,MATCH(F1377,Catalogo_Causas!$A$2:$A$10,0))</f>
        <v>Operacional</v>
      </c>
      <c r="I1377" s="5" t="n">
        <v>65</v>
      </c>
      <c r="J1377" s="29" t="n">
        <f aca="false">I1377/60</f>
        <v>1.08333333333333</v>
      </c>
    </row>
    <row r="1378" customFormat="false" ht="15" hidden="false" customHeight="false" outlineLevel="0" collapsed="false">
      <c r="A1378" s="5" t="s">
        <v>2420</v>
      </c>
      <c r="B1378" s="9" t="n">
        <v>45999</v>
      </c>
      <c r="C1378" s="9" t="n">
        <v>46002</v>
      </c>
      <c r="D1378" s="5" t="s">
        <v>142</v>
      </c>
      <c r="E1378" s="5" t="s">
        <v>1041</v>
      </c>
      <c r="F1378" s="5" t="s">
        <v>1014</v>
      </c>
      <c r="G1378" s="6" t="str">
        <f aca="false">INDEX(Catalogo_Causas!$B$2:$B$10,MATCH(F1378,Catalogo_Causas!$A$2:$A$10,0))</f>
        <v>Retención de calidad</v>
      </c>
      <c r="H1378" s="6" t="str">
        <f aca="false">INDEX(Catalogo_Causas!$C$2:$C$10,MATCH(F1378,Catalogo_Causas!$A$2:$A$10,0))</f>
        <v>Calidad</v>
      </c>
      <c r="I1378" s="5" t="n">
        <v>37</v>
      </c>
      <c r="J1378" s="29" t="n">
        <f aca="false">I1378/60</f>
        <v>0.616666666666667</v>
      </c>
    </row>
    <row r="1379" customFormat="false" ht="15" hidden="false" customHeight="false" outlineLevel="0" collapsed="false">
      <c r="A1379" s="5" t="s">
        <v>2421</v>
      </c>
      <c r="B1379" s="9" t="n">
        <v>45999</v>
      </c>
      <c r="C1379" s="9" t="n">
        <v>46002</v>
      </c>
      <c r="D1379" s="5" t="s">
        <v>144</v>
      </c>
      <c r="E1379" s="5" t="s">
        <v>1043</v>
      </c>
      <c r="F1379" s="5" t="s">
        <v>1012</v>
      </c>
      <c r="G1379" s="6" t="str">
        <f aca="false">INDEX(Catalogo_Causas!$B$2:$B$10,MATCH(F1379,Catalogo_Causas!$A$2:$A$10,0))</f>
        <v>Falta de materia prima</v>
      </c>
      <c r="H1379" s="6" t="str">
        <f aca="false">INDEX(Catalogo_Causas!$C$2:$C$10,MATCH(F1379,Catalogo_Causas!$A$2:$A$10,0))</f>
        <v>Material / suministro</v>
      </c>
      <c r="I1379" s="5" t="n">
        <v>76</v>
      </c>
      <c r="J1379" s="29" t="n">
        <f aca="false">I1379/60</f>
        <v>1.26666666666667</v>
      </c>
    </row>
    <row r="1380" customFormat="false" ht="15" hidden="false" customHeight="false" outlineLevel="0" collapsed="false">
      <c r="A1380" s="5" t="s">
        <v>2422</v>
      </c>
      <c r="B1380" s="9" t="n">
        <v>45999</v>
      </c>
      <c r="C1380" s="9" t="n">
        <v>46003</v>
      </c>
      <c r="D1380" s="5" t="s">
        <v>134</v>
      </c>
      <c r="E1380" s="5" t="s">
        <v>1054</v>
      </c>
      <c r="F1380" s="5" t="s">
        <v>1002</v>
      </c>
      <c r="G1380" s="6" t="str">
        <f aca="false">INDEX(Catalogo_Causas!$B$2:$B$10,MATCH(F1380,Catalogo_Causas!$A$2:$A$10,0))</f>
        <v>Falla mecánica</v>
      </c>
      <c r="H1380" s="6" t="str">
        <f aca="false">INDEX(Catalogo_Causas!$C$2:$C$10,MATCH(F1380,Catalogo_Causas!$A$2:$A$10,0))</f>
        <v>Operacional</v>
      </c>
      <c r="I1380" s="5" t="n">
        <v>36</v>
      </c>
      <c r="J1380" s="29" t="n">
        <f aca="false">I1380/60</f>
        <v>0.6</v>
      </c>
    </row>
    <row r="1381" customFormat="false" ht="15" hidden="false" customHeight="false" outlineLevel="0" collapsed="false">
      <c r="A1381" s="5" t="s">
        <v>2423</v>
      </c>
      <c r="B1381" s="9" t="n">
        <v>45999</v>
      </c>
      <c r="C1381" s="9" t="n">
        <v>46003</v>
      </c>
      <c r="D1381" s="5" t="s">
        <v>138</v>
      </c>
      <c r="E1381" s="5" t="s">
        <v>1056</v>
      </c>
      <c r="F1381" s="5" t="s">
        <v>1012</v>
      </c>
      <c r="G1381" s="6" t="str">
        <f aca="false">INDEX(Catalogo_Causas!$B$2:$B$10,MATCH(F1381,Catalogo_Causas!$A$2:$A$10,0))</f>
        <v>Falta de materia prima</v>
      </c>
      <c r="H1381" s="6" t="str">
        <f aca="false">INDEX(Catalogo_Causas!$C$2:$C$10,MATCH(F1381,Catalogo_Causas!$A$2:$A$10,0))</f>
        <v>Material / suministro</v>
      </c>
      <c r="I1381" s="5" t="n">
        <v>66</v>
      </c>
      <c r="J1381" s="29" t="n">
        <f aca="false">I1381/60</f>
        <v>1.1</v>
      </c>
    </row>
    <row r="1382" customFormat="false" ht="15" hidden="false" customHeight="false" outlineLevel="0" collapsed="false">
      <c r="A1382" s="5" t="s">
        <v>2424</v>
      </c>
      <c r="B1382" s="9" t="n">
        <v>45999</v>
      </c>
      <c r="C1382" s="9" t="n">
        <v>46003</v>
      </c>
      <c r="D1382" s="5" t="s">
        <v>138</v>
      </c>
      <c r="E1382" s="5" t="s">
        <v>1056</v>
      </c>
      <c r="F1382" s="5" t="s">
        <v>1002</v>
      </c>
      <c r="G1382" s="6" t="str">
        <f aca="false">INDEX(Catalogo_Causas!$B$2:$B$10,MATCH(F1382,Catalogo_Causas!$A$2:$A$10,0))</f>
        <v>Falla mecánica</v>
      </c>
      <c r="H1382" s="6" t="str">
        <f aca="false">INDEX(Catalogo_Causas!$C$2:$C$10,MATCH(F1382,Catalogo_Causas!$A$2:$A$10,0))</f>
        <v>Operacional</v>
      </c>
      <c r="I1382" s="5" t="n">
        <v>100</v>
      </c>
      <c r="J1382" s="29" t="n">
        <f aca="false">I1382/60</f>
        <v>1.66666666666667</v>
      </c>
    </row>
    <row r="1383" customFormat="false" ht="15" hidden="false" customHeight="false" outlineLevel="0" collapsed="false">
      <c r="A1383" s="5" t="s">
        <v>2425</v>
      </c>
      <c r="B1383" s="9" t="n">
        <v>45999</v>
      </c>
      <c r="C1383" s="9" t="n">
        <v>46003</v>
      </c>
      <c r="D1383" s="5" t="s">
        <v>140</v>
      </c>
      <c r="E1383" s="5" t="s">
        <v>1045</v>
      </c>
      <c r="F1383" s="5" t="s">
        <v>1002</v>
      </c>
      <c r="G1383" s="6" t="str">
        <f aca="false">INDEX(Catalogo_Causas!$B$2:$B$10,MATCH(F1383,Catalogo_Causas!$A$2:$A$10,0))</f>
        <v>Falla mecánica</v>
      </c>
      <c r="H1383" s="6" t="str">
        <f aca="false">INDEX(Catalogo_Causas!$C$2:$C$10,MATCH(F1383,Catalogo_Causas!$A$2:$A$10,0))</f>
        <v>Operacional</v>
      </c>
      <c r="I1383" s="5" t="n">
        <v>23</v>
      </c>
      <c r="J1383" s="29" t="n">
        <f aca="false">I1383/60</f>
        <v>0.383333333333333</v>
      </c>
    </row>
    <row r="1384" customFormat="false" ht="15" hidden="false" customHeight="false" outlineLevel="0" collapsed="false">
      <c r="A1384" s="5" t="s">
        <v>2426</v>
      </c>
      <c r="B1384" s="9" t="n">
        <v>45999</v>
      </c>
      <c r="C1384" s="9" t="n">
        <v>46003</v>
      </c>
      <c r="D1384" s="5" t="s">
        <v>140</v>
      </c>
      <c r="E1384" s="5" t="s">
        <v>1045</v>
      </c>
      <c r="F1384" s="5" t="s">
        <v>1007</v>
      </c>
      <c r="G1384" s="6" t="str">
        <f aca="false">INDEX(Catalogo_Causas!$B$2:$B$10,MATCH(F1384,Catalogo_Causas!$A$2:$A$10,0))</f>
        <v>Cambio de formato excedido</v>
      </c>
      <c r="H1384" s="6" t="str">
        <f aca="false">INDEX(Catalogo_Causas!$C$2:$C$10,MATCH(F1384,Catalogo_Causas!$A$2:$A$10,0))</f>
        <v>Operacional</v>
      </c>
      <c r="I1384" s="5" t="n">
        <v>49</v>
      </c>
      <c r="J1384" s="29" t="n">
        <f aca="false">I1384/60</f>
        <v>0.816666666666667</v>
      </c>
    </row>
    <row r="1385" customFormat="false" ht="15" hidden="false" customHeight="false" outlineLevel="0" collapsed="false">
      <c r="A1385" s="5" t="s">
        <v>2427</v>
      </c>
      <c r="B1385" s="9" t="n">
        <v>45999</v>
      </c>
      <c r="C1385" s="9" t="n">
        <v>46004</v>
      </c>
      <c r="D1385" s="5" t="s">
        <v>138</v>
      </c>
      <c r="E1385" s="5" t="s">
        <v>1039</v>
      </c>
      <c r="F1385" s="5" t="s">
        <v>1002</v>
      </c>
      <c r="G1385" s="6" t="str">
        <f aca="false">INDEX(Catalogo_Causas!$B$2:$B$10,MATCH(F1385,Catalogo_Causas!$A$2:$A$10,0))</f>
        <v>Falla mecánica</v>
      </c>
      <c r="H1385" s="6" t="str">
        <f aca="false">INDEX(Catalogo_Causas!$C$2:$C$10,MATCH(F1385,Catalogo_Causas!$A$2:$A$10,0))</f>
        <v>Operacional</v>
      </c>
      <c r="I1385" s="5" t="n">
        <v>34</v>
      </c>
      <c r="J1385" s="29" t="n">
        <f aca="false">I1385/60</f>
        <v>0.566666666666667</v>
      </c>
    </row>
    <row r="1386" customFormat="false" ht="15" hidden="false" customHeight="false" outlineLevel="0" collapsed="false">
      <c r="A1386" s="5" t="s">
        <v>2428</v>
      </c>
      <c r="B1386" s="9" t="n">
        <v>46006</v>
      </c>
      <c r="C1386" s="9" t="n">
        <v>46006</v>
      </c>
      <c r="D1386" s="5" t="s">
        <v>134</v>
      </c>
      <c r="E1386" s="5" t="s">
        <v>1054</v>
      </c>
      <c r="F1386" s="5" t="s">
        <v>1014</v>
      </c>
      <c r="G1386" s="6" t="str">
        <f aca="false">INDEX(Catalogo_Causas!$B$2:$B$10,MATCH(F1386,Catalogo_Causas!$A$2:$A$10,0))</f>
        <v>Retención de calidad</v>
      </c>
      <c r="H1386" s="6" t="str">
        <f aca="false">INDEX(Catalogo_Causas!$C$2:$C$10,MATCH(F1386,Catalogo_Causas!$A$2:$A$10,0))</f>
        <v>Calidad</v>
      </c>
      <c r="I1386" s="5" t="n">
        <v>39</v>
      </c>
      <c r="J1386" s="29" t="n">
        <f aca="false">I1386/60</f>
        <v>0.65</v>
      </c>
    </row>
    <row r="1387" customFormat="false" ht="15" hidden="false" customHeight="false" outlineLevel="0" collapsed="false">
      <c r="A1387" s="5" t="s">
        <v>2429</v>
      </c>
      <c r="B1387" s="9" t="n">
        <v>46006</v>
      </c>
      <c r="C1387" s="9" t="n">
        <v>46006</v>
      </c>
      <c r="D1387" s="5" t="s">
        <v>136</v>
      </c>
      <c r="E1387" s="5" t="s">
        <v>1032</v>
      </c>
      <c r="F1387" s="5" t="s">
        <v>1009</v>
      </c>
      <c r="G1387" s="6" t="str">
        <f aca="false">INDEX(Catalogo_Causas!$B$2:$B$10,MATCH(F1387,Catalogo_Causas!$A$2:$A$10,0))</f>
        <v>Falta de material de empaque</v>
      </c>
      <c r="H1387" s="6" t="str">
        <f aca="false">INDEX(Catalogo_Causas!$C$2:$C$10,MATCH(F1387,Catalogo_Causas!$A$2:$A$10,0))</f>
        <v>Material / suministro</v>
      </c>
      <c r="I1387" s="5" t="n">
        <v>39</v>
      </c>
      <c r="J1387" s="29" t="n">
        <f aca="false">I1387/60</f>
        <v>0.65</v>
      </c>
    </row>
    <row r="1388" customFormat="false" ht="15" hidden="false" customHeight="false" outlineLevel="0" collapsed="false">
      <c r="A1388" s="5" t="s">
        <v>2430</v>
      </c>
      <c r="B1388" s="9" t="n">
        <v>46006</v>
      </c>
      <c r="C1388" s="9" t="n">
        <v>46006</v>
      </c>
      <c r="D1388" s="5" t="s">
        <v>138</v>
      </c>
      <c r="E1388" s="5" t="s">
        <v>1039</v>
      </c>
      <c r="F1388" s="5" t="s">
        <v>1005</v>
      </c>
      <c r="G1388" s="6" t="str">
        <f aca="false">INDEX(Catalogo_Causas!$B$2:$B$10,MATCH(F1388,Catalogo_Causas!$A$2:$A$10,0))</f>
        <v>Falla eléctrica / control</v>
      </c>
      <c r="H1388" s="6" t="str">
        <f aca="false">INDEX(Catalogo_Causas!$C$2:$C$10,MATCH(F1388,Catalogo_Causas!$A$2:$A$10,0))</f>
        <v>Operacional</v>
      </c>
      <c r="I1388" s="5" t="n">
        <v>20</v>
      </c>
      <c r="J1388" s="29" t="n">
        <f aca="false">I1388/60</f>
        <v>0.333333333333333</v>
      </c>
    </row>
    <row r="1389" customFormat="false" ht="15" hidden="false" customHeight="false" outlineLevel="0" collapsed="false">
      <c r="A1389" s="5" t="s">
        <v>2431</v>
      </c>
      <c r="B1389" s="9" t="n">
        <v>46006</v>
      </c>
      <c r="C1389" s="9" t="n">
        <v>46006</v>
      </c>
      <c r="D1389" s="5" t="s">
        <v>140</v>
      </c>
      <c r="E1389" s="5" t="s">
        <v>1045</v>
      </c>
      <c r="F1389" s="5" t="s">
        <v>1002</v>
      </c>
      <c r="G1389" s="6" t="str">
        <f aca="false">INDEX(Catalogo_Causas!$B$2:$B$10,MATCH(F1389,Catalogo_Causas!$A$2:$A$10,0))</f>
        <v>Falla mecánica</v>
      </c>
      <c r="H1389" s="6" t="str">
        <f aca="false">INDEX(Catalogo_Causas!$C$2:$C$10,MATCH(F1389,Catalogo_Causas!$A$2:$A$10,0))</f>
        <v>Operacional</v>
      </c>
      <c r="I1389" s="5" t="n">
        <v>33</v>
      </c>
      <c r="J1389" s="29" t="n">
        <f aca="false">I1389/60</f>
        <v>0.55</v>
      </c>
    </row>
    <row r="1390" customFormat="false" ht="15" hidden="false" customHeight="false" outlineLevel="0" collapsed="false">
      <c r="A1390" s="5" t="s">
        <v>2432</v>
      </c>
      <c r="B1390" s="9" t="n">
        <v>46006</v>
      </c>
      <c r="C1390" s="9" t="n">
        <v>46006</v>
      </c>
      <c r="D1390" s="5" t="s">
        <v>142</v>
      </c>
      <c r="E1390" s="5" t="s">
        <v>1041</v>
      </c>
      <c r="F1390" s="5" t="s">
        <v>1002</v>
      </c>
      <c r="G1390" s="6" t="str">
        <f aca="false">INDEX(Catalogo_Causas!$B$2:$B$10,MATCH(F1390,Catalogo_Causas!$A$2:$A$10,0))</f>
        <v>Falla mecánica</v>
      </c>
      <c r="H1390" s="6" t="str">
        <f aca="false">INDEX(Catalogo_Causas!$C$2:$C$10,MATCH(F1390,Catalogo_Causas!$A$2:$A$10,0))</f>
        <v>Operacional</v>
      </c>
      <c r="I1390" s="5" t="n">
        <v>35</v>
      </c>
      <c r="J1390" s="29" t="n">
        <f aca="false">I1390/60</f>
        <v>0.583333333333333</v>
      </c>
    </row>
    <row r="1391" customFormat="false" ht="15" hidden="false" customHeight="false" outlineLevel="0" collapsed="false">
      <c r="A1391" s="5" t="s">
        <v>2433</v>
      </c>
      <c r="B1391" s="9" t="n">
        <v>46006</v>
      </c>
      <c r="C1391" s="9" t="n">
        <v>46006</v>
      </c>
      <c r="D1391" s="5" t="s">
        <v>142</v>
      </c>
      <c r="E1391" s="5" t="s">
        <v>1030</v>
      </c>
      <c r="F1391" s="5" t="s">
        <v>1007</v>
      </c>
      <c r="G1391" s="6" t="str">
        <f aca="false">INDEX(Catalogo_Causas!$B$2:$B$10,MATCH(F1391,Catalogo_Causas!$A$2:$A$10,0))</f>
        <v>Cambio de formato excedido</v>
      </c>
      <c r="H1391" s="6" t="str">
        <f aca="false">INDEX(Catalogo_Causas!$C$2:$C$10,MATCH(F1391,Catalogo_Causas!$A$2:$A$10,0))</f>
        <v>Operacional</v>
      </c>
      <c r="I1391" s="5" t="n">
        <v>43</v>
      </c>
      <c r="J1391" s="29" t="n">
        <f aca="false">I1391/60</f>
        <v>0.716666666666667</v>
      </c>
    </row>
    <row r="1392" customFormat="false" ht="15" hidden="false" customHeight="false" outlineLevel="0" collapsed="false">
      <c r="A1392" s="5" t="s">
        <v>2434</v>
      </c>
      <c r="B1392" s="9" t="n">
        <v>46006</v>
      </c>
      <c r="C1392" s="9" t="n">
        <v>46007</v>
      </c>
      <c r="D1392" s="5" t="s">
        <v>130</v>
      </c>
      <c r="E1392" s="5" t="s">
        <v>1030</v>
      </c>
      <c r="F1392" s="5" t="s">
        <v>1016</v>
      </c>
      <c r="G1392" s="6" t="str">
        <f aca="false">INDEX(Catalogo_Causas!$B$2:$B$10,MATCH(F1392,Catalogo_Causas!$A$2:$A$10,0))</f>
        <v>Limpieza no programada (CIP)</v>
      </c>
      <c r="H1392" s="6" t="str">
        <f aca="false">INDEX(Catalogo_Causas!$C$2:$C$10,MATCH(F1392,Catalogo_Causas!$A$2:$A$10,0))</f>
        <v>Calidad</v>
      </c>
      <c r="I1392" s="5" t="n">
        <v>41</v>
      </c>
      <c r="J1392" s="29" t="n">
        <f aca="false">I1392/60</f>
        <v>0.683333333333333</v>
      </c>
    </row>
    <row r="1393" customFormat="false" ht="15" hidden="false" customHeight="false" outlineLevel="0" collapsed="false">
      <c r="A1393" s="5" t="s">
        <v>2435</v>
      </c>
      <c r="B1393" s="9" t="n">
        <v>46006</v>
      </c>
      <c r="C1393" s="9" t="n">
        <v>46007</v>
      </c>
      <c r="D1393" s="5" t="s">
        <v>132</v>
      </c>
      <c r="E1393" s="5" t="s">
        <v>1084</v>
      </c>
      <c r="F1393" s="5" t="s">
        <v>1002</v>
      </c>
      <c r="G1393" s="6" t="str">
        <f aca="false">INDEX(Catalogo_Causas!$B$2:$B$10,MATCH(F1393,Catalogo_Causas!$A$2:$A$10,0))</f>
        <v>Falla mecánica</v>
      </c>
      <c r="H1393" s="6" t="str">
        <f aca="false">INDEX(Catalogo_Causas!$C$2:$C$10,MATCH(F1393,Catalogo_Causas!$A$2:$A$10,0))</f>
        <v>Operacional</v>
      </c>
      <c r="I1393" s="5" t="n">
        <v>31</v>
      </c>
      <c r="J1393" s="29" t="n">
        <f aca="false">I1393/60</f>
        <v>0.516666666666667</v>
      </c>
    </row>
    <row r="1394" customFormat="false" ht="15" hidden="false" customHeight="false" outlineLevel="0" collapsed="false">
      <c r="A1394" s="5" t="s">
        <v>2436</v>
      </c>
      <c r="B1394" s="9" t="n">
        <v>46006</v>
      </c>
      <c r="C1394" s="9" t="n">
        <v>46007</v>
      </c>
      <c r="D1394" s="5" t="s">
        <v>134</v>
      </c>
      <c r="E1394" s="5" t="s">
        <v>1030</v>
      </c>
      <c r="F1394" s="5" t="s">
        <v>1016</v>
      </c>
      <c r="G1394" s="6" t="str">
        <f aca="false">INDEX(Catalogo_Causas!$B$2:$B$10,MATCH(F1394,Catalogo_Causas!$A$2:$A$10,0))</f>
        <v>Limpieza no programada (CIP)</v>
      </c>
      <c r="H1394" s="6" t="str">
        <f aca="false">INDEX(Catalogo_Causas!$C$2:$C$10,MATCH(F1394,Catalogo_Causas!$A$2:$A$10,0))</f>
        <v>Calidad</v>
      </c>
      <c r="I1394" s="5" t="n">
        <v>41</v>
      </c>
      <c r="J1394" s="29" t="n">
        <f aca="false">I1394/60</f>
        <v>0.683333333333333</v>
      </c>
    </row>
    <row r="1395" customFormat="false" ht="15" hidden="false" customHeight="false" outlineLevel="0" collapsed="false">
      <c r="A1395" s="5" t="s">
        <v>2437</v>
      </c>
      <c r="B1395" s="9" t="n">
        <v>46006</v>
      </c>
      <c r="C1395" s="9" t="n">
        <v>46007</v>
      </c>
      <c r="D1395" s="5" t="s">
        <v>138</v>
      </c>
      <c r="E1395" s="5" t="s">
        <v>1056</v>
      </c>
      <c r="F1395" s="5" t="s">
        <v>1002</v>
      </c>
      <c r="G1395" s="6" t="str">
        <f aca="false">INDEX(Catalogo_Causas!$B$2:$B$10,MATCH(F1395,Catalogo_Causas!$A$2:$A$10,0))</f>
        <v>Falla mecánica</v>
      </c>
      <c r="H1395" s="6" t="str">
        <f aca="false">INDEX(Catalogo_Causas!$C$2:$C$10,MATCH(F1395,Catalogo_Causas!$A$2:$A$10,0))</f>
        <v>Operacional</v>
      </c>
      <c r="I1395" s="5" t="n">
        <v>95</v>
      </c>
      <c r="J1395" s="29" t="n">
        <f aca="false">I1395/60</f>
        <v>1.58333333333333</v>
      </c>
    </row>
    <row r="1396" customFormat="false" ht="15" hidden="false" customHeight="false" outlineLevel="0" collapsed="false">
      <c r="A1396" s="5" t="s">
        <v>2438</v>
      </c>
      <c r="B1396" s="9" t="n">
        <v>46006</v>
      </c>
      <c r="C1396" s="9" t="n">
        <v>46007</v>
      </c>
      <c r="D1396" s="5" t="s">
        <v>140</v>
      </c>
      <c r="E1396" s="5" t="s">
        <v>1036</v>
      </c>
      <c r="F1396" s="5" t="s">
        <v>1018</v>
      </c>
      <c r="G1396" s="6" t="str">
        <f aca="false">INDEX(Catalogo_Causas!$B$2:$B$10,MATCH(F1396,Catalogo_Causas!$A$2:$A$10,0))</f>
        <v>Falta de personal</v>
      </c>
      <c r="H1396" s="6" t="str">
        <f aca="false">INDEX(Catalogo_Causas!$C$2:$C$10,MATCH(F1396,Catalogo_Causas!$A$2:$A$10,0))</f>
        <v>Personal</v>
      </c>
      <c r="I1396" s="5" t="n">
        <v>31</v>
      </c>
      <c r="J1396" s="29" t="n">
        <f aca="false">I1396/60</f>
        <v>0.516666666666667</v>
      </c>
    </row>
    <row r="1397" customFormat="false" ht="15" hidden="false" customHeight="false" outlineLevel="0" collapsed="false">
      <c r="A1397" s="5" t="s">
        <v>2439</v>
      </c>
      <c r="B1397" s="9" t="n">
        <v>46006</v>
      </c>
      <c r="C1397" s="9" t="n">
        <v>46008</v>
      </c>
      <c r="D1397" s="5" t="s">
        <v>142</v>
      </c>
      <c r="E1397" s="5" t="s">
        <v>1041</v>
      </c>
      <c r="F1397" s="5" t="s">
        <v>1005</v>
      </c>
      <c r="G1397" s="6" t="str">
        <f aca="false">INDEX(Catalogo_Causas!$B$2:$B$10,MATCH(F1397,Catalogo_Causas!$A$2:$A$10,0))</f>
        <v>Falla eléctrica / control</v>
      </c>
      <c r="H1397" s="6" t="str">
        <f aca="false">INDEX(Catalogo_Causas!$C$2:$C$10,MATCH(F1397,Catalogo_Causas!$A$2:$A$10,0))</f>
        <v>Operacional</v>
      </c>
      <c r="I1397" s="5" t="n">
        <v>32</v>
      </c>
      <c r="J1397" s="29" t="n">
        <f aca="false">I1397/60</f>
        <v>0.533333333333333</v>
      </c>
    </row>
    <row r="1398" customFormat="false" ht="15" hidden="false" customHeight="false" outlineLevel="0" collapsed="false">
      <c r="A1398" s="5" t="s">
        <v>2440</v>
      </c>
      <c r="B1398" s="9" t="n">
        <v>46006</v>
      </c>
      <c r="C1398" s="9" t="n">
        <v>46009</v>
      </c>
      <c r="D1398" s="5" t="s">
        <v>136</v>
      </c>
      <c r="E1398" s="5" t="s">
        <v>1032</v>
      </c>
      <c r="F1398" s="5" t="s">
        <v>1007</v>
      </c>
      <c r="G1398" s="6" t="str">
        <f aca="false">INDEX(Catalogo_Causas!$B$2:$B$10,MATCH(F1398,Catalogo_Causas!$A$2:$A$10,0))</f>
        <v>Cambio de formato excedido</v>
      </c>
      <c r="H1398" s="6" t="str">
        <f aca="false">INDEX(Catalogo_Causas!$C$2:$C$10,MATCH(F1398,Catalogo_Causas!$A$2:$A$10,0))</f>
        <v>Operacional</v>
      </c>
      <c r="I1398" s="5" t="n">
        <v>10</v>
      </c>
      <c r="J1398" s="29" t="n">
        <f aca="false">I1398/60</f>
        <v>0.166666666666667</v>
      </c>
    </row>
    <row r="1399" customFormat="false" ht="15" hidden="false" customHeight="false" outlineLevel="0" collapsed="false">
      <c r="A1399" s="5" t="s">
        <v>2441</v>
      </c>
      <c r="B1399" s="9" t="n">
        <v>46006</v>
      </c>
      <c r="C1399" s="9" t="n">
        <v>46010</v>
      </c>
      <c r="D1399" s="5" t="s">
        <v>138</v>
      </c>
      <c r="E1399" s="5" t="s">
        <v>1034</v>
      </c>
      <c r="F1399" s="5" t="s">
        <v>1002</v>
      </c>
      <c r="G1399" s="6" t="str">
        <f aca="false">INDEX(Catalogo_Causas!$B$2:$B$10,MATCH(F1399,Catalogo_Causas!$A$2:$A$10,0))</f>
        <v>Falla mecánica</v>
      </c>
      <c r="H1399" s="6" t="str">
        <f aca="false">INDEX(Catalogo_Causas!$C$2:$C$10,MATCH(F1399,Catalogo_Causas!$A$2:$A$10,0))</f>
        <v>Operacional</v>
      </c>
      <c r="I1399" s="5" t="n">
        <v>213</v>
      </c>
      <c r="J1399" s="29" t="n">
        <f aca="false">I1399/60</f>
        <v>3.55</v>
      </c>
    </row>
    <row r="1400" customFormat="false" ht="15" hidden="false" customHeight="false" outlineLevel="0" collapsed="false">
      <c r="A1400" s="5" t="s">
        <v>2442</v>
      </c>
      <c r="B1400" s="9" t="n">
        <v>46006</v>
      </c>
      <c r="C1400" s="9" t="n">
        <v>46010</v>
      </c>
      <c r="D1400" s="5" t="s">
        <v>142</v>
      </c>
      <c r="E1400" s="5" t="s">
        <v>1030</v>
      </c>
      <c r="F1400" s="5" t="s">
        <v>1002</v>
      </c>
      <c r="G1400" s="6" t="str">
        <f aca="false">INDEX(Catalogo_Causas!$B$2:$B$10,MATCH(F1400,Catalogo_Causas!$A$2:$A$10,0))</f>
        <v>Falla mecánica</v>
      </c>
      <c r="H1400" s="6" t="str">
        <f aca="false">INDEX(Catalogo_Causas!$C$2:$C$10,MATCH(F1400,Catalogo_Causas!$A$2:$A$10,0))</f>
        <v>Operacional</v>
      </c>
      <c r="I1400" s="5" t="n">
        <v>14</v>
      </c>
      <c r="J1400" s="29" t="n">
        <f aca="false">I1400/60</f>
        <v>0.233333333333333</v>
      </c>
    </row>
    <row r="1401" customFormat="false" ht="15" hidden="false" customHeight="false" outlineLevel="0" collapsed="false">
      <c r="A1401" s="5" t="s">
        <v>2443</v>
      </c>
      <c r="B1401" s="9" t="n">
        <v>46006</v>
      </c>
      <c r="C1401" s="9" t="n">
        <v>46011</v>
      </c>
      <c r="D1401" s="5" t="s">
        <v>138</v>
      </c>
      <c r="E1401" s="5" t="s">
        <v>1034</v>
      </c>
      <c r="F1401" s="5" t="s">
        <v>1007</v>
      </c>
      <c r="G1401" s="6" t="str">
        <f aca="false">INDEX(Catalogo_Causas!$B$2:$B$10,MATCH(F1401,Catalogo_Causas!$A$2:$A$10,0))</f>
        <v>Cambio de formato excedido</v>
      </c>
      <c r="H1401" s="6" t="str">
        <f aca="false">INDEX(Catalogo_Causas!$C$2:$C$10,MATCH(F1401,Catalogo_Causas!$A$2:$A$10,0))</f>
        <v>Operacional</v>
      </c>
      <c r="I1401" s="5" t="n">
        <v>149</v>
      </c>
      <c r="J1401" s="29" t="n">
        <f aca="false">I1401/60</f>
        <v>2.48333333333333</v>
      </c>
    </row>
    <row r="1402" customFormat="false" ht="15" hidden="false" customHeight="false" outlineLevel="0" collapsed="false">
      <c r="A1402" s="5" t="s">
        <v>2444</v>
      </c>
      <c r="B1402" s="9" t="n">
        <v>46006</v>
      </c>
      <c r="C1402" s="9" t="n">
        <v>46011</v>
      </c>
      <c r="D1402" s="5" t="s">
        <v>144</v>
      </c>
      <c r="E1402" s="5" t="s">
        <v>1032</v>
      </c>
      <c r="F1402" s="5" t="s">
        <v>1012</v>
      </c>
      <c r="G1402" s="6" t="str">
        <f aca="false">INDEX(Catalogo_Causas!$B$2:$B$10,MATCH(F1402,Catalogo_Causas!$A$2:$A$10,0))</f>
        <v>Falta de materia prima</v>
      </c>
      <c r="H1402" s="6" t="str">
        <f aca="false">INDEX(Catalogo_Causas!$C$2:$C$10,MATCH(F1402,Catalogo_Causas!$A$2:$A$10,0))</f>
        <v>Material / suministro</v>
      </c>
      <c r="I1402" s="5" t="n">
        <v>22</v>
      </c>
      <c r="J1402" s="29" t="n">
        <f aca="false">I1402/60</f>
        <v>0.366666666666667</v>
      </c>
    </row>
    <row r="1403" customFormat="false" ht="15" hidden="false" customHeight="false" outlineLevel="0" collapsed="false">
      <c r="A1403" s="5" t="s">
        <v>2445</v>
      </c>
      <c r="B1403" s="9" t="n">
        <v>46013</v>
      </c>
      <c r="C1403" s="9" t="n">
        <v>46013</v>
      </c>
      <c r="D1403" s="5" t="s">
        <v>132</v>
      </c>
      <c r="E1403" s="5" t="s">
        <v>1073</v>
      </c>
      <c r="F1403" s="5" t="s">
        <v>1016</v>
      </c>
      <c r="G1403" s="6" t="str">
        <f aca="false">INDEX(Catalogo_Causas!$B$2:$B$10,MATCH(F1403,Catalogo_Causas!$A$2:$A$10,0))</f>
        <v>Limpieza no programada (CIP)</v>
      </c>
      <c r="H1403" s="6" t="str">
        <f aca="false">INDEX(Catalogo_Causas!$C$2:$C$10,MATCH(F1403,Catalogo_Causas!$A$2:$A$10,0))</f>
        <v>Calidad</v>
      </c>
      <c r="I1403" s="5" t="n">
        <v>49</v>
      </c>
      <c r="J1403" s="29" t="n">
        <f aca="false">I1403/60</f>
        <v>0.816666666666667</v>
      </c>
    </row>
    <row r="1404" customFormat="false" ht="15" hidden="false" customHeight="false" outlineLevel="0" collapsed="false">
      <c r="A1404" s="5" t="s">
        <v>2446</v>
      </c>
      <c r="B1404" s="9" t="n">
        <v>46013</v>
      </c>
      <c r="C1404" s="9" t="n">
        <v>46013</v>
      </c>
      <c r="D1404" s="5" t="s">
        <v>138</v>
      </c>
      <c r="E1404" s="5" t="s">
        <v>1039</v>
      </c>
      <c r="F1404" s="5" t="s">
        <v>1016</v>
      </c>
      <c r="G1404" s="6" t="str">
        <f aca="false">INDEX(Catalogo_Causas!$B$2:$B$10,MATCH(F1404,Catalogo_Causas!$A$2:$A$10,0))</f>
        <v>Limpieza no programada (CIP)</v>
      </c>
      <c r="H1404" s="6" t="str">
        <f aca="false">INDEX(Catalogo_Causas!$C$2:$C$10,MATCH(F1404,Catalogo_Causas!$A$2:$A$10,0))</f>
        <v>Calidad</v>
      </c>
      <c r="I1404" s="5" t="n">
        <v>20</v>
      </c>
      <c r="J1404" s="29" t="n">
        <f aca="false">I1404/60</f>
        <v>0.333333333333333</v>
      </c>
    </row>
    <row r="1405" customFormat="false" ht="15" hidden="false" customHeight="false" outlineLevel="0" collapsed="false">
      <c r="A1405" s="5" t="s">
        <v>2447</v>
      </c>
      <c r="B1405" s="9" t="n">
        <v>46013</v>
      </c>
      <c r="C1405" s="9" t="n">
        <v>46013</v>
      </c>
      <c r="D1405" s="5" t="s">
        <v>142</v>
      </c>
      <c r="E1405" s="5" t="s">
        <v>1051</v>
      </c>
      <c r="F1405" s="5" t="s">
        <v>1007</v>
      </c>
      <c r="G1405" s="6" t="str">
        <f aca="false">INDEX(Catalogo_Causas!$B$2:$B$10,MATCH(F1405,Catalogo_Causas!$A$2:$A$10,0))</f>
        <v>Cambio de formato excedido</v>
      </c>
      <c r="H1405" s="6" t="str">
        <f aca="false">INDEX(Catalogo_Causas!$C$2:$C$10,MATCH(F1405,Catalogo_Causas!$A$2:$A$10,0))</f>
        <v>Operacional</v>
      </c>
      <c r="I1405" s="5" t="n">
        <v>52</v>
      </c>
      <c r="J1405" s="29" t="n">
        <f aca="false">I1405/60</f>
        <v>0.866666666666667</v>
      </c>
    </row>
    <row r="1406" customFormat="false" ht="15" hidden="false" customHeight="false" outlineLevel="0" collapsed="false">
      <c r="A1406" s="5" t="s">
        <v>2448</v>
      </c>
      <c r="B1406" s="9" t="n">
        <v>46013</v>
      </c>
      <c r="C1406" s="9" t="n">
        <v>46014</v>
      </c>
      <c r="D1406" s="5" t="s">
        <v>136</v>
      </c>
      <c r="E1406" s="5" t="s">
        <v>1101</v>
      </c>
      <c r="F1406" s="5" t="s">
        <v>1005</v>
      </c>
      <c r="G1406" s="6" t="str">
        <f aca="false">INDEX(Catalogo_Causas!$B$2:$B$10,MATCH(F1406,Catalogo_Causas!$A$2:$A$10,0))</f>
        <v>Falla eléctrica / control</v>
      </c>
      <c r="H1406" s="6" t="str">
        <f aca="false">INDEX(Catalogo_Causas!$C$2:$C$10,MATCH(F1406,Catalogo_Causas!$A$2:$A$10,0))</f>
        <v>Operacional</v>
      </c>
      <c r="I1406" s="5" t="n">
        <v>59</v>
      </c>
      <c r="J1406" s="29" t="n">
        <f aca="false">I1406/60</f>
        <v>0.983333333333333</v>
      </c>
    </row>
    <row r="1407" customFormat="false" ht="15" hidden="false" customHeight="false" outlineLevel="0" collapsed="false">
      <c r="A1407" s="5" t="s">
        <v>2449</v>
      </c>
      <c r="B1407" s="9" t="n">
        <v>46013</v>
      </c>
      <c r="C1407" s="9" t="n">
        <v>46014</v>
      </c>
      <c r="D1407" s="5" t="s">
        <v>138</v>
      </c>
      <c r="E1407" s="5" t="s">
        <v>1034</v>
      </c>
      <c r="F1407" s="5" t="s">
        <v>1012</v>
      </c>
      <c r="G1407" s="6" t="str">
        <f aca="false">INDEX(Catalogo_Causas!$B$2:$B$10,MATCH(F1407,Catalogo_Causas!$A$2:$A$10,0))</f>
        <v>Falta de materia prima</v>
      </c>
      <c r="H1407" s="6" t="str">
        <f aca="false">INDEX(Catalogo_Causas!$C$2:$C$10,MATCH(F1407,Catalogo_Causas!$A$2:$A$10,0))</f>
        <v>Material / suministro</v>
      </c>
      <c r="I1407" s="5" t="n">
        <v>123</v>
      </c>
      <c r="J1407" s="29" t="n">
        <f aca="false">I1407/60</f>
        <v>2.05</v>
      </c>
    </row>
    <row r="1408" customFormat="false" ht="15" hidden="false" customHeight="false" outlineLevel="0" collapsed="false">
      <c r="A1408" s="5" t="s">
        <v>2450</v>
      </c>
      <c r="B1408" s="9" t="n">
        <v>46013</v>
      </c>
      <c r="C1408" s="9" t="n">
        <v>46016</v>
      </c>
      <c r="D1408" s="5" t="s">
        <v>132</v>
      </c>
      <c r="E1408" s="5" t="s">
        <v>1032</v>
      </c>
      <c r="F1408" s="5" t="s">
        <v>1014</v>
      </c>
      <c r="G1408" s="6" t="str">
        <f aca="false">INDEX(Catalogo_Causas!$B$2:$B$10,MATCH(F1408,Catalogo_Causas!$A$2:$A$10,0))</f>
        <v>Retención de calidad</v>
      </c>
      <c r="H1408" s="6" t="str">
        <f aca="false">INDEX(Catalogo_Causas!$C$2:$C$10,MATCH(F1408,Catalogo_Causas!$A$2:$A$10,0))</f>
        <v>Calidad</v>
      </c>
      <c r="I1408" s="5" t="n">
        <v>479</v>
      </c>
      <c r="J1408" s="29" t="n">
        <f aca="false">I1408/60</f>
        <v>7.98333333333333</v>
      </c>
    </row>
    <row r="1409" customFormat="false" ht="15" hidden="false" customHeight="false" outlineLevel="0" collapsed="false">
      <c r="A1409" s="5" t="s">
        <v>2451</v>
      </c>
      <c r="B1409" s="9" t="n">
        <v>46013</v>
      </c>
      <c r="C1409" s="9" t="n">
        <v>46016</v>
      </c>
      <c r="D1409" s="5" t="s">
        <v>136</v>
      </c>
      <c r="E1409" s="5" t="s">
        <v>1051</v>
      </c>
      <c r="F1409" s="5" t="s">
        <v>1002</v>
      </c>
      <c r="G1409" s="6" t="str">
        <f aca="false">INDEX(Catalogo_Causas!$B$2:$B$10,MATCH(F1409,Catalogo_Causas!$A$2:$A$10,0))</f>
        <v>Falla mecánica</v>
      </c>
      <c r="H1409" s="6" t="str">
        <f aca="false">INDEX(Catalogo_Causas!$C$2:$C$10,MATCH(F1409,Catalogo_Causas!$A$2:$A$10,0))</f>
        <v>Operacional</v>
      </c>
      <c r="I1409" s="5" t="n">
        <v>50</v>
      </c>
      <c r="J1409" s="29" t="n">
        <f aca="false">I1409/60</f>
        <v>0.833333333333333</v>
      </c>
    </row>
    <row r="1410" customFormat="false" ht="15" hidden="false" customHeight="false" outlineLevel="0" collapsed="false">
      <c r="A1410" s="5" t="s">
        <v>2452</v>
      </c>
      <c r="B1410" s="9" t="n">
        <v>46013</v>
      </c>
      <c r="C1410" s="9" t="n">
        <v>46016</v>
      </c>
      <c r="D1410" s="5" t="s">
        <v>142</v>
      </c>
      <c r="E1410" s="5" t="s">
        <v>1051</v>
      </c>
      <c r="F1410" s="5" t="s">
        <v>1007</v>
      </c>
      <c r="G1410" s="6" t="str">
        <f aca="false">INDEX(Catalogo_Causas!$B$2:$B$10,MATCH(F1410,Catalogo_Causas!$A$2:$A$10,0))</f>
        <v>Cambio de formato excedido</v>
      </c>
      <c r="H1410" s="6" t="str">
        <f aca="false">INDEX(Catalogo_Causas!$C$2:$C$10,MATCH(F1410,Catalogo_Causas!$A$2:$A$10,0))</f>
        <v>Operacional</v>
      </c>
      <c r="I1410" s="5" t="n">
        <v>22</v>
      </c>
      <c r="J1410" s="29" t="n">
        <f aca="false">I1410/60</f>
        <v>0.366666666666667</v>
      </c>
    </row>
    <row r="1411" customFormat="false" ht="15" hidden="false" customHeight="false" outlineLevel="0" collapsed="false">
      <c r="A1411" s="5" t="s">
        <v>2453</v>
      </c>
      <c r="B1411" s="9" t="n">
        <v>46013</v>
      </c>
      <c r="C1411" s="9" t="n">
        <v>46017</v>
      </c>
      <c r="D1411" s="5" t="s">
        <v>136</v>
      </c>
      <c r="E1411" s="5" t="s">
        <v>1101</v>
      </c>
      <c r="F1411" s="5" t="s">
        <v>1002</v>
      </c>
      <c r="G1411" s="6" t="str">
        <f aca="false">INDEX(Catalogo_Causas!$B$2:$B$10,MATCH(F1411,Catalogo_Causas!$A$2:$A$10,0))</f>
        <v>Falla mecánica</v>
      </c>
      <c r="H1411" s="6" t="str">
        <f aca="false">INDEX(Catalogo_Causas!$C$2:$C$10,MATCH(F1411,Catalogo_Causas!$A$2:$A$10,0))</f>
        <v>Operacional</v>
      </c>
      <c r="I1411" s="5" t="n">
        <v>40</v>
      </c>
      <c r="J1411" s="29" t="n">
        <f aca="false">I1411/60</f>
        <v>0.666666666666667</v>
      </c>
    </row>
    <row r="1412" customFormat="false" ht="15" hidden="false" customHeight="false" outlineLevel="0" collapsed="false">
      <c r="A1412" s="5" t="s">
        <v>2454</v>
      </c>
      <c r="B1412" s="9" t="n">
        <v>46013</v>
      </c>
      <c r="C1412" s="9" t="n">
        <v>46017</v>
      </c>
      <c r="D1412" s="5" t="s">
        <v>138</v>
      </c>
      <c r="E1412" s="5" t="s">
        <v>1039</v>
      </c>
      <c r="F1412" s="5" t="s">
        <v>1002</v>
      </c>
      <c r="G1412" s="6" t="str">
        <f aca="false">INDEX(Catalogo_Causas!$B$2:$B$10,MATCH(F1412,Catalogo_Causas!$A$2:$A$10,0))</f>
        <v>Falla mecánica</v>
      </c>
      <c r="H1412" s="6" t="str">
        <f aca="false">INDEX(Catalogo_Causas!$C$2:$C$10,MATCH(F1412,Catalogo_Causas!$A$2:$A$10,0))</f>
        <v>Operacional</v>
      </c>
      <c r="I1412" s="5" t="n">
        <v>16</v>
      </c>
      <c r="J1412" s="29" t="n">
        <f aca="false">I1412/60</f>
        <v>0.266666666666667</v>
      </c>
    </row>
    <row r="1413" customFormat="false" ht="15" hidden="false" customHeight="false" outlineLevel="0" collapsed="false">
      <c r="A1413" s="5" t="s">
        <v>2455</v>
      </c>
      <c r="B1413" s="9" t="n">
        <v>46013</v>
      </c>
      <c r="C1413" s="9" t="n">
        <v>46017</v>
      </c>
      <c r="D1413" s="5" t="s">
        <v>144</v>
      </c>
      <c r="E1413" s="5" t="s">
        <v>1043</v>
      </c>
      <c r="F1413" s="5" t="s">
        <v>1018</v>
      </c>
      <c r="G1413" s="6" t="str">
        <f aca="false">INDEX(Catalogo_Causas!$B$2:$B$10,MATCH(F1413,Catalogo_Causas!$A$2:$A$10,0))</f>
        <v>Falta de personal</v>
      </c>
      <c r="H1413" s="6" t="str">
        <f aca="false">INDEX(Catalogo_Causas!$C$2:$C$10,MATCH(F1413,Catalogo_Causas!$A$2:$A$10,0))</f>
        <v>Personal</v>
      </c>
      <c r="I1413" s="5" t="n">
        <v>32</v>
      </c>
      <c r="J1413" s="29" t="n">
        <f aca="false">I1413/60</f>
        <v>0.533333333333333</v>
      </c>
    </row>
    <row r="1414" customFormat="false" ht="15" hidden="false" customHeight="false" outlineLevel="0" collapsed="false">
      <c r="A1414" s="5" t="s">
        <v>2456</v>
      </c>
      <c r="B1414" s="9" t="n">
        <v>46013</v>
      </c>
      <c r="C1414" s="9" t="n">
        <v>46018</v>
      </c>
      <c r="D1414" s="5" t="s">
        <v>134</v>
      </c>
      <c r="E1414" s="5" t="s">
        <v>1030</v>
      </c>
      <c r="F1414" s="5" t="s">
        <v>1018</v>
      </c>
      <c r="G1414" s="6" t="str">
        <f aca="false">INDEX(Catalogo_Causas!$B$2:$B$10,MATCH(F1414,Catalogo_Causas!$A$2:$A$10,0))</f>
        <v>Falta de personal</v>
      </c>
      <c r="H1414" s="6" t="str">
        <f aca="false">INDEX(Catalogo_Causas!$C$2:$C$10,MATCH(F1414,Catalogo_Causas!$A$2:$A$10,0))</f>
        <v>Personal</v>
      </c>
      <c r="I1414" s="5" t="n">
        <v>34</v>
      </c>
      <c r="J1414" s="29" t="n">
        <f aca="false">I1414/60</f>
        <v>0.566666666666667</v>
      </c>
    </row>
    <row r="1415" customFormat="false" ht="15" hidden="false" customHeight="false" outlineLevel="0" collapsed="false">
      <c r="A1415" s="5" t="s">
        <v>2457</v>
      </c>
      <c r="B1415" s="9" t="n">
        <v>46013</v>
      </c>
      <c r="C1415" s="9" t="n">
        <v>46018</v>
      </c>
      <c r="D1415" s="5" t="s">
        <v>136</v>
      </c>
      <c r="E1415" s="5" t="s">
        <v>1032</v>
      </c>
      <c r="F1415" s="5" t="s">
        <v>1018</v>
      </c>
      <c r="G1415" s="6" t="str">
        <f aca="false">INDEX(Catalogo_Causas!$B$2:$B$10,MATCH(F1415,Catalogo_Causas!$A$2:$A$10,0))</f>
        <v>Falta de personal</v>
      </c>
      <c r="H1415" s="6" t="str">
        <f aca="false">INDEX(Catalogo_Causas!$C$2:$C$10,MATCH(F1415,Catalogo_Causas!$A$2:$A$10,0))</f>
        <v>Personal</v>
      </c>
      <c r="I1415" s="5" t="n">
        <v>61</v>
      </c>
      <c r="J1415" s="29" t="n">
        <f aca="false">I1415/60</f>
        <v>1.01666666666667</v>
      </c>
    </row>
    <row r="1416" customFormat="false" ht="15" hidden="false" customHeight="false" outlineLevel="0" collapsed="false">
      <c r="A1416" s="5" t="s">
        <v>2458</v>
      </c>
      <c r="B1416" s="9" t="n">
        <v>46013</v>
      </c>
      <c r="C1416" s="9" t="n">
        <v>46018</v>
      </c>
      <c r="D1416" s="5" t="s">
        <v>142</v>
      </c>
      <c r="E1416" s="5" t="s">
        <v>1041</v>
      </c>
      <c r="F1416" s="5" t="s">
        <v>1009</v>
      </c>
      <c r="G1416" s="6" t="str">
        <f aca="false">INDEX(Catalogo_Causas!$B$2:$B$10,MATCH(F1416,Catalogo_Causas!$A$2:$A$10,0))</f>
        <v>Falta de material de empaque</v>
      </c>
      <c r="H1416" s="6" t="str">
        <f aca="false">INDEX(Catalogo_Causas!$C$2:$C$10,MATCH(F1416,Catalogo_Causas!$A$2:$A$10,0))</f>
        <v>Material / suministro</v>
      </c>
      <c r="I1416" s="5" t="n">
        <v>39</v>
      </c>
      <c r="J1416" s="29" t="n">
        <f aca="false">I1416/60</f>
        <v>0.65</v>
      </c>
    </row>
    <row r="1417" customFormat="false" ht="15" hidden="false" customHeight="false" outlineLevel="0" collapsed="false">
      <c r="A1417" s="5" t="s">
        <v>2459</v>
      </c>
      <c r="B1417" s="9" t="n">
        <v>46020</v>
      </c>
      <c r="C1417" s="9" t="n">
        <v>46020</v>
      </c>
      <c r="D1417" s="5" t="s">
        <v>132</v>
      </c>
      <c r="E1417" s="5" t="s">
        <v>1084</v>
      </c>
      <c r="F1417" s="5" t="s">
        <v>1007</v>
      </c>
      <c r="G1417" s="6" t="str">
        <f aca="false">INDEX(Catalogo_Causas!$B$2:$B$10,MATCH(F1417,Catalogo_Causas!$A$2:$A$10,0))</f>
        <v>Cambio de formato excedido</v>
      </c>
      <c r="H1417" s="6" t="str">
        <f aca="false">INDEX(Catalogo_Causas!$C$2:$C$10,MATCH(F1417,Catalogo_Causas!$A$2:$A$10,0))</f>
        <v>Operacional</v>
      </c>
      <c r="I1417" s="5" t="n">
        <v>94</v>
      </c>
      <c r="J1417" s="29" t="n">
        <f aca="false">I1417/60</f>
        <v>1.56666666666667</v>
      </c>
    </row>
    <row r="1418" customFormat="false" ht="15" hidden="false" customHeight="false" outlineLevel="0" collapsed="false">
      <c r="A1418" s="5" t="s">
        <v>2460</v>
      </c>
      <c r="B1418" s="9" t="n">
        <v>46020</v>
      </c>
      <c r="C1418" s="9" t="n">
        <v>46020</v>
      </c>
      <c r="D1418" s="5" t="s">
        <v>134</v>
      </c>
      <c r="E1418" s="5" t="s">
        <v>1030</v>
      </c>
      <c r="F1418" s="5" t="s">
        <v>1014</v>
      </c>
      <c r="G1418" s="6" t="str">
        <f aca="false">INDEX(Catalogo_Causas!$B$2:$B$10,MATCH(F1418,Catalogo_Causas!$A$2:$A$10,0))</f>
        <v>Retención de calidad</v>
      </c>
      <c r="H1418" s="6" t="str">
        <f aca="false">INDEX(Catalogo_Causas!$C$2:$C$10,MATCH(F1418,Catalogo_Causas!$A$2:$A$10,0))</f>
        <v>Calidad</v>
      </c>
      <c r="I1418" s="5" t="n">
        <v>36</v>
      </c>
      <c r="J1418" s="29" t="n">
        <f aca="false">I1418/60</f>
        <v>0.6</v>
      </c>
    </row>
    <row r="1419" customFormat="false" ht="15" hidden="false" customHeight="false" outlineLevel="0" collapsed="false">
      <c r="A1419" s="5" t="s">
        <v>2461</v>
      </c>
      <c r="B1419" s="9" t="n">
        <v>46020</v>
      </c>
      <c r="C1419" s="9" t="n">
        <v>46021</v>
      </c>
      <c r="D1419" s="5" t="s">
        <v>134</v>
      </c>
      <c r="E1419" s="5" t="s">
        <v>1030</v>
      </c>
      <c r="F1419" s="5" t="s">
        <v>1002</v>
      </c>
      <c r="G1419" s="6" t="str">
        <f aca="false">INDEX(Catalogo_Causas!$B$2:$B$10,MATCH(F1419,Catalogo_Causas!$A$2:$A$10,0))</f>
        <v>Falla mecánica</v>
      </c>
      <c r="H1419" s="6" t="str">
        <f aca="false">INDEX(Catalogo_Causas!$C$2:$C$10,MATCH(F1419,Catalogo_Causas!$A$2:$A$10,0))</f>
        <v>Operacional</v>
      </c>
      <c r="I1419" s="5" t="n">
        <v>40</v>
      </c>
      <c r="J1419" s="29" t="n">
        <f aca="false">I1419/60</f>
        <v>0.666666666666667</v>
      </c>
    </row>
    <row r="1420" customFormat="false" ht="15" hidden="false" customHeight="false" outlineLevel="0" collapsed="false">
      <c r="A1420" s="5" t="s">
        <v>2462</v>
      </c>
      <c r="B1420" s="9" t="n">
        <v>46020</v>
      </c>
      <c r="C1420" s="9" t="n">
        <v>46021</v>
      </c>
      <c r="D1420" s="5" t="s">
        <v>138</v>
      </c>
      <c r="E1420" s="5" t="s">
        <v>1039</v>
      </c>
      <c r="F1420" s="5" t="s">
        <v>1002</v>
      </c>
      <c r="G1420" s="6" t="str">
        <f aca="false">INDEX(Catalogo_Causas!$B$2:$B$10,MATCH(F1420,Catalogo_Causas!$A$2:$A$10,0))</f>
        <v>Falla mecánica</v>
      </c>
      <c r="H1420" s="6" t="str">
        <f aca="false">INDEX(Catalogo_Causas!$C$2:$C$10,MATCH(F1420,Catalogo_Causas!$A$2:$A$10,0))</f>
        <v>Operacional</v>
      </c>
      <c r="I1420" s="5" t="n">
        <v>36</v>
      </c>
      <c r="J1420" s="29" t="n">
        <f aca="false">I1420/60</f>
        <v>0.6</v>
      </c>
    </row>
    <row r="1421" customFormat="false" ht="15" hidden="false" customHeight="false" outlineLevel="0" collapsed="false">
      <c r="A1421" s="5" t="s">
        <v>2463</v>
      </c>
      <c r="B1421" s="9" t="n">
        <v>46020</v>
      </c>
      <c r="C1421" s="9" t="n">
        <v>46021</v>
      </c>
      <c r="D1421" s="5" t="s">
        <v>144</v>
      </c>
      <c r="E1421" s="5" t="s">
        <v>1043</v>
      </c>
      <c r="F1421" s="5" t="s">
        <v>1005</v>
      </c>
      <c r="G1421" s="6" t="str">
        <f aca="false">INDEX(Catalogo_Causas!$B$2:$B$10,MATCH(F1421,Catalogo_Causas!$A$2:$A$10,0))</f>
        <v>Falla eléctrica / control</v>
      </c>
      <c r="H1421" s="6" t="str">
        <f aca="false">INDEX(Catalogo_Causas!$C$2:$C$10,MATCH(F1421,Catalogo_Causas!$A$2:$A$10,0))</f>
        <v>Operacional</v>
      </c>
      <c r="I1421" s="5" t="n">
        <v>54</v>
      </c>
      <c r="J1421" s="29" t="n">
        <f aca="false">I1421/60</f>
        <v>0.9</v>
      </c>
    </row>
    <row r="1422" customFormat="false" ht="15" hidden="false" customHeight="false" outlineLevel="0" collapsed="false">
      <c r="A1422" s="5" t="s">
        <v>2464</v>
      </c>
      <c r="B1422" s="9" t="n">
        <v>46020</v>
      </c>
      <c r="C1422" s="9" t="n">
        <v>46021</v>
      </c>
      <c r="D1422" s="5" t="s">
        <v>144</v>
      </c>
      <c r="E1422" s="5" t="s">
        <v>1030</v>
      </c>
      <c r="F1422" s="5" t="s">
        <v>1007</v>
      </c>
      <c r="G1422" s="6" t="str">
        <f aca="false">INDEX(Catalogo_Causas!$B$2:$B$10,MATCH(F1422,Catalogo_Causas!$A$2:$A$10,0))</f>
        <v>Cambio de formato excedido</v>
      </c>
      <c r="H1422" s="6" t="str">
        <f aca="false">INDEX(Catalogo_Causas!$C$2:$C$10,MATCH(F1422,Catalogo_Causas!$A$2:$A$10,0))</f>
        <v>Operacional</v>
      </c>
      <c r="I1422" s="5" t="n">
        <v>107</v>
      </c>
      <c r="J1422" s="29" t="n">
        <f aca="false">I1422/60</f>
        <v>1.78333333333333</v>
      </c>
    </row>
    <row r="1423" customFormat="false" ht="15" hidden="false" customHeight="false" outlineLevel="0" collapsed="false">
      <c r="A1423" s="5" t="s">
        <v>2465</v>
      </c>
      <c r="B1423" s="9" t="n">
        <v>46020</v>
      </c>
      <c r="C1423" s="9" t="n">
        <v>46021</v>
      </c>
      <c r="D1423" s="5" t="s">
        <v>144</v>
      </c>
      <c r="E1423" s="5" t="s">
        <v>1030</v>
      </c>
      <c r="F1423" s="5" t="s">
        <v>1005</v>
      </c>
      <c r="G1423" s="6" t="str">
        <f aca="false">INDEX(Catalogo_Causas!$B$2:$B$10,MATCH(F1423,Catalogo_Causas!$A$2:$A$10,0))</f>
        <v>Falla eléctrica / control</v>
      </c>
      <c r="H1423" s="6" t="str">
        <f aca="false">INDEX(Catalogo_Causas!$C$2:$C$10,MATCH(F1423,Catalogo_Causas!$A$2:$A$10,0))</f>
        <v>Operacional</v>
      </c>
      <c r="I1423" s="5" t="n">
        <v>72</v>
      </c>
      <c r="J1423" s="29" t="n">
        <f aca="false">I1423/60</f>
        <v>1.2</v>
      </c>
    </row>
    <row r="1424" customFormat="false" ht="15" hidden="false" customHeight="false" outlineLevel="0" collapsed="false">
      <c r="A1424" s="5" t="s">
        <v>2466</v>
      </c>
      <c r="B1424" s="9" t="n">
        <v>46020</v>
      </c>
      <c r="C1424" s="9" t="n">
        <v>46022</v>
      </c>
      <c r="D1424" s="5" t="s">
        <v>136</v>
      </c>
      <c r="E1424" s="5" t="s">
        <v>1101</v>
      </c>
      <c r="F1424" s="5" t="s">
        <v>1018</v>
      </c>
      <c r="G1424" s="6" t="str">
        <f aca="false">INDEX(Catalogo_Causas!$B$2:$B$10,MATCH(F1424,Catalogo_Causas!$A$2:$A$10,0))</f>
        <v>Falta de personal</v>
      </c>
      <c r="H1424" s="6" t="str">
        <f aca="false">INDEX(Catalogo_Causas!$C$2:$C$10,MATCH(F1424,Catalogo_Causas!$A$2:$A$10,0))</f>
        <v>Personal</v>
      </c>
      <c r="I1424" s="5" t="n">
        <v>46</v>
      </c>
      <c r="J1424" s="29" t="n">
        <f aca="false">I1424/60</f>
        <v>0.766666666666667</v>
      </c>
    </row>
    <row r="1425" customFormat="false" ht="15" hidden="false" customHeight="false" outlineLevel="0" collapsed="false">
      <c r="A1425" s="5" t="s">
        <v>2467</v>
      </c>
      <c r="B1425" s="9" t="n">
        <v>46020</v>
      </c>
      <c r="C1425" s="9" t="n">
        <v>46022</v>
      </c>
      <c r="D1425" s="5" t="s">
        <v>142</v>
      </c>
      <c r="E1425" s="5" t="s">
        <v>1051</v>
      </c>
      <c r="F1425" s="5" t="s">
        <v>1007</v>
      </c>
      <c r="G1425" s="6" t="str">
        <f aca="false">INDEX(Catalogo_Causas!$B$2:$B$10,MATCH(F1425,Catalogo_Causas!$A$2:$A$10,0))</f>
        <v>Cambio de formato excedido</v>
      </c>
      <c r="H1425" s="6" t="str">
        <f aca="false">INDEX(Catalogo_Causas!$C$2:$C$10,MATCH(F1425,Catalogo_Causas!$A$2:$A$10,0))</f>
        <v>Operacional</v>
      </c>
      <c r="I1425" s="5" t="n">
        <v>105</v>
      </c>
      <c r="J1425" s="29" t="n">
        <f aca="false">I1425/60</f>
        <v>1.75</v>
      </c>
    </row>
    <row r="1426" customFormat="false" ht="15" hidden="false" customHeight="false" outlineLevel="0" collapsed="false">
      <c r="A1426" s="5" t="s">
        <v>2468</v>
      </c>
      <c r="B1426" s="9" t="n">
        <v>46020</v>
      </c>
      <c r="C1426" s="9" t="n">
        <v>46022</v>
      </c>
      <c r="D1426" s="5" t="s">
        <v>144</v>
      </c>
      <c r="E1426" s="5" t="s">
        <v>1030</v>
      </c>
      <c r="F1426" s="5" t="s">
        <v>1002</v>
      </c>
      <c r="G1426" s="6" t="str">
        <f aca="false">INDEX(Catalogo_Causas!$B$2:$B$10,MATCH(F1426,Catalogo_Causas!$A$2:$A$10,0))</f>
        <v>Falla mecánica</v>
      </c>
      <c r="H1426" s="6" t="str">
        <f aca="false">INDEX(Catalogo_Causas!$C$2:$C$10,MATCH(F1426,Catalogo_Causas!$A$2:$A$10,0))</f>
        <v>Operacional</v>
      </c>
      <c r="I1426" s="5" t="n">
        <v>159</v>
      </c>
      <c r="J1426" s="29" t="n">
        <f aca="false">I1426/60</f>
        <v>2.65</v>
      </c>
    </row>
    <row r="1427" customFormat="false" ht="15" hidden="false" customHeight="false" outlineLevel="0" collapsed="false">
      <c r="A1427" s="5" t="s">
        <v>2469</v>
      </c>
      <c r="B1427" s="9" t="n">
        <v>46020</v>
      </c>
      <c r="C1427" s="9" t="n">
        <v>46023</v>
      </c>
      <c r="D1427" s="5" t="s">
        <v>130</v>
      </c>
      <c r="E1427" s="5" t="s">
        <v>1030</v>
      </c>
      <c r="F1427" s="5" t="s">
        <v>1018</v>
      </c>
      <c r="G1427" s="6" t="str">
        <f aca="false">INDEX(Catalogo_Causas!$B$2:$B$10,MATCH(F1427,Catalogo_Causas!$A$2:$A$10,0))</f>
        <v>Falta de personal</v>
      </c>
      <c r="H1427" s="6" t="str">
        <f aca="false">INDEX(Catalogo_Causas!$C$2:$C$10,MATCH(F1427,Catalogo_Causas!$A$2:$A$10,0))</f>
        <v>Personal</v>
      </c>
      <c r="I1427" s="5" t="n">
        <v>134</v>
      </c>
      <c r="J1427" s="29" t="n">
        <f aca="false">I1427/60</f>
        <v>2.23333333333333</v>
      </c>
    </row>
    <row r="1428" customFormat="false" ht="15" hidden="false" customHeight="false" outlineLevel="0" collapsed="false">
      <c r="A1428" s="5" t="s">
        <v>2470</v>
      </c>
      <c r="B1428" s="9" t="n">
        <v>46020</v>
      </c>
      <c r="C1428" s="9" t="n">
        <v>46023</v>
      </c>
      <c r="D1428" s="5" t="s">
        <v>130</v>
      </c>
      <c r="E1428" s="5" t="s">
        <v>1030</v>
      </c>
      <c r="F1428" s="5" t="s">
        <v>1002</v>
      </c>
      <c r="G1428" s="6" t="str">
        <f aca="false">INDEX(Catalogo_Causas!$B$2:$B$10,MATCH(F1428,Catalogo_Causas!$A$2:$A$10,0))</f>
        <v>Falla mecánica</v>
      </c>
      <c r="H1428" s="6" t="str">
        <f aca="false">INDEX(Catalogo_Causas!$C$2:$C$10,MATCH(F1428,Catalogo_Causas!$A$2:$A$10,0))</f>
        <v>Operacional</v>
      </c>
      <c r="I1428" s="5" t="n">
        <v>157</v>
      </c>
      <c r="J1428" s="29" t="n">
        <f aca="false">I1428/60</f>
        <v>2.61666666666667</v>
      </c>
    </row>
    <row r="1429" customFormat="false" ht="15" hidden="false" customHeight="false" outlineLevel="0" collapsed="false">
      <c r="A1429" s="5" t="s">
        <v>2471</v>
      </c>
      <c r="B1429" s="9" t="n">
        <v>46020</v>
      </c>
      <c r="C1429" s="9" t="n">
        <v>46023</v>
      </c>
      <c r="D1429" s="5" t="s">
        <v>130</v>
      </c>
      <c r="E1429" s="5" t="s">
        <v>1078</v>
      </c>
      <c r="F1429" s="5" t="s">
        <v>1005</v>
      </c>
      <c r="G1429" s="6" t="str">
        <f aca="false">INDEX(Catalogo_Causas!$B$2:$B$10,MATCH(F1429,Catalogo_Causas!$A$2:$A$10,0))</f>
        <v>Falla eléctrica / control</v>
      </c>
      <c r="H1429" s="6" t="str">
        <f aca="false">INDEX(Catalogo_Causas!$C$2:$C$10,MATCH(F1429,Catalogo_Causas!$A$2:$A$10,0))</f>
        <v>Operacional</v>
      </c>
      <c r="I1429" s="5" t="n">
        <v>28</v>
      </c>
      <c r="J1429" s="29" t="n">
        <f aca="false">I1429/60</f>
        <v>0.466666666666667</v>
      </c>
    </row>
    <row r="1430" customFormat="false" ht="15" hidden="false" customHeight="false" outlineLevel="0" collapsed="false">
      <c r="A1430" s="5" t="s">
        <v>2472</v>
      </c>
      <c r="B1430" s="9" t="n">
        <v>46020</v>
      </c>
      <c r="C1430" s="9" t="n">
        <v>46023</v>
      </c>
      <c r="D1430" s="5" t="s">
        <v>136</v>
      </c>
      <c r="E1430" s="5" t="s">
        <v>1101</v>
      </c>
      <c r="F1430" s="5" t="s">
        <v>1007</v>
      </c>
      <c r="G1430" s="6" t="str">
        <f aca="false">INDEX(Catalogo_Causas!$B$2:$B$10,MATCH(F1430,Catalogo_Causas!$A$2:$A$10,0))</f>
        <v>Cambio de formato excedido</v>
      </c>
      <c r="H1430" s="6" t="str">
        <f aca="false">INDEX(Catalogo_Causas!$C$2:$C$10,MATCH(F1430,Catalogo_Causas!$A$2:$A$10,0))</f>
        <v>Operacional</v>
      </c>
      <c r="I1430" s="5" t="n">
        <v>24</v>
      </c>
      <c r="J1430" s="29" t="n">
        <f aca="false">I1430/60</f>
        <v>0.4</v>
      </c>
    </row>
    <row r="1431" customFormat="false" ht="15" hidden="false" customHeight="false" outlineLevel="0" collapsed="false">
      <c r="A1431" s="5" t="s">
        <v>2473</v>
      </c>
      <c r="B1431" s="9" t="n">
        <v>46020</v>
      </c>
      <c r="C1431" s="9" t="n">
        <v>46023</v>
      </c>
      <c r="D1431" s="5" t="s">
        <v>138</v>
      </c>
      <c r="E1431" s="5" t="s">
        <v>1039</v>
      </c>
      <c r="F1431" s="5" t="s">
        <v>1005</v>
      </c>
      <c r="G1431" s="6" t="str">
        <f aca="false">INDEX(Catalogo_Causas!$B$2:$B$10,MATCH(F1431,Catalogo_Causas!$A$2:$A$10,0))</f>
        <v>Falla eléctrica / control</v>
      </c>
      <c r="H1431" s="6" t="str">
        <f aca="false">INDEX(Catalogo_Causas!$C$2:$C$10,MATCH(F1431,Catalogo_Causas!$A$2:$A$10,0))</f>
        <v>Operacional</v>
      </c>
      <c r="I1431" s="5" t="n">
        <v>110</v>
      </c>
      <c r="J1431" s="29" t="n">
        <f aca="false">I1431/60</f>
        <v>1.83333333333333</v>
      </c>
    </row>
    <row r="1432" customFormat="false" ht="15" hidden="false" customHeight="false" outlineLevel="0" collapsed="false">
      <c r="A1432" s="5" t="s">
        <v>2474</v>
      </c>
      <c r="B1432" s="9" t="n">
        <v>46020</v>
      </c>
      <c r="C1432" s="9" t="n">
        <v>46023</v>
      </c>
      <c r="D1432" s="5" t="s">
        <v>142</v>
      </c>
      <c r="E1432" s="5" t="s">
        <v>1030</v>
      </c>
      <c r="F1432" s="5" t="s">
        <v>1014</v>
      </c>
      <c r="G1432" s="6" t="str">
        <f aca="false">INDEX(Catalogo_Causas!$B$2:$B$10,MATCH(F1432,Catalogo_Causas!$A$2:$A$10,0))</f>
        <v>Retención de calidad</v>
      </c>
      <c r="H1432" s="6" t="str">
        <f aca="false">INDEX(Catalogo_Causas!$C$2:$C$10,MATCH(F1432,Catalogo_Causas!$A$2:$A$10,0))</f>
        <v>Calidad</v>
      </c>
      <c r="I1432" s="5" t="n">
        <v>34</v>
      </c>
      <c r="J1432" s="29" t="n">
        <f aca="false">I1432/60</f>
        <v>0.566666666666667</v>
      </c>
    </row>
    <row r="1433" customFormat="false" ht="15" hidden="false" customHeight="false" outlineLevel="0" collapsed="false">
      <c r="A1433" s="5" t="s">
        <v>2475</v>
      </c>
      <c r="B1433" s="9" t="n">
        <v>46020</v>
      </c>
      <c r="C1433" s="9" t="n">
        <v>46024</v>
      </c>
      <c r="D1433" s="5" t="s">
        <v>130</v>
      </c>
      <c r="E1433" s="5" t="s">
        <v>1045</v>
      </c>
      <c r="F1433" s="5" t="s">
        <v>1021</v>
      </c>
      <c r="G1433" s="6" t="str">
        <f aca="false">INDEX(Catalogo_Causas!$B$2:$B$10,MATCH(F1433,Catalogo_Causas!$A$2:$A$10,0))</f>
        <v>Falla de servicios (vapor/amoniaco/aire)</v>
      </c>
      <c r="H1433" s="6" t="str">
        <f aca="false">INDEX(Catalogo_Causas!$C$2:$C$10,MATCH(F1433,Catalogo_Causas!$A$2:$A$10,0))</f>
        <v>Servicios</v>
      </c>
      <c r="I1433" s="5" t="n">
        <v>105</v>
      </c>
      <c r="J1433" s="29" t="n">
        <f aca="false">I1433/60</f>
        <v>1.75</v>
      </c>
    </row>
    <row r="1434" customFormat="false" ht="15" hidden="false" customHeight="false" outlineLevel="0" collapsed="false">
      <c r="A1434" s="5" t="s">
        <v>2476</v>
      </c>
      <c r="B1434" s="9" t="n">
        <v>46020</v>
      </c>
      <c r="C1434" s="9" t="n">
        <v>46024</v>
      </c>
      <c r="D1434" s="5" t="s">
        <v>130</v>
      </c>
      <c r="E1434" s="5" t="s">
        <v>1030</v>
      </c>
      <c r="F1434" s="5" t="s">
        <v>1018</v>
      </c>
      <c r="G1434" s="6" t="str">
        <f aca="false">INDEX(Catalogo_Causas!$B$2:$B$10,MATCH(F1434,Catalogo_Causas!$A$2:$A$10,0))</f>
        <v>Falta de personal</v>
      </c>
      <c r="H1434" s="6" t="str">
        <f aca="false">INDEX(Catalogo_Causas!$C$2:$C$10,MATCH(F1434,Catalogo_Causas!$A$2:$A$10,0))</f>
        <v>Personal</v>
      </c>
      <c r="I1434" s="5" t="n">
        <v>51</v>
      </c>
      <c r="J1434" s="29" t="n">
        <f aca="false">I1434/60</f>
        <v>0.85</v>
      </c>
    </row>
    <row r="1435" customFormat="false" ht="15" hidden="false" customHeight="false" outlineLevel="0" collapsed="false">
      <c r="A1435" s="5" t="s">
        <v>2477</v>
      </c>
      <c r="B1435" s="9" t="n">
        <v>46020</v>
      </c>
      <c r="C1435" s="9" t="n">
        <v>46024</v>
      </c>
      <c r="D1435" s="5" t="s">
        <v>138</v>
      </c>
      <c r="E1435" s="5" t="s">
        <v>1039</v>
      </c>
      <c r="F1435" s="5" t="s">
        <v>1005</v>
      </c>
      <c r="G1435" s="6" t="str">
        <f aca="false">INDEX(Catalogo_Causas!$B$2:$B$10,MATCH(F1435,Catalogo_Causas!$A$2:$A$10,0))</f>
        <v>Falla eléctrica / control</v>
      </c>
      <c r="H1435" s="6" t="str">
        <f aca="false">INDEX(Catalogo_Causas!$C$2:$C$10,MATCH(F1435,Catalogo_Causas!$A$2:$A$10,0))</f>
        <v>Operacional</v>
      </c>
      <c r="I1435" s="5" t="n">
        <v>29</v>
      </c>
      <c r="J1435" s="29" t="n">
        <f aca="false">I1435/60</f>
        <v>0.483333333333333</v>
      </c>
    </row>
    <row r="1436" customFormat="false" ht="15" hidden="false" customHeight="false" outlineLevel="0" collapsed="false">
      <c r="A1436" s="5" t="s">
        <v>2478</v>
      </c>
      <c r="B1436" s="9" t="n">
        <v>46020</v>
      </c>
      <c r="C1436" s="9" t="n">
        <v>46024</v>
      </c>
      <c r="D1436" s="5" t="s">
        <v>138</v>
      </c>
      <c r="E1436" s="5" t="s">
        <v>1056</v>
      </c>
      <c r="F1436" s="5" t="s">
        <v>1021</v>
      </c>
      <c r="G1436" s="6" t="str">
        <f aca="false">INDEX(Catalogo_Causas!$B$2:$B$10,MATCH(F1436,Catalogo_Causas!$A$2:$A$10,0))</f>
        <v>Falla de servicios (vapor/amoniaco/aire)</v>
      </c>
      <c r="H1436" s="6" t="str">
        <f aca="false">INDEX(Catalogo_Causas!$C$2:$C$10,MATCH(F1436,Catalogo_Causas!$A$2:$A$10,0))</f>
        <v>Servicios</v>
      </c>
      <c r="I1436" s="5" t="n">
        <v>42</v>
      </c>
      <c r="J1436" s="29" t="n">
        <f aca="false">I1436/60</f>
        <v>0.7</v>
      </c>
    </row>
    <row r="1437" customFormat="false" ht="15" hidden="false" customHeight="false" outlineLevel="0" collapsed="false">
      <c r="A1437" s="5" t="s">
        <v>2479</v>
      </c>
      <c r="B1437" s="9" t="n">
        <v>46020</v>
      </c>
      <c r="C1437" s="9" t="n">
        <v>46025</v>
      </c>
      <c r="D1437" s="5" t="s">
        <v>134</v>
      </c>
      <c r="E1437" s="5" t="s">
        <v>1054</v>
      </c>
      <c r="F1437" s="5" t="s">
        <v>1007</v>
      </c>
      <c r="G1437" s="6" t="str">
        <f aca="false">INDEX(Catalogo_Causas!$B$2:$B$10,MATCH(F1437,Catalogo_Causas!$A$2:$A$10,0))</f>
        <v>Cambio de formato excedido</v>
      </c>
      <c r="H1437" s="6" t="str">
        <f aca="false">INDEX(Catalogo_Causas!$C$2:$C$10,MATCH(F1437,Catalogo_Causas!$A$2:$A$10,0))</f>
        <v>Operacional</v>
      </c>
      <c r="I1437" s="5" t="n">
        <v>37</v>
      </c>
      <c r="J1437" s="29" t="n">
        <f aca="false">I1437/60</f>
        <v>0.616666666666667</v>
      </c>
    </row>
    <row r="1438" customFormat="false" ht="15" hidden="false" customHeight="false" outlineLevel="0" collapsed="false">
      <c r="A1438" s="5" t="s">
        <v>2480</v>
      </c>
      <c r="B1438" s="9" t="n">
        <v>46020</v>
      </c>
      <c r="C1438" s="9" t="n">
        <v>46025</v>
      </c>
      <c r="D1438" s="5" t="s">
        <v>136</v>
      </c>
      <c r="E1438" s="5" t="s">
        <v>1101</v>
      </c>
      <c r="F1438" s="5" t="s">
        <v>1007</v>
      </c>
      <c r="G1438" s="6" t="str">
        <f aca="false">INDEX(Catalogo_Causas!$B$2:$B$10,MATCH(F1438,Catalogo_Causas!$A$2:$A$10,0))</f>
        <v>Cambio de formato excedido</v>
      </c>
      <c r="H1438" s="6" t="str">
        <f aca="false">INDEX(Catalogo_Causas!$C$2:$C$10,MATCH(F1438,Catalogo_Causas!$A$2:$A$10,0))</f>
        <v>Operacional</v>
      </c>
      <c r="I1438" s="5" t="n">
        <v>155</v>
      </c>
      <c r="J1438" s="29" t="n">
        <f aca="false">I1438/60</f>
        <v>2.58333333333333</v>
      </c>
    </row>
    <row r="1439" customFormat="false" ht="15" hidden="false" customHeight="false" outlineLevel="0" collapsed="false">
      <c r="A1439" s="5" t="s">
        <v>2481</v>
      </c>
      <c r="B1439" s="9" t="n">
        <v>46027</v>
      </c>
      <c r="C1439" s="9" t="n">
        <v>46027</v>
      </c>
      <c r="D1439" s="5" t="s">
        <v>134</v>
      </c>
      <c r="E1439" s="5" t="s">
        <v>1054</v>
      </c>
      <c r="F1439" s="5" t="s">
        <v>1002</v>
      </c>
      <c r="G1439" s="6" t="str">
        <f aca="false">INDEX(Catalogo_Causas!$B$2:$B$10,MATCH(F1439,Catalogo_Causas!$A$2:$A$10,0))</f>
        <v>Falla mecánica</v>
      </c>
      <c r="H1439" s="6" t="str">
        <f aca="false">INDEX(Catalogo_Causas!$C$2:$C$10,MATCH(F1439,Catalogo_Causas!$A$2:$A$10,0))</f>
        <v>Operacional</v>
      </c>
      <c r="I1439" s="5" t="n">
        <v>101</v>
      </c>
      <c r="J1439" s="29" t="n">
        <f aca="false">I1439/60</f>
        <v>1.68333333333333</v>
      </c>
    </row>
    <row r="1440" customFormat="false" ht="15" hidden="false" customHeight="false" outlineLevel="0" collapsed="false">
      <c r="A1440" s="5" t="s">
        <v>2482</v>
      </c>
      <c r="B1440" s="9" t="n">
        <v>46027</v>
      </c>
      <c r="C1440" s="9" t="n">
        <v>46027</v>
      </c>
      <c r="D1440" s="5" t="s">
        <v>136</v>
      </c>
      <c r="E1440" s="5" t="s">
        <v>1032</v>
      </c>
      <c r="F1440" s="5" t="s">
        <v>1002</v>
      </c>
      <c r="G1440" s="6" t="str">
        <f aca="false">INDEX(Catalogo_Causas!$B$2:$B$10,MATCH(F1440,Catalogo_Causas!$A$2:$A$10,0))</f>
        <v>Falla mecánica</v>
      </c>
      <c r="H1440" s="6" t="str">
        <f aca="false">INDEX(Catalogo_Causas!$C$2:$C$10,MATCH(F1440,Catalogo_Causas!$A$2:$A$10,0))</f>
        <v>Operacional</v>
      </c>
      <c r="I1440" s="5" t="n">
        <v>34</v>
      </c>
      <c r="J1440" s="29" t="n">
        <f aca="false">I1440/60</f>
        <v>0.566666666666667</v>
      </c>
    </row>
    <row r="1441" customFormat="false" ht="15" hidden="false" customHeight="false" outlineLevel="0" collapsed="false">
      <c r="A1441" s="5" t="s">
        <v>2483</v>
      </c>
      <c r="B1441" s="9" t="n">
        <v>46027</v>
      </c>
      <c r="C1441" s="9" t="n">
        <v>46027</v>
      </c>
      <c r="D1441" s="5" t="s">
        <v>144</v>
      </c>
      <c r="E1441" s="5" t="s">
        <v>1032</v>
      </c>
      <c r="F1441" s="5" t="s">
        <v>1002</v>
      </c>
      <c r="G1441" s="6" t="str">
        <f aca="false">INDEX(Catalogo_Causas!$B$2:$B$10,MATCH(F1441,Catalogo_Causas!$A$2:$A$10,0))</f>
        <v>Falla mecánica</v>
      </c>
      <c r="H1441" s="6" t="str">
        <f aca="false">INDEX(Catalogo_Causas!$C$2:$C$10,MATCH(F1441,Catalogo_Causas!$A$2:$A$10,0))</f>
        <v>Operacional</v>
      </c>
      <c r="I1441" s="5" t="n">
        <v>373</v>
      </c>
      <c r="J1441" s="29" t="n">
        <f aca="false">I1441/60</f>
        <v>6.21666666666667</v>
      </c>
    </row>
    <row r="1442" customFormat="false" ht="15" hidden="false" customHeight="false" outlineLevel="0" collapsed="false">
      <c r="A1442" s="5" t="s">
        <v>2484</v>
      </c>
      <c r="B1442" s="9" t="n">
        <v>46027</v>
      </c>
      <c r="C1442" s="9" t="n">
        <v>46027</v>
      </c>
      <c r="D1442" s="5" t="s">
        <v>144</v>
      </c>
      <c r="E1442" s="5" t="s">
        <v>1043</v>
      </c>
      <c r="F1442" s="5" t="s">
        <v>1021</v>
      </c>
      <c r="G1442" s="6" t="str">
        <f aca="false">INDEX(Catalogo_Causas!$B$2:$B$10,MATCH(F1442,Catalogo_Causas!$A$2:$A$10,0))</f>
        <v>Falla de servicios (vapor/amoniaco/aire)</v>
      </c>
      <c r="H1442" s="6" t="str">
        <f aca="false">INDEX(Catalogo_Causas!$C$2:$C$10,MATCH(F1442,Catalogo_Causas!$A$2:$A$10,0))</f>
        <v>Servicios</v>
      </c>
      <c r="I1442" s="5" t="n">
        <v>103</v>
      </c>
      <c r="J1442" s="29" t="n">
        <f aca="false">I1442/60</f>
        <v>1.71666666666667</v>
      </c>
    </row>
    <row r="1443" customFormat="false" ht="15" hidden="false" customHeight="false" outlineLevel="0" collapsed="false">
      <c r="A1443" s="5" t="s">
        <v>2485</v>
      </c>
      <c r="B1443" s="9" t="n">
        <v>46027</v>
      </c>
      <c r="C1443" s="9" t="n">
        <v>46028</v>
      </c>
      <c r="D1443" s="5" t="s">
        <v>130</v>
      </c>
      <c r="E1443" s="5" t="s">
        <v>1030</v>
      </c>
      <c r="F1443" s="5" t="s">
        <v>1009</v>
      </c>
      <c r="G1443" s="6" t="str">
        <f aca="false">INDEX(Catalogo_Causas!$B$2:$B$10,MATCH(F1443,Catalogo_Causas!$A$2:$A$10,0))</f>
        <v>Falta de material de empaque</v>
      </c>
      <c r="H1443" s="6" t="str">
        <f aca="false">INDEX(Catalogo_Causas!$C$2:$C$10,MATCH(F1443,Catalogo_Causas!$A$2:$A$10,0))</f>
        <v>Material / suministro</v>
      </c>
      <c r="I1443" s="5" t="n">
        <v>53</v>
      </c>
      <c r="J1443" s="29" t="n">
        <f aca="false">I1443/60</f>
        <v>0.883333333333333</v>
      </c>
    </row>
    <row r="1444" customFormat="false" ht="15" hidden="false" customHeight="false" outlineLevel="0" collapsed="false">
      <c r="A1444" s="5" t="s">
        <v>2486</v>
      </c>
      <c r="B1444" s="9" t="n">
        <v>46027</v>
      </c>
      <c r="C1444" s="9" t="n">
        <v>46028</v>
      </c>
      <c r="D1444" s="5" t="s">
        <v>130</v>
      </c>
      <c r="E1444" s="5" t="s">
        <v>1078</v>
      </c>
      <c r="F1444" s="5" t="s">
        <v>1007</v>
      </c>
      <c r="G1444" s="6" t="str">
        <f aca="false">INDEX(Catalogo_Causas!$B$2:$B$10,MATCH(F1444,Catalogo_Causas!$A$2:$A$10,0))</f>
        <v>Cambio de formato excedido</v>
      </c>
      <c r="H1444" s="6" t="str">
        <f aca="false">INDEX(Catalogo_Causas!$C$2:$C$10,MATCH(F1444,Catalogo_Causas!$A$2:$A$10,0))</f>
        <v>Operacional</v>
      </c>
      <c r="I1444" s="5" t="n">
        <v>186</v>
      </c>
      <c r="J1444" s="29" t="n">
        <f aca="false">I1444/60</f>
        <v>3.1</v>
      </c>
    </row>
    <row r="1445" customFormat="false" ht="15" hidden="false" customHeight="false" outlineLevel="0" collapsed="false">
      <c r="A1445" s="5" t="s">
        <v>2487</v>
      </c>
      <c r="B1445" s="9" t="n">
        <v>46027</v>
      </c>
      <c r="C1445" s="9" t="n">
        <v>46028</v>
      </c>
      <c r="D1445" s="5" t="s">
        <v>132</v>
      </c>
      <c r="E1445" s="5" t="s">
        <v>1084</v>
      </c>
      <c r="F1445" s="5" t="s">
        <v>1021</v>
      </c>
      <c r="G1445" s="6" t="str">
        <f aca="false">INDEX(Catalogo_Causas!$B$2:$B$10,MATCH(F1445,Catalogo_Causas!$A$2:$A$10,0))</f>
        <v>Falla de servicios (vapor/amoniaco/aire)</v>
      </c>
      <c r="H1445" s="6" t="str">
        <f aca="false">INDEX(Catalogo_Causas!$C$2:$C$10,MATCH(F1445,Catalogo_Causas!$A$2:$A$10,0))</f>
        <v>Servicios</v>
      </c>
      <c r="I1445" s="5" t="n">
        <v>78</v>
      </c>
      <c r="J1445" s="29" t="n">
        <f aca="false">I1445/60</f>
        <v>1.3</v>
      </c>
    </row>
    <row r="1446" customFormat="false" ht="15" hidden="false" customHeight="false" outlineLevel="0" collapsed="false">
      <c r="A1446" s="5" t="s">
        <v>2488</v>
      </c>
      <c r="B1446" s="9" t="n">
        <v>46027</v>
      </c>
      <c r="C1446" s="9" t="n">
        <v>46028</v>
      </c>
      <c r="D1446" s="5" t="s">
        <v>138</v>
      </c>
      <c r="E1446" s="5" t="s">
        <v>1034</v>
      </c>
      <c r="F1446" s="5" t="s">
        <v>1018</v>
      </c>
      <c r="G1446" s="6" t="str">
        <f aca="false">INDEX(Catalogo_Causas!$B$2:$B$10,MATCH(F1446,Catalogo_Causas!$A$2:$A$10,0))</f>
        <v>Falta de personal</v>
      </c>
      <c r="H1446" s="6" t="str">
        <f aca="false">INDEX(Catalogo_Causas!$C$2:$C$10,MATCH(F1446,Catalogo_Causas!$A$2:$A$10,0))</f>
        <v>Personal</v>
      </c>
      <c r="I1446" s="5" t="n">
        <v>19</v>
      </c>
      <c r="J1446" s="29" t="n">
        <f aca="false">I1446/60</f>
        <v>0.316666666666667</v>
      </c>
    </row>
    <row r="1447" customFormat="false" ht="15" hidden="false" customHeight="false" outlineLevel="0" collapsed="false">
      <c r="A1447" s="5" t="s">
        <v>2489</v>
      </c>
      <c r="B1447" s="9" t="n">
        <v>46027</v>
      </c>
      <c r="C1447" s="9" t="n">
        <v>46028</v>
      </c>
      <c r="D1447" s="5" t="s">
        <v>142</v>
      </c>
      <c r="E1447" s="5" t="s">
        <v>1051</v>
      </c>
      <c r="F1447" s="5" t="s">
        <v>1012</v>
      </c>
      <c r="G1447" s="6" t="str">
        <f aca="false">INDEX(Catalogo_Causas!$B$2:$B$10,MATCH(F1447,Catalogo_Causas!$A$2:$A$10,0))</f>
        <v>Falta de materia prima</v>
      </c>
      <c r="H1447" s="6" t="str">
        <f aca="false">INDEX(Catalogo_Causas!$C$2:$C$10,MATCH(F1447,Catalogo_Causas!$A$2:$A$10,0))</f>
        <v>Material / suministro</v>
      </c>
      <c r="I1447" s="5" t="n">
        <v>52</v>
      </c>
      <c r="J1447" s="29" t="n">
        <f aca="false">I1447/60</f>
        <v>0.866666666666667</v>
      </c>
    </row>
    <row r="1448" customFormat="false" ht="15" hidden="false" customHeight="false" outlineLevel="0" collapsed="false">
      <c r="A1448" s="5" t="s">
        <v>2490</v>
      </c>
      <c r="B1448" s="9" t="n">
        <v>46027</v>
      </c>
      <c r="C1448" s="9" t="n">
        <v>46028</v>
      </c>
      <c r="D1448" s="5" t="s">
        <v>142</v>
      </c>
      <c r="E1448" s="5" t="s">
        <v>1051</v>
      </c>
      <c r="F1448" s="5" t="s">
        <v>1009</v>
      </c>
      <c r="G1448" s="6" t="str">
        <f aca="false">INDEX(Catalogo_Causas!$B$2:$B$10,MATCH(F1448,Catalogo_Causas!$A$2:$A$10,0))</f>
        <v>Falta de material de empaque</v>
      </c>
      <c r="H1448" s="6" t="str">
        <f aca="false">INDEX(Catalogo_Causas!$C$2:$C$10,MATCH(F1448,Catalogo_Causas!$A$2:$A$10,0))</f>
        <v>Material / suministro</v>
      </c>
      <c r="I1448" s="5" t="n">
        <v>116</v>
      </c>
      <c r="J1448" s="29" t="n">
        <f aca="false">I1448/60</f>
        <v>1.93333333333333</v>
      </c>
    </row>
    <row r="1449" customFormat="false" ht="15" hidden="false" customHeight="false" outlineLevel="0" collapsed="false">
      <c r="A1449" s="5" t="s">
        <v>2491</v>
      </c>
      <c r="B1449" s="9" t="n">
        <v>46027</v>
      </c>
      <c r="C1449" s="9" t="n">
        <v>46028</v>
      </c>
      <c r="D1449" s="5" t="s">
        <v>144</v>
      </c>
      <c r="E1449" s="5" t="s">
        <v>1043</v>
      </c>
      <c r="F1449" s="5" t="s">
        <v>1007</v>
      </c>
      <c r="G1449" s="6" t="str">
        <f aca="false">INDEX(Catalogo_Causas!$B$2:$B$10,MATCH(F1449,Catalogo_Causas!$A$2:$A$10,0))</f>
        <v>Cambio de formato excedido</v>
      </c>
      <c r="H1449" s="6" t="str">
        <f aca="false">INDEX(Catalogo_Causas!$C$2:$C$10,MATCH(F1449,Catalogo_Causas!$A$2:$A$10,0))</f>
        <v>Operacional</v>
      </c>
      <c r="I1449" s="5" t="n">
        <v>62</v>
      </c>
      <c r="J1449" s="29" t="n">
        <f aca="false">I1449/60</f>
        <v>1.03333333333333</v>
      </c>
    </row>
    <row r="1450" customFormat="false" ht="15" hidden="false" customHeight="false" outlineLevel="0" collapsed="false">
      <c r="A1450" s="5" t="s">
        <v>2492</v>
      </c>
      <c r="B1450" s="9" t="n">
        <v>46027</v>
      </c>
      <c r="C1450" s="9" t="n">
        <v>46029</v>
      </c>
      <c r="D1450" s="5" t="s">
        <v>130</v>
      </c>
      <c r="E1450" s="5" t="s">
        <v>1030</v>
      </c>
      <c r="F1450" s="5" t="s">
        <v>1009</v>
      </c>
      <c r="G1450" s="6" t="str">
        <f aca="false">INDEX(Catalogo_Causas!$B$2:$B$10,MATCH(F1450,Catalogo_Causas!$A$2:$A$10,0))</f>
        <v>Falta de material de empaque</v>
      </c>
      <c r="H1450" s="6" t="str">
        <f aca="false">INDEX(Catalogo_Causas!$C$2:$C$10,MATCH(F1450,Catalogo_Causas!$A$2:$A$10,0))</f>
        <v>Material / suministro</v>
      </c>
      <c r="I1450" s="5" t="n">
        <v>124</v>
      </c>
      <c r="J1450" s="29" t="n">
        <f aca="false">I1450/60</f>
        <v>2.06666666666667</v>
      </c>
    </row>
    <row r="1451" customFormat="false" ht="15" hidden="false" customHeight="false" outlineLevel="0" collapsed="false">
      <c r="A1451" s="5" t="s">
        <v>2493</v>
      </c>
      <c r="B1451" s="9" t="n">
        <v>46027</v>
      </c>
      <c r="C1451" s="9" t="n">
        <v>46029</v>
      </c>
      <c r="D1451" s="5" t="s">
        <v>132</v>
      </c>
      <c r="E1451" s="5" t="s">
        <v>1032</v>
      </c>
      <c r="F1451" s="5" t="s">
        <v>1002</v>
      </c>
      <c r="G1451" s="6" t="str">
        <f aca="false">INDEX(Catalogo_Causas!$B$2:$B$10,MATCH(F1451,Catalogo_Causas!$A$2:$A$10,0))</f>
        <v>Falla mecánica</v>
      </c>
      <c r="H1451" s="6" t="str">
        <f aca="false">INDEX(Catalogo_Causas!$C$2:$C$10,MATCH(F1451,Catalogo_Causas!$A$2:$A$10,0))</f>
        <v>Operacional</v>
      </c>
      <c r="I1451" s="5" t="n">
        <v>15</v>
      </c>
      <c r="J1451" s="29" t="n">
        <f aca="false">I1451/60</f>
        <v>0.25</v>
      </c>
    </row>
    <row r="1452" customFormat="false" ht="15" hidden="false" customHeight="false" outlineLevel="0" collapsed="false">
      <c r="A1452" s="5" t="s">
        <v>2494</v>
      </c>
      <c r="B1452" s="9" t="n">
        <v>46027</v>
      </c>
      <c r="C1452" s="9" t="n">
        <v>46029</v>
      </c>
      <c r="D1452" s="5" t="s">
        <v>136</v>
      </c>
      <c r="E1452" s="5" t="s">
        <v>1032</v>
      </c>
      <c r="F1452" s="5" t="s">
        <v>1014</v>
      </c>
      <c r="G1452" s="6" t="str">
        <f aca="false">INDEX(Catalogo_Causas!$B$2:$B$10,MATCH(F1452,Catalogo_Causas!$A$2:$A$10,0))</f>
        <v>Retención de calidad</v>
      </c>
      <c r="H1452" s="6" t="str">
        <f aca="false">INDEX(Catalogo_Causas!$C$2:$C$10,MATCH(F1452,Catalogo_Causas!$A$2:$A$10,0))</f>
        <v>Calidad</v>
      </c>
      <c r="I1452" s="5" t="n">
        <v>40</v>
      </c>
      <c r="J1452" s="29" t="n">
        <f aca="false">I1452/60</f>
        <v>0.666666666666667</v>
      </c>
    </row>
    <row r="1453" customFormat="false" ht="15" hidden="false" customHeight="false" outlineLevel="0" collapsed="false">
      <c r="A1453" s="5" t="s">
        <v>2495</v>
      </c>
      <c r="B1453" s="9" t="n">
        <v>46027</v>
      </c>
      <c r="C1453" s="9" t="n">
        <v>46029</v>
      </c>
      <c r="D1453" s="5" t="s">
        <v>142</v>
      </c>
      <c r="E1453" s="5" t="s">
        <v>1041</v>
      </c>
      <c r="F1453" s="5" t="s">
        <v>1009</v>
      </c>
      <c r="G1453" s="6" t="str">
        <f aca="false">INDEX(Catalogo_Causas!$B$2:$B$10,MATCH(F1453,Catalogo_Causas!$A$2:$A$10,0))</f>
        <v>Falta de material de empaque</v>
      </c>
      <c r="H1453" s="6" t="str">
        <f aca="false">INDEX(Catalogo_Causas!$C$2:$C$10,MATCH(F1453,Catalogo_Causas!$A$2:$A$10,0))</f>
        <v>Material / suministro</v>
      </c>
      <c r="I1453" s="5" t="n">
        <v>17</v>
      </c>
      <c r="J1453" s="29" t="n">
        <f aca="false">I1453/60</f>
        <v>0.283333333333333</v>
      </c>
    </row>
    <row r="1454" customFormat="false" ht="15" hidden="false" customHeight="false" outlineLevel="0" collapsed="false">
      <c r="A1454" s="5" t="s">
        <v>2496</v>
      </c>
      <c r="B1454" s="9" t="n">
        <v>46027</v>
      </c>
      <c r="C1454" s="9" t="n">
        <v>46029</v>
      </c>
      <c r="D1454" s="5" t="s">
        <v>144</v>
      </c>
      <c r="E1454" s="5" t="s">
        <v>1032</v>
      </c>
      <c r="F1454" s="5" t="s">
        <v>1009</v>
      </c>
      <c r="G1454" s="6" t="str">
        <f aca="false">INDEX(Catalogo_Causas!$B$2:$B$10,MATCH(F1454,Catalogo_Causas!$A$2:$A$10,0))</f>
        <v>Falta de material de empaque</v>
      </c>
      <c r="H1454" s="6" t="str">
        <f aca="false">INDEX(Catalogo_Causas!$C$2:$C$10,MATCH(F1454,Catalogo_Causas!$A$2:$A$10,0))</f>
        <v>Material / suministro</v>
      </c>
      <c r="I1454" s="5" t="n">
        <v>47</v>
      </c>
      <c r="J1454" s="29" t="n">
        <f aca="false">I1454/60</f>
        <v>0.783333333333333</v>
      </c>
    </row>
    <row r="1455" customFormat="false" ht="15" hidden="false" customHeight="false" outlineLevel="0" collapsed="false">
      <c r="A1455" s="5" t="s">
        <v>2497</v>
      </c>
      <c r="B1455" s="9" t="n">
        <v>46027</v>
      </c>
      <c r="C1455" s="9" t="n">
        <v>46030</v>
      </c>
      <c r="D1455" s="5" t="s">
        <v>132</v>
      </c>
      <c r="E1455" s="5" t="s">
        <v>1032</v>
      </c>
      <c r="F1455" s="5" t="s">
        <v>1012</v>
      </c>
      <c r="G1455" s="6" t="str">
        <f aca="false">INDEX(Catalogo_Causas!$B$2:$B$10,MATCH(F1455,Catalogo_Causas!$A$2:$A$10,0))</f>
        <v>Falta de materia prima</v>
      </c>
      <c r="H1455" s="6" t="str">
        <f aca="false">INDEX(Catalogo_Causas!$C$2:$C$10,MATCH(F1455,Catalogo_Causas!$A$2:$A$10,0))</f>
        <v>Material / suministro</v>
      </c>
      <c r="I1455" s="5" t="n">
        <v>63</v>
      </c>
      <c r="J1455" s="29" t="n">
        <f aca="false">I1455/60</f>
        <v>1.05</v>
      </c>
    </row>
    <row r="1456" customFormat="false" ht="15" hidden="false" customHeight="false" outlineLevel="0" collapsed="false">
      <c r="A1456" s="5" t="s">
        <v>2498</v>
      </c>
      <c r="B1456" s="9" t="n">
        <v>46027</v>
      </c>
      <c r="C1456" s="9" t="n">
        <v>46030</v>
      </c>
      <c r="D1456" s="5" t="s">
        <v>134</v>
      </c>
      <c r="E1456" s="5" t="s">
        <v>1030</v>
      </c>
      <c r="F1456" s="5" t="s">
        <v>1002</v>
      </c>
      <c r="G1456" s="6" t="str">
        <f aca="false">INDEX(Catalogo_Causas!$B$2:$B$10,MATCH(F1456,Catalogo_Causas!$A$2:$A$10,0))</f>
        <v>Falla mecánica</v>
      </c>
      <c r="H1456" s="6" t="str">
        <f aca="false">INDEX(Catalogo_Causas!$C$2:$C$10,MATCH(F1456,Catalogo_Causas!$A$2:$A$10,0))</f>
        <v>Operacional</v>
      </c>
      <c r="I1456" s="5" t="n">
        <v>51</v>
      </c>
      <c r="J1456" s="29" t="n">
        <f aca="false">I1456/60</f>
        <v>0.85</v>
      </c>
    </row>
    <row r="1457" customFormat="false" ht="15" hidden="false" customHeight="false" outlineLevel="0" collapsed="false">
      <c r="A1457" s="5" t="s">
        <v>2499</v>
      </c>
      <c r="B1457" s="9" t="n">
        <v>46027</v>
      </c>
      <c r="C1457" s="9" t="n">
        <v>46030</v>
      </c>
      <c r="D1457" s="5" t="s">
        <v>140</v>
      </c>
      <c r="E1457" s="5" t="s">
        <v>1032</v>
      </c>
      <c r="F1457" s="5" t="s">
        <v>1007</v>
      </c>
      <c r="G1457" s="6" t="str">
        <f aca="false">INDEX(Catalogo_Causas!$B$2:$B$10,MATCH(F1457,Catalogo_Causas!$A$2:$A$10,0))</f>
        <v>Cambio de formato excedido</v>
      </c>
      <c r="H1457" s="6" t="str">
        <f aca="false">INDEX(Catalogo_Causas!$C$2:$C$10,MATCH(F1457,Catalogo_Causas!$A$2:$A$10,0))</f>
        <v>Operacional</v>
      </c>
      <c r="I1457" s="5" t="n">
        <v>47</v>
      </c>
      <c r="J1457" s="29" t="n">
        <f aca="false">I1457/60</f>
        <v>0.783333333333333</v>
      </c>
    </row>
    <row r="1458" customFormat="false" ht="15" hidden="false" customHeight="false" outlineLevel="0" collapsed="false">
      <c r="A1458" s="5" t="s">
        <v>2500</v>
      </c>
      <c r="B1458" s="9" t="n">
        <v>46027</v>
      </c>
      <c r="C1458" s="9" t="n">
        <v>46030</v>
      </c>
      <c r="D1458" s="5" t="s">
        <v>142</v>
      </c>
      <c r="E1458" s="5" t="s">
        <v>1051</v>
      </c>
      <c r="F1458" s="5" t="s">
        <v>1005</v>
      </c>
      <c r="G1458" s="6" t="str">
        <f aca="false">INDEX(Catalogo_Causas!$B$2:$B$10,MATCH(F1458,Catalogo_Causas!$A$2:$A$10,0))</f>
        <v>Falla eléctrica / control</v>
      </c>
      <c r="H1458" s="6" t="str">
        <f aca="false">INDEX(Catalogo_Causas!$C$2:$C$10,MATCH(F1458,Catalogo_Causas!$A$2:$A$10,0))</f>
        <v>Operacional</v>
      </c>
      <c r="I1458" s="5" t="n">
        <v>71</v>
      </c>
      <c r="J1458" s="29" t="n">
        <f aca="false">I1458/60</f>
        <v>1.18333333333333</v>
      </c>
    </row>
    <row r="1459" customFormat="false" ht="15" hidden="false" customHeight="false" outlineLevel="0" collapsed="false">
      <c r="A1459" s="5" t="s">
        <v>2501</v>
      </c>
      <c r="B1459" s="9" t="n">
        <v>46027</v>
      </c>
      <c r="C1459" s="9" t="n">
        <v>46030</v>
      </c>
      <c r="D1459" s="5" t="s">
        <v>144</v>
      </c>
      <c r="E1459" s="5" t="s">
        <v>1043</v>
      </c>
      <c r="F1459" s="5" t="s">
        <v>1002</v>
      </c>
      <c r="G1459" s="6" t="str">
        <f aca="false">INDEX(Catalogo_Causas!$B$2:$B$10,MATCH(F1459,Catalogo_Causas!$A$2:$A$10,0))</f>
        <v>Falla mecánica</v>
      </c>
      <c r="H1459" s="6" t="str">
        <f aca="false">INDEX(Catalogo_Causas!$C$2:$C$10,MATCH(F1459,Catalogo_Causas!$A$2:$A$10,0))</f>
        <v>Operacional</v>
      </c>
      <c r="I1459" s="5" t="n">
        <v>69</v>
      </c>
      <c r="J1459" s="29" t="n">
        <f aca="false">I1459/60</f>
        <v>1.15</v>
      </c>
    </row>
    <row r="1460" customFormat="false" ht="15" hidden="false" customHeight="false" outlineLevel="0" collapsed="false">
      <c r="A1460" s="5" t="s">
        <v>2502</v>
      </c>
      <c r="B1460" s="9" t="n">
        <v>46027</v>
      </c>
      <c r="C1460" s="9" t="n">
        <v>46031</v>
      </c>
      <c r="D1460" s="5" t="s">
        <v>134</v>
      </c>
      <c r="E1460" s="5" t="s">
        <v>1032</v>
      </c>
      <c r="F1460" s="5" t="s">
        <v>1005</v>
      </c>
      <c r="G1460" s="6" t="str">
        <f aca="false">INDEX(Catalogo_Causas!$B$2:$B$10,MATCH(F1460,Catalogo_Causas!$A$2:$A$10,0))</f>
        <v>Falla eléctrica / control</v>
      </c>
      <c r="H1460" s="6" t="str">
        <f aca="false">INDEX(Catalogo_Causas!$C$2:$C$10,MATCH(F1460,Catalogo_Causas!$A$2:$A$10,0))</f>
        <v>Operacional</v>
      </c>
      <c r="I1460" s="5" t="n">
        <v>141</v>
      </c>
      <c r="J1460" s="29" t="n">
        <f aca="false">I1460/60</f>
        <v>2.35</v>
      </c>
    </row>
    <row r="1461" customFormat="false" ht="15" hidden="false" customHeight="false" outlineLevel="0" collapsed="false">
      <c r="A1461" s="5" t="s">
        <v>2503</v>
      </c>
      <c r="B1461" s="9" t="n">
        <v>46027</v>
      </c>
      <c r="C1461" s="9" t="n">
        <v>46031</v>
      </c>
      <c r="D1461" s="5" t="s">
        <v>136</v>
      </c>
      <c r="E1461" s="5" t="s">
        <v>1101</v>
      </c>
      <c r="F1461" s="5" t="s">
        <v>1014</v>
      </c>
      <c r="G1461" s="6" t="str">
        <f aca="false">INDEX(Catalogo_Causas!$B$2:$B$10,MATCH(F1461,Catalogo_Causas!$A$2:$A$10,0))</f>
        <v>Retención de calidad</v>
      </c>
      <c r="H1461" s="6" t="str">
        <f aca="false">INDEX(Catalogo_Causas!$C$2:$C$10,MATCH(F1461,Catalogo_Causas!$A$2:$A$10,0))</f>
        <v>Calidad</v>
      </c>
      <c r="I1461" s="5" t="n">
        <v>112</v>
      </c>
      <c r="J1461" s="29" t="n">
        <f aca="false">I1461/60</f>
        <v>1.86666666666667</v>
      </c>
    </row>
    <row r="1462" customFormat="false" ht="15" hidden="false" customHeight="false" outlineLevel="0" collapsed="false">
      <c r="A1462" s="5" t="s">
        <v>2504</v>
      </c>
      <c r="B1462" s="9" t="n">
        <v>46027</v>
      </c>
      <c r="C1462" s="9" t="n">
        <v>46031</v>
      </c>
      <c r="D1462" s="5" t="s">
        <v>142</v>
      </c>
      <c r="E1462" s="5" t="s">
        <v>1041</v>
      </c>
      <c r="F1462" s="5" t="s">
        <v>1005</v>
      </c>
      <c r="G1462" s="6" t="str">
        <f aca="false">INDEX(Catalogo_Causas!$B$2:$B$10,MATCH(F1462,Catalogo_Causas!$A$2:$A$10,0))</f>
        <v>Falla eléctrica / control</v>
      </c>
      <c r="H1462" s="6" t="str">
        <f aca="false">INDEX(Catalogo_Causas!$C$2:$C$10,MATCH(F1462,Catalogo_Causas!$A$2:$A$10,0))</f>
        <v>Operacional</v>
      </c>
      <c r="I1462" s="5" t="n">
        <v>64</v>
      </c>
      <c r="J1462" s="29" t="n">
        <f aca="false">I1462/60</f>
        <v>1.06666666666667</v>
      </c>
    </row>
    <row r="1463" customFormat="false" ht="15" hidden="false" customHeight="false" outlineLevel="0" collapsed="false">
      <c r="A1463" s="5" t="s">
        <v>2505</v>
      </c>
      <c r="B1463" s="9" t="n">
        <v>46027</v>
      </c>
      <c r="C1463" s="9" t="n">
        <v>46032</v>
      </c>
      <c r="D1463" s="5" t="s">
        <v>130</v>
      </c>
      <c r="E1463" s="5" t="s">
        <v>1045</v>
      </c>
      <c r="F1463" s="5" t="s">
        <v>1002</v>
      </c>
      <c r="G1463" s="6" t="str">
        <f aca="false">INDEX(Catalogo_Causas!$B$2:$B$10,MATCH(F1463,Catalogo_Causas!$A$2:$A$10,0))</f>
        <v>Falla mecánica</v>
      </c>
      <c r="H1463" s="6" t="str">
        <f aca="false">INDEX(Catalogo_Causas!$C$2:$C$10,MATCH(F1463,Catalogo_Causas!$A$2:$A$10,0))</f>
        <v>Operacional</v>
      </c>
      <c r="I1463" s="5" t="n">
        <v>16</v>
      </c>
      <c r="J1463" s="29" t="n">
        <f aca="false">I1463/60</f>
        <v>0.266666666666667</v>
      </c>
    </row>
    <row r="1464" customFormat="false" ht="15" hidden="false" customHeight="false" outlineLevel="0" collapsed="false">
      <c r="A1464" s="5" t="s">
        <v>2506</v>
      </c>
      <c r="B1464" s="9" t="n">
        <v>46027</v>
      </c>
      <c r="C1464" s="9" t="n">
        <v>46032</v>
      </c>
      <c r="D1464" s="5" t="s">
        <v>132</v>
      </c>
      <c r="E1464" s="5" t="s">
        <v>1032</v>
      </c>
      <c r="F1464" s="5" t="s">
        <v>1018</v>
      </c>
      <c r="G1464" s="6" t="str">
        <f aca="false">INDEX(Catalogo_Causas!$B$2:$B$10,MATCH(F1464,Catalogo_Causas!$A$2:$A$10,0))</f>
        <v>Falta de personal</v>
      </c>
      <c r="H1464" s="6" t="str">
        <f aca="false">INDEX(Catalogo_Causas!$C$2:$C$10,MATCH(F1464,Catalogo_Causas!$A$2:$A$10,0))</f>
        <v>Personal</v>
      </c>
      <c r="I1464" s="5" t="n">
        <v>73</v>
      </c>
      <c r="J1464" s="29" t="n">
        <f aca="false">I1464/60</f>
        <v>1.21666666666667</v>
      </c>
    </row>
    <row r="1465" customFormat="false" ht="15" hidden="false" customHeight="false" outlineLevel="0" collapsed="false">
      <c r="A1465" s="5" t="s">
        <v>2507</v>
      </c>
      <c r="B1465" s="9" t="n">
        <v>46027</v>
      </c>
      <c r="C1465" s="9" t="n">
        <v>46032</v>
      </c>
      <c r="D1465" s="5" t="s">
        <v>138</v>
      </c>
      <c r="E1465" s="5" t="s">
        <v>1034</v>
      </c>
      <c r="F1465" s="5" t="s">
        <v>1009</v>
      </c>
      <c r="G1465" s="6" t="str">
        <f aca="false">INDEX(Catalogo_Causas!$B$2:$B$10,MATCH(F1465,Catalogo_Causas!$A$2:$A$10,0))</f>
        <v>Falta de material de empaque</v>
      </c>
      <c r="H1465" s="6" t="str">
        <f aca="false">INDEX(Catalogo_Causas!$C$2:$C$10,MATCH(F1465,Catalogo_Causas!$A$2:$A$10,0))</f>
        <v>Material / suministro</v>
      </c>
      <c r="I1465" s="5" t="n">
        <v>21</v>
      </c>
      <c r="J1465" s="29" t="n">
        <f aca="false">I1465/60</f>
        <v>0.35</v>
      </c>
    </row>
    <row r="1466" customFormat="false" ht="15" hidden="false" customHeight="false" outlineLevel="0" collapsed="false">
      <c r="A1466" s="5" t="s">
        <v>2508</v>
      </c>
      <c r="B1466" s="9" t="n">
        <v>46027</v>
      </c>
      <c r="C1466" s="9" t="n">
        <v>46032</v>
      </c>
      <c r="D1466" s="5" t="s">
        <v>138</v>
      </c>
      <c r="E1466" s="5" t="s">
        <v>1056</v>
      </c>
      <c r="F1466" s="5" t="s">
        <v>1005</v>
      </c>
      <c r="G1466" s="6" t="str">
        <f aca="false">INDEX(Catalogo_Causas!$B$2:$B$10,MATCH(F1466,Catalogo_Causas!$A$2:$A$10,0))</f>
        <v>Falla eléctrica / control</v>
      </c>
      <c r="H1466" s="6" t="str">
        <f aca="false">INDEX(Catalogo_Causas!$C$2:$C$10,MATCH(F1466,Catalogo_Causas!$A$2:$A$10,0))</f>
        <v>Operacional</v>
      </c>
      <c r="I1466" s="5" t="n">
        <v>150</v>
      </c>
      <c r="J1466" s="29" t="n">
        <f aca="false">I1466/60</f>
        <v>2.5</v>
      </c>
    </row>
    <row r="1467" customFormat="false" ht="15" hidden="false" customHeight="false" outlineLevel="0" collapsed="false">
      <c r="A1467" s="5" t="s">
        <v>2509</v>
      </c>
      <c r="B1467" s="9" t="n">
        <v>46027</v>
      </c>
      <c r="C1467" s="9" t="n">
        <v>46032</v>
      </c>
      <c r="D1467" s="5" t="s">
        <v>138</v>
      </c>
      <c r="E1467" s="5" t="s">
        <v>1034</v>
      </c>
      <c r="F1467" s="5" t="s">
        <v>1009</v>
      </c>
      <c r="G1467" s="6" t="str">
        <f aca="false">INDEX(Catalogo_Causas!$B$2:$B$10,MATCH(F1467,Catalogo_Causas!$A$2:$A$10,0))</f>
        <v>Falta de material de empaque</v>
      </c>
      <c r="H1467" s="6" t="str">
        <f aca="false">INDEX(Catalogo_Causas!$C$2:$C$10,MATCH(F1467,Catalogo_Causas!$A$2:$A$10,0))</f>
        <v>Material / suministro</v>
      </c>
      <c r="I1467" s="5" t="n">
        <v>19</v>
      </c>
      <c r="J1467" s="29" t="n">
        <f aca="false">I1467/60</f>
        <v>0.316666666666667</v>
      </c>
    </row>
    <row r="1468" customFormat="false" ht="15" hidden="false" customHeight="false" outlineLevel="0" collapsed="false">
      <c r="A1468" s="5" t="s">
        <v>2510</v>
      </c>
      <c r="B1468" s="9" t="n">
        <v>46027</v>
      </c>
      <c r="C1468" s="9" t="n">
        <v>46032</v>
      </c>
      <c r="D1468" s="5" t="s">
        <v>142</v>
      </c>
      <c r="E1468" s="5" t="s">
        <v>1041</v>
      </c>
      <c r="F1468" s="5" t="s">
        <v>1005</v>
      </c>
      <c r="G1468" s="6" t="str">
        <f aca="false">INDEX(Catalogo_Causas!$B$2:$B$10,MATCH(F1468,Catalogo_Causas!$A$2:$A$10,0))</f>
        <v>Falla eléctrica / control</v>
      </c>
      <c r="H1468" s="6" t="str">
        <f aca="false">INDEX(Catalogo_Causas!$C$2:$C$10,MATCH(F1468,Catalogo_Causas!$A$2:$A$10,0))</f>
        <v>Operacional</v>
      </c>
      <c r="I1468" s="5" t="n">
        <v>93</v>
      </c>
      <c r="J1468" s="29" t="n">
        <f aca="false">I1468/60</f>
        <v>1.55</v>
      </c>
    </row>
    <row r="1469" customFormat="false" ht="15" hidden="false" customHeight="false" outlineLevel="0" collapsed="false">
      <c r="A1469" s="5" t="s">
        <v>2511</v>
      </c>
      <c r="B1469" s="9" t="n">
        <v>46027</v>
      </c>
      <c r="C1469" s="9" t="n">
        <v>46032</v>
      </c>
      <c r="D1469" s="5" t="s">
        <v>144</v>
      </c>
      <c r="E1469" s="5" t="s">
        <v>1043</v>
      </c>
      <c r="F1469" s="5" t="s">
        <v>1016</v>
      </c>
      <c r="G1469" s="6" t="str">
        <f aca="false">INDEX(Catalogo_Causas!$B$2:$B$10,MATCH(F1469,Catalogo_Causas!$A$2:$A$10,0))</f>
        <v>Limpieza no programada (CIP)</v>
      </c>
      <c r="H1469" s="6" t="str">
        <f aca="false">INDEX(Catalogo_Causas!$C$2:$C$10,MATCH(F1469,Catalogo_Causas!$A$2:$A$10,0))</f>
        <v>Calidad</v>
      </c>
      <c r="I1469" s="5" t="n">
        <v>30</v>
      </c>
      <c r="J1469" s="29" t="n">
        <f aca="false">I1469/60</f>
        <v>0.5</v>
      </c>
    </row>
    <row r="1470" customFormat="false" ht="15" hidden="false" customHeight="false" outlineLevel="0" collapsed="false">
      <c r="A1470" s="5" t="s">
        <v>2512</v>
      </c>
      <c r="B1470" s="9" t="n">
        <v>46034</v>
      </c>
      <c r="C1470" s="9" t="n">
        <v>46034</v>
      </c>
      <c r="D1470" s="5" t="s">
        <v>132</v>
      </c>
      <c r="E1470" s="5" t="s">
        <v>1084</v>
      </c>
      <c r="F1470" s="5" t="s">
        <v>1005</v>
      </c>
      <c r="G1470" s="6" t="str">
        <f aca="false">INDEX(Catalogo_Causas!$B$2:$B$10,MATCH(F1470,Catalogo_Causas!$A$2:$A$10,0))</f>
        <v>Falla eléctrica / control</v>
      </c>
      <c r="H1470" s="6" t="str">
        <f aca="false">INDEX(Catalogo_Causas!$C$2:$C$10,MATCH(F1470,Catalogo_Causas!$A$2:$A$10,0))</f>
        <v>Operacional</v>
      </c>
      <c r="I1470" s="5" t="n">
        <v>56</v>
      </c>
      <c r="J1470" s="29" t="n">
        <f aca="false">I1470/60</f>
        <v>0.933333333333333</v>
      </c>
    </row>
    <row r="1471" customFormat="false" ht="15" hidden="false" customHeight="false" outlineLevel="0" collapsed="false">
      <c r="A1471" s="5" t="s">
        <v>2513</v>
      </c>
      <c r="B1471" s="9" t="n">
        <v>46034</v>
      </c>
      <c r="C1471" s="9" t="n">
        <v>46034</v>
      </c>
      <c r="D1471" s="5" t="s">
        <v>134</v>
      </c>
      <c r="E1471" s="5" t="s">
        <v>1032</v>
      </c>
      <c r="F1471" s="5" t="s">
        <v>1012</v>
      </c>
      <c r="G1471" s="6" t="str">
        <f aca="false">INDEX(Catalogo_Causas!$B$2:$B$10,MATCH(F1471,Catalogo_Causas!$A$2:$A$10,0))</f>
        <v>Falta de materia prima</v>
      </c>
      <c r="H1471" s="6" t="str">
        <f aca="false">INDEX(Catalogo_Causas!$C$2:$C$10,MATCH(F1471,Catalogo_Causas!$A$2:$A$10,0))</f>
        <v>Material / suministro</v>
      </c>
      <c r="I1471" s="5" t="n">
        <v>48</v>
      </c>
      <c r="J1471" s="29" t="n">
        <f aca="false">I1471/60</f>
        <v>0.8</v>
      </c>
    </row>
    <row r="1472" customFormat="false" ht="15" hidden="false" customHeight="false" outlineLevel="0" collapsed="false">
      <c r="A1472" s="5" t="s">
        <v>2514</v>
      </c>
      <c r="B1472" s="9" t="n">
        <v>46034</v>
      </c>
      <c r="C1472" s="9" t="n">
        <v>46034</v>
      </c>
      <c r="D1472" s="5" t="s">
        <v>140</v>
      </c>
      <c r="E1472" s="5" t="s">
        <v>1032</v>
      </c>
      <c r="F1472" s="5" t="s">
        <v>1018</v>
      </c>
      <c r="G1472" s="6" t="str">
        <f aca="false">INDEX(Catalogo_Causas!$B$2:$B$10,MATCH(F1472,Catalogo_Causas!$A$2:$A$10,0))</f>
        <v>Falta de personal</v>
      </c>
      <c r="H1472" s="6" t="str">
        <f aca="false">INDEX(Catalogo_Causas!$C$2:$C$10,MATCH(F1472,Catalogo_Causas!$A$2:$A$10,0))</f>
        <v>Personal</v>
      </c>
      <c r="I1472" s="5" t="n">
        <v>94</v>
      </c>
      <c r="J1472" s="29" t="n">
        <f aca="false">I1472/60</f>
        <v>1.56666666666667</v>
      </c>
    </row>
    <row r="1473" customFormat="false" ht="15" hidden="false" customHeight="false" outlineLevel="0" collapsed="false">
      <c r="A1473" s="5" t="s">
        <v>2515</v>
      </c>
      <c r="B1473" s="9" t="n">
        <v>46034</v>
      </c>
      <c r="C1473" s="9" t="n">
        <v>46034</v>
      </c>
      <c r="D1473" s="5" t="s">
        <v>142</v>
      </c>
      <c r="E1473" s="5" t="s">
        <v>1051</v>
      </c>
      <c r="F1473" s="5" t="s">
        <v>1007</v>
      </c>
      <c r="G1473" s="6" t="str">
        <f aca="false">INDEX(Catalogo_Causas!$B$2:$B$10,MATCH(F1473,Catalogo_Causas!$A$2:$A$10,0))</f>
        <v>Cambio de formato excedido</v>
      </c>
      <c r="H1473" s="6" t="str">
        <f aca="false">INDEX(Catalogo_Causas!$C$2:$C$10,MATCH(F1473,Catalogo_Causas!$A$2:$A$10,0))</f>
        <v>Operacional</v>
      </c>
      <c r="I1473" s="5" t="n">
        <v>90</v>
      </c>
      <c r="J1473" s="29" t="n">
        <f aca="false">I1473/60</f>
        <v>1.5</v>
      </c>
    </row>
    <row r="1474" customFormat="false" ht="15" hidden="false" customHeight="false" outlineLevel="0" collapsed="false">
      <c r="A1474" s="5" t="s">
        <v>2516</v>
      </c>
      <c r="B1474" s="9" t="n">
        <v>46034</v>
      </c>
      <c r="C1474" s="9" t="n">
        <v>46035</v>
      </c>
      <c r="D1474" s="5" t="s">
        <v>132</v>
      </c>
      <c r="E1474" s="5" t="s">
        <v>1073</v>
      </c>
      <c r="F1474" s="5" t="s">
        <v>1007</v>
      </c>
      <c r="G1474" s="6" t="str">
        <f aca="false">INDEX(Catalogo_Causas!$B$2:$B$10,MATCH(F1474,Catalogo_Causas!$A$2:$A$10,0))</f>
        <v>Cambio de formato excedido</v>
      </c>
      <c r="H1474" s="6" t="str">
        <f aca="false">INDEX(Catalogo_Causas!$C$2:$C$10,MATCH(F1474,Catalogo_Causas!$A$2:$A$10,0))</f>
        <v>Operacional</v>
      </c>
      <c r="I1474" s="5" t="n">
        <v>67</v>
      </c>
      <c r="J1474" s="29" t="n">
        <f aca="false">I1474/60</f>
        <v>1.11666666666667</v>
      </c>
    </row>
    <row r="1475" customFormat="false" ht="15" hidden="false" customHeight="false" outlineLevel="0" collapsed="false">
      <c r="A1475" s="5" t="s">
        <v>2517</v>
      </c>
      <c r="B1475" s="9" t="n">
        <v>46034</v>
      </c>
      <c r="C1475" s="9" t="n">
        <v>46035</v>
      </c>
      <c r="D1475" s="5" t="s">
        <v>144</v>
      </c>
      <c r="E1475" s="5" t="s">
        <v>1043</v>
      </c>
      <c r="F1475" s="5" t="s">
        <v>1009</v>
      </c>
      <c r="G1475" s="6" t="str">
        <f aca="false">INDEX(Catalogo_Causas!$B$2:$B$10,MATCH(F1475,Catalogo_Causas!$A$2:$A$10,0))</f>
        <v>Falta de material de empaque</v>
      </c>
      <c r="H1475" s="6" t="str">
        <f aca="false">INDEX(Catalogo_Causas!$C$2:$C$10,MATCH(F1475,Catalogo_Causas!$A$2:$A$10,0))</f>
        <v>Material / suministro</v>
      </c>
      <c r="I1475" s="5" t="n">
        <v>63</v>
      </c>
      <c r="J1475" s="29" t="n">
        <f aca="false">I1475/60</f>
        <v>1.05</v>
      </c>
    </row>
    <row r="1476" customFormat="false" ht="15" hidden="false" customHeight="false" outlineLevel="0" collapsed="false">
      <c r="A1476" s="5" t="s">
        <v>2518</v>
      </c>
      <c r="B1476" s="9" t="n">
        <v>46034</v>
      </c>
      <c r="C1476" s="9" t="n">
        <v>46036</v>
      </c>
      <c r="D1476" s="5" t="s">
        <v>138</v>
      </c>
      <c r="E1476" s="5" t="s">
        <v>1056</v>
      </c>
      <c r="F1476" s="5" t="s">
        <v>1005</v>
      </c>
      <c r="G1476" s="6" t="str">
        <f aca="false">INDEX(Catalogo_Causas!$B$2:$B$10,MATCH(F1476,Catalogo_Causas!$A$2:$A$10,0))</f>
        <v>Falla eléctrica / control</v>
      </c>
      <c r="H1476" s="6" t="str">
        <f aca="false">INDEX(Catalogo_Causas!$C$2:$C$10,MATCH(F1476,Catalogo_Causas!$A$2:$A$10,0))</f>
        <v>Operacional</v>
      </c>
      <c r="I1476" s="5" t="n">
        <v>44</v>
      </c>
      <c r="J1476" s="29" t="n">
        <f aca="false">I1476/60</f>
        <v>0.733333333333333</v>
      </c>
    </row>
    <row r="1477" customFormat="false" ht="15" hidden="false" customHeight="false" outlineLevel="0" collapsed="false">
      <c r="A1477" s="5" t="s">
        <v>2519</v>
      </c>
      <c r="B1477" s="9" t="n">
        <v>46034</v>
      </c>
      <c r="C1477" s="9" t="n">
        <v>46036</v>
      </c>
      <c r="D1477" s="5" t="s">
        <v>140</v>
      </c>
      <c r="E1477" s="5" t="s">
        <v>1045</v>
      </c>
      <c r="F1477" s="5" t="s">
        <v>1018</v>
      </c>
      <c r="G1477" s="6" t="str">
        <f aca="false">INDEX(Catalogo_Causas!$B$2:$B$10,MATCH(F1477,Catalogo_Causas!$A$2:$A$10,0))</f>
        <v>Falta de personal</v>
      </c>
      <c r="H1477" s="6" t="str">
        <f aca="false">INDEX(Catalogo_Causas!$C$2:$C$10,MATCH(F1477,Catalogo_Causas!$A$2:$A$10,0))</f>
        <v>Personal</v>
      </c>
      <c r="I1477" s="5" t="n">
        <v>54</v>
      </c>
      <c r="J1477" s="29" t="n">
        <f aca="false">I1477/60</f>
        <v>0.9</v>
      </c>
    </row>
    <row r="1478" customFormat="false" ht="15" hidden="false" customHeight="false" outlineLevel="0" collapsed="false">
      <c r="A1478" s="5" t="s">
        <v>2520</v>
      </c>
      <c r="B1478" s="9" t="n">
        <v>46034</v>
      </c>
      <c r="C1478" s="9" t="n">
        <v>46036</v>
      </c>
      <c r="D1478" s="5" t="s">
        <v>142</v>
      </c>
      <c r="E1478" s="5" t="s">
        <v>1051</v>
      </c>
      <c r="F1478" s="5" t="s">
        <v>1012</v>
      </c>
      <c r="G1478" s="6" t="str">
        <f aca="false">INDEX(Catalogo_Causas!$B$2:$B$10,MATCH(F1478,Catalogo_Causas!$A$2:$A$10,0))</f>
        <v>Falta de materia prima</v>
      </c>
      <c r="H1478" s="6" t="str">
        <f aca="false">INDEX(Catalogo_Causas!$C$2:$C$10,MATCH(F1478,Catalogo_Causas!$A$2:$A$10,0))</f>
        <v>Material / suministro</v>
      </c>
      <c r="I1478" s="5" t="n">
        <v>285</v>
      </c>
      <c r="J1478" s="29" t="n">
        <f aca="false">I1478/60</f>
        <v>4.75</v>
      </c>
    </row>
    <row r="1479" customFormat="false" ht="15" hidden="false" customHeight="false" outlineLevel="0" collapsed="false">
      <c r="A1479" s="5" t="s">
        <v>2521</v>
      </c>
      <c r="B1479" s="9" t="n">
        <v>46034</v>
      </c>
      <c r="C1479" s="9" t="n">
        <v>46036</v>
      </c>
      <c r="D1479" s="5" t="s">
        <v>144</v>
      </c>
      <c r="E1479" s="5" t="s">
        <v>1030</v>
      </c>
      <c r="F1479" s="5" t="s">
        <v>1002</v>
      </c>
      <c r="G1479" s="6" t="str">
        <f aca="false">INDEX(Catalogo_Causas!$B$2:$B$10,MATCH(F1479,Catalogo_Causas!$A$2:$A$10,0))</f>
        <v>Falla mecánica</v>
      </c>
      <c r="H1479" s="6" t="str">
        <f aca="false">INDEX(Catalogo_Causas!$C$2:$C$10,MATCH(F1479,Catalogo_Causas!$A$2:$A$10,0))</f>
        <v>Operacional</v>
      </c>
      <c r="I1479" s="5" t="n">
        <v>24</v>
      </c>
      <c r="J1479" s="29" t="n">
        <f aca="false">I1479/60</f>
        <v>0.4</v>
      </c>
    </row>
    <row r="1480" customFormat="false" ht="15" hidden="false" customHeight="false" outlineLevel="0" collapsed="false">
      <c r="A1480" s="5" t="s">
        <v>2522</v>
      </c>
      <c r="B1480" s="9" t="n">
        <v>46034</v>
      </c>
      <c r="C1480" s="9" t="n">
        <v>46037</v>
      </c>
      <c r="D1480" s="5" t="s">
        <v>134</v>
      </c>
      <c r="E1480" s="5" t="s">
        <v>1030</v>
      </c>
      <c r="F1480" s="5" t="s">
        <v>1002</v>
      </c>
      <c r="G1480" s="6" t="str">
        <f aca="false">INDEX(Catalogo_Causas!$B$2:$B$10,MATCH(F1480,Catalogo_Causas!$A$2:$A$10,0))</f>
        <v>Falla mecánica</v>
      </c>
      <c r="H1480" s="6" t="str">
        <f aca="false">INDEX(Catalogo_Causas!$C$2:$C$10,MATCH(F1480,Catalogo_Causas!$A$2:$A$10,0))</f>
        <v>Operacional</v>
      </c>
      <c r="I1480" s="5" t="n">
        <v>25</v>
      </c>
      <c r="J1480" s="29" t="n">
        <f aca="false">I1480/60</f>
        <v>0.416666666666667</v>
      </c>
    </row>
    <row r="1481" customFormat="false" ht="15" hidden="false" customHeight="false" outlineLevel="0" collapsed="false">
      <c r="A1481" s="5" t="s">
        <v>2523</v>
      </c>
      <c r="B1481" s="9" t="n">
        <v>46034</v>
      </c>
      <c r="C1481" s="9" t="n">
        <v>46037</v>
      </c>
      <c r="D1481" s="5" t="s">
        <v>134</v>
      </c>
      <c r="E1481" s="5" t="s">
        <v>1054</v>
      </c>
      <c r="F1481" s="5" t="s">
        <v>1007</v>
      </c>
      <c r="G1481" s="6" t="str">
        <f aca="false">INDEX(Catalogo_Causas!$B$2:$B$10,MATCH(F1481,Catalogo_Causas!$A$2:$A$10,0))</f>
        <v>Cambio de formato excedido</v>
      </c>
      <c r="H1481" s="6" t="str">
        <f aca="false">INDEX(Catalogo_Causas!$C$2:$C$10,MATCH(F1481,Catalogo_Causas!$A$2:$A$10,0))</f>
        <v>Operacional</v>
      </c>
      <c r="I1481" s="5" t="n">
        <v>72</v>
      </c>
      <c r="J1481" s="29" t="n">
        <f aca="false">I1481/60</f>
        <v>1.2</v>
      </c>
    </row>
    <row r="1482" customFormat="false" ht="15" hidden="false" customHeight="false" outlineLevel="0" collapsed="false">
      <c r="A1482" s="5" t="s">
        <v>2524</v>
      </c>
      <c r="B1482" s="9" t="n">
        <v>46034</v>
      </c>
      <c r="C1482" s="9" t="n">
        <v>46037</v>
      </c>
      <c r="D1482" s="5" t="s">
        <v>138</v>
      </c>
      <c r="E1482" s="5" t="s">
        <v>1056</v>
      </c>
      <c r="F1482" s="5" t="s">
        <v>1009</v>
      </c>
      <c r="G1482" s="6" t="str">
        <f aca="false">INDEX(Catalogo_Causas!$B$2:$B$10,MATCH(F1482,Catalogo_Causas!$A$2:$A$10,0))</f>
        <v>Falta de material de empaque</v>
      </c>
      <c r="H1482" s="6" t="str">
        <f aca="false">INDEX(Catalogo_Causas!$C$2:$C$10,MATCH(F1482,Catalogo_Causas!$A$2:$A$10,0))</f>
        <v>Material / suministro</v>
      </c>
      <c r="I1482" s="5" t="n">
        <v>44</v>
      </c>
      <c r="J1482" s="29" t="n">
        <f aca="false">I1482/60</f>
        <v>0.733333333333333</v>
      </c>
    </row>
    <row r="1483" customFormat="false" ht="15" hidden="false" customHeight="false" outlineLevel="0" collapsed="false">
      <c r="A1483" s="5" t="s">
        <v>2525</v>
      </c>
      <c r="B1483" s="9" t="n">
        <v>46034</v>
      </c>
      <c r="C1483" s="9" t="n">
        <v>46037</v>
      </c>
      <c r="D1483" s="5" t="s">
        <v>140</v>
      </c>
      <c r="E1483" s="5" t="s">
        <v>1032</v>
      </c>
      <c r="F1483" s="5" t="s">
        <v>1007</v>
      </c>
      <c r="G1483" s="6" t="str">
        <f aca="false">INDEX(Catalogo_Causas!$B$2:$B$10,MATCH(F1483,Catalogo_Causas!$A$2:$A$10,0))</f>
        <v>Cambio de formato excedido</v>
      </c>
      <c r="H1483" s="6" t="str">
        <f aca="false">INDEX(Catalogo_Causas!$C$2:$C$10,MATCH(F1483,Catalogo_Causas!$A$2:$A$10,0))</f>
        <v>Operacional</v>
      </c>
      <c r="I1483" s="5" t="n">
        <v>15</v>
      </c>
      <c r="J1483" s="29" t="n">
        <f aca="false">I1483/60</f>
        <v>0.25</v>
      </c>
    </row>
    <row r="1484" customFormat="false" ht="15" hidden="false" customHeight="false" outlineLevel="0" collapsed="false">
      <c r="A1484" s="5" t="s">
        <v>2526</v>
      </c>
      <c r="B1484" s="9" t="n">
        <v>46034</v>
      </c>
      <c r="C1484" s="9" t="n">
        <v>46037</v>
      </c>
      <c r="D1484" s="5" t="s">
        <v>142</v>
      </c>
      <c r="E1484" s="5" t="s">
        <v>1051</v>
      </c>
      <c r="F1484" s="5" t="s">
        <v>1005</v>
      </c>
      <c r="G1484" s="6" t="str">
        <f aca="false">INDEX(Catalogo_Causas!$B$2:$B$10,MATCH(F1484,Catalogo_Causas!$A$2:$A$10,0))</f>
        <v>Falla eléctrica / control</v>
      </c>
      <c r="H1484" s="6" t="str">
        <f aca="false">INDEX(Catalogo_Causas!$C$2:$C$10,MATCH(F1484,Catalogo_Causas!$A$2:$A$10,0))</f>
        <v>Operacional</v>
      </c>
      <c r="I1484" s="5" t="n">
        <v>106</v>
      </c>
      <c r="J1484" s="29" t="n">
        <f aca="false">I1484/60</f>
        <v>1.76666666666667</v>
      </c>
    </row>
    <row r="1485" customFormat="false" ht="15" hidden="false" customHeight="false" outlineLevel="0" collapsed="false">
      <c r="A1485" s="5" t="s">
        <v>2527</v>
      </c>
      <c r="B1485" s="9" t="n">
        <v>46034</v>
      </c>
      <c r="C1485" s="9" t="n">
        <v>46037</v>
      </c>
      <c r="D1485" s="5" t="s">
        <v>144</v>
      </c>
      <c r="E1485" s="5" t="s">
        <v>1043</v>
      </c>
      <c r="F1485" s="5" t="s">
        <v>1016</v>
      </c>
      <c r="G1485" s="6" t="str">
        <f aca="false">INDEX(Catalogo_Causas!$B$2:$B$10,MATCH(F1485,Catalogo_Causas!$A$2:$A$10,0))</f>
        <v>Limpieza no programada (CIP)</v>
      </c>
      <c r="H1485" s="6" t="str">
        <f aca="false">INDEX(Catalogo_Causas!$C$2:$C$10,MATCH(F1485,Catalogo_Causas!$A$2:$A$10,0))</f>
        <v>Calidad</v>
      </c>
      <c r="I1485" s="5" t="n">
        <v>58</v>
      </c>
      <c r="J1485" s="29" t="n">
        <f aca="false">I1485/60</f>
        <v>0.966666666666667</v>
      </c>
    </row>
    <row r="1486" customFormat="false" ht="15" hidden="false" customHeight="false" outlineLevel="0" collapsed="false">
      <c r="A1486" s="5" t="s">
        <v>2528</v>
      </c>
      <c r="B1486" s="9" t="n">
        <v>46034</v>
      </c>
      <c r="C1486" s="9" t="n">
        <v>46038</v>
      </c>
      <c r="D1486" s="5" t="s">
        <v>130</v>
      </c>
      <c r="E1486" s="5" t="s">
        <v>1045</v>
      </c>
      <c r="F1486" s="5" t="s">
        <v>1002</v>
      </c>
      <c r="G1486" s="6" t="str">
        <f aca="false">INDEX(Catalogo_Causas!$B$2:$B$10,MATCH(F1486,Catalogo_Causas!$A$2:$A$10,0))</f>
        <v>Falla mecánica</v>
      </c>
      <c r="H1486" s="6" t="str">
        <f aca="false">INDEX(Catalogo_Causas!$C$2:$C$10,MATCH(F1486,Catalogo_Causas!$A$2:$A$10,0))</f>
        <v>Operacional</v>
      </c>
      <c r="I1486" s="5" t="n">
        <v>68</v>
      </c>
      <c r="J1486" s="29" t="n">
        <f aca="false">I1486/60</f>
        <v>1.13333333333333</v>
      </c>
    </row>
    <row r="1487" customFormat="false" ht="15" hidden="false" customHeight="false" outlineLevel="0" collapsed="false">
      <c r="A1487" s="5" t="s">
        <v>2529</v>
      </c>
      <c r="B1487" s="9" t="n">
        <v>46034</v>
      </c>
      <c r="C1487" s="9" t="n">
        <v>46038</v>
      </c>
      <c r="D1487" s="5" t="s">
        <v>132</v>
      </c>
      <c r="E1487" s="5" t="s">
        <v>1073</v>
      </c>
      <c r="F1487" s="5" t="s">
        <v>1005</v>
      </c>
      <c r="G1487" s="6" t="str">
        <f aca="false">INDEX(Catalogo_Causas!$B$2:$B$10,MATCH(F1487,Catalogo_Causas!$A$2:$A$10,0))</f>
        <v>Falla eléctrica / control</v>
      </c>
      <c r="H1487" s="6" t="str">
        <f aca="false">INDEX(Catalogo_Causas!$C$2:$C$10,MATCH(F1487,Catalogo_Causas!$A$2:$A$10,0))</f>
        <v>Operacional</v>
      </c>
      <c r="I1487" s="5" t="n">
        <v>95</v>
      </c>
      <c r="J1487" s="29" t="n">
        <f aca="false">I1487/60</f>
        <v>1.58333333333333</v>
      </c>
    </row>
    <row r="1488" customFormat="false" ht="15" hidden="false" customHeight="false" outlineLevel="0" collapsed="false">
      <c r="A1488" s="5" t="s">
        <v>2530</v>
      </c>
      <c r="B1488" s="9" t="n">
        <v>46034</v>
      </c>
      <c r="C1488" s="9" t="n">
        <v>46038</v>
      </c>
      <c r="D1488" s="5" t="s">
        <v>136</v>
      </c>
      <c r="E1488" s="5" t="s">
        <v>1051</v>
      </c>
      <c r="F1488" s="5" t="s">
        <v>1012</v>
      </c>
      <c r="G1488" s="6" t="str">
        <f aca="false">INDEX(Catalogo_Causas!$B$2:$B$10,MATCH(F1488,Catalogo_Causas!$A$2:$A$10,0))</f>
        <v>Falta de materia prima</v>
      </c>
      <c r="H1488" s="6" t="str">
        <f aca="false">INDEX(Catalogo_Causas!$C$2:$C$10,MATCH(F1488,Catalogo_Causas!$A$2:$A$10,0))</f>
        <v>Material / suministro</v>
      </c>
      <c r="I1488" s="5" t="n">
        <v>71</v>
      </c>
      <c r="J1488" s="29" t="n">
        <f aca="false">I1488/60</f>
        <v>1.18333333333333</v>
      </c>
    </row>
    <row r="1489" customFormat="false" ht="15" hidden="false" customHeight="false" outlineLevel="0" collapsed="false">
      <c r="A1489" s="5" t="s">
        <v>2531</v>
      </c>
      <c r="B1489" s="9" t="n">
        <v>46034</v>
      </c>
      <c r="C1489" s="9" t="n">
        <v>46038</v>
      </c>
      <c r="D1489" s="5" t="s">
        <v>136</v>
      </c>
      <c r="E1489" s="5" t="s">
        <v>1051</v>
      </c>
      <c r="F1489" s="5" t="s">
        <v>1005</v>
      </c>
      <c r="G1489" s="6" t="str">
        <f aca="false">INDEX(Catalogo_Causas!$B$2:$B$10,MATCH(F1489,Catalogo_Causas!$A$2:$A$10,0))</f>
        <v>Falla eléctrica / control</v>
      </c>
      <c r="H1489" s="6" t="str">
        <f aca="false">INDEX(Catalogo_Causas!$C$2:$C$10,MATCH(F1489,Catalogo_Causas!$A$2:$A$10,0))</f>
        <v>Operacional</v>
      </c>
      <c r="I1489" s="5" t="n">
        <v>186</v>
      </c>
      <c r="J1489" s="29" t="n">
        <f aca="false">I1489/60</f>
        <v>3.1</v>
      </c>
    </row>
    <row r="1490" customFormat="false" ht="15" hidden="false" customHeight="false" outlineLevel="0" collapsed="false">
      <c r="A1490" s="5" t="s">
        <v>2532</v>
      </c>
      <c r="B1490" s="9" t="n">
        <v>46034</v>
      </c>
      <c r="C1490" s="9" t="n">
        <v>46038</v>
      </c>
      <c r="D1490" s="5" t="s">
        <v>142</v>
      </c>
      <c r="E1490" s="5" t="s">
        <v>1051</v>
      </c>
      <c r="F1490" s="5" t="s">
        <v>1009</v>
      </c>
      <c r="G1490" s="6" t="str">
        <f aca="false">INDEX(Catalogo_Causas!$B$2:$B$10,MATCH(F1490,Catalogo_Causas!$A$2:$A$10,0))</f>
        <v>Falta de material de empaque</v>
      </c>
      <c r="H1490" s="6" t="str">
        <f aca="false">INDEX(Catalogo_Causas!$C$2:$C$10,MATCH(F1490,Catalogo_Causas!$A$2:$A$10,0))</f>
        <v>Material / suministro</v>
      </c>
      <c r="I1490" s="5" t="n">
        <v>49</v>
      </c>
      <c r="J1490" s="29" t="n">
        <f aca="false">I1490/60</f>
        <v>0.816666666666667</v>
      </c>
    </row>
    <row r="1491" customFormat="false" ht="15" hidden="false" customHeight="false" outlineLevel="0" collapsed="false">
      <c r="A1491" s="5" t="s">
        <v>2533</v>
      </c>
      <c r="B1491" s="9" t="n">
        <v>46034</v>
      </c>
      <c r="C1491" s="9" t="n">
        <v>46039</v>
      </c>
      <c r="D1491" s="5" t="s">
        <v>130</v>
      </c>
      <c r="E1491" s="5" t="s">
        <v>1030</v>
      </c>
      <c r="F1491" s="5" t="s">
        <v>1016</v>
      </c>
      <c r="G1491" s="6" t="str">
        <f aca="false">INDEX(Catalogo_Causas!$B$2:$B$10,MATCH(F1491,Catalogo_Causas!$A$2:$A$10,0))</f>
        <v>Limpieza no programada (CIP)</v>
      </c>
      <c r="H1491" s="6" t="str">
        <f aca="false">INDEX(Catalogo_Causas!$C$2:$C$10,MATCH(F1491,Catalogo_Causas!$A$2:$A$10,0))</f>
        <v>Calidad</v>
      </c>
      <c r="I1491" s="5" t="n">
        <v>10</v>
      </c>
      <c r="J1491" s="29" t="n">
        <f aca="false">I1491/60</f>
        <v>0.166666666666667</v>
      </c>
    </row>
    <row r="1492" customFormat="false" ht="15" hidden="false" customHeight="false" outlineLevel="0" collapsed="false">
      <c r="A1492" s="5" t="s">
        <v>2534</v>
      </c>
      <c r="B1492" s="9" t="n">
        <v>46034</v>
      </c>
      <c r="C1492" s="9" t="n">
        <v>46039</v>
      </c>
      <c r="D1492" s="5" t="s">
        <v>140</v>
      </c>
      <c r="E1492" s="5" t="s">
        <v>1036</v>
      </c>
      <c r="F1492" s="5" t="s">
        <v>1002</v>
      </c>
      <c r="G1492" s="6" t="str">
        <f aca="false">INDEX(Catalogo_Causas!$B$2:$B$10,MATCH(F1492,Catalogo_Causas!$A$2:$A$10,0))</f>
        <v>Falla mecánica</v>
      </c>
      <c r="H1492" s="6" t="str">
        <f aca="false">INDEX(Catalogo_Causas!$C$2:$C$10,MATCH(F1492,Catalogo_Causas!$A$2:$A$10,0))</f>
        <v>Operacional</v>
      </c>
      <c r="I1492" s="5" t="n">
        <v>152</v>
      </c>
      <c r="J1492" s="29" t="n">
        <f aca="false">I1492/60</f>
        <v>2.53333333333333</v>
      </c>
    </row>
    <row r="1493" customFormat="false" ht="15" hidden="false" customHeight="false" outlineLevel="0" collapsed="false">
      <c r="A1493" s="5" t="s">
        <v>2535</v>
      </c>
      <c r="B1493" s="9" t="n">
        <v>46034</v>
      </c>
      <c r="C1493" s="9" t="n">
        <v>46039</v>
      </c>
      <c r="D1493" s="5" t="s">
        <v>142</v>
      </c>
      <c r="E1493" s="5" t="s">
        <v>1030</v>
      </c>
      <c r="F1493" s="5" t="s">
        <v>1014</v>
      </c>
      <c r="G1493" s="6" t="str">
        <f aca="false">INDEX(Catalogo_Causas!$B$2:$B$10,MATCH(F1493,Catalogo_Causas!$A$2:$A$10,0))</f>
        <v>Retención de calidad</v>
      </c>
      <c r="H1493" s="6" t="str">
        <f aca="false">INDEX(Catalogo_Causas!$C$2:$C$10,MATCH(F1493,Catalogo_Causas!$A$2:$A$10,0))</f>
        <v>Calidad</v>
      </c>
      <c r="I1493" s="5" t="n">
        <v>108</v>
      </c>
      <c r="J1493" s="29" t="n">
        <f aca="false">I1493/60</f>
        <v>1.8</v>
      </c>
    </row>
    <row r="1494" customFormat="false" ht="15" hidden="false" customHeight="false" outlineLevel="0" collapsed="false">
      <c r="A1494" s="5" t="s">
        <v>2536</v>
      </c>
      <c r="B1494" s="9" t="n">
        <v>46034</v>
      </c>
      <c r="C1494" s="9" t="n">
        <v>46039</v>
      </c>
      <c r="D1494" s="5" t="s">
        <v>144</v>
      </c>
      <c r="E1494" s="5" t="s">
        <v>1043</v>
      </c>
      <c r="F1494" s="5" t="s">
        <v>1007</v>
      </c>
      <c r="G1494" s="6" t="str">
        <f aca="false">INDEX(Catalogo_Causas!$B$2:$B$10,MATCH(F1494,Catalogo_Causas!$A$2:$A$10,0))</f>
        <v>Cambio de formato excedido</v>
      </c>
      <c r="H1494" s="6" t="str">
        <f aca="false">INDEX(Catalogo_Causas!$C$2:$C$10,MATCH(F1494,Catalogo_Causas!$A$2:$A$10,0))</f>
        <v>Operacional</v>
      </c>
      <c r="I1494" s="5" t="n">
        <v>55</v>
      </c>
      <c r="J1494" s="29" t="n">
        <f aca="false">I1494/60</f>
        <v>0.916666666666667</v>
      </c>
    </row>
    <row r="1495" customFormat="false" ht="15" hidden="false" customHeight="false" outlineLevel="0" collapsed="false">
      <c r="A1495" s="5" t="s">
        <v>2537</v>
      </c>
      <c r="B1495" s="9" t="n">
        <v>46041</v>
      </c>
      <c r="C1495" s="9" t="n">
        <v>46041</v>
      </c>
      <c r="D1495" s="5" t="s">
        <v>132</v>
      </c>
      <c r="E1495" s="5" t="s">
        <v>1084</v>
      </c>
      <c r="F1495" s="5" t="s">
        <v>1018</v>
      </c>
      <c r="G1495" s="6" t="str">
        <f aca="false">INDEX(Catalogo_Causas!$B$2:$B$10,MATCH(F1495,Catalogo_Causas!$A$2:$A$10,0))</f>
        <v>Falta de personal</v>
      </c>
      <c r="H1495" s="6" t="str">
        <f aca="false">INDEX(Catalogo_Causas!$C$2:$C$10,MATCH(F1495,Catalogo_Causas!$A$2:$A$10,0))</f>
        <v>Personal</v>
      </c>
      <c r="I1495" s="5" t="n">
        <v>23</v>
      </c>
      <c r="J1495" s="29" t="n">
        <f aca="false">I1495/60</f>
        <v>0.383333333333333</v>
      </c>
    </row>
    <row r="1496" customFormat="false" ht="15" hidden="false" customHeight="false" outlineLevel="0" collapsed="false">
      <c r="A1496" s="5" t="s">
        <v>2538</v>
      </c>
      <c r="B1496" s="9" t="n">
        <v>46041</v>
      </c>
      <c r="C1496" s="9" t="n">
        <v>46041</v>
      </c>
      <c r="D1496" s="5" t="s">
        <v>134</v>
      </c>
      <c r="E1496" s="5" t="s">
        <v>1030</v>
      </c>
      <c r="F1496" s="5" t="s">
        <v>1002</v>
      </c>
      <c r="G1496" s="6" t="str">
        <f aca="false">INDEX(Catalogo_Causas!$B$2:$B$10,MATCH(F1496,Catalogo_Causas!$A$2:$A$10,0))</f>
        <v>Falla mecánica</v>
      </c>
      <c r="H1496" s="6" t="str">
        <f aca="false">INDEX(Catalogo_Causas!$C$2:$C$10,MATCH(F1496,Catalogo_Causas!$A$2:$A$10,0))</f>
        <v>Operacional</v>
      </c>
      <c r="I1496" s="5" t="n">
        <v>42</v>
      </c>
      <c r="J1496" s="29" t="n">
        <f aca="false">I1496/60</f>
        <v>0.7</v>
      </c>
    </row>
    <row r="1497" customFormat="false" ht="15" hidden="false" customHeight="false" outlineLevel="0" collapsed="false">
      <c r="A1497" s="5" t="s">
        <v>2539</v>
      </c>
      <c r="B1497" s="9" t="n">
        <v>46041</v>
      </c>
      <c r="C1497" s="9" t="n">
        <v>46041</v>
      </c>
      <c r="D1497" s="5" t="s">
        <v>142</v>
      </c>
      <c r="E1497" s="5" t="s">
        <v>1051</v>
      </c>
      <c r="F1497" s="5" t="s">
        <v>1018</v>
      </c>
      <c r="G1497" s="6" t="str">
        <f aca="false">INDEX(Catalogo_Causas!$B$2:$B$10,MATCH(F1497,Catalogo_Causas!$A$2:$A$10,0))</f>
        <v>Falta de personal</v>
      </c>
      <c r="H1497" s="6" t="str">
        <f aca="false">INDEX(Catalogo_Causas!$C$2:$C$10,MATCH(F1497,Catalogo_Causas!$A$2:$A$10,0))</f>
        <v>Personal</v>
      </c>
      <c r="I1497" s="5" t="n">
        <v>48</v>
      </c>
      <c r="J1497" s="29" t="n">
        <f aca="false">I1497/60</f>
        <v>0.8</v>
      </c>
    </row>
    <row r="1498" customFormat="false" ht="15" hidden="false" customHeight="false" outlineLevel="0" collapsed="false">
      <c r="A1498" s="5" t="s">
        <v>2540</v>
      </c>
      <c r="B1498" s="9" t="n">
        <v>46041</v>
      </c>
      <c r="C1498" s="9" t="n">
        <v>46041</v>
      </c>
      <c r="D1498" s="5" t="s">
        <v>142</v>
      </c>
      <c r="E1498" s="5" t="s">
        <v>1041</v>
      </c>
      <c r="F1498" s="5" t="s">
        <v>1012</v>
      </c>
      <c r="G1498" s="6" t="str">
        <f aca="false">INDEX(Catalogo_Causas!$B$2:$B$10,MATCH(F1498,Catalogo_Causas!$A$2:$A$10,0))</f>
        <v>Falta de materia prima</v>
      </c>
      <c r="H1498" s="6" t="str">
        <f aca="false">INDEX(Catalogo_Causas!$C$2:$C$10,MATCH(F1498,Catalogo_Causas!$A$2:$A$10,0))</f>
        <v>Material / suministro</v>
      </c>
      <c r="I1498" s="5" t="n">
        <v>74</v>
      </c>
      <c r="J1498" s="29" t="n">
        <f aca="false">I1498/60</f>
        <v>1.23333333333333</v>
      </c>
    </row>
    <row r="1499" customFormat="false" ht="15" hidden="false" customHeight="false" outlineLevel="0" collapsed="false">
      <c r="A1499" s="5" t="s">
        <v>2541</v>
      </c>
      <c r="B1499" s="9" t="n">
        <v>46041</v>
      </c>
      <c r="C1499" s="9" t="n">
        <v>46041</v>
      </c>
      <c r="D1499" s="5" t="s">
        <v>144</v>
      </c>
      <c r="E1499" s="5" t="s">
        <v>1043</v>
      </c>
      <c r="F1499" s="5" t="s">
        <v>1007</v>
      </c>
      <c r="G1499" s="6" t="str">
        <f aca="false">INDEX(Catalogo_Causas!$B$2:$B$10,MATCH(F1499,Catalogo_Causas!$A$2:$A$10,0))</f>
        <v>Cambio de formato excedido</v>
      </c>
      <c r="H1499" s="6" t="str">
        <f aca="false">INDEX(Catalogo_Causas!$C$2:$C$10,MATCH(F1499,Catalogo_Causas!$A$2:$A$10,0))</f>
        <v>Operacional</v>
      </c>
      <c r="I1499" s="5" t="n">
        <v>52</v>
      </c>
      <c r="J1499" s="29" t="n">
        <f aca="false">I1499/60</f>
        <v>0.866666666666667</v>
      </c>
    </row>
    <row r="1500" customFormat="false" ht="15" hidden="false" customHeight="false" outlineLevel="0" collapsed="false">
      <c r="A1500" s="5" t="s">
        <v>2542</v>
      </c>
      <c r="B1500" s="9" t="n">
        <v>46041</v>
      </c>
      <c r="C1500" s="9" t="n">
        <v>46041</v>
      </c>
      <c r="D1500" s="5" t="s">
        <v>144</v>
      </c>
      <c r="E1500" s="5" t="s">
        <v>1032</v>
      </c>
      <c r="F1500" s="5" t="s">
        <v>1005</v>
      </c>
      <c r="G1500" s="6" t="str">
        <f aca="false">INDEX(Catalogo_Causas!$B$2:$B$10,MATCH(F1500,Catalogo_Causas!$A$2:$A$10,0))</f>
        <v>Falla eléctrica / control</v>
      </c>
      <c r="H1500" s="6" t="str">
        <f aca="false">INDEX(Catalogo_Causas!$C$2:$C$10,MATCH(F1500,Catalogo_Causas!$A$2:$A$10,0))</f>
        <v>Operacional</v>
      </c>
      <c r="I1500" s="5" t="n">
        <v>33</v>
      </c>
      <c r="J1500" s="29" t="n">
        <f aca="false">I1500/60</f>
        <v>0.55</v>
      </c>
    </row>
    <row r="1501" customFormat="false" ht="15" hidden="false" customHeight="false" outlineLevel="0" collapsed="false">
      <c r="A1501" s="5" t="s">
        <v>2543</v>
      </c>
      <c r="B1501" s="9" t="n">
        <v>46041</v>
      </c>
      <c r="C1501" s="9" t="n">
        <v>46042</v>
      </c>
      <c r="D1501" s="5" t="s">
        <v>132</v>
      </c>
      <c r="E1501" s="5" t="s">
        <v>1032</v>
      </c>
      <c r="F1501" s="5" t="s">
        <v>1005</v>
      </c>
      <c r="G1501" s="6" t="str">
        <f aca="false">INDEX(Catalogo_Causas!$B$2:$B$10,MATCH(F1501,Catalogo_Causas!$A$2:$A$10,0))</f>
        <v>Falla eléctrica / control</v>
      </c>
      <c r="H1501" s="6" t="str">
        <f aca="false">INDEX(Catalogo_Causas!$C$2:$C$10,MATCH(F1501,Catalogo_Causas!$A$2:$A$10,0))</f>
        <v>Operacional</v>
      </c>
      <c r="I1501" s="5" t="n">
        <v>59</v>
      </c>
      <c r="J1501" s="29" t="n">
        <f aca="false">I1501/60</f>
        <v>0.983333333333333</v>
      </c>
    </row>
    <row r="1502" customFormat="false" ht="15" hidden="false" customHeight="false" outlineLevel="0" collapsed="false">
      <c r="A1502" s="5" t="s">
        <v>2544</v>
      </c>
      <c r="B1502" s="9" t="n">
        <v>46041</v>
      </c>
      <c r="C1502" s="9" t="n">
        <v>46042</v>
      </c>
      <c r="D1502" s="5" t="s">
        <v>134</v>
      </c>
      <c r="E1502" s="5" t="s">
        <v>1032</v>
      </c>
      <c r="F1502" s="5" t="s">
        <v>1002</v>
      </c>
      <c r="G1502" s="6" t="str">
        <f aca="false">INDEX(Catalogo_Causas!$B$2:$B$10,MATCH(F1502,Catalogo_Causas!$A$2:$A$10,0))</f>
        <v>Falla mecánica</v>
      </c>
      <c r="H1502" s="6" t="str">
        <f aca="false">INDEX(Catalogo_Causas!$C$2:$C$10,MATCH(F1502,Catalogo_Causas!$A$2:$A$10,0))</f>
        <v>Operacional</v>
      </c>
      <c r="I1502" s="5" t="n">
        <v>27</v>
      </c>
      <c r="J1502" s="29" t="n">
        <f aca="false">I1502/60</f>
        <v>0.45</v>
      </c>
    </row>
    <row r="1503" customFormat="false" ht="15" hidden="false" customHeight="false" outlineLevel="0" collapsed="false">
      <c r="A1503" s="5" t="s">
        <v>2545</v>
      </c>
      <c r="B1503" s="9" t="n">
        <v>46041</v>
      </c>
      <c r="C1503" s="9" t="n">
        <v>46042</v>
      </c>
      <c r="D1503" s="5" t="s">
        <v>134</v>
      </c>
      <c r="E1503" s="5" t="s">
        <v>1054</v>
      </c>
      <c r="F1503" s="5" t="s">
        <v>1016</v>
      </c>
      <c r="G1503" s="6" t="str">
        <f aca="false">INDEX(Catalogo_Causas!$B$2:$B$10,MATCH(F1503,Catalogo_Causas!$A$2:$A$10,0))</f>
        <v>Limpieza no programada (CIP)</v>
      </c>
      <c r="H1503" s="6" t="str">
        <f aca="false">INDEX(Catalogo_Causas!$C$2:$C$10,MATCH(F1503,Catalogo_Causas!$A$2:$A$10,0))</f>
        <v>Calidad</v>
      </c>
      <c r="I1503" s="5" t="n">
        <v>32</v>
      </c>
      <c r="J1503" s="29" t="n">
        <f aca="false">I1503/60</f>
        <v>0.533333333333333</v>
      </c>
    </row>
    <row r="1504" customFormat="false" ht="15" hidden="false" customHeight="false" outlineLevel="0" collapsed="false">
      <c r="A1504" s="5" t="s">
        <v>2546</v>
      </c>
      <c r="B1504" s="9" t="n">
        <v>46041</v>
      </c>
      <c r="C1504" s="9" t="n">
        <v>46042</v>
      </c>
      <c r="D1504" s="5" t="s">
        <v>136</v>
      </c>
      <c r="E1504" s="5" t="s">
        <v>1032</v>
      </c>
      <c r="F1504" s="5" t="s">
        <v>1021</v>
      </c>
      <c r="G1504" s="6" t="str">
        <f aca="false">INDEX(Catalogo_Causas!$B$2:$B$10,MATCH(F1504,Catalogo_Causas!$A$2:$A$10,0))</f>
        <v>Falla de servicios (vapor/amoniaco/aire)</v>
      </c>
      <c r="H1504" s="6" t="str">
        <f aca="false">INDEX(Catalogo_Causas!$C$2:$C$10,MATCH(F1504,Catalogo_Causas!$A$2:$A$10,0))</f>
        <v>Servicios</v>
      </c>
      <c r="I1504" s="5" t="n">
        <v>139</v>
      </c>
      <c r="J1504" s="29" t="n">
        <f aca="false">I1504/60</f>
        <v>2.31666666666667</v>
      </c>
    </row>
    <row r="1505" customFormat="false" ht="15" hidden="false" customHeight="false" outlineLevel="0" collapsed="false">
      <c r="A1505" s="5" t="s">
        <v>2547</v>
      </c>
      <c r="B1505" s="9" t="n">
        <v>46041</v>
      </c>
      <c r="C1505" s="9" t="n">
        <v>46042</v>
      </c>
      <c r="D1505" s="5" t="s">
        <v>140</v>
      </c>
      <c r="E1505" s="5" t="s">
        <v>1036</v>
      </c>
      <c r="F1505" s="5" t="s">
        <v>1018</v>
      </c>
      <c r="G1505" s="6" t="str">
        <f aca="false">INDEX(Catalogo_Causas!$B$2:$B$10,MATCH(F1505,Catalogo_Causas!$A$2:$A$10,0))</f>
        <v>Falta de personal</v>
      </c>
      <c r="H1505" s="6" t="str">
        <f aca="false">INDEX(Catalogo_Causas!$C$2:$C$10,MATCH(F1505,Catalogo_Causas!$A$2:$A$10,0))</f>
        <v>Personal</v>
      </c>
      <c r="I1505" s="5" t="n">
        <v>83</v>
      </c>
      <c r="J1505" s="29" t="n">
        <f aca="false">I1505/60</f>
        <v>1.38333333333333</v>
      </c>
    </row>
    <row r="1506" customFormat="false" ht="15" hidden="false" customHeight="false" outlineLevel="0" collapsed="false">
      <c r="A1506" s="5" t="s">
        <v>2548</v>
      </c>
      <c r="B1506" s="9" t="n">
        <v>46041</v>
      </c>
      <c r="C1506" s="9" t="n">
        <v>46043</v>
      </c>
      <c r="D1506" s="5" t="s">
        <v>132</v>
      </c>
      <c r="E1506" s="5" t="s">
        <v>1032</v>
      </c>
      <c r="F1506" s="5" t="s">
        <v>1014</v>
      </c>
      <c r="G1506" s="6" t="str">
        <f aca="false">INDEX(Catalogo_Causas!$B$2:$B$10,MATCH(F1506,Catalogo_Causas!$A$2:$A$10,0))</f>
        <v>Retención de calidad</v>
      </c>
      <c r="H1506" s="6" t="str">
        <f aca="false">INDEX(Catalogo_Causas!$C$2:$C$10,MATCH(F1506,Catalogo_Causas!$A$2:$A$10,0))</f>
        <v>Calidad</v>
      </c>
      <c r="I1506" s="5" t="n">
        <v>101</v>
      </c>
      <c r="J1506" s="29" t="n">
        <f aca="false">I1506/60</f>
        <v>1.68333333333333</v>
      </c>
    </row>
    <row r="1507" customFormat="false" ht="15" hidden="false" customHeight="false" outlineLevel="0" collapsed="false">
      <c r="A1507" s="5" t="s">
        <v>2549</v>
      </c>
      <c r="B1507" s="9" t="n">
        <v>46041</v>
      </c>
      <c r="C1507" s="9" t="n">
        <v>46043</v>
      </c>
      <c r="D1507" s="5" t="s">
        <v>136</v>
      </c>
      <c r="E1507" s="5" t="s">
        <v>1032</v>
      </c>
      <c r="F1507" s="5" t="s">
        <v>1002</v>
      </c>
      <c r="G1507" s="6" t="str">
        <f aca="false">INDEX(Catalogo_Causas!$B$2:$B$10,MATCH(F1507,Catalogo_Causas!$A$2:$A$10,0))</f>
        <v>Falla mecánica</v>
      </c>
      <c r="H1507" s="6" t="str">
        <f aca="false">INDEX(Catalogo_Causas!$C$2:$C$10,MATCH(F1507,Catalogo_Causas!$A$2:$A$10,0))</f>
        <v>Operacional</v>
      </c>
      <c r="I1507" s="5" t="n">
        <v>32</v>
      </c>
      <c r="J1507" s="29" t="n">
        <f aca="false">I1507/60</f>
        <v>0.533333333333333</v>
      </c>
    </row>
    <row r="1508" customFormat="false" ht="15" hidden="false" customHeight="false" outlineLevel="0" collapsed="false">
      <c r="A1508" s="5" t="s">
        <v>2550</v>
      </c>
      <c r="B1508" s="9" t="n">
        <v>46041</v>
      </c>
      <c r="C1508" s="9" t="n">
        <v>46043</v>
      </c>
      <c r="D1508" s="5" t="s">
        <v>138</v>
      </c>
      <c r="E1508" s="5" t="s">
        <v>1056</v>
      </c>
      <c r="F1508" s="5" t="s">
        <v>1005</v>
      </c>
      <c r="G1508" s="6" t="str">
        <f aca="false">INDEX(Catalogo_Causas!$B$2:$B$10,MATCH(F1508,Catalogo_Causas!$A$2:$A$10,0))</f>
        <v>Falla eléctrica / control</v>
      </c>
      <c r="H1508" s="6" t="str">
        <f aca="false">INDEX(Catalogo_Causas!$C$2:$C$10,MATCH(F1508,Catalogo_Causas!$A$2:$A$10,0))</f>
        <v>Operacional</v>
      </c>
      <c r="I1508" s="5" t="n">
        <v>47</v>
      </c>
      <c r="J1508" s="29" t="n">
        <f aca="false">I1508/60</f>
        <v>0.783333333333333</v>
      </c>
    </row>
    <row r="1509" customFormat="false" ht="15" hidden="false" customHeight="false" outlineLevel="0" collapsed="false">
      <c r="A1509" s="5" t="s">
        <v>2551</v>
      </c>
      <c r="B1509" s="9" t="n">
        <v>46041</v>
      </c>
      <c r="C1509" s="9" t="n">
        <v>46043</v>
      </c>
      <c r="D1509" s="5" t="s">
        <v>140</v>
      </c>
      <c r="E1509" s="5" t="s">
        <v>1032</v>
      </c>
      <c r="F1509" s="5" t="s">
        <v>1016</v>
      </c>
      <c r="G1509" s="6" t="str">
        <f aca="false">INDEX(Catalogo_Causas!$B$2:$B$10,MATCH(F1509,Catalogo_Causas!$A$2:$A$10,0))</f>
        <v>Limpieza no programada (CIP)</v>
      </c>
      <c r="H1509" s="6" t="str">
        <f aca="false">INDEX(Catalogo_Causas!$C$2:$C$10,MATCH(F1509,Catalogo_Causas!$A$2:$A$10,0))</f>
        <v>Calidad</v>
      </c>
      <c r="I1509" s="5" t="n">
        <v>37</v>
      </c>
      <c r="J1509" s="29" t="n">
        <f aca="false">I1509/60</f>
        <v>0.616666666666667</v>
      </c>
    </row>
    <row r="1510" customFormat="false" ht="15" hidden="false" customHeight="false" outlineLevel="0" collapsed="false">
      <c r="A1510" s="5" t="s">
        <v>2552</v>
      </c>
      <c r="B1510" s="9" t="n">
        <v>46041</v>
      </c>
      <c r="C1510" s="9" t="n">
        <v>46044</v>
      </c>
      <c r="D1510" s="5" t="s">
        <v>130</v>
      </c>
      <c r="E1510" s="5" t="s">
        <v>1045</v>
      </c>
      <c r="F1510" s="5" t="s">
        <v>1014</v>
      </c>
      <c r="G1510" s="6" t="str">
        <f aca="false">INDEX(Catalogo_Causas!$B$2:$B$10,MATCH(F1510,Catalogo_Causas!$A$2:$A$10,0))</f>
        <v>Retención de calidad</v>
      </c>
      <c r="H1510" s="6" t="str">
        <f aca="false">INDEX(Catalogo_Causas!$C$2:$C$10,MATCH(F1510,Catalogo_Causas!$A$2:$A$10,0))</f>
        <v>Calidad</v>
      </c>
      <c r="I1510" s="5" t="n">
        <v>31</v>
      </c>
      <c r="J1510" s="29" t="n">
        <f aca="false">I1510/60</f>
        <v>0.516666666666667</v>
      </c>
    </row>
    <row r="1511" customFormat="false" ht="15" hidden="false" customHeight="false" outlineLevel="0" collapsed="false">
      <c r="A1511" s="5" t="s">
        <v>2553</v>
      </c>
      <c r="B1511" s="9" t="n">
        <v>46041</v>
      </c>
      <c r="C1511" s="9" t="n">
        <v>46044</v>
      </c>
      <c r="D1511" s="5" t="s">
        <v>140</v>
      </c>
      <c r="E1511" s="5" t="s">
        <v>1045</v>
      </c>
      <c r="F1511" s="5" t="s">
        <v>1007</v>
      </c>
      <c r="G1511" s="6" t="str">
        <f aca="false">INDEX(Catalogo_Causas!$B$2:$B$10,MATCH(F1511,Catalogo_Causas!$A$2:$A$10,0))</f>
        <v>Cambio de formato excedido</v>
      </c>
      <c r="H1511" s="6" t="str">
        <f aca="false">INDEX(Catalogo_Causas!$C$2:$C$10,MATCH(F1511,Catalogo_Causas!$A$2:$A$10,0))</f>
        <v>Operacional</v>
      </c>
      <c r="I1511" s="5" t="n">
        <v>14</v>
      </c>
      <c r="J1511" s="29" t="n">
        <f aca="false">I1511/60</f>
        <v>0.233333333333333</v>
      </c>
    </row>
    <row r="1512" customFormat="false" ht="15" hidden="false" customHeight="false" outlineLevel="0" collapsed="false">
      <c r="A1512" s="5" t="s">
        <v>2554</v>
      </c>
      <c r="B1512" s="9" t="n">
        <v>46041</v>
      </c>
      <c r="C1512" s="9" t="n">
        <v>46044</v>
      </c>
      <c r="D1512" s="5" t="s">
        <v>144</v>
      </c>
      <c r="E1512" s="5" t="s">
        <v>1043</v>
      </c>
      <c r="F1512" s="5" t="s">
        <v>1002</v>
      </c>
      <c r="G1512" s="6" t="str">
        <f aca="false">INDEX(Catalogo_Causas!$B$2:$B$10,MATCH(F1512,Catalogo_Causas!$A$2:$A$10,0))</f>
        <v>Falla mecánica</v>
      </c>
      <c r="H1512" s="6" t="str">
        <f aca="false">INDEX(Catalogo_Causas!$C$2:$C$10,MATCH(F1512,Catalogo_Causas!$A$2:$A$10,0))</f>
        <v>Operacional</v>
      </c>
      <c r="I1512" s="5" t="n">
        <v>209</v>
      </c>
      <c r="J1512" s="29" t="n">
        <f aca="false">I1512/60</f>
        <v>3.48333333333333</v>
      </c>
    </row>
    <row r="1513" customFormat="false" ht="15" hidden="false" customHeight="false" outlineLevel="0" collapsed="false">
      <c r="A1513" s="5" t="s">
        <v>2555</v>
      </c>
      <c r="B1513" s="9" t="n">
        <v>46041</v>
      </c>
      <c r="C1513" s="9" t="n">
        <v>46045</v>
      </c>
      <c r="D1513" s="5" t="s">
        <v>132</v>
      </c>
      <c r="E1513" s="5" t="s">
        <v>1084</v>
      </c>
      <c r="F1513" s="5" t="s">
        <v>1021</v>
      </c>
      <c r="G1513" s="6" t="str">
        <f aca="false">INDEX(Catalogo_Causas!$B$2:$B$10,MATCH(F1513,Catalogo_Causas!$A$2:$A$10,0))</f>
        <v>Falla de servicios (vapor/amoniaco/aire)</v>
      </c>
      <c r="H1513" s="6" t="str">
        <f aca="false">INDEX(Catalogo_Causas!$C$2:$C$10,MATCH(F1513,Catalogo_Causas!$A$2:$A$10,0))</f>
        <v>Servicios</v>
      </c>
      <c r="I1513" s="5" t="n">
        <v>52</v>
      </c>
      <c r="J1513" s="29" t="n">
        <f aca="false">I1513/60</f>
        <v>0.866666666666667</v>
      </c>
    </row>
    <row r="1514" customFormat="false" ht="15" hidden="false" customHeight="false" outlineLevel="0" collapsed="false">
      <c r="A1514" s="5" t="s">
        <v>2556</v>
      </c>
      <c r="B1514" s="9" t="n">
        <v>46041</v>
      </c>
      <c r="C1514" s="9" t="n">
        <v>46045</v>
      </c>
      <c r="D1514" s="5" t="s">
        <v>138</v>
      </c>
      <c r="E1514" s="5" t="s">
        <v>1034</v>
      </c>
      <c r="F1514" s="5" t="s">
        <v>1002</v>
      </c>
      <c r="G1514" s="6" t="str">
        <f aca="false">INDEX(Catalogo_Causas!$B$2:$B$10,MATCH(F1514,Catalogo_Causas!$A$2:$A$10,0))</f>
        <v>Falla mecánica</v>
      </c>
      <c r="H1514" s="6" t="str">
        <f aca="false">INDEX(Catalogo_Causas!$C$2:$C$10,MATCH(F1514,Catalogo_Causas!$A$2:$A$10,0))</f>
        <v>Operacional</v>
      </c>
      <c r="I1514" s="5" t="n">
        <v>22</v>
      </c>
      <c r="J1514" s="29" t="n">
        <f aca="false">I1514/60</f>
        <v>0.366666666666667</v>
      </c>
    </row>
    <row r="1515" customFormat="false" ht="15" hidden="false" customHeight="false" outlineLevel="0" collapsed="false">
      <c r="A1515" s="5" t="s">
        <v>2557</v>
      </c>
      <c r="B1515" s="9" t="n">
        <v>46041</v>
      </c>
      <c r="C1515" s="9" t="n">
        <v>46045</v>
      </c>
      <c r="D1515" s="5" t="s">
        <v>144</v>
      </c>
      <c r="E1515" s="5" t="s">
        <v>1032</v>
      </c>
      <c r="F1515" s="5" t="s">
        <v>1002</v>
      </c>
      <c r="G1515" s="6" t="str">
        <f aca="false">INDEX(Catalogo_Causas!$B$2:$B$10,MATCH(F1515,Catalogo_Causas!$A$2:$A$10,0))</f>
        <v>Falla mecánica</v>
      </c>
      <c r="H1515" s="6" t="str">
        <f aca="false">INDEX(Catalogo_Causas!$C$2:$C$10,MATCH(F1515,Catalogo_Causas!$A$2:$A$10,0))</f>
        <v>Operacional</v>
      </c>
      <c r="I1515" s="5" t="n">
        <v>55</v>
      </c>
      <c r="J1515" s="29" t="n">
        <f aca="false">I1515/60</f>
        <v>0.916666666666667</v>
      </c>
    </row>
    <row r="1516" customFormat="false" ht="15" hidden="false" customHeight="false" outlineLevel="0" collapsed="false">
      <c r="A1516" s="5" t="s">
        <v>2558</v>
      </c>
      <c r="B1516" s="9" t="n">
        <v>46041</v>
      </c>
      <c r="C1516" s="9" t="n">
        <v>46046</v>
      </c>
      <c r="D1516" s="5" t="s">
        <v>130</v>
      </c>
      <c r="E1516" s="5" t="s">
        <v>1078</v>
      </c>
      <c r="F1516" s="5" t="s">
        <v>1018</v>
      </c>
      <c r="G1516" s="6" t="str">
        <f aca="false">INDEX(Catalogo_Causas!$B$2:$B$10,MATCH(F1516,Catalogo_Causas!$A$2:$A$10,0))</f>
        <v>Falta de personal</v>
      </c>
      <c r="H1516" s="6" t="str">
        <f aca="false">INDEX(Catalogo_Causas!$C$2:$C$10,MATCH(F1516,Catalogo_Causas!$A$2:$A$10,0))</f>
        <v>Personal</v>
      </c>
      <c r="I1516" s="5" t="n">
        <v>52</v>
      </c>
      <c r="J1516" s="29" t="n">
        <f aca="false">I1516/60</f>
        <v>0.866666666666667</v>
      </c>
    </row>
    <row r="1517" customFormat="false" ht="15" hidden="false" customHeight="false" outlineLevel="0" collapsed="false">
      <c r="A1517" s="5" t="s">
        <v>2559</v>
      </c>
      <c r="B1517" s="9" t="n">
        <v>46041</v>
      </c>
      <c r="C1517" s="9" t="n">
        <v>46046</v>
      </c>
      <c r="D1517" s="5" t="s">
        <v>132</v>
      </c>
      <c r="E1517" s="5" t="s">
        <v>1073</v>
      </c>
      <c r="F1517" s="5" t="s">
        <v>1014</v>
      </c>
      <c r="G1517" s="6" t="str">
        <f aca="false">INDEX(Catalogo_Causas!$B$2:$B$10,MATCH(F1517,Catalogo_Causas!$A$2:$A$10,0))</f>
        <v>Retención de calidad</v>
      </c>
      <c r="H1517" s="6" t="str">
        <f aca="false">INDEX(Catalogo_Causas!$C$2:$C$10,MATCH(F1517,Catalogo_Causas!$A$2:$A$10,0))</f>
        <v>Calidad</v>
      </c>
      <c r="I1517" s="5" t="n">
        <v>80</v>
      </c>
      <c r="J1517" s="29" t="n">
        <f aca="false">I1517/60</f>
        <v>1.33333333333333</v>
      </c>
    </row>
    <row r="1518" customFormat="false" ht="15" hidden="false" customHeight="false" outlineLevel="0" collapsed="false">
      <c r="A1518" s="5" t="s">
        <v>2560</v>
      </c>
      <c r="B1518" s="9" t="n">
        <v>46041</v>
      </c>
      <c r="C1518" s="9" t="n">
        <v>46046</v>
      </c>
      <c r="D1518" s="5" t="s">
        <v>134</v>
      </c>
      <c r="E1518" s="5" t="s">
        <v>1054</v>
      </c>
      <c r="F1518" s="5" t="s">
        <v>1002</v>
      </c>
      <c r="G1518" s="6" t="str">
        <f aca="false">INDEX(Catalogo_Causas!$B$2:$B$10,MATCH(F1518,Catalogo_Causas!$A$2:$A$10,0))</f>
        <v>Falla mecánica</v>
      </c>
      <c r="H1518" s="6" t="str">
        <f aca="false">INDEX(Catalogo_Causas!$C$2:$C$10,MATCH(F1518,Catalogo_Causas!$A$2:$A$10,0))</f>
        <v>Operacional</v>
      </c>
      <c r="I1518" s="5" t="n">
        <v>44</v>
      </c>
      <c r="J1518" s="29" t="n">
        <f aca="false">I1518/60</f>
        <v>0.733333333333333</v>
      </c>
    </row>
    <row r="1519" customFormat="false" ht="15" hidden="false" customHeight="false" outlineLevel="0" collapsed="false">
      <c r="A1519" s="5" t="s">
        <v>2561</v>
      </c>
      <c r="B1519" s="9" t="n">
        <v>46041</v>
      </c>
      <c r="C1519" s="9" t="n">
        <v>46046</v>
      </c>
      <c r="D1519" s="5" t="s">
        <v>140</v>
      </c>
      <c r="E1519" s="5" t="s">
        <v>1036</v>
      </c>
      <c r="F1519" s="5" t="s">
        <v>1009</v>
      </c>
      <c r="G1519" s="6" t="str">
        <f aca="false">INDEX(Catalogo_Causas!$B$2:$B$10,MATCH(F1519,Catalogo_Causas!$A$2:$A$10,0))</f>
        <v>Falta de material de empaque</v>
      </c>
      <c r="H1519" s="6" t="str">
        <f aca="false">INDEX(Catalogo_Causas!$C$2:$C$10,MATCH(F1519,Catalogo_Causas!$A$2:$A$10,0))</f>
        <v>Material / suministro</v>
      </c>
      <c r="I1519" s="5" t="n">
        <v>21</v>
      </c>
      <c r="J1519" s="29" t="n">
        <f aca="false">I1519/60</f>
        <v>0.35</v>
      </c>
    </row>
    <row r="1520" customFormat="false" ht="15" hidden="false" customHeight="false" outlineLevel="0" collapsed="false">
      <c r="A1520" s="5" t="s">
        <v>2562</v>
      </c>
      <c r="B1520" s="9" t="n">
        <v>46048</v>
      </c>
      <c r="C1520" s="9" t="n">
        <v>46048</v>
      </c>
      <c r="D1520" s="5" t="s">
        <v>136</v>
      </c>
      <c r="E1520" s="5" t="s">
        <v>1051</v>
      </c>
      <c r="F1520" s="5" t="s">
        <v>1021</v>
      </c>
      <c r="G1520" s="6" t="str">
        <f aca="false">INDEX(Catalogo_Causas!$B$2:$B$10,MATCH(F1520,Catalogo_Causas!$A$2:$A$10,0))</f>
        <v>Falla de servicios (vapor/amoniaco/aire)</v>
      </c>
      <c r="H1520" s="6" t="str">
        <f aca="false">INDEX(Catalogo_Causas!$C$2:$C$10,MATCH(F1520,Catalogo_Causas!$A$2:$A$10,0))</f>
        <v>Servicios</v>
      </c>
      <c r="I1520" s="5" t="n">
        <v>37</v>
      </c>
      <c r="J1520" s="29" t="n">
        <f aca="false">I1520/60</f>
        <v>0.616666666666667</v>
      </c>
    </row>
    <row r="1521" customFormat="false" ht="15" hidden="false" customHeight="false" outlineLevel="0" collapsed="false">
      <c r="A1521" s="5" t="s">
        <v>2563</v>
      </c>
      <c r="B1521" s="9" t="n">
        <v>46048</v>
      </c>
      <c r="C1521" s="9" t="n">
        <v>46048</v>
      </c>
      <c r="D1521" s="5" t="s">
        <v>144</v>
      </c>
      <c r="E1521" s="5" t="s">
        <v>1032</v>
      </c>
      <c r="F1521" s="5" t="s">
        <v>1005</v>
      </c>
      <c r="G1521" s="6" t="str">
        <f aca="false">INDEX(Catalogo_Causas!$B$2:$B$10,MATCH(F1521,Catalogo_Causas!$A$2:$A$10,0))</f>
        <v>Falla eléctrica / control</v>
      </c>
      <c r="H1521" s="6" t="str">
        <f aca="false">INDEX(Catalogo_Causas!$C$2:$C$10,MATCH(F1521,Catalogo_Causas!$A$2:$A$10,0))</f>
        <v>Operacional</v>
      </c>
      <c r="I1521" s="5" t="n">
        <v>40</v>
      </c>
      <c r="J1521" s="29" t="n">
        <f aca="false">I1521/60</f>
        <v>0.666666666666667</v>
      </c>
    </row>
    <row r="1522" customFormat="false" ht="15" hidden="false" customHeight="false" outlineLevel="0" collapsed="false">
      <c r="A1522" s="5" t="s">
        <v>2564</v>
      </c>
      <c r="B1522" s="9" t="n">
        <v>46048</v>
      </c>
      <c r="C1522" s="9" t="n">
        <v>46049</v>
      </c>
      <c r="D1522" s="5" t="s">
        <v>134</v>
      </c>
      <c r="E1522" s="5" t="s">
        <v>1054</v>
      </c>
      <c r="F1522" s="5" t="s">
        <v>1002</v>
      </c>
      <c r="G1522" s="6" t="str">
        <f aca="false">INDEX(Catalogo_Causas!$B$2:$B$10,MATCH(F1522,Catalogo_Causas!$A$2:$A$10,0))</f>
        <v>Falla mecánica</v>
      </c>
      <c r="H1522" s="6" t="str">
        <f aca="false">INDEX(Catalogo_Causas!$C$2:$C$10,MATCH(F1522,Catalogo_Causas!$A$2:$A$10,0))</f>
        <v>Operacional</v>
      </c>
      <c r="I1522" s="5" t="n">
        <v>31</v>
      </c>
      <c r="J1522" s="29" t="n">
        <f aca="false">I1522/60</f>
        <v>0.516666666666667</v>
      </c>
    </row>
    <row r="1523" customFormat="false" ht="15" hidden="false" customHeight="false" outlineLevel="0" collapsed="false">
      <c r="A1523" s="5" t="s">
        <v>2565</v>
      </c>
      <c r="B1523" s="9" t="n">
        <v>46048</v>
      </c>
      <c r="C1523" s="9" t="n">
        <v>46049</v>
      </c>
      <c r="D1523" s="5" t="s">
        <v>136</v>
      </c>
      <c r="E1523" s="5" t="s">
        <v>1032</v>
      </c>
      <c r="F1523" s="5" t="s">
        <v>1002</v>
      </c>
      <c r="G1523" s="6" t="str">
        <f aca="false">INDEX(Catalogo_Causas!$B$2:$B$10,MATCH(F1523,Catalogo_Causas!$A$2:$A$10,0))</f>
        <v>Falla mecánica</v>
      </c>
      <c r="H1523" s="6" t="str">
        <f aca="false">INDEX(Catalogo_Causas!$C$2:$C$10,MATCH(F1523,Catalogo_Causas!$A$2:$A$10,0))</f>
        <v>Operacional</v>
      </c>
      <c r="I1523" s="5" t="n">
        <v>53</v>
      </c>
      <c r="J1523" s="29" t="n">
        <f aca="false">I1523/60</f>
        <v>0.883333333333333</v>
      </c>
    </row>
    <row r="1524" customFormat="false" ht="15" hidden="false" customHeight="false" outlineLevel="0" collapsed="false">
      <c r="A1524" s="5" t="s">
        <v>2566</v>
      </c>
      <c r="B1524" s="9" t="n">
        <v>46048</v>
      </c>
      <c r="C1524" s="9" t="n">
        <v>46049</v>
      </c>
      <c r="D1524" s="5" t="s">
        <v>144</v>
      </c>
      <c r="E1524" s="5" t="s">
        <v>1043</v>
      </c>
      <c r="F1524" s="5" t="s">
        <v>1014</v>
      </c>
      <c r="G1524" s="6" t="str">
        <f aca="false">INDEX(Catalogo_Causas!$B$2:$B$10,MATCH(F1524,Catalogo_Causas!$A$2:$A$10,0))</f>
        <v>Retención de calidad</v>
      </c>
      <c r="H1524" s="6" t="str">
        <f aca="false">INDEX(Catalogo_Causas!$C$2:$C$10,MATCH(F1524,Catalogo_Causas!$A$2:$A$10,0))</f>
        <v>Calidad</v>
      </c>
      <c r="I1524" s="5" t="n">
        <v>26</v>
      </c>
      <c r="J1524" s="29" t="n">
        <f aca="false">I1524/60</f>
        <v>0.433333333333333</v>
      </c>
    </row>
    <row r="1525" customFormat="false" ht="15" hidden="false" customHeight="false" outlineLevel="0" collapsed="false">
      <c r="A1525" s="5" t="s">
        <v>2567</v>
      </c>
      <c r="B1525" s="9" t="n">
        <v>46048</v>
      </c>
      <c r="C1525" s="9" t="n">
        <v>46050</v>
      </c>
      <c r="D1525" s="5" t="s">
        <v>130</v>
      </c>
      <c r="E1525" s="5" t="s">
        <v>1030</v>
      </c>
      <c r="F1525" s="5" t="s">
        <v>1016</v>
      </c>
      <c r="G1525" s="6" t="str">
        <f aca="false">INDEX(Catalogo_Causas!$B$2:$B$10,MATCH(F1525,Catalogo_Causas!$A$2:$A$10,0))</f>
        <v>Limpieza no programada (CIP)</v>
      </c>
      <c r="H1525" s="6" t="str">
        <f aca="false">INDEX(Catalogo_Causas!$C$2:$C$10,MATCH(F1525,Catalogo_Causas!$A$2:$A$10,0))</f>
        <v>Calidad</v>
      </c>
      <c r="I1525" s="5" t="n">
        <v>112</v>
      </c>
      <c r="J1525" s="29" t="n">
        <f aca="false">I1525/60</f>
        <v>1.86666666666667</v>
      </c>
    </row>
    <row r="1526" customFormat="false" ht="15" hidden="false" customHeight="false" outlineLevel="0" collapsed="false">
      <c r="A1526" s="5" t="s">
        <v>2568</v>
      </c>
      <c r="B1526" s="9" t="n">
        <v>46048</v>
      </c>
      <c r="C1526" s="9" t="n">
        <v>46050</v>
      </c>
      <c r="D1526" s="5" t="s">
        <v>136</v>
      </c>
      <c r="E1526" s="5" t="s">
        <v>1101</v>
      </c>
      <c r="F1526" s="5" t="s">
        <v>1005</v>
      </c>
      <c r="G1526" s="6" t="str">
        <f aca="false">INDEX(Catalogo_Causas!$B$2:$B$10,MATCH(F1526,Catalogo_Causas!$A$2:$A$10,0))</f>
        <v>Falla eléctrica / control</v>
      </c>
      <c r="H1526" s="6" t="str">
        <f aca="false">INDEX(Catalogo_Causas!$C$2:$C$10,MATCH(F1526,Catalogo_Causas!$A$2:$A$10,0))</f>
        <v>Operacional</v>
      </c>
      <c r="I1526" s="5" t="n">
        <v>45</v>
      </c>
      <c r="J1526" s="29" t="n">
        <f aca="false">I1526/60</f>
        <v>0.75</v>
      </c>
    </row>
    <row r="1527" customFormat="false" ht="15" hidden="false" customHeight="false" outlineLevel="0" collapsed="false">
      <c r="A1527" s="5" t="s">
        <v>2569</v>
      </c>
      <c r="B1527" s="9" t="n">
        <v>46048</v>
      </c>
      <c r="C1527" s="9" t="n">
        <v>46050</v>
      </c>
      <c r="D1527" s="5" t="s">
        <v>142</v>
      </c>
      <c r="E1527" s="5" t="s">
        <v>1030</v>
      </c>
      <c r="F1527" s="5" t="s">
        <v>1005</v>
      </c>
      <c r="G1527" s="6" t="str">
        <f aca="false">INDEX(Catalogo_Causas!$B$2:$B$10,MATCH(F1527,Catalogo_Causas!$A$2:$A$10,0))</f>
        <v>Falla eléctrica / control</v>
      </c>
      <c r="H1527" s="6" t="str">
        <f aca="false">INDEX(Catalogo_Causas!$C$2:$C$10,MATCH(F1527,Catalogo_Causas!$A$2:$A$10,0))</f>
        <v>Operacional</v>
      </c>
      <c r="I1527" s="5" t="n">
        <v>16</v>
      </c>
      <c r="J1527" s="29" t="n">
        <f aca="false">I1527/60</f>
        <v>0.266666666666667</v>
      </c>
    </row>
    <row r="1528" customFormat="false" ht="15" hidden="false" customHeight="false" outlineLevel="0" collapsed="false">
      <c r="A1528" s="5" t="s">
        <v>2570</v>
      </c>
      <c r="B1528" s="9" t="n">
        <v>46048</v>
      </c>
      <c r="C1528" s="9" t="n">
        <v>46050</v>
      </c>
      <c r="D1528" s="5" t="s">
        <v>144</v>
      </c>
      <c r="E1528" s="5" t="s">
        <v>1032</v>
      </c>
      <c r="F1528" s="5" t="s">
        <v>1002</v>
      </c>
      <c r="G1528" s="6" t="str">
        <f aca="false">INDEX(Catalogo_Causas!$B$2:$B$10,MATCH(F1528,Catalogo_Causas!$A$2:$A$10,0))</f>
        <v>Falla mecánica</v>
      </c>
      <c r="H1528" s="6" t="str">
        <f aca="false">INDEX(Catalogo_Causas!$C$2:$C$10,MATCH(F1528,Catalogo_Causas!$A$2:$A$10,0))</f>
        <v>Operacional</v>
      </c>
      <c r="I1528" s="5" t="n">
        <v>144</v>
      </c>
      <c r="J1528" s="29" t="n">
        <f aca="false">I1528/60</f>
        <v>2.4</v>
      </c>
    </row>
    <row r="1529" customFormat="false" ht="15" hidden="false" customHeight="false" outlineLevel="0" collapsed="false">
      <c r="A1529" s="5" t="s">
        <v>2571</v>
      </c>
      <c r="B1529" s="9" t="n">
        <v>46048</v>
      </c>
      <c r="C1529" s="9" t="n">
        <v>46051</v>
      </c>
      <c r="D1529" s="5" t="s">
        <v>138</v>
      </c>
      <c r="E1529" s="5" t="s">
        <v>1039</v>
      </c>
      <c r="F1529" s="5" t="s">
        <v>1007</v>
      </c>
      <c r="G1529" s="6" t="str">
        <f aca="false">INDEX(Catalogo_Causas!$B$2:$B$10,MATCH(F1529,Catalogo_Causas!$A$2:$A$10,0))</f>
        <v>Cambio de formato excedido</v>
      </c>
      <c r="H1529" s="6" t="str">
        <f aca="false">INDEX(Catalogo_Causas!$C$2:$C$10,MATCH(F1529,Catalogo_Causas!$A$2:$A$10,0))</f>
        <v>Operacional</v>
      </c>
      <c r="I1529" s="5" t="n">
        <v>36</v>
      </c>
      <c r="J1529" s="29" t="n">
        <f aca="false">I1529/60</f>
        <v>0.6</v>
      </c>
    </row>
    <row r="1530" customFormat="false" ht="15" hidden="false" customHeight="false" outlineLevel="0" collapsed="false">
      <c r="A1530" s="5" t="s">
        <v>2572</v>
      </c>
      <c r="B1530" s="9" t="n">
        <v>46048</v>
      </c>
      <c r="C1530" s="9" t="n">
        <v>46051</v>
      </c>
      <c r="D1530" s="5" t="s">
        <v>144</v>
      </c>
      <c r="E1530" s="5" t="s">
        <v>1032</v>
      </c>
      <c r="F1530" s="5" t="s">
        <v>1007</v>
      </c>
      <c r="G1530" s="6" t="str">
        <f aca="false">INDEX(Catalogo_Causas!$B$2:$B$10,MATCH(F1530,Catalogo_Causas!$A$2:$A$10,0))</f>
        <v>Cambio de formato excedido</v>
      </c>
      <c r="H1530" s="6" t="str">
        <f aca="false">INDEX(Catalogo_Causas!$C$2:$C$10,MATCH(F1530,Catalogo_Causas!$A$2:$A$10,0))</f>
        <v>Operacional</v>
      </c>
      <c r="I1530" s="5" t="n">
        <v>92</v>
      </c>
      <c r="J1530" s="29" t="n">
        <f aca="false">I1530/60</f>
        <v>1.53333333333333</v>
      </c>
    </row>
    <row r="1531" customFormat="false" ht="15" hidden="false" customHeight="false" outlineLevel="0" collapsed="false">
      <c r="A1531" s="5" t="s">
        <v>2573</v>
      </c>
      <c r="B1531" s="9" t="n">
        <v>46048</v>
      </c>
      <c r="C1531" s="9" t="n">
        <v>46051</v>
      </c>
      <c r="D1531" s="5" t="s">
        <v>144</v>
      </c>
      <c r="E1531" s="5" t="s">
        <v>1032</v>
      </c>
      <c r="F1531" s="5" t="s">
        <v>1002</v>
      </c>
      <c r="G1531" s="6" t="str">
        <f aca="false">INDEX(Catalogo_Causas!$B$2:$B$10,MATCH(F1531,Catalogo_Causas!$A$2:$A$10,0))</f>
        <v>Falla mecánica</v>
      </c>
      <c r="H1531" s="6" t="str">
        <f aca="false">INDEX(Catalogo_Causas!$C$2:$C$10,MATCH(F1531,Catalogo_Causas!$A$2:$A$10,0))</f>
        <v>Operacional</v>
      </c>
      <c r="I1531" s="5" t="n">
        <v>244</v>
      </c>
      <c r="J1531" s="29" t="n">
        <f aca="false">I1531/60</f>
        <v>4.06666666666667</v>
      </c>
    </row>
    <row r="1532" customFormat="false" ht="15" hidden="false" customHeight="false" outlineLevel="0" collapsed="false">
      <c r="A1532" s="5" t="s">
        <v>2574</v>
      </c>
      <c r="B1532" s="9" t="n">
        <v>46048</v>
      </c>
      <c r="C1532" s="9" t="n">
        <v>46052</v>
      </c>
      <c r="D1532" s="5" t="s">
        <v>132</v>
      </c>
      <c r="E1532" s="5" t="s">
        <v>1084</v>
      </c>
      <c r="F1532" s="5" t="s">
        <v>1002</v>
      </c>
      <c r="G1532" s="6" t="str">
        <f aca="false">INDEX(Catalogo_Causas!$B$2:$B$10,MATCH(F1532,Catalogo_Causas!$A$2:$A$10,0))</f>
        <v>Falla mecánica</v>
      </c>
      <c r="H1532" s="6" t="str">
        <f aca="false">INDEX(Catalogo_Causas!$C$2:$C$10,MATCH(F1532,Catalogo_Causas!$A$2:$A$10,0))</f>
        <v>Operacional</v>
      </c>
      <c r="I1532" s="5" t="n">
        <v>82</v>
      </c>
      <c r="J1532" s="29" t="n">
        <f aca="false">I1532/60</f>
        <v>1.36666666666667</v>
      </c>
    </row>
    <row r="1533" customFormat="false" ht="15" hidden="false" customHeight="false" outlineLevel="0" collapsed="false">
      <c r="A1533" s="5" t="s">
        <v>2575</v>
      </c>
      <c r="B1533" s="9" t="n">
        <v>46048</v>
      </c>
      <c r="C1533" s="9" t="n">
        <v>46052</v>
      </c>
      <c r="D1533" s="5" t="s">
        <v>134</v>
      </c>
      <c r="E1533" s="5" t="s">
        <v>1030</v>
      </c>
      <c r="F1533" s="5" t="s">
        <v>1014</v>
      </c>
      <c r="G1533" s="6" t="str">
        <f aca="false">INDEX(Catalogo_Causas!$B$2:$B$10,MATCH(F1533,Catalogo_Causas!$A$2:$A$10,0))</f>
        <v>Retención de calidad</v>
      </c>
      <c r="H1533" s="6" t="str">
        <f aca="false">INDEX(Catalogo_Causas!$C$2:$C$10,MATCH(F1533,Catalogo_Causas!$A$2:$A$10,0))</f>
        <v>Calidad</v>
      </c>
      <c r="I1533" s="5" t="n">
        <v>83</v>
      </c>
      <c r="J1533" s="29" t="n">
        <f aca="false">I1533/60</f>
        <v>1.38333333333333</v>
      </c>
    </row>
    <row r="1534" customFormat="false" ht="15" hidden="false" customHeight="false" outlineLevel="0" collapsed="false">
      <c r="A1534" s="5" t="s">
        <v>2576</v>
      </c>
      <c r="B1534" s="9" t="n">
        <v>46048</v>
      </c>
      <c r="C1534" s="9" t="n">
        <v>46052</v>
      </c>
      <c r="D1534" s="5" t="s">
        <v>136</v>
      </c>
      <c r="E1534" s="5" t="s">
        <v>1051</v>
      </c>
      <c r="F1534" s="5" t="s">
        <v>1005</v>
      </c>
      <c r="G1534" s="6" t="str">
        <f aca="false">INDEX(Catalogo_Causas!$B$2:$B$10,MATCH(F1534,Catalogo_Causas!$A$2:$A$10,0))</f>
        <v>Falla eléctrica / control</v>
      </c>
      <c r="H1534" s="6" t="str">
        <f aca="false">INDEX(Catalogo_Causas!$C$2:$C$10,MATCH(F1534,Catalogo_Causas!$A$2:$A$10,0))</f>
        <v>Operacional</v>
      </c>
      <c r="I1534" s="5" t="n">
        <v>111</v>
      </c>
      <c r="J1534" s="29" t="n">
        <f aca="false">I1534/60</f>
        <v>1.85</v>
      </c>
    </row>
    <row r="1535" customFormat="false" ht="15" hidden="false" customHeight="false" outlineLevel="0" collapsed="false">
      <c r="A1535" s="5" t="s">
        <v>2577</v>
      </c>
      <c r="B1535" s="9" t="n">
        <v>46048</v>
      </c>
      <c r="C1535" s="9" t="n">
        <v>46052</v>
      </c>
      <c r="D1535" s="5" t="s">
        <v>142</v>
      </c>
      <c r="E1535" s="5" t="s">
        <v>1051</v>
      </c>
      <c r="F1535" s="5" t="s">
        <v>1016</v>
      </c>
      <c r="G1535" s="6" t="str">
        <f aca="false">INDEX(Catalogo_Causas!$B$2:$B$10,MATCH(F1535,Catalogo_Causas!$A$2:$A$10,0))</f>
        <v>Limpieza no programada (CIP)</v>
      </c>
      <c r="H1535" s="6" t="str">
        <f aca="false">INDEX(Catalogo_Causas!$C$2:$C$10,MATCH(F1535,Catalogo_Causas!$A$2:$A$10,0))</f>
        <v>Calidad</v>
      </c>
      <c r="I1535" s="5" t="n">
        <v>30</v>
      </c>
      <c r="J1535" s="29" t="n">
        <f aca="false">I1535/60</f>
        <v>0.5</v>
      </c>
    </row>
    <row r="1536" customFormat="false" ht="15" hidden="false" customHeight="false" outlineLevel="0" collapsed="false">
      <c r="A1536" s="5" t="s">
        <v>2578</v>
      </c>
      <c r="B1536" s="9" t="n">
        <v>46048</v>
      </c>
      <c r="C1536" s="9" t="n">
        <v>46053</v>
      </c>
      <c r="D1536" s="5" t="s">
        <v>130</v>
      </c>
      <c r="E1536" s="5" t="s">
        <v>1030</v>
      </c>
      <c r="F1536" s="5" t="s">
        <v>1007</v>
      </c>
      <c r="G1536" s="6" t="str">
        <f aca="false">INDEX(Catalogo_Causas!$B$2:$B$10,MATCH(F1536,Catalogo_Causas!$A$2:$A$10,0))</f>
        <v>Cambio de formato excedido</v>
      </c>
      <c r="H1536" s="6" t="str">
        <f aca="false">INDEX(Catalogo_Causas!$C$2:$C$10,MATCH(F1536,Catalogo_Causas!$A$2:$A$10,0))</f>
        <v>Operacional</v>
      </c>
      <c r="I1536" s="5" t="n">
        <v>30</v>
      </c>
      <c r="J1536" s="29" t="n">
        <f aca="false">I1536/60</f>
        <v>0.5</v>
      </c>
    </row>
    <row r="1537" customFormat="false" ht="15" hidden="false" customHeight="false" outlineLevel="0" collapsed="false">
      <c r="A1537" s="5" t="s">
        <v>2579</v>
      </c>
      <c r="B1537" s="9" t="n">
        <v>46048</v>
      </c>
      <c r="C1537" s="9" t="n">
        <v>46053</v>
      </c>
      <c r="D1537" s="5" t="s">
        <v>138</v>
      </c>
      <c r="E1537" s="5" t="s">
        <v>1034</v>
      </c>
      <c r="F1537" s="5" t="s">
        <v>1007</v>
      </c>
      <c r="G1537" s="6" t="str">
        <f aca="false">INDEX(Catalogo_Causas!$B$2:$B$10,MATCH(F1537,Catalogo_Causas!$A$2:$A$10,0))</f>
        <v>Cambio de formato excedido</v>
      </c>
      <c r="H1537" s="6" t="str">
        <f aca="false">INDEX(Catalogo_Causas!$C$2:$C$10,MATCH(F1537,Catalogo_Causas!$A$2:$A$10,0))</f>
        <v>Operacional</v>
      </c>
      <c r="I1537" s="5" t="n">
        <v>61</v>
      </c>
      <c r="J1537" s="29" t="n">
        <f aca="false">I1537/60</f>
        <v>1.01666666666667</v>
      </c>
    </row>
    <row r="1538" customFormat="false" ht="15" hidden="false" customHeight="false" outlineLevel="0" collapsed="false">
      <c r="A1538" s="5" t="s">
        <v>2580</v>
      </c>
      <c r="B1538" s="9" t="n">
        <v>46055</v>
      </c>
      <c r="C1538" s="9" t="n">
        <v>46055</v>
      </c>
      <c r="D1538" s="5" t="s">
        <v>136</v>
      </c>
      <c r="E1538" s="5" t="s">
        <v>1051</v>
      </c>
      <c r="F1538" s="5" t="s">
        <v>1005</v>
      </c>
      <c r="G1538" s="6" t="str">
        <f aca="false">INDEX(Catalogo_Causas!$B$2:$B$10,MATCH(F1538,Catalogo_Causas!$A$2:$A$10,0))</f>
        <v>Falla eléctrica / control</v>
      </c>
      <c r="H1538" s="6" t="str">
        <f aca="false">INDEX(Catalogo_Causas!$C$2:$C$10,MATCH(F1538,Catalogo_Causas!$A$2:$A$10,0))</f>
        <v>Operacional</v>
      </c>
      <c r="I1538" s="5" t="n">
        <v>100</v>
      </c>
      <c r="J1538" s="29" t="n">
        <f aca="false">I1538/60</f>
        <v>1.66666666666667</v>
      </c>
    </row>
    <row r="1539" customFormat="false" ht="15" hidden="false" customHeight="false" outlineLevel="0" collapsed="false">
      <c r="A1539" s="5" t="s">
        <v>2581</v>
      </c>
      <c r="B1539" s="9" t="n">
        <v>46055</v>
      </c>
      <c r="C1539" s="9" t="n">
        <v>46055</v>
      </c>
      <c r="D1539" s="5" t="s">
        <v>136</v>
      </c>
      <c r="E1539" s="5" t="s">
        <v>1051</v>
      </c>
      <c r="F1539" s="5" t="s">
        <v>1002</v>
      </c>
      <c r="G1539" s="6" t="str">
        <f aca="false">INDEX(Catalogo_Causas!$B$2:$B$10,MATCH(F1539,Catalogo_Causas!$A$2:$A$10,0))</f>
        <v>Falla mecánica</v>
      </c>
      <c r="H1539" s="6" t="str">
        <f aca="false">INDEX(Catalogo_Causas!$C$2:$C$10,MATCH(F1539,Catalogo_Causas!$A$2:$A$10,0))</f>
        <v>Operacional</v>
      </c>
      <c r="I1539" s="5" t="n">
        <v>54</v>
      </c>
      <c r="J1539" s="29" t="n">
        <f aca="false">I1539/60</f>
        <v>0.9</v>
      </c>
    </row>
    <row r="1540" customFormat="false" ht="15" hidden="false" customHeight="false" outlineLevel="0" collapsed="false">
      <c r="A1540" s="5" t="s">
        <v>2582</v>
      </c>
      <c r="B1540" s="9" t="n">
        <v>46055</v>
      </c>
      <c r="C1540" s="9" t="n">
        <v>46055</v>
      </c>
      <c r="D1540" s="5" t="s">
        <v>140</v>
      </c>
      <c r="E1540" s="5" t="s">
        <v>1032</v>
      </c>
      <c r="F1540" s="5" t="s">
        <v>1002</v>
      </c>
      <c r="G1540" s="6" t="str">
        <f aca="false">INDEX(Catalogo_Causas!$B$2:$B$10,MATCH(F1540,Catalogo_Causas!$A$2:$A$10,0))</f>
        <v>Falla mecánica</v>
      </c>
      <c r="H1540" s="6" t="str">
        <f aca="false">INDEX(Catalogo_Causas!$C$2:$C$10,MATCH(F1540,Catalogo_Causas!$A$2:$A$10,0))</f>
        <v>Operacional</v>
      </c>
      <c r="I1540" s="5" t="n">
        <v>14</v>
      </c>
      <c r="J1540" s="29" t="n">
        <f aca="false">I1540/60</f>
        <v>0.233333333333333</v>
      </c>
    </row>
    <row r="1541" customFormat="false" ht="15" hidden="false" customHeight="false" outlineLevel="0" collapsed="false">
      <c r="A1541" s="5" t="s">
        <v>2583</v>
      </c>
      <c r="B1541" s="9" t="n">
        <v>46055</v>
      </c>
      <c r="C1541" s="9" t="n">
        <v>46055</v>
      </c>
      <c r="D1541" s="5" t="s">
        <v>142</v>
      </c>
      <c r="E1541" s="5" t="s">
        <v>1051</v>
      </c>
      <c r="F1541" s="5" t="s">
        <v>1002</v>
      </c>
      <c r="G1541" s="6" t="str">
        <f aca="false">INDEX(Catalogo_Causas!$B$2:$B$10,MATCH(F1541,Catalogo_Causas!$A$2:$A$10,0))</f>
        <v>Falla mecánica</v>
      </c>
      <c r="H1541" s="6" t="str">
        <f aca="false">INDEX(Catalogo_Causas!$C$2:$C$10,MATCH(F1541,Catalogo_Causas!$A$2:$A$10,0))</f>
        <v>Operacional</v>
      </c>
      <c r="I1541" s="5" t="n">
        <v>97</v>
      </c>
      <c r="J1541" s="29" t="n">
        <f aca="false">I1541/60</f>
        <v>1.61666666666667</v>
      </c>
    </row>
    <row r="1542" customFormat="false" ht="15" hidden="false" customHeight="false" outlineLevel="0" collapsed="false">
      <c r="A1542" s="5" t="s">
        <v>2584</v>
      </c>
      <c r="B1542" s="9" t="n">
        <v>46055</v>
      </c>
      <c r="C1542" s="9" t="n">
        <v>46056</v>
      </c>
      <c r="D1542" s="5" t="s">
        <v>138</v>
      </c>
      <c r="E1542" s="5" t="s">
        <v>1056</v>
      </c>
      <c r="F1542" s="5" t="s">
        <v>1014</v>
      </c>
      <c r="G1542" s="6" t="str">
        <f aca="false">INDEX(Catalogo_Causas!$B$2:$B$10,MATCH(F1542,Catalogo_Causas!$A$2:$A$10,0))</f>
        <v>Retención de calidad</v>
      </c>
      <c r="H1542" s="6" t="str">
        <f aca="false">INDEX(Catalogo_Causas!$C$2:$C$10,MATCH(F1542,Catalogo_Causas!$A$2:$A$10,0))</f>
        <v>Calidad</v>
      </c>
      <c r="I1542" s="5" t="n">
        <v>59</v>
      </c>
      <c r="J1542" s="29" t="n">
        <f aca="false">I1542/60</f>
        <v>0.983333333333333</v>
      </c>
    </row>
    <row r="1543" customFormat="false" ht="15" hidden="false" customHeight="false" outlineLevel="0" collapsed="false">
      <c r="A1543" s="5" t="s">
        <v>2585</v>
      </c>
      <c r="B1543" s="9" t="n">
        <v>46055</v>
      </c>
      <c r="C1543" s="9" t="n">
        <v>46056</v>
      </c>
      <c r="D1543" s="5" t="s">
        <v>140</v>
      </c>
      <c r="E1543" s="5" t="s">
        <v>1036</v>
      </c>
      <c r="F1543" s="5" t="s">
        <v>1002</v>
      </c>
      <c r="G1543" s="6" t="str">
        <f aca="false">INDEX(Catalogo_Causas!$B$2:$B$10,MATCH(F1543,Catalogo_Causas!$A$2:$A$10,0))</f>
        <v>Falla mecánica</v>
      </c>
      <c r="H1543" s="6" t="str">
        <f aca="false">INDEX(Catalogo_Causas!$C$2:$C$10,MATCH(F1543,Catalogo_Causas!$A$2:$A$10,0))</f>
        <v>Operacional</v>
      </c>
      <c r="I1543" s="5" t="n">
        <v>42</v>
      </c>
      <c r="J1543" s="29" t="n">
        <f aca="false">I1543/60</f>
        <v>0.7</v>
      </c>
    </row>
    <row r="1544" customFormat="false" ht="15" hidden="false" customHeight="false" outlineLevel="0" collapsed="false">
      <c r="A1544" s="5" t="s">
        <v>2586</v>
      </c>
      <c r="B1544" s="9" t="n">
        <v>46055</v>
      </c>
      <c r="C1544" s="9" t="n">
        <v>46056</v>
      </c>
      <c r="D1544" s="5" t="s">
        <v>140</v>
      </c>
      <c r="E1544" s="5" t="s">
        <v>1045</v>
      </c>
      <c r="F1544" s="5" t="s">
        <v>1002</v>
      </c>
      <c r="G1544" s="6" t="str">
        <f aca="false">INDEX(Catalogo_Causas!$B$2:$B$10,MATCH(F1544,Catalogo_Causas!$A$2:$A$10,0))</f>
        <v>Falla mecánica</v>
      </c>
      <c r="H1544" s="6" t="str">
        <f aca="false">INDEX(Catalogo_Causas!$C$2:$C$10,MATCH(F1544,Catalogo_Causas!$A$2:$A$10,0))</f>
        <v>Operacional</v>
      </c>
      <c r="I1544" s="5" t="n">
        <v>80</v>
      </c>
      <c r="J1544" s="29" t="n">
        <f aca="false">I1544/60</f>
        <v>1.33333333333333</v>
      </c>
    </row>
    <row r="1545" customFormat="false" ht="15" hidden="false" customHeight="false" outlineLevel="0" collapsed="false">
      <c r="A1545" s="5" t="s">
        <v>2587</v>
      </c>
      <c r="B1545" s="9" t="n">
        <v>46055</v>
      </c>
      <c r="C1545" s="9" t="n">
        <v>46057</v>
      </c>
      <c r="D1545" s="5" t="s">
        <v>130</v>
      </c>
      <c r="E1545" s="5" t="s">
        <v>1045</v>
      </c>
      <c r="F1545" s="5" t="s">
        <v>1002</v>
      </c>
      <c r="G1545" s="6" t="str">
        <f aca="false">INDEX(Catalogo_Causas!$B$2:$B$10,MATCH(F1545,Catalogo_Causas!$A$2:$A$10,0))</f>
        <v>Falla mecánica</v>
      </c>
      <c r="H1545" s="6" t="str">
        <f aca="false">INDEX(Catalogo_Causas!$C$2:$C$10,MATCH(F1545,Catalogo_Causas!$A$2:$A$10,0))</f>
        <v>Operacional</v>
      </c>
      <c r="I1545" s="5" t="n">
        <v>39</v>
      </c>
      <c r="J1545" s="29" t="n">
        <f aca="false">I1545/60</f>
        <v>0.65</v>
      </c>
    </row>
    <row r="1546" customFormat="false" ht="15" hidden="false" customHeight="false" outlineLevel="0" collapsed="false">
      <c r="A1546" s="5" t="s">
        <v>2588</v>
      </c>
      <c r="B1546" s="9" t="n">
        <v>46055</v>
      </c>
      <c r="C1546" s="9" t="n">
        <v>46057</v>
      </c>
      <c r="D1546" s="5" t="s">
        <v>134</v>
      </c>
      <c r="E1546" s="5" t="s">
        <v>1032</v>
      </c>
      <c r="F1546" s="5" t="s">
        <v>1005</v>
      </c>
      <c r="G1546" s="6" t="str">
        <f aca="false">INDEX(Catalogo_Causas!$B$2:$B$10,MATCH(F1546,Catalogo_Causas!$A$2:$A$10,0))</f>
        <v>Falla eléctrica / control</v>
      </c>
      <c r="H1546" s="6" t="str">
        <f aca="false">INDEX(Catalogo_Causas!$C$2:$C$10,MATCH(F1546,Catalogo_Causas!$A$2:$A$10,0))</f>
        <v>Operacional</v>
      </c>
      <c r="I1546" s="5" t="n">
        <v>42</v>
      </c>
      <c r="J1546" s="29" t="n">
        <f aca="false">I1546/60</f>
        <v>0.7</v>
      </c>
    </row>
    <row r="1547" customFormat="false" ht="15" hidden="false" customHeight="false" outlineLevel="0" collapsed="false">
      <c r="A1547" s="5" t="s">
        <v>2589</v>
      </c>
      <c r="B1547" s="9" t="n">
        <v>46055</v>
      </c>
      <c r="C1547" s="9" t="n">
        <v>46058</v>
      </c>
      <c r="D1547" s="5" t="s">
        <v>130</v>
      </c>
      <c r="E1547" s="5" t="s">
        <v>1030</v>
      </c>
      <c r="F1547" s="5" t="s">
        <v>1002</v>
      </c>
      <c r="G1547" s="6" t="str">
        <f aca="false">INDEX(Catalogo_Causas!$B$2:$B$10,MATCH(F1547,Catalogo_Causas!$A$2:$A$10,0))</f>
        <v>Falla mecánica</v>
      </c>
      <c r="H1547" s="6" t="str">
        <f aca="false">INDEX(Catalogo_Causas!$C$2:$C$10,MATCH(F1547,Catalogo_Causas!$A$2:$A$10,0))</f>
        <v>Operacional</v>
      </c>
      <c r="I1547" s="5" t="n">
        <v>125</v>
      </c>
      <c r="J1547" s="29" t="n">
        <f aca="false">I1547/60</f>
        <v>2.08333333333333</v>
      </c>
    </row>
    <row r="1548" customFormat="false" ht="15" hidden="false" customHeight="false" outlineLevel="0" collapsed="false">
      <c r="A1548" s="5" t="s">
        <v>2590</v>
      </c>
      <c r="B1548" s="9" t="n">
        <v>46055</v>
      </c>
      <c r="C1548" s="9" t="n">
        <v>46058</v>
      </c>
      <c r="D1548" s="5" t="s">
        <v>140</v>
      </c>
      <c r="E1548" s="5" t="s">
        <v>1032</v>
      </c>
      <c r="F1548" s="5" t="s">
        <v>1016</v>
      </c>
      <c r="G1548" s="6" t="str">
        <f aca="false">INDEX(Catalogo_Causas!$B$2:$B$10,MATCH(F1548,Catalogo_Causas!$A$2:$A$10,0))</f>
        <v>Limpieza no programada (CIP)</v>
      </c>
      <c r="H1548" s="6" t="str">
        <f aca="false">INDEX(Catalogo_Causas!$C$2:$C$10,MATCH(F1548,Catalogo_Causas!$A$2:$A$10,0))</f>
        <v>Calidad</v>
      </c>
      <c r="I1548" s="5" t="n">
        <v>50</v>
      </c>
      <c r="J1548" s="29" t="n">
        <f aca="false">I1548/60</f>
        <v>0.833333333333333</v>
      </c>
    </row>
    <row r="1549" customFormat="false" ht="15" hidden="false" customHeight="false" outlineLevel="0" collapsed="false">
      <c r="A1549" s="5" t="s">
        <v>2591</v>
      </c>
      <c r="B1549" s="9" t="n">
        <v>46055</v>
      </c>
      <c r="C1549" s="9" t="n">
        <v>46058</v>
      </c>
      <c r="D1549" s="5" t="s">
        <v>142</v>
      </c>
      <c r="E1549" s="5" t="s">
        <v>1051</v>
      </c>
      <c r="F1549" s="5" t="s">
        <v>1012</v>
      </c>
      <c r="G1549" s="6" t="str">
        <f aca="false">INDEX(Catalogo_Causas!$B$2:$B$10,MATCH(F1549,Catalogo_Causas!$A$2:$A$10,0))</f>
        <v>Falta de materia prima</v>
      </c>
      <c r="H1549" s="6" t="str">
        <f aca="false">INDEX(Catalogo_Causas!$C$2:$C$10,MATCH(F1549,Catalogo_Causas!$A$2:$A$10,0))</f>
        <v>Material / suministro</v>
      </c>
      <c r="I1549" s="5" t="n">
        <v>32</v>
      </c>
      <c r="J1549" s="29" t="n">
        <f aca="false">I1549/60</f>
        <v>0.533333333333333</v>
      </c>
    </row>
    <row r="1550" customFormat="false" ht="15" hidden="false" customHeight="false" outlineLevel="0" collapsed="false">
      <c r="A1550" s="5" t="s">
        <v>2592</v>
      </c>
      <c r="B1550" s="9" t="n">
        <v>46055</v>
      </c>
      <c r="C1550" s="9" t="n">
        <v>46059</v>
      </c>
      <c r="D1550" s="5" t="s">
        <v>130</v>
      </c>
      <c r="E1550" s="5" t="s">
        <v>1045</v>
      </c>
      <c r="F1550" s="5" t="s">
        <v>1007</v>
      </c>
      <c r="G1550" s="6" t="str">
        <f aca="false">INDEX(Catalogo_Causas!$B$2:$B$10,MATCH(F1550,Catalogo_Causas!$A$2:$A$10,0))</f>
        <v>Cambio de formato excedido</v>
      </c>
      <c r="H1550" s="6" t="str">
        <f aca="false">INDEX(Catalogo_Causas!$C$2:$C$10,MATCH(F1550,Catalogo_Causas!$A$2:$A$10,0))</f>
        <v>Operacional</v>
      </c>
      <c r="I1550" s="5" t="n">
        <v>85</v>
      </c>
      <c r="J1550" s="29" t="n">
        <f aca="false">I1550/60</f>
        <v>1.41666666666667</v>
      </c>
    </row>
    <row r="1551" customFormat="false" ht="15" hidden="false" customHeight="false" outlineLevel="0" collapsed="false">
      <c r="A1551" s="5" t="s">
        <v>2593</v>
      </c>
      <c r="B1551" s="9" t="n">
        <v>46055</v>
      </c>
      <c r="C1551" s="9" t="n">
        <v>46059</v>
      </c>
      <c r="D1551" s="5" t="s">
        <v>134</v>
      </c>
      <c r="E1551" s="5" t="s">
        <v>1054</v>
      </c>
      <c r="F1551" s="5" t="s">
        <v>1005</v>
      </c>
      <c r="G1551" s="6" t="str">
        <f aca="false">INDEX(Catalogo_Causas!$B$2:$B$10,MATCH(F1551,Catalogo_Causas!$A$2:$A$10,0))</f>
        <v>Falla eléctrica / control</v>
      </c>
      <c r="H1551" s="6" t="str">
        <f aca="false">INDEX(Catalogo_Causas!$C$2:$C$10,MATCH(F1551,Catalogo_Causas!$A$2:$A$10,0))</f>
        <v>Operacional</v>
      </c>
      <c r="I1551" s="5" t="n">
        <v>33</v>
      </c>
      <c r="J1551" s="29" t="n">
        <f aca="false">I1551/60</f>
        <v>0.55</v>
      </c>
    </row>
    <row r="1552" customFormat="false" ht="15" hidden="false" customHeight="false" outlineLevel="0" collapsed="false">
      <c r="A1552" s="5" t="s">
        <v>2594</v>
      </c>
      <c r="B1552" s="9" t="n">
        <v>46055</v>
      </c>
      <c r="C1552" s="9" t="n">
        <v>46059</v>
      </c>
      <c r="D1552" s="5" t="s">
        <v>138</v>
      </c>
      <c r="E1552" s="5" t="s">
        <v>1056</v>
      </c>
      <c r="F1552" s="5" t="s">
        <v>1012</v>
      </c>
      <c r="G1552" s="6" t="str">
        <f aca="false">INDEX(Catalogo_Causas!$B$2:$B$10,MATCH(F1552,Catalogo_Causas!$A$2:$A$10,0))</f>
        <v>Falta de materia prima</v>
      </c>
      <c r="H1552" s="6" t="str">
        <f aca="false">INDEX(Catalogo_Causas!$C$2:$C$10,MATCH(F1552,Catalogo_Causas!$A$2:$A$10,0))</f>
        <v>Material / suministro</v>
      </c>
      <c r="I1552" s="5" t="n">
        <v>57</v>
      </c>
      <c r="J1552" s="29" t="n">
        <f aca="false">I1552/60</f>
        <v>0.95</v>
      </c>
    </row>
    <row r="1553" customFormat="false" ht="15" hidden="false" customHeight="false" outlineLevel="0" collapsed="false">
      <c r="A1553" s="5" t="s">
        <v>2595</v>
      </c>
      <c r="B1553" s="9" t="n">
        <v>46055</v>
      </c>
      <c r="C1553" s="9" t="n">
        <v>46059</v>
      </c>
      <c r="D1553" s="5" t="s">
        <v>140</v>
      </c>
      <c r="E1553" s="5" t="s">
        <v>1032</v>
      </c>
      <c r="F1553" s="5" t="s">
        <v>1002</v>
      </c>
      <c r="G1553" s="6" t="str">
        <f aca="false">INDEX(Catalogo_Causas!$B$2:$B$10,MATCH(F1553,Catalogo_Causas!$A$2:$A$10,0))</f>
        <v>Falla mecánica</v>
      </c>
      <c r="H1553" s="6" t="str">
        <f aca="false">INDEX(Catalogo_Causas!$C$2:$C$10,MATCH(F1553,Catalogo_Causas!$A$2:$A$10,0))</f>
        <v>Operacional</v>
      </c>
      <c r="I1553" s="5" t="n">
        <v>49</v>
      </c>
      <c r="J1553" s="29" t="n">
        <f aca="false">I1553/60</f>
        <v>0.816666666666667</v>
      </c>
    </row>
    <row r="1554" customFormat="false" ht="15" hidden="false" customHeight="false" outlineLevel="0" collapsed="false">
      <c r="A1554" s="5" t="s">
        <v>2596</v>
      </c>
      <c r="B1554" s="9" t="n">
        <v>46055</v>
      </c>
      <c r="C1554" s="9" t="n">
        <v>46059</v>
      </c>
      <c r="D1554" s="5" t="s">
        <v>142</v>
      </c>
      <c r="E1554" s="5" t="s">
        <v>1051</v>
      </c>
      <c r="F1554" s="5" t="s">
        <v>1002</v>
      </c>
      <c r="G1554" s="6" t="str">
        <f aca="false">INDEX(Catalogo_Causas!$B$2:$B$10,MATCH(F1554,Catalogo_Causas!$A$2:$A$10,0))</f>
        <v>Falla mecánica</v>
      </c>
      <c r="H1554" s="6" t="str">
        <f aca="false">INDEX(Catalogo_Causas!$C$2:$C$10,MATCH(F1554,Catalogo_Causas!$A$2:$A$10,0))</f>
        <v>Operacional</v>
      </c>
      <c r="I1554" s="5" t="n">
        <v>13</v>
      </c>
      <c r="J1554" s="29" t="n">
        <f aca="false">I1554/60</f>
        <v>0.216666666666667</v>
      </c>
    </row>
    <row r="1555" customFormat="false" ht="15" hidden="false" customHeight="false" outlineLevel="0" collapsed="false">
      <c r="A1555" s="5" t="s">
        <v>2597</v>
      </c>
      <c r="B1555" s="9" t="n">
        <v>46055</v>
      </c>
      <c r="C1555" s="9" t="n">
        <v>46060</v>
      </c>
      <c r="D1555" s="5" t="s">
        <v>132</v>
      </c>
      <c r="E1555" s="5" t="s">
        <v>1084</v>
      </c>
      <c r="F1555" s="5" t="s">
        <v>1002</v>
      </c>
      <c r="G1555" s="6" t="str">
        <f aca="false">INDEX(Catalogo_Causas!$B$2:$B$10,MATCH(F1555,Catalogo_Causas!$A$2:$A$10,0))</f>
        <v>Falla mecánica</v>
      </c>
      <c r="H1555" s="6" t="str">
        <f aca="false">INDEX(Catalogo_Causas!$C$2:$C$10,MATCH(F1555,Catalogo_Causas!$A$2:$A$10,0))</f>
        <v>Operacional</v>
      </c>
      <c r="I1555" s="5" t="n">
        <v>96</v>
      </c>
      <c r="J1555" s="29" t="n">
        <f aca="false">I1555/60</f>
        <v>1.6</v>
      </c>
    </row>
    <row r="1556" customFormat="false" ht="15" hidden="false" customHeight="false" outlineLevel="0" collapsed="false">
      <c r="A1556" s="5" t="s">
        <v>2598</v>
      </c>
      <c r="B1556" s="9" t="n">
        <v>46055</v>
      </c>
      <c r="C1556" s="9" t="n">
        <v>46060</v>
      </c>
      <c r="D1556" s="5" t="s">
        <v>134</v>
      </c>
      <c r="E1556" s="5" t="s">
        <v>1054</v>
      </c>
      <c r="F1556" s="5" t="s">
        <v>1012</v>
      </c>
      <c r="G1556" s="6" t="str">
        <f aca="false">INDEX(Catalogo_Causas!$B$2:$B$10,MATCH(F1556,Catalogo_Causas!$A$2:$A$10,0))</f>
        <v>Falta de materia prima</v>
      </c>
      <c r="H1556" s="6" t="str">
        <f aca="false">INDEX(Catalogo_Causas!$C$2:$C$10,MATCH(F1556,Catalogo_Causas!$A$2:$A$10,0))</f>
        <v>Material / suministro</v>
      </c>
      <c r="I1556" s="5" t="n">
        <v>15</v>
      </c>
      <c r="J1556" s="29" t="n">
        <f aca="false">I1556/60</f>
        <v>0.25</v>
      </c>
    </row>
    <row r="1557" customFormat="false" ht="15" hidden="false" customHeight="false" outlineLevel="0" collapsed="false">
      <c r="A1557" s="5" t="s">
        <v>2599</v>
      </c>
      <c r="B1557" s="9" t="n">
        <v>46055</v>
      </c>
      <c r="C1557" s="9" t="n">
        <v>46060</v>
      </c>
      <c r="D1557" s="5" t="s">
        <v>136</v>
      </c>
      <c r="E1557" s="5" t="s">
        <v>1032</v>
      </c>
      <c r="F1557" s="5" t="s">
        <v>1007</v>
      </c>
      <c r="G1557" s="6" t="str">
        <f aca="false">INDEX(Catalogo_Causas!$B$2:$B$10,MATCH(F1557,Catalogo_Causas!$A$2:$A$10,0))</f>
        <v>Cambio de formato excedido</v>
      </c>
      <c r="H1557" s="6" t="str">
        <f aca="false">INDEX(Catalogo_Causas!$C$2:$C$10,MATCH(F1557,Catalogo_Causas!$A$2:$A$10,0))</f>
        <v>Operacional</v>
      </c>
      <c r="I1557" s="5" t="n">
        <v>38</v>
      </c>
      <c r="J1557" s="29" t="n">
        <f aca="false">I1557/60</f>
        <v>0.633333333333333</v>
      </c>
    </row>
    <row r="1558" customFormat="false" ht="15" hidden="false" customHeight="false" outlineLevel="0" collapsed="false">
      <c r="A1558" s="5" t="s">
        <v>2600</v>
      </c>
      <c r="B1558" s="9" t="n">
        <v>46055</v>
      </c>
      <c r="C1558" s="9" t="n">
        <v>46060</v>
      </c>
      <c r="D1558" s="5" t="s">
        <v>138</v>
      </c>
      <c r="E1558" s="5" t="s">
        <v>1034</v>
      </c>
      <c r="F1558" s="5" t="s">
        <v>1002</v>
      </c>
      <c r="G1558" s="6" t="str">
        <f aca="false">INDEX(Catalogo_Causas!$B$2:$B$10,MATCH(F1558,Catalogo_Causas!$A$2:$A$10,0))</f>
        <v>Falla mecánica</v>
      </c>
      <c r="H1558" s="6" t="str">
        <f aca="false">INDEX(Catalogo_Causas!$C$2:$C$10,MATCH(F1558,Catalogo_Causas!$A$2:$A$10,0))</f>
        <v>Operacional</v>
      </c>
      <c r="I1558" s="5" t="n">
        <v>30</v>
      </c>
      <c r="J1558" s="29" t="n">
        <f aca="false">I1558/60</f>
        <v>0.5</v>
      </c>
    </row>
    <row r="1559" customFormat="false" ht="15" hidden="false" customHeight="false" outlineLevel="0" collapsed="false">
      <c r="A1559" s="5" t="s">
        <v>2601</v>
      </c>
      <c r="B1559" s="9" t="n">
        <v>46055</v>
      </c>
      <c r="C1559" s="9" t="n">
        <v>46060</v>
      </c>
      <c r="D1559" s="5" t="s">
        <v>140</v>
      </c>
      <c r="E1559" s="5" t="s">
        <v>1032</v>
      </c>
      <c r="F1559" s="5" t="s">
        <v>1005</v>
      </c>
      <c r="G1559" s="6" t="str">
        <f aca="false">INDEX(Catalogo_Causas!$B$2:$B$10,MATCH(F1559,Catalogo_Causas!$A$2:$A$10,0))</f>
        <v>Falla eléctrica / control</v>
      </c>
      <c r="H1559" s="6" t="str">
        <f aca="false">INDEX(Catalogo_Causas!$C$2:$C$10,MATCH(F1559,Catalogo_Causas!$A$2:$A$10,0))</f>
        <v>Operacional</v>
      </c>
      <c r="I1559" s="5" t="n">
        <v>45</v>
      </c>
      <c r="J1559" s="29" t="n">
        <f aca="false">I1559/60</f>
        <v>0.75</v>
      </c>
    </row>
    <row r="1560" customFormat="false" ht="15" hidden="false" customHeight="false" outlineLevel="0" collapsed="false">
      <c r="A1560" s="5" t="s">
        <v>2602</v>
      </c>
      <c r="B1560" s="9" t="n">
        <v>46062</v>
      </c>
      <c r="C1560" s="9" t="n">
        <v>46062</v>
      </c>
      <c r="D1560" s="5" t="s">
        <v>136</v>
      </c>
      <c r="E1560" s="5" t="s">
        <v>1101</v>
      </c>
      <c r="F1560" s="5" t="s">
        <v>1021</v>
      </c>
      <c r="G1560" s="6" t="str">
        <f aca="false">INDEX(Catalogo_Causas!$B$2:$B$10,MATCH(F1560,Catalogo_Causas!$A$2:$A$10,0))</f>
        <v>Falla de servicios (vapor/amoniaco/aire)</v>
      </c>
      <c r="H1560" s="6" t="str">
        <f aca="false">INDEX(Catalogo_Causas!$C$2:$C$10,MATCH(F1560,Catalogo_Causas!$A$2:$A$10,0))</f>
        <v>Servicios</v>
      </c>
      <c r="I1560" s="5" t="n">
        <v>46</v>
      </c>
      <c r="J1560" s="29" t="n">
        <f aca="false">I1560/60</f>
        <v>0.766666666666667</v>
      </c>
    </row>
    <row r="1561" customFormat="false" ht="15" hidden="false" customHeight="false" outlineLevel="0" collapsed="false">
      <c r="A1561" s="5" t="s">
        <v>2603</v>
      </c>
      <c r="B1561" s="9" t="n">
        <v>46062</v>
      </c>
      <c r="C1561" s="9" t="n">
        <v>46062</v>
      </c>
      <c r="D1561" s="5" t="s">
        <v>136</v>
      </c>
      <c r="E1561" s="5" t="s">
        <v>1051</v>
      </c>
      <c r="F1561" s="5" t="s">
        <v>1012</v>
      </c>
      <c r="G1561" s="6" t="str">
        <f aca="false">INDEX(Catalogo_Causas!$B$2:$B$10,MATCH(F1561,Catalogo_Causas!$A$2:$A$10,0))</f>
        <v>Falta de materia prima</v>
      </c>
      <c r="H1561" s="6" t="str">
        <f aca="false">INDEX(Catalogo_Causas!$C$2:$C$10,MATCH(F1561,Catalogo_Causas!$A$2:$A$10,0))</f>
        <v>Material / suministro</v>
      </c>
      <c r="I1561" s="5" t="n">
        <v>49</v>
      </c>
      <c r="J1561" s="29" t="n">
        <f aca="false">I1561/60</f>
        <v>0.816666666666667</v>
      </c>
    </row>
    <row r="1562" customFormat="false" ht="15" hidden="false" customHeight="false" outlineLevel="0" collapsed="false">
      <c r="A1562" s="5" t="s">
        <v>2604</v>
      </c>
      <c r="B1562" s="9" t="n">
        <v>46062</v>
      </c>
      <c r="C1562" s="9" t="n">
        <v>46062</v>
      </c>
      <c r="D1562" s="5" t="s">
        <v>136</v>
      </c>
      <c r="E1562" s="5" t="s">
        <v>1032</v>
      </c>
      <c r="F1562" s="5" t="s">
        <v>1012</v>
      </c>
      <c r="G1562" s="6" t="str">
        <f aca="false">INDEX(Catalogo_Causas!$B$2:$B$10,MATCH(F1562,Catalogo_Causas!$A$2:$A$10,0))</f>
        <v>Falta de materia prima</v>
      </c>
      <c r="H1562" s="6" t="str">
        <f aca="false">INDEX(Catalogo_Causas!$C$2:$C$10,MATCH(F1562,Catalogo_Causas!$A$2:$A$10,0))</f>
        <v>Material / suministro</v>
      </c>
      <c r="I1562" s="5" t="n">
        <v>10</v>
      </c>
      <c r="J1562" s="29" t="n">
        <f aca="false">I1562/60</f>
        <v>0.166666666666667</v>
      </c>
    </row>
    <row r="1563" customFormat="false" ht="15" hidden="false" customHeight="false" outlineLevel="0" collapsed="false">
      <c r="A1563" s="5" t="s">
        <v>2605</v>
      </c>
      <c r="B1563" s="9" t="n">
        <v>46062</v>
      </c>
      <c r="C1563" s="9" t="n">
        <v>46062</v>
      </c>
      <c r="D1563" s="5" t="s">
        <v>138</v>
      </c>
      <c r="E1563" s="5" t="s">
        <v>1056</v>
      </c>
      <c r="F1563" s="5" t="s">
        <v>1005</v>
      </c>
      <c r="G1563" s="6" t="str">
        <f aca="false">INDEX(Catalogo_Causas!$B$2:$B$10,MATCH(F1563,Catalogo_Causas!$A$2:$A$10,0))</f>
        <v>Falla eléctrica / control</v>
      </c>
      <c r="H1563" s="6" t="str">
        <f aca="false">INDEX(Catalogo_Causas!$C$2:$C$10,MATCH(F1563,Catalogo_Causas!$A$2:$A$10,0))</f>
        <v>Operacional</v>
      </c>
      <c r="I1563" s="5" t="n">
        <v>119</v>
      </c>
      <c r="J1563" s="29" t="n">
        <f aca="false">I1563/60</f>
        <v>1.98333333333333</v>
      </c>
    </row>
    <row r="1564" customFormat="false" ht="15" hidden="false" customHeight="false" outlineLevel="0" collapsed="false">
      <c r="A1564" s="5" t="s">
        <v>2606</v>
      </c>
      <c r="B1564" s="9" t="n">
        <v>46062</v>
      </c>
      <c r="C1564" s="9" t="n">
        <v>46062</v>
      </c>
      <c r="D1564" s="5" t="s">
        <v>144</v>
      </c>
      <c r="E1564" s="5" t="s">
        <v>1043</v>
      </c>
      <c r="F1564" s="5" t="s">
        <v>1021</v>
      </c>
      <c r="G1564" s="6" t="str">
        <f aca="false">INDEX(Catalogo_Causas!$B$2:$B$10,MATCH(F1564,Catalogo_Causas!$A$2:$A$10,0))</f>
        <v>Falla de servicios (vapor/amoniaco/aire)</v>
      </c>
      <c r="H1564" s="6" t="str">
        <f aca="false">INDEX(Catalogo_Causas!$C$2:$C$10,MATCH(F1564,Catalogo_Causas!$A$2:$A$10,0))</f>
        <v>Servicios</v>
      </c>
      <c r="I1564" s="5" t="n">
        <v>89</v>
      </c>
      <c r="J1564" s="29" t="n">
        <f aca="false">I1564/60</f>
        <v>1.48333333333333</v>
      </c>
    </row>
    <row r="1565" customFormat="false" ht="15" hidden="false" customHeight="false" outlineLevel="0" collapsed="false">
      <c r="A1565" s="5" t="s">
        <v>2607</v>
      </c>
      <c r="B1565" s="9" t="n">
        <v>46062</v>
      </c>
      <c r="C1565" s="9" t="n">
        <v>46063</v>
      </c>
      <c r="D1565" s="5" t="s">
        <v>134</v>
      </c>
      <c r="E1565" s="5" t="s">
        <v>1030</v>
      </c>
      <c r="F1565" s="5" t="s">
        <v>1012</v>
      </c>
      <c r="G1565" s="6" t="str">
        <f aca="false">INDEX(Catalogo_Causas!$B$2:$B$10,MATCH(F1565,Catalogo_Causas!$A$2:$A$10,0))</f>
        <v>Falta de materia prima</v>
      </c>
      <c r="H1565" s="6" t="str">
        <f aca="false">INDEX(Catalogo_Causas!$C$2:$C$10,MATCH(F1565,Catalogo_Causas!$A$2:$A$10,0))</f>
        <v>Material / suministro</v>
      </c>
      <c r="I1565" s="5" t="n">
        <v>27</v>
      </c>
      <c r="J1565" s="29" t="n">
        <f aca="false">I1565/60</f>
        <v>0.45</v>
      </c>
    </row>
    <row r="1566" customFormat="false" ht="15" hidden="false" customHeight="false" outlineLevel="0" collapsed="false">
      <c r="A1566" s="5" t="s">
        <v>2608</v>
      </c>
      <c r="B1566" s="9" t="n">
        <v>46062</v>
      </c>
      <c r="C1566" s="9" t="n">
        <v>46063</v>
      </c>
      <c r="D1566" s="5" t="s">
        <v>136</v>
      </c>
      <c r="E1566" s="5" t="s">
        <v>1051</v>
      </c>
      <c r="F1566" s="5" t="s">
        <v>1009</v>
      </c>
      <c r="G1566" s="6" t="str">
        <f aca="false">INDEX(Catalogo_Causas!$B$2:$B$10,MATCH(F1566,Catalogo_Causas!$A$2:$A$10,0))</f>
        <v>Falta de material de empaque</v>
      </c>
      <c r="H1566" s="6" t="str">
        <f aca="false">INDEX(Catalogo_Causas!$C$2:$C$10,MATCH(F1566,Catalogo_Causas!$A$2:$A$10,0))</f>
        <v>Material / suministro</v>
      </c>
      <c r="I1566" s="5" t="n">
        <v>48</v>
      </c>
      <c r="J1566" s="29" t="n">
        <f aca="false">I1566/60</f>
        <v>0.8</v>
      </c>
    </row>
    <row r="1567" customFormat="false" ht="15" hidden="false" customHeight="false" outlineLevel="0" collapsed="false">
      <c r="A1567" s="5" t="s">
        <v>2609</v>
      </c>
      <c r="B1567" s="9" t="n">
        <v>46062</v>
      </c>
      <c r="C1567" s="9" t="n">
        <v>46063</v>
      </c>
      <c r="D1567" s="5" t="s">
        <v>142</v>
      </c>
      <c r="E1567" s="5" t="s">
        <v>1041</v>
      </c>
      <c r="F1567" s="5" t="s">
        <v>1005</v>
      </c>
      <c r="G1567" s="6" t="str">
        <f aca="false">INDEX(Catalogo_Causas!$B$2:$B$10,MATCH(F1567,Catalogo_Causas!$A$2:$A$10,0))</f>
        <v>Falla eléctrica / control</v>
      </c>
      <c r="H1567" s="6" t="str">
        <f aca="false">INDEX(Catalogo_Causas!$C$2:$C$10,MATCH(F1567,Catalogo_Causas!$A$2:$A$10,0))</f>
        <v>Operacional</v>
      </c>
      <c r="I1567" s="5" t="n">
        <v>37</v>
      </c>
      <c r="J1567" s="29" t="n">
        <f aca="false">I1567/60</f>
        <v>0.616666666666667</v>
      </c>
    </row>
    <row r="1568" customFormat="false" ht="15" hidden="false" customHeight="false" outlineLevel="0" collapsed="false">
      <c r="A1568" s="5" t="s">
        <v>2610</v>
      </c>
      <c r="B1568" s="9" t="n">
        <v>46062</v>
      </c>
      <c r="C1568" s="9" t="n">
        <v>46063</v>
      </c>
      <c r="D1568" s="5" t="s">
        <v>142</v>
      </c>
      <c r="E1568" s="5" t="s">
        <v>1051</v>
      </c>
      <c r="F1568" s="5" t="s">
        <v>1007</v>
      </c>
      <c r="G1568" s="6" t="str">
        <f aca="false">INDEX(Catalogo_Causas!$B$2:$B$10,MATCH(F1568,Catalogo_Causas!$A$2:$A$10,0))</f>
        <v>Cambio de formato excedido</v>
      </c>
      <c r="H1568" s="6" t="str">
        <f aca="false">INDEX(Catalogo_Causas!$C$2:$C$10,MATCH(F1568,Catalogo_Causas!$A$2:$A$10,0))</f>
        <v>Operacional</v>
      </c>
      <c r="I1568" s="5" t="n">
        <v>29</v>
      </c>
      <c r="J1568" s="29" t="n">
        <f aca="false">I1568/60</f>
        <v>0.483333333333333</v>
      </c>
    </row>
    <row r="1569" customFormat="false" ht="15" hidden="false" customHeight="false" outlineLevel="0" collapsed="false">
      <c r="A1569" s="5" t="s">
        <v>2611</v>
      </c>
      <c r="B1569" s="9" t="n">
        <v>46062</v>
      </c>
      <c r="C1569" s="9" t="n">
        <v>46063</v>
      </c>
      <c r="D1569" s="5" t="s">
        <v>142</v>
      </c>
      <c r="E1569" s="5" t="s">
        <v>1041</v>
      </c>
      <c r="F1569" s="5" t="s">
        <v>1009</v>
      </c>
      <c r="G1569" s="6" t="str">
        <f aca="false">INDEX(Catalogo_Causas!$B$2:$B$10,MATCH(F1569,Catalogo_Causas!$A$2:$A$10,0))</f>
        <v>Falta de material de empaque</v>
      </c>
      <c r="H1569" s="6" t="str">
        <f aca="false">INDEX(Catalogo_Causas!$C$2:$C$10,MATCH(F1569,Catalogo_Causas!$A$2:$A$10,0))</f>
        <v>Material / suministro</v>
      </c>
      <c r="I1569" s="5" t="n">
        <v>540</v>
      </c>
      <c r="J1569" s="29" t="n">
        <f aca="false">I1569/60</f>
        <v>9</v>
      </c>
    </row>
    <row r="1570" customFormat="false" ht="15" hidden="false" customHeight="false" outlineLevel="0" collapsed="false">
      <c r="A1570" s="5" t="s">
        <v>2612</v>
      </c>
      <c r="B1570" s="9" t="n">
        <v>46062</v>
      </c>
      <c r="C1570" s="9" t="n">
        <v>46064</v>
      </c>
      <c r="D1570" s="5" t="s">
        <v>142</v>
      </c>
      <c r="E1570" s="5" t="s">
        <v>1030</v>
      </c>
      <c r="F1570" s="5" t="s">
        <v>1002</v>
      </c>
      <c r="G1570" s="6" t="str">
        <f aca="false">INDEX(Catalogo_Causas!$B$2:$B$10,MATCH(F1570,Catalogo_Causas!$A$2:$A$10,0))</f>
        <v>Falla mecánica</v>
      </c>
      <c r="H1570" s="6" t="str">
        <f aca="false">INDEX(Catalogo_Causas!$C$2:$C$10,MATCH(F1570,Catalogo_Causas!$A$2:$A$10,0))</f>
        <v>Operacional</v>
      </c>
      <c r="I1570" s="5" t="n">
        <v>30</v>
      </c>
      <c r="J1570" s="29" t="n">
        <f aca="false">I1570/60</f>
        <v>0.5</v>
      </c>
    </row>
    <row r="1571" customFormat="false" ht="15" hidden="false" customHeight="false" outlineLevel="0" collapsed="false">
      <c r="A1571" s="5" t="s">
        <v>2613</v>
      </c>
      <c r="B1571" s="9" t="n">
        <v>46062</v>
      </c>
      <c r="C1571" s="9" t="n">
        <v>46065</v>
      </c>
      <c r="D1571" s="5" t="s">
        <v>138</v>
      </c>
      <c r="E1571" s="5" t="s">
        <v>1056</v>
      </c>
      <c r="F1571" s="5" t="s">
        <v>1005</v>
      </c>
      <c r="G1571" s="6" t="str">
        <f aca="false">INDEX(Catalogo_Causas!$B$2:$B$10,MATCH(F1571,Catalogo_Causas!$A$2:$A$10,0))</f>
        <v>Falla eléctrica / control</v>
      </c>
      <c r="H1571" s="6" t="str">
        <f aca="false">INDEX(Catalogo_Causas!$C$2:$C$10,MATCH(F1571,Catalogo_Causas!$A$2:$A$10,0))</f>
        <v>Operacional</v>
      </c>
      <c r="I1571" s="5" t="n">
        <v>76</v>
      </c>
      <c r="J1571" s="29" t="n">
        <f aca="false">I1571/60</f>
        <v>1.26666666666667</v>
      </c>
    </row>
    <row r="1572" customFormat="false" ht="15" hidden="false" customHeight="false" outlineLevel="0" collapsed="false">
      <c r="A1572" s="5" t="s">
        <v>2614</v>
      </c>
      <c r="B1572" s="9" t="n">
        <v>46062</v>
      </c>
      <c r="C1572" s="9" t="n">
        <v>46065</v>
      </c>
      <c r="D1572" s="5" t="s">
        <v>140</v>
      </c>
      <c r="E1572" s="5" t="s">
        <v>1036</v>
      </c>
      <c r="F1572" s="5" t="s">
        <v>1009</v>
      </c>
      <c r="G1572" s="6" t="str">
        <f aca="false">INDEX(Catalogo_Causas!$B$2:$B$10,MATCH(F1572,Catalogo_Causas!$A$2:$A$10,0))</f>
        <v>Falta de material de empaque</v>
      </c>
      <c r="H1572" s="6" t="str">
        <f aca="false">INDEX(Catalogo_Causas!$C$2:$C$10,MATCH(F1572,Catalogo_Causas!$A$2:$A$10,0))</f>
        <v>Material / suministro</v>
      </c>
      <c r="I1572" s="5" t="n">
        <v>127</v>
      </c>
      <c r="J1572" s="29" t="n">
        <f aca="false">I1572/60</f>
        <v>2.11666666666667</v>
      </c>
    </row>
    <row r="1573" customFormat="false" ht="15" hidden="false" customHeight="false" outlineLevel="0" collapsed="false">
      <c r="A1573" s="5" t="s">
        <v>2615</v>
      </c>
      <c r="B1573" s="9" t="n">
        <v>46062</v>
      </c>
      <c r="C1573" s="9" t="n">
        <v>46066</v>
      </c>
      <c r="D1573" s="5" t="s">
        <v>134</v>
      </c>
      <c r="E1573" s="5" t="s">
        <v>1032</v>
      </c>
      <c r="F1573" s="5" t="s">
        <v>1016</v>
      </c>
      <c r="G1573" s="6" t="str">
        <f aca="false">INDEX(Catalogo_Causas!$B$2:$B$10,MATCH(F1573,Catalogo_Causas!$A$2:$A$10,0))</f>
        <v>Limpieza no programada (CIP)</v>
      </c>
      <c r="H1573" s="6" t="str">
        <f aca="false">INDEX(Catalogo_Causas!$C$2:$C$10,MATCH(F1573,Catalogo_Causas!$A$2:$A$10,0))</f>
        <v>Calidad</v>
      </c>
      <c r="I1573" s="5" t="n">
        <v>95</v>
      </c>
      <c r="J1573" s="29" t="n">
        <f aca="false">I1573/60</f>
        <v>1.58333333333333</v>
      </c>
    </row>
    <row r="1574" customFormat="false" ht="15" hidden="false" customHeight="false" outlineLevel="0" collapsed="false">
      <c r="A1574" s="5" t="s">
        <v>2616</v>
      </c>
      <c r="B1574" s="9" t="n">
        <v>46062</v>
      </c>
      <c r="C1574" s="9" t="n">
        <v>46066</v>
      </c>
      <c r="D1574" s="5" t="s">
        <v>140</v>
      </c>
      <c r="E1574" s="5" t="s">
        <v>1045</v>
      </c>
      <c r="F1574" s="5" t="s">
        <v>1012</v>
      </c>
      <c r="G1574" s="6" t="str">
        <f aca="false">INDEX(Catalogo_Causas!$B$2:$B$10,MATCH(F1574,Catalogo_Causas!$A$2:$A$10,0))</f>
        <v>Falta de materia prima</v>
      </c>
      <c r="H1574" s="6" t="str">
        <f aca="false">INDEX(Catalogo_Causas!$C$2:$C$10,MATCH(F1574,Catalogo_Causas!$A$2:$A$10,0))</f>
        <v>Material / suministro</v>
      </c>
      <c r="I1574" s="5" t="n">
        <v>20</v>
      </c>
      <c r="J1574" s="29" t="n">
        <f aca="false">I1574/60</f>
        <v>0.333333333333333</v>
      </c>
    </row>
    <row r="1575" customFormat="false" ht="15" hidden="false" customHeight="false" outlineLevel="0" collapsed="false">
      <c r="A1575" s="5" t="s">
        <v>2617</v>
      </c>
      <c r="B1575" s="9" t="n">
        <v>46062</v>
      </c>
      <c r="C1575" s="9" t="n">
        <v>46066</v>
      </c>
      <c r="D1575" s="5" t="s">
        <v>142</v>
      </c>
      <c r="E1575" s="5" t="s">
        <v>1051</v>
      </c>
      <c r="F1575" s="5" t="s">
        <v>1002</v>
      </c>
      <c r="G1575" s="6" t="str">
        <f aca="false">INDEX(Catalogo_Causas!$B$2:$B$10,MATCH(F1575,Catalogo_Causas!$A$2:$A$10,0))</f>
        <v>Falla mecánica</v>
      </c>
      <c r="H1575" s="6" t="str">
        <f aca="false">INDEX(Catalogo_Causas!$C$2:$C$10,MATCH(F1575,Catalogo_Causas!$A$2:$A$10,0))</f>
        <v>Operacional</v>
      </c>
      <c r="I1575" s="5" t="n">
        <v>49</v>
      </c>
      <c r="J1575" s="29" t="n">
        <f aca="false">I1575/60</f>
        <v>0.816666666666667</v>
      </c>
    </row>
    <row r="1576" customFormat="false" ht="15" hidden="false" customHeight="false" outlineLevel="0" collapsed="false">
      <c r="A1576" s="5" t="s">
        <v>2618</v>
      </c>
      <c r="B1576" s="9" t="n">
        <v>46062</v>
      </c>
      <c r="C1576" s="9" t="n">
        <v>46067</v>
      </c>
      <c r="D1576" s="5" t="s">
        <v>132</v>
      </c>
      <c r="E1576" s="5" t="s">
        <v>1073</v>
      </c>
      <c r="F1576" s="5" t="s">
        <v>1021</v>
      </c>
      <c r="G1576" s="6" t="str">
        <f aca="false">INDEX(Catalogo_Causas!$B$2:$B$10,MATCH(F1576,Catalogo_Causas!$A$2:$A$10,0))</f>
        <v>Falla de servicios (vapor/amoniaco/aire)</v>
      </c>
      <c r="H1576" s="6" t="str">
        <f aca="false">INDEX(Catalogo_Causas!$C$2:$C$10,MATCH(F1576,Catalogo_Causas!$A$2:$A$10,0))</f>
        <v>Servicios</v>
      </c>
      <c r="I1576" s="5" t="n">
        <v>42</v>
      </c>
      <c r="J1576" s="29" t="n">
        <f aca="false">I1576/60</f>
        <v>0.7</v>
      </c>
    </row>
    <row r="1577" customFormat="false" ht="15" hidden="false" customHeight="false" outlineLevel="0" collapsed="false">
      <c r="A1577" s="5" t="s">
        <v>2619</v>
      </c>
      <c r="B1577" s="9" t="n">
        <v>46062</v>
      </c>
      <c r="C1577" s="9" t="n">
        <v>46067</v>
      </c>
      <c r="D1577" s="5" t="s">
        <v>132</v>
      </c>
      <c r="E1577" s="5" t="s">
        <v>1073</v>
      </c>
      <c r="F1577" s="5" t="s">
        <v>1005</v>
      </c>
      <c r="G1577" s="6" t="str">
        <f aca="false">INDEX(Catalogo_Causas!$B$2:$B$10,MATCH(F1577,Catalogo_Causas!$A$2:$A$10,0))</f>
        <v>Falla eléctrica / control</v>
      </c>
      <c r="H1577" s="6" t="str">
        <f aca="false">INDEX(Catalogo_Causas!$C$2:$C$10,MATCH(F1577,Catalogo_Causas!$A$2:$A$10,0))</f>
        <v>Operacional</v>
      </c>
      <c r="I1577" s="5" t="n">
        <v>207</v>
      </c>
      <c r="J1577" s="29" t="n">
        <f aca="false">I1577/60</f>
        <v>3.45</v>
      </c>
    </row>
    <row r="1578" customFormat="false" ht="15" hidden="false" customHeight="false" outlineLevel="0" collapsed="false">
      <c r="A1578" s="5" t="s">
        <v>2620</v>
      </c>
      <c r="B1578" s="9" t="n">
        <v>46062</v>
      </c>
      <c r="C1578" s="9" t="n">
        <v>46067</v>
      </c>
      <c r="D1578" s="5" t="s">
        <v>134</v>
      </c>
      <c r="E1578" s="5" t="s">
        <v>1054</v>
      </c>
      <c r="F1578" s="5" t="s">
        <v>1005</v>
      </c>
      <c r="G1578" s="6" t="str">
        <f aca="false">INDEX(Catalogo_Causas!$B$2:$B$10,MATCH(F1578,Catalogo_Causas!$A$2:$A$10,0))</f>
        <v>Falla eléctrica / control</v>
      </c>
      <c r="H1578" s="6" t="str">
        <f aca="false">INDEX(Catalogo_Causas!$C$2:$C$10,MATCH(F1578,Catalogo_Causas!$A$2:$A$10,0))</f>
        <v>Operacional</v>
      </c>
      <c r="I1578" s="5" t="n">
        <v>23</v>
      </c>
      <c r="J1578" s="29" t="n">
        <f aca="false">I1578/60</f>
        <v>0.383333333333333</v>
      </c>
    </row>
    <row r="1579" customFormat="false" ht="15" hidden="false" customHeight="false" outlineLevel="0" collapsed="false">
      <c r="A1579" s="5" t="s">
        <v>2621</v>
      </c>
      <c r="B1579" s="9" t="n">
        <v>46062</v>
      </c>
      <c r="C1579" s="9" t="n">
        <v>46067</v>
      </c>
      <c r="D1579" s="5" t="s">
        <v>136</v>
      </c>
      <c r="E1579" s="5" t="s">
        <v>1101</v>
      </c>
      <c r="F1579" s="5" t="s">
        <v>1002</v>
      </c>
      <c r="G1579" s="6" t="str">
        <f aca="false">INDEX(Catalogo_Causas!$B$2:$B$10,MATCH(F1579,Catalogo_Causas!$A$2:$A$10,0))</f>
        <v>Falla mecánica</v>
      </c>
      <c r="H1579" s="6" t="str">
        <f aca="false">INDEX(Catalogo_Causas!$C$2:$C$10,MATCH(F1579,Catalogo_Causas!$A$2:$A$10,0))</f>
        <v>Operacional</v>
      </c>
      <c r="I1579" s="5" t="n">
        <v>102</v>
      </c>
      <c r="J1579" s="29" t="n">
        <f aca="false">I1579/60</f>
        <v>1.7</v>
      </c>
    </row>
    <row r="1580" customFormat="false" ht="15" hidden="false" customHeight="false" outlineLevel="0" collapsed="false">
      <c r="A1580" s="5" t="s">
        <v>2622</v>
      </c>
      <c r="B1580" s="9" t="n">
        <v>46062</v>
      </c>
      <c r="C1580" s="9" t="n">
        <v>46067</v>
      </c>
      <c r="D1580" s="5" t="s">
        <v>138</v>
      </c>
      <c r="E1580" s="5" t="s">
        <v>1039</v>
      </c>
      <c r="F1580" s="5" t="s">
        <v>1012</v>
      </c>
      <c r="G1580" s="6" t="str">
        <f aca="false">INDEX(Catalogo_Causas!$B$2:$B$10,MATCH(F1580,Catalogo_Causas!$A$2:$A$10,0))</f>
        <v>Falta de materia prima</v>
      </c>
      <c r="H1580" s="6" t="str">
        <f aca="false">INDEX(Catalogo_Causas!$C$2:$C$10,MATCH(F1580,Catalogo_Causas!$A$2:$A$10,0))</f>
        <v>Material / suministro</v>
      </c>
      <c r="I1580" s="5" t="n">
        <v>36</v>
      </c>
      <c r="J1580" s="29" t="n">
        <f aca="false">I1580/60</f>
        <v>0.6</v>
      </c>
    </row>
    <row r="1581" customFormat="false" ht="15" hidden="false" customHeight="false" outlineLevel="0" collapsed="false">
      <c r="A1581" s="5" t="s">
        <v>2623</v>
      </c>
      <c r="B1581" s="9" t="n">
        <v>46069</v>
      </c>
      <c r="C1581" s="9" t="n">
        <v>46069</v>
      </c>
      <c r="D1581" s="5" t="s">
        <v>130</v>
      </c>
      <c r="E1581" s="5" t="s">
        <v>1030</v>
      </c>
      <c r="F1581" s="5" t="s">
        <v>1009</v>
      </c>
      <c r="G1581" s="6" t="str">
        <f aca="false">INDEX(Catalogo_Causas!$B$2:$B$10,MATCH(F1581,Catalogo_Causas!$A$2:$A$10,0))</f>
        <v>Falta de material de empaque</v>
      </c>
      <c r="H1581" s="6" t="str">
        <f aca="false">INDEX(Catalogo_Causas!$C$2:$C$10,MATCH(F1581,Catalogo_Causas!$A$2:$A$10,0))</f>
        <v>Material / suministro</v>
      </c>
      <c r="I1581" s="5" t="n">
        <v>37</v>
      </c>
      <c r="J1581" s="29" t="n">
        <f aca="false">I1581/60</f>
        <v>0.616666666666667</v>
      </c>
    </row>
    <row r="1582" customFormat="false" ht="15" hidden="false" customHeight="false" outlineLevel="0" collapsed="false">
      <c r="A1582" s="5" t="s">
        <v>2624</v>
      </c>
      <c r="B1582" s="9" t="n">
        <v>46069</v>
      </c>
      <c r="C1582" s="9" t="n">
        <v>46069</v>
      </c>
      <c r="D1582" s="5" t="s">
        <v>132</v>
      </c>
      <c r="E1582" s="5" t="s">
        <v>1032</v>
      </c>
      <c r="F1582" s="5" t="s">
        <v>1021</v>
      </c>
      <c r="G1582" s="6" t="str">
        <f aca="false">INDEX(Catalogo_Causas!$B$2:$B$10,MATCH(F1582,Catalogo_Causas!$A$2:$A$10,0))</f>
        <v>Falla de servicios (vapor/amoniaco/aire)</v>
      </c>
      <c r="H1582" s="6" t="str">
        <f aca="false">INDEX(Catalogo_Causas!$C$2:$C$10,MATCH(F1582,Catalogo_Causas!$A$2:$A$10,0))</f>
        <v>Servicios</v>
      </c>
      <c r="I1582" s="5" t="n">
        <v>89</v>
      </c>
      <c r="J1582" s="29" t="n">
        <f aca="false">I1582/60</f>
        <v>1.48333333333333</v>
      </c>
    </row>
    <row r="1583" customFormat="false" ht="15" hidden="false" customHeight="false" outlineLevel="0" collapsed="false">
      <c r="A1583" s="5" t="s">
        <v>2625</v>
      </c>
      <c r="B1583" s="9" t="n">
        <v>46069</v>
      </c>
      <c r="C1583" s="9" t="n">
        <v>46069</v>
      </c>
      <c r="D1583" s="5" t="s">
        <v>142</v>
      </c>
      <c r="E1583" s="5" t="s">
        <v>1041</v>
      </c>
      <c r="F1583" s="5" t="s">
        <v>1012</v>
      </c>
      <c r="G1583" s="6" t="str">
        <f aca="false">INDEX(Catalogo_Causas!$B$2:$B$10,MATCH(F1583,Catalogo_Causas!$A$2:$A$10,0))</f>
        <v>Falta de materia prima</v>
      </c>
      <c r="H1583" s="6" t="str">
        <f aca="false">INDEX(Catalogo_Causas!$C$2:$C$10,MATCH(F1583,Catalogo_Causas!$A$2:$A$10,0))</f>
        <v>Material / suministro</v>
      </c>
      <c r="I1583" s="5" t="n">
        <v>13</v>
      </c>
      <c r="J1583" s="29" t="n">
        <f aca="false">I1583/60</f>
        <v>0.216666666666667</v>
      </c>
    </row>
    <row r="1584" customFormat="false" ht="15" hidden="false" customHeight="false" outlineLevel="0" collapsed="false">
      <c r="A1584" s="5" t="s">
        <v>2626</v>
      </c>
      <c r="B1584" s="9" t="n">
        <v>46069</v>
      </c>
      <c r="C1584" s="9" t="n">
        <v>46070</v>
      </c>
      <c r="D1584" s="5" t="s">
        <v>132</v>
      </c>
      <c r="E1584" s="5" t="s">
        <v>1084</v>
      </c>
      <c r="F1584" s="5" t="s">
        <v>1002</v>
      </c>
      <c r="G1584" s="6" t="str">
        <f aca="false">INDEX(Catalogo_Causas!$B$2:$B$10,MATCH(F1584,Catalogo_Causas!$A$2:$A$10,0))</f>
        <v>Falla mecánica</v>
      </c>
      <c r="H1584" s="6" t="str">
        <f aca="false">INDEX(Catalogo_Causas!$C$2:$C$10,MATCH(F1584,Catalogo_Causas!$A$2:$A$10,0))</f>
        <v>Operacional</v>
      </c>
      <c r="I1584" s="5" t="n">
        <v>95</v>
      </c>
      <c r="J1584" s="29" t="n">
        <f aca="false">I1584/60</f>
        <v>1.58333333333333</v>
      </c>
    </row>
    <row r="1585" customFormat="false" ht="15" hidden="false" customHeight="false" outlineLevel="0" collapsed="false">
      <c r="A1585" s="5" t="s">
        <v>2627</v>
      </c>
      <c r="B1585" s="9" t="n">
        <v>46069</v>
      </c>
      <c r="C1585" s="9" t="n">
        <v>46071</v>
      </c>
      <c r="D1585" s="5" t="s">
        <v>132</v>
      </c>
      <c r="E1585" s="5" t="s">
        <v>1032</v>
      </c>
      <c r="F1585" s="5" t="s">
        <v>1021</v>
      </c>
      <c r="G1585" s="6" t="str">
        <f aca="false">INDEX(Catalogo_Causas!$B$2:$B$10,MATCH(F1585,Catalogo_Causas!$A$2:$A$10,0))</f>
        <v>Falla de servicios (vapor/amoniaco/aire)</v>
      </c>
      <c r="H1585" s="6" t="str">
        <f aca="false">INDEX(Catalogo_Causas!$C$2:$C$10,MATCH(F1585,Catalogo_Causas!$A$2:$A$10,0))</f>
        <v>Servicios</v>
      </c>
      <c r="I1585" s="5" t="n">
        <v>60</v>
      </c>
      <c r="J1585" s="29" t="n">
        <f aca="false">I1585/60</f>
        <v>1</v>
      </c>
    </row>
    <row r="1586" customFormat="false" ht="15" hidden="false" customHeight="false" outlineLevel="0" collapsed="false">
      <c r="A1586" s="5" t="s">
        <v>2628</v>
      </c>
      <c r="B1586" s="9" t="n">
        <v>46069</v>
      </c>
      <c r="C1586" s="9" t="n">
        <v>46071</v>
      </c>
      <c r="D1586" s="5" t="s">
        <v>132</v>
      </c>
      <c r="E1586" s="5" t="s">
        <v>1032</v>
      </c>
      <c r="F1586" s="5" t="s">
        <v>1007</v>
      </c>
      <c r="G1586" s="6" t="str">
        <f aca="false">INDEX(Catalogo_Causas!$B$2:$B$10,MATCH(F1586,Catalogo_Causas!$A$2:$A$10,0))</f>
        <v>Cambio de formato excedido</v>
      </c>
      <c r="H1586" s="6" t="str">
        <f aca="false">INDEX(Catalogo_Causas!$C$2:$C$10,MATCH(F1586,Catalogo_Causas!$A$2:$A$10,0))</f>
        <v>Operacional</v>
      </c>
      <c r="I1586" s="5" t="n">
        <v>40</v>
      </c>
      <c r="J1586" s="29" t="n">
        <f aca="false">I1586/60</f>
        <v>0.666666666666667</v>
      </c>
    </row>
    <row r="1587" customFormat="false" ht="15" hidden="false" customHeight="false" outlineLevel="0" collapsed="false">
      <c r="A1587" s="5" t="s">
        <v>2629</v>
      </c>
      <c r="B1587" s="9" t="n">
        <v>46069</v>
      </c>
      <c r="C1587" s="9" t="n">
        <v>46071</v>
      </c>
      <c r="D1587" s="5" t="s">
        <v>138</v>
      </c>
      <c r="E1587" s="5" t="s">
        <v>1034</v>
      </c>
      <c r="F1587" s="5" t="s">
        <v>1005</v>
      </c>
      <c r="G1587" s="6" t="str">
        <f aca="false">INDEX(Catalogo_Causas!$B$2:$B$10,MATCH(F1587,Catalogo_Causas!$A$2:$A$10,0))</f>
        <v>Falla eléctrica / control</v>
      </c>
      <c r="H1587" s="6" t="str">
        <f aca="false">INDEX(Catalogo_Causas!$C$2:$C$10,MATCH(F1587,Catalogo_Causas!$A$2:$A$10,0))</f>
        <v>Operacional</v>
      </c>
      <c r="I1587" s="5" t="n">
        <v>128</v>
      </c>
      <c r="J1587" s="29" t="n">
        <f aca="false">I1587/60</f>
        <v>2.13333333333333</v>
      </c>
    </row>
    <row r="1588" customFormat="false" ht="15" hidden="false" customHeight="false" outlineLevel="0" collapsed="false">
      <c r="A1588" s="5" t="s">
        <v>2630</v>
      </c>
      <c r="B1588" s="9" t="n">
        <v>46069</v>
      </c>
      <c r="C1588" s="9" t="n">
        <v>46072</v>
      </c>
      <c r="D1588" s="5" t="s">
        <v>130</v>
      </c>
      <c r="E1588" s="5" t="s">
        <v>1045</v>
      </c>
      <c r="F1588" s="5" t="s">
        <v>1016</v>
      </c>
      <c r="G1588" s="6" t="str">
        <f aca="false">INDEX(Catalogo_Causas!$B$2:$B$10,MATCH(F1588,Catalogo_Causas!$A$2:$A$10,0))</f>
        <v>Limpieza no programada (CIP)</v>
      </c>
      <c r="H1588" s="6" t="str">
        <f aca="false">INDEX(Catalogo_Causas!$C$2:$C$10,MATCH(F1588,Catalogo_Causas!$A$2:$A$10,0))</f>
        <v>Calidad</v>
      </c>
      <c r="I1588" s="5" t="n">
        <v>105</v>
      </c>
      <c r="J1588" s="29" t="n">
        <f aca="false">I1588/60</f>
        <v>1.75</v>
      </c>
    </row>
    <row r="1589" customFormat="false" ht="15" hidden="false" customHeight="false" outlineLevel="0" collapsed="false">
      <c r="A1589" s="5" t="s">
        <v>2631</v>
      </c>
      <c r="B1589" s="9" t="n">
        <v>46069</v>
      </c>
      <c r="C1589" s="9" t="n">
        <v>46072</v>
      </c>
      <c r="D1589" s="5" t="s">
        <v>134</v>
      </c>
      <c r="E1589" s="5" t="s">
        <v>1030</v>
      </c>
      <c r="F1589" s="5" t="s">
        <v>1007</v>
      </c>
      <c r="G1589" s="6" t="str">
        <f aca="false">INDEX(Catalogo_Causas!$B$2:$B$10,MATCH(F1589,Catalogo_Causas!$A$2:$A$10,0))</f>
        <v>Cambio de formato excedido</v>
      </c>
      <c r="H1589" s="6" t="str">
        <f aca="false">INDEX(Catalogo_Causas!$C$2:$C$10,MATCH(F1589,Catalogo_Causas!$A$2:$A$10,0))</f>
        <v>Operacional</v>
      </c>
      <c r="I1589" s="5" t="n">
        <v>54</v>
      </c>
      <c r="J1589" s="29" t="n">
        <f aca="false">I1589/60</f>
        <v>0.9</v>
      </c>
    </row>
    <row r="1590" customFormat="false" ht="15" hidden="false" customHeight="false" outlineLevel="0" collapsed="false">
      <c r="A1590" s="5" t="s">
        <v>2632</v>
      </c>
      <c r="B1590" s="9" t="n">
        <v>46069</v>
      </c>
      <c r="C1590" s="9" t="n">
        <v>46072</v>
      </c>
      <c r="D1590" s="5" t="s">
        <v>138</v>
      </c>
      <c r="E1590" s="5" t="s">
        <v>1034</v>
      </c>
      <c r="F1590" s="5" t="s">
        <v>1009</v>
      </c>
      <c r="G1590" s="6" t="str">
        <f aca="false">INDEX(Catalogo_Causas!$B$2:$B$10,MATCH(F1590,Catalogo_Causas!$A$2:$A$10,0))</f>
        <v>Falta de material de empaque</v>
      </c>
      <c r="H1590" s="6" t="str">
        <f aca="false">INDEX(Catalogo_Causas!$C$2:$C$10,MATCH(F1590,Catalogo_Causas!$A$2:$A$10,0))</f>
        <v>Material / suministro</v>
      </c>
      <c r="I1590" s="5" t="n">
        <v>72</v>
      </c>
      <c r="J1590" s="29" t="n">
        <f aca="false">I1590/60</f>
        <v>1.2</v>
      </c>
    </row>
    <row r="1591" customFormat="false" ht="15" hidden="false" customHeight="false" outlineLevel="0" collapsed="false">
      <c r="A1591" s="5" t="s">
        <v>2633</v>
      </c>
      <c r="B1591" s="9" t="n">
        <v>46069</v>
      </c>
      <c r="C1591" s="9" t="n">
        <v>46072</v>
      </c>
      <c r="D1591" s="5" t="s">
        <v>138</v>
      </c>
      <c r="E1591" s="5" t="s">
        <v>1056</v>
      </c>
      <c r="F1591" s="5" t="s">
        <v>1016</v>
      </c>
      <c r="G1591" s="6" t="str">
        <f aca="false">INDEX(Catalogo_Causas!$B$2:$B$10,MATCH(F1591,Catalogo_Causas!$A$2:$A$10,0))</f>
        <v>Limpieza no programada (CIP)</v>
      </c>
      <c r="H1591" s="6" t="str">
        <f aca="false">INDEX(Catalogo_Causas!$C$2:$C$10,MATCH(F1591,Catalogo_Causas!$A$2:$A$10,0))</f>
        <v>Calidad</v>
      </c>
      <c r="I1591" s="5" t="n">
        <v>41</v>
      </c>
      <c r="J1591" s="29" t="n">
        <f aca="false">I1591/60</f>
        <v>0.683333333333333</v>
      </c>
    </row>
    <row r="1592" customFormat="false" ht="15" hidden="false" customHeight="false" outlineLevel="0" collapsed="false">
      <c r="A1592" s="5" t="s">
        <v>2634</v>
      </c>
      <c r="B1592" s="9" t="n">
        <v>46069</v>
      </c>
      <c r="C1592" s="9" t="n">
        <v>46072</v>
      </c>
      <c r="D1592" s="5" t="s">
        <v>142</v>
      </c>
      <c r="E1592" s="5" t="s">
        <v>1051</v>
      </c>
      <c r="F1592" s="5" t="s">
        <v>1007</v>
      </c>
      <c r="G1592" s="6" t="str">
        <f aca="false">INDEX(Catalogo_Causas!$B$2:$B$10,MATCH(F1592,Catalogo_Causas!$A$2:$A$10,0))</f>
        <v>Cambio de formato excedido</v>
      </c>
      <c r="H1592" s="6" t="str">
        <f aca="false">INDEX(Catalogo_Causas!$C$2:$C$10,MATCH(F1592,Catalogo_Causas!$A$2:$A$10,0))</f>
        <v>Operacional</v>
      </c>
      <c r="I1592" s="5" t="n">
        <v>172</v>
      </c>
      <c r="J1592" s="29" t="n">
        <f aca="false">I1592/60</f>
        <v>2.86666666666667</v>
      </c>
    </row>
    <row r="1593" customFormat="false" ht="15" hidden="false" customHeight="false" outlineLevel="0" collapsed="false">
      <c r="A1593" s="5" t="s">
        <v>2635</v>
      </c>
      <c r="B1593" s="9" t="n">
        <v>46069</v>
      </c>
      <c r="C1593" s="9" t="n">
        <v>46073</v>
      </c>
      <c r="D1593" s="5" t="s">
        <v>130</v>
      </c>
      <c r="E1593" s="5" t="s">
        <v>1045</v>
      </c>
      <c r="F1593" s="5" t="s">
        <v>1002</v>
      </c>
      <c r="G1593" s="6" t="str">
        <f aca="false">INDEX(Catalogo_Causas!$B$2:$B$10,MATCH(F1593,Catalogo_Causas!$A$2:$A$10,0))</f>
        <v>Falla mecánica</v>
      </c>
      <c r="H1593" s="6" t="str">
        <f aca="false">INDEX(Catalogo_Causas!$C$2:$C$10,MATCH(F1593,Catalogo_Causas!$A$2:$A$10,0))</f>
        <v>Operacional</v>
      </c>
      <c r="I1593" s="5" t="n">
        <v>40</v>
      </c>
      <c r="J1593" s="29" t="n">
        <f aca="false">I1593/60</f>
        <v>0.666666666666667</v>
      </c>
    </row>
    <row r="1594" customFormat="false" ht="15" hidden="false" customHeight="false" outlineLevel="0" collapsed="false">
      <c r="A1594" s="5" t="s">
        <v>2636</v>
      </c>
      <c r="B1594" s="9" t="n">
        <v>46069</v>
      </c>
      <c r="C1594" s="9" t="n">
        <v>46073</v>
      </c>
      <c r="D1594" s="5" t="s">
        <v>136</v>
      </c>
      <c r="E1594" s="5" t="s">
        <v>1032</v>
      </c>
      <c r="F1594" s="5" t="s">
        <v>1014</v>
      </c>
      <c r="G1594" s="6" t="str">
        <f aca="false">INDEX(Catalogo_Causas!$B$2:$B$10,MATCH(F1594,Catalogo_Causas!$A$2:$A$10,0))</f>
        <v>Retención de calidad</v>
      </c>
      <c r="H1594" s="6" t="str">
        <f aca="false">INDEX(Catalogo_Causas!$C$2:$C$10,MATCH(F1594,Catalogo_Causas!$A$2:$A$10,0))</f>
        <v>Calidad</v>
      </c>
      <c r="I1594" s="5" t="n">
        <v>28</v>
      </c>
      <c r="J1594" s="29" t="n">
        <f aca="false">I1594/60</f>
        <v>0.466666666666667</v>
      </c>
    </row>
    <row r="1595" customFormat="false" ht="15" hidden="false" customHeight="false" outlineLevel="0" collapsed="false">
      <c r="A1595" s="5" t="s">
        <v>2637</v>
      </c>
      <c r="B1595" s="9" t="n">
        <v>46069</v>
      </c>
      <c r="C1595" s="9" t="n">
        <v>46073</v>
      </c>
      <c r="D1595" s="5" t="s">
        <v>136</v>
      </c>
      <c r="E1595" s="5" t="s">
        <v>1101</v>
      </c>
      <c r="F1595" s="5" t="s">
        <v>1002</v>
      </c>
      <c r="G1595" s="6" t="str">
        <f aca="false">INDEX(Catalogo_Causas!$B$2:$B$10,MATCH(F1595,Catalogo_Causas!$A$2:$A$10,0))</f>
        <v>Falla mecánica</v>
      </c>
      <c r="H1595" s="6" t="str">
        <f aca="false">INDEX(Catalogo_Causas!$C$2:$C$10,MATCH(F1595,Catalogo_Causas!$A$2:$A$10,0))</f>
        <v>Operacional</v>
      </c>
      <c r="I1595" s="5" t="n">
        <v>26</v>
      </c>
      <c r="J1595" s="29" t="n">
        <f aca="false">I1595/60</f>
        <v>0.433333333333333</v>
      </c>
    </row>
    <row r="1596" customFormat="false" ht="15" hidden="false" customHeight="false" outlineLevel="0" collapsed="false">
      <c r="A1596" s="5" t="s">
        <v>2638</v>
      </c>
      <c r="B1596" s="9" t="n">
        <v>46069</v>
      </c>
      <c r="C1596" s="9" t="n">
        <v>46073</v>
      </c>
      <c r="D1596" s="5" t="s">
        <v>138</v>
      </c>
      <c r="E1596" s="5" t="s">
        <v>1034</v>
      </c>
      <c r="F1596" s="5" t="s">
        <v>1002</v>
      </c>
      <c r="G1596" s="6" t="str">
        <f aca="false">INDEX(Catalogo_Causas!$B$2:$B$10,MATCH(F1596,Catalogo_Causas!$A$2:$A$10,0))</f>
        <v>Falla mecánica</v>
      </c>
      <c r="H1596" s="6" t="str">
        <f aca="false">INDEX(Catalogo_Causas!$C$2:$C$10,MATCH(F1596,Catalogo_Causas!$A$2:$A$10,0))</f>
        <v>Operacional</v>
      </c>
      <c r="I1596" s="5" t="n">
        <v>35</v>
      </c>
      <c r="J1596" s="29" t="n">
        <f aca="false">I1596/60</f>
        <v>0.583333333333333</v>
      </c>
    </row>
    <row r="1597" customFormat="false" ht="15" hidden="false" customHeight="false" outlineLevel="0" collapsed="false">
      <c r="A1597" s="5" t="s">
        <v>2639</v>
      </c>
      <c r="B1597" s="9" t="n">
        <v>46069</v>
      </c>
      <c r="C1597" s="9" t="n">
        <v>46073</v>
      </c>
      <c r="D1597" s="5" t="s">
        <v>144</v>
      </c>
      <c r="E1597" s="5" t="s">
        <v>1032</v>
      </c>
      <c r="F1597" s="5" t="s">
        <v>1002</v>
      </c>
      <c r="G1597" s="6" t="str">
        <f aca="false">INDEX(Catalogo_Causas!$B$2:$B$10,MATCH(F1597,Catalogo_Causas!$A$2:$A$10,0))</f>
        <v>Falla mecánica</v>
      </c>
      <c r="H1597" s="6" t="str">
        <f aca="false">INDEX(Catalogo_Causas!$C$2:$C$10,MATCH(F1597,Catalogo_Causas!$A$2:$A$10,0))</f>
        <v>Operacional</v>
      </c>
      <c r="I1597" s="5" t="n">
        <v>81</v>
      </c>
      <c r="J1597" s="29" t="n">
        <f aca="false">I1597/60</f>
        <v>1.35</v>
      </c>
    </row>
    <row r="1598" customFormat="false" ht="15" hidden="false" customHeight="false" outlineLevel="0" collapsed="false">
      <c r="A1598" s="5" t="s">
        <v>2640</v>
      </c>
      <c r="B1598" s="9" t="n">
        <v>46069</v>
      </c>
      <c r="C1598" s="9" t="n">
        <v>46074</v>
      </c>
      <c r="D1598" s="5" t="s">
        <v>130</v>
      </c>
      <c r="E1598" s="5" t="s">
        <v>1045</v>
      </c>
      <c r="F1598" s="5" t="s">
        <v>1002</v>
      </c>
      <c r="G1598" s="6" t="str">
        <f aca="false">INDEX(Catalogo_Causas!$B$2:$B$10,MATCH(F1598,Catalogo_Causas!$A$2:$A$10,0))</f>
        <v>Falla mecánica</v>
      </c>
      <c r="H1598" s="6" t="str">
        <f aca="false">INDEX(Catalogo_Causas!$C$2:$C$10,MATCH(F1598,Catalogo_Causas!$A$2:$A$10,0))</f>
        <v>Operacional</v>
      </c>
      <c r="I1598" s="5" t="n">
        <v>42</v>
      </c>
      <c r="J1598" s="29" t="n">
        <f aca="false">I1598/60</f>
        <v>0.7</v>
      </c>
    </row>
    <row r="1599" customFormat="false" ht="15" hidden="false" customHeight="false" outlineLevel="0" collapsed="false">
      <c r="A1599" s="5" t="s">
        <v>2641</v>
      </c>
      <c r="B1599" s="9" t="n">
        <v>46069</v>
      </c>
      <c r="C1599" s="9" t="n">
        <v>46074</v>
      </c>
      <c r="D1599" s="5" t="s">
        <v>132</v>
      </c>
      <c r="E1599" s="5" t="s">
        <v>1073</v>
      </c>
      <c r="F1599" s="5" t="s">
        <v>1009</v>
      </c>
      <c r="G1599" s="6" t="str">
        <f aca="false">INDEX(Catalogo_Causas!$B$2:$B$10,MATCH(F1599,Catalogo_Causas!$A$2:$A$10,0))</f>
        <v>Falta de material de empaque</v>
      </c>
      <c r="H1599" s="6" t="str">
        <f aca="false">INDEX(Catalogo_Causas!$C$2:$C$10,MATCH(F1599,Catalogo_Causas!$A$2:$A$10,0))</f>
        <v>Material / suministro</v>
      </c>
      <c r="I1599" s="5" t="n">
        <v>17</v>
      </c>
      <c r="J1599" s="29" t="n">
        <f aca="false">I1599/60</f>
        <v>0.283333333333333</v>
      </c>
    </row>
    <row r="1600" customFormat="false" ht="15" hidden="false" customHeight="false" outlineLevel="0" collapsed="false">
      <c r="A1600" s="5" t="s">
        <v>2642</v>
      </c>
      <c r="B1600" s="9" t="n">
        <v>46069</v>
      </c>
      <c r="C1600" s="9" t="n">
        <v>46074</v>
      </c>
      <c r="D1600" s="5" t="s">
        <v>132</v>
      </c>
      <c r="E1600" s="5" t="s">
        <v>1032</v>
      </c>
      <c r="F1600" s="5" t="s">
        <v>1002</v>
      </c>
      <c r="G1600" s="6" t="str">
        <f aca="false">INDEX(Catalogo_Causas!$B$2:$B$10,MATCH(F1600,Catalogo_Causas!$A$2:$A$10,0))</f>
        <v>Falla mecánica</v>
      </c>
      <c r="H1600" s="6" t="str">
        <f aca="false">INDEX(Catalogo_Causas!$C$2:$C$10,MATCH(F1600,Catalogo_Causas!$A$2:$A$10,0))</f>
        <v>Operacional</v>
      </c>
      <c r="I1600" s="5" t="n">
        <v>44</v>
      </c>
      <c r="J1600" s="29" t="n">
        <f aca="false">I1600/60</f>
        <v>0.733333333333333</v>
      </c>
    </row>
    <row r="1601" customFormat="false" ht="15" hidden="false" customHeight="false" outlineLevel="0" collapsed="false">
      <c r="A1601" s="5" t="s">
        <v>2643</v>
      </c>
      <c r="B1601" s="9" t="n">
        <v>46069</v>
      </c>
      <c r="C1601" s="9" t="n">
        <v>46074</v>
      </c>
      <c r="D1601" s="5" t="s">
        <v>132</v>
      </c>
      <c r="E1601" s="5" t="s">
        <v>1084</v>
      </c>
      <c r="F1601" s="5" t="s">
        <v>1007</v>
      </c>
      <c r="G1601" s="6" t="str">
        <f aca="false">INDEX(Catalogo_Causas!$B$2:$B$10,MATCH(F1601,Catalogo_Causas!$A$2:$A$10,0))</f>
        <v>Cambio de formato excedido</v>
      </c>
      <c r="H1601" s="6" t="str">
        <f aca="false">INDEX(Catalogo_Causas!$C$2:$C$10,MATCH(F1601,Catalogo_Causas!$A$2:$A$10,0))</f>
        <v>Operacional</v>
      </c>
      <c r="I1601" s="5" t="n">
        <v>66</v>
      </c>
      <c r="J1601" s="29" t="n">
        <f aca="false">I1601/60</f>
        <v>1.1</v>
      </c>
    </row>
    <row r="1602" customFormat="false" ht="15" hidden="false" customHeight="false" outlineLevel="0" collapsed="false">
      <c r="A1602" s="5" t="s">
        <v>2644</v>
      </c>
      <c r="B1602" s="9" t="n">
        <v>46069</v>
      </c>
      <c r="C1602" s="9" t="n">
        <v>46074</v>
      </c>
      <c r="D1602" s="5" t="s">
        <v>144</v>
      </c>
      <c r="E1602" s="5" t="s">
        <v>1032</v>
      </c>
      <c r="F1602" s="5" t="s">
        <v>1009</v>
      </c>
      <c r="G1602" s="6" t="str">
        <f aca="false">INDEX(Catalogo_Causas!$B$2:$B$10,MATCH(F1602,Catalogo_Causas!$A$2:$A$10,0))</f>
        <v>Falta de material de empaque</v>
      </c>
      <c r="H1602" s="6" t="str">
        <f aca="false">INDEX(Catalogo_Causas!$C$2:$C$10,MATCH(F1602,Catalogo_Causas!$A$2:$A$10,0))</f>
        <v>Material / suministro</v>
      </c>
      <c r="I1602" s="5" t="n">
        <v>44</v>
      </c>
      <c r="J1602" s="29" t="n">
        <f aca="false">I1602/60</f>
        <v>0.733333333333333</v>
      </c>
    </row>
    <row r="1603" customFormat="false" ht="15" hidden="false" customHeight="false" outlineLevel="0" collapsed="false">
      <c r="A1603" s="5" t="s">
        <v>2645</v>
      </c>
      <c r="B1603" s="9" t="n">
        <v>46076</v>
      </c>
      <c r="C1603" s="9" t="n">
        <v>46076</v>
      </c>
      <c r="D1603" s="5" t="s">
        <v>136</v>
      </c>
      <c r="E1603" s="5" t="s">
        <v>1051</v>
      </c>
      <c r="F1603" s="5" t="s">
        <v>1005</v>
      </c>
      <c r="G1603" s="6" t="str">
        <f aca="false">INDEX(Catalogo_Causas!$B$2:$B$10,MATCH(F1603,Catalogo_Causas!$A$2:$A$10,0))</f>
        <v>Falla eléctrica / control</v>
      </c>
      <c r="H1603" s="6" t="str">
        <f aca="false">INDEX(Catalogo_Causas!$C$2:$C$10,MATCH(F1603,Catalogo_Causas!$A$2:$A$10,0))</f>
        <v>Operacional</v>
      </c>
      <c r="I1603" s="5" t="n">
        <v>75</v>
      </c>
      <c r="J1603" s="29" t="n">
        <f aca="false">I1603/60</f>
        <v>1.25</v>
      </c>
    </row>
    <row r="1604" customFormat="false" ht="15" hidden="false" customHeight="false" outlineLevel="0" collapsed="false">
      <c r="A1604" s="5" t="s">
        <v>2646</v>
      </c>
      <c r="B1604" s="9" t="n">
        <v>46076</v>
      </c>
      <c r="C1604" s="9" t="n">
        <v>46076</v>
      </c>
      <c r="D1604" s="5" t="s">
        <v>144</v>
      </c>
      <c r="E1604" s="5" t="s">
        <v>1032</v>
      </c>
      <c r="F1604" s="5" t="s">
        <v>1009</v>
      </c>
      <c r="G1604" s="6" t="str">
        <f aca="false">INDEX(Catalogo_Causas!$B$2:$B$10,MATCH(F1604,Catalogo_Causas!$A$2:$A$10,0))</f>
        <v>Falta de material de empaque</v>
      </c>
      <c r="H1604" s="6" t="str">
        <f aca="false">INDEX(Catalogo_Causas!$C$2:$C$10,MATCH(F1604,Catalogo_Causas!$A$2:$A$10,0))</f>
        <v>Material / suministro</v>
      </c>
      <c r="I1604" s="5" t="n">
        <v>196</v>
      </c>
      <c r="J1604" s="29" t="n">
        <f aca="false">I1604/60</f>
        <v>3.26666666666667</v>
      </c>
    </row>
    <row r="1605" customFormat="false" ht="15" hidden="false" customHeight="false" outlineLevel="0" collapsed="false">
      <c r="A1605" s="5" t="s">
        <v>2647</v>
      </c>
      <c r="B1605" s="9" t="n">
        <v>46076</v>
      </c>
      <c r="C1605" s="9" t="n">
        <v>46076</v>
      </c>
      <c r="D1605" s="5" t="s">
        <v>144</v>
      </c>
      <c r="E1605" s="5" t="s">
        <v>1043</v>
      </c>
      <c r="F1605" s="5" t="s">
        <v>1016</v>
      </c>
      <c r="G1605" s="6" t="str">
        <f aca="false">INDEX(Catalogo_Causas!$B$2:$B$10,MATCH(F1605,Catalogo_Causas!$A$2:$A$10,0))</f>
        <v>Limpieza no programada (CIP)</v>
      </c>
      <c r="H1605" s="6" t="str">
        <f aca="false">INDEX(Catalogo_Causas!$C$2:$C$10,MATCH(F1605,Catalogo_Causas!$A$2:$A$10,0))</f>
        <v>Calidad</v>
      </c>
      <c r="I1605" s="5" t="n">
        <v>54</v>
      </c>
      <c r="J1605" s="29" t="n">
        <f aca="false">I1605/60</f>
        <v>0.9</v>
      </c>
    </row>
    <row r="1606" customFormat="false" ht="15" hidden="false" customHeight="false" outlineLevel="0" collapsed="false">
      <c r="A1606" s="5" t="s">
        <v>2648</v>
      </c>
      <c r="B1606" s="9" t="n">
        <v>46076</v>
      </c>
      <c r="C1606" s="9" t="n">
        <v>46077</v>
      </c>
      <c r="D1606" s="5" t="s">
        <v>134</v>
      </c>
      <c r="E1606" s="5" t="s">
        <v>1054</v>
      </c>
      <c r="F1606" s="5" t="s">
        <v>1007</v>
      </c>
      <c r="G1606" s="6" t="str">
        <f aca="false">INDEX(Catalogo_Causas!$B$2:$B$10,MATCH(F1606,Catalogo_Causas!$A$2:$A$10,0))</f>
        <v>Cambio de formato excedido</v>
      </c>
      <c r="H1606" s="6" t="str">
        <f aca="false">INDEX(Catalogo_Causas!$C$2:$C$10,MATCH(F1606,Catalogo_Causas!$A$2:$A$10,0))</f>
        <v>Operacional</v>
      </c>
      <c r="I1606" s="5" t="n">
        <v>65</v>
      </c>
      <c r="J1606" s="29" t="n">
        <f aca="false">I1606/60</f>
        <v>1.08333333333333</v>
      </c>
    </row>
    <row r="1607" customFormat="false" ht="15" hidden="false" customHeight="false" outlineLevel="0" collapsed="false">
      <c r="A1607" s="5" t="s">
        <v>2649</v>
      </c>
      <c r="B1607" s="9" t="n">
        <v>46076</v>
      </c>
      <c r="C1607" s="9" t="n">
        <v>46077</v>
      </c>
      <c r="D1607" s="5" t="s">
        <v>138</v>
      </c>
      <c r="E1607" s="5" t="s">
        <v>1056</v>
      </c>
      <c r="F1607" s="5" t="s">
        <v>1009</v>
      </c>
      <c r="G1607" s="6" t="str">
        <f aca="false">INDEX(Catalogo_Causas!$B$2:$B$10,MATCH(F1607,Catalogo_Causas!$A$2:$A$10,0))</f>
        <v>Falta de material de empaque</v>
      </c>
      <c r="H1607" s="6" t="str">
        <f aca="false">INDEX(Catalogo_Causas!$C$2:$C$10,MATCH(F1607,Catalogo_Causas!$A$2:$A$10,0))</f>
        <v>Material / suministro</v>
      </c>
      <c r="I1607" s="5" t="n">
        <v>33</v>
      </c>
      <c r="J1607" s="29" t="n">
        <f aca="false">I1607/60</f>
        <v>0.55</v>
      </c>
    </row>
    <row r="1608" customFormat="false" ht="15" hidden="false" customHeight="false" outlineLevel="0" collapsed="false">
      <c r="A1608" s="5" t="s">
        <v>2650</v>
      </c>
      <c r="B1608" s="9" t="n">
        <v>46076</v>
      </c>
      <c r="C1608" s="9" t="n">
        <v>46077</v>
      </c>
      <c r="D1608" s="5" t="s">
        <v>140</v>
      </c>
      <c r="E1608" s="5" t="s">
        <v>1045</v>
      </c>
      <c r="F1608" s="5" t="s">
        <v>1007</v>
      </c>
      <c r="G1608" s="6" t="str">
        <f aca="false">INDEX(Catalogo_Causas!$B$2:$B$10,MATCH(F1608,Catalogo_Causas!$A$2:$A$10,0))</f>
        <v>Cambio de formato excedido</v>
      </c>
      <c r="H1608" s="6" t="str">
        <f aca="false">INDEX(Catalogo_Causas!$C$2:$C$10,MATCH(F1608,Catalogo_Causas!$A$2:$A$10,0))</f>
        <v>Operacional</v>
      </c>
      <c r="I1608" s="5" t="n">
        <v>121</v>
      </c>
      <c r="J1608" s="29" t="n">
        <f aca="false">I1608/60</f>
        <v>2.01666666666667</v>
      </c>
    </row>
    <row r="1609" customFormat="false" ht="15" hidden="false" customHeight="false" outlineLevel="0" collapsed="false">
      <c r="A1609" s="5" t="s">
        <v>2651</v>
      </c>
      <c r="B1609" s="9" t="n">
        <v>46076</v>
      </c>
      <c r="C1609" s="9" t="n">
        <v>46078</v>
      </c>
      <c r="D1609" s="5" t="s">
        <v>134</v>
      </c>
      <c r="E1609" s="5" t="s">
        <v>1032</v>
      </c>
      <c r="F1609" s="5" t="s">
        <v>1016</v>
      </c>
      <c r="G1609" s="6" t="str">
        <f aca="false">INDEX(Catalogo_Causas!$B$2:$B$10,MATCH(F1609,Catalogo_Causas!$A$2:$A$10,0))</f>
        <v>Limpieza no programada (CIP)</v>
      </c>
      <c r="H1609" s="6" t="str">
        <f aca="false">INDEX(Catalogo_Causas!$C$2:$C$10,MATCH(F1609,Catalogo_Causas!$A$2:$A$10,0))</f>
        <v>Calidad</v>
      </c>
      <c r="I1609" s="5" t="n">
        <v>58</v>
      </c>
      <c r="J1609" s="29" t="n">
        <f aca="false">I1609/60</f>
        <v>0.966666666666667</v>
      </c>
    </row>
    <row r="1610" customFormat="false" ht="15" hidden="false" customHeight="false" outlineLevel="0" collapsed="false">
      <c r="A1610" s="5" t="s">
        <v>2652</v>
      </c>
      <c r="B1610" s="9" t="n">
        <v>46076</v>
      </c>
      <c r="C1610" s="9" t="n">
        <v>46078</v>
      </c>
      <c r="D1610" s="5" t="s">
        <v>136</v>
      </c>
      <c r="E1610" s="5" t="s">
        <v>1101</v>
      </c>
      <c r="F1610" s="5" t="s">
        <v>1016</v>
      </c>
      <c r="G1610" s="6" t="str">
        <f aca="false">INDEX(Catalogo_Causas!$B$2:$B$10,MATCH(F1610,Catalogo_Causas!$A$2:$A$10,0))</f>
        <v>Limpieza no programada (CIP)</v>
      </c>
      <c r="H1610" s="6" t="str">
        <f aca="false">INDEX(Catalogo_Causas!$C$2:$C$10,MATCH(F1610,Catalogo_Causas!$A$2:$A$10,0))</f>
        <v>Calidad</v>
      </c>
      <c r="I1610" s="5" t="n">
        <v>24</v>
      </c>
      <c r="J1610" s="29" t="n">
        <f aca="false">I1610/60</f>
        <v>0.4</v>
      </c>
    </row>
    <row r="1611" customFormat="false" ht="15" hidden="false" customHeight="false" outlineLevel="0" collapsed="false">
      <c r="A1611" s="5" t="s">
        <v>2653</v>
      </c>
      <c r="B1611" s="9" t="n">
        <v>46076</v>
      </c>
      <c r="C1611" s="9" t="n">
        <v>46079</v>
      </c>
      <c r="D1611" s="5" t="s">
        <v>132</v>
      </c>
      <c r="E1611" s="5" t="s">
        <v>1084</v>
      </c>
      <c r="F1611" s="5" t="s">
        <v>1002</v>
      </c>
      <c r="G1611" s="6" t="str">
        <f aca="false">INDEX(Catalogo_Causas!$B$2:$B$10,MATCH(F1611,Catalogo_Causas!$A$2:$A$10,0))</f>
        <v>Falla mecánica</v>
      </c>
      <c r="H1611" s="6" t="str">
        <f aca="false">INDEX(Catalogo_Causas!$C$2:$C$10,MATCH(F1611,Catalogo_Causas!$A$2:$A$10,0))</f>
        <v>Operacional</v>
      </c>
      <c r="I1611" s="5" t="n">
        <v>25</v>
      </c>
      <c r="J1611" s="29" t="n">
        <f aca="false">I1611/60</f>
        <v>0.416666666666667</v>
      </c>
    </row>
    <row r="1612" customFormat="false" ht="15" hidden="false" customHeight="false" outlineLevel="0" collapsed="false">
      <c r="A1612" s="5" t="s">
        <v>2654</v>
      </c>
      <c r="B1612" s="9" t="n">
        <v>46076</v>
      </c>
      <c r="C1612" s="9" t="n">
        <v>46079</v>
      </c>
      <c r="D1612" s="5" t="s">
        <v>134</v>
      </c>
      <c r="E1612" s="5" t="s">
        <v>1054</v>
      </c>
      <c r="F1612" s="5" t="s">
        <v>1002</v>
      </c>
      <c r="G1612" s="6" t="str">
        <f aca="false">INDEX(Catalogo_Causas!$B$2:$B$10,MATCH(F1612,Catalogo_Causas!$A$2:$A$10,0))</f>
        <v>Falla mecánica</v>
      </c>
      <c r="H1612" s="6" t="str">
        <f aca="false">INDEX(Catalogo_Causas!$C$2:$C$10,MATCH(F1612,Catalogo_Causas!$A$2:$A$10,0))</f>
        <v>Operacional</v>
      </c>
      <c r="I1612" s="5" t="n">
        <v>33</v>
      </c>
      <c r="J1612" s="29" t="n">
        <f aca="false">I1612/60</f>
        <v>0.55</v>
      </c>
    </row>
    <row r="1613" customFormat="false" ht="15" hidden="false" customHeight="false" outlineLevel="0" collapsed="false">
      <c r="A1613" s="5" t="s">
        <v>2655</v>
      </c>
      <c r="B1613" s="9" t="n">
        <v>46076</v>
      </c>
      <c r="C1613" s="9" t="n">
        <v>46079</v>
      </c>
      <c r="D1613" s="5" t="s">
        <v>136</v>
      </c>
      <c r="E1613" s="5" t="s">
        <v>1051</v>
      </c>
      <c r="F1613" s="5" t="s">
        <v>1002</v>
      </c>
      <c r="G1613" s="6" t="str">
        <f aca="false">INDEX(Catalogo_Causas!$B$2:$B$10,MATCH(F1613,Catalogo_Causas!$A$2:$A$10,0))</f>
        <v>Falla mecánica</v>
      </c>
      <c r="H1613" s="6" t="str">
        <f aca="false">INDEX(Catalogo_Causas!$C$2:$C$10,MATCH(F1613,Catalogo_Causas!$A$2:$A$10,0))</f>
        <v>Operacional</v>
      </c>
      <c r="I1613" s="5" t="n">
        <v>53</v>
      </c>
      <c r="J1613" s="29" t="n">
        <f aca="false">I1613/60</f>
        <v>0.883333333333333</v>
      </c>
    </row>
    <row r="1614" customFormat="false" ht="15" hidden="false" customHeight="false" outlineLevel="0" collapsed="false">
      <c r="A1614" s="5" t="s">
        <v>2656</v>
      </c>
      <c r="B1614" s="9" t="n">
        <v>46076</v>
      </c>
      <c r="C1614" s="9" t="n">
        <v>46079</v>
      </c>
      <c r="D1614" s="5" t="s">
        <v>142</v>
      </c>
      <c r="E1614" s="5" t="s">
        <v>1051</v>
      </c>
      <c r="F1614" s="5" t="s">
        <v>1014</v>
      </c>
      <c r="G1614" s="6" t="str">
        <f aca="false">INDEX(Catalogo_Causas!$B$2:$B$10,MATCH(F1614,Catalogo_Causas!$A$2:$A$10,0))</f>
        <v>Retención de calidad</v>
      </c>
      <c r="H1614" s="6" t="str">
        <f aca="false">INDEX(Catalogo_Causas!$C$2:$C$10,MATCH(F1614,Catalogo_Causas!$A$2:$A$10,0))</f>
        <v>Calidad</v>
      </c>
      <c r="I1614" s="5" t="n">
        <v>35</v>
      </c>
      <c r="J1614" s="29" t="n">
        <f aca="false">I1614/60</f>
        <v>0.583333333333333</v>
      </c>
    </row>
    <row r="1615" customFormat="false" ht="15" hidden="false" customHeight="false" outlineLevel="0" collapsed="false">
      <c r="A1615" s="5" t="s">
        <v>2657</v>
      </c>
      <c r="B1615" s="9" t="n">
        <v>46076</v>
      </c>
      <c r="C1615" s="9" t="n">
        <v>46079</v>
      </c>
      <c r="D1615" s="5" t="s">
        <v>144</v>
      </c>
      <c r="E1615" s="5" t="s">
        <v>1032</v>
      </c>
      <c r="F1615" s="5" t="s">
        <v>1002</v>
      </c>
      <c r="G1615" s="6" t="str">
        <f aca="false">INDEX(Catalogo_Causas!$B$2:$B$10,MATCH(F1615,Catalogo_Causas!$A$2:$A$10,0))</f>
        <v>Falla mecánica</v>
      </c>
      <c r="H1615" s="6" t="str">
        <f aca="false">INDEX(Catalogo_Causas!$C$2:$C$10,MATCH(F1615,Catalogo_Causas!$A$2:$A$10,0))</f>
        <v>Operacional</v>
      </c>
      <c r="I1615" s="5" t="n">
        <v>43</v>
      </c>
      <c r="J1615" s="29" t="n">
        <f aca="false">I1615/60</f>
        <v>0.716666666666667</v>
      </c>
    </row>
    <row r="1616" customFormat="false" ht="15" hidden="false" customHeight="false" outlineLevel="0" collapsed="false">
      <c r="A1616" s="5" t="s">
        <v>2658</v>
      </c>
      <c r="B1616" s="9" t="n">
        <v>46076</v>
      </c>
      <c r="C1616" s="9" t="n">
        <v>46080</v>
      </c>
      <c r="D1616" s="5" t="s">
        <v>142</v>
      </c>
      <c r="E1616" s="5" t="s">
        <v>1030</v>
      </c>
      <c r="F1616" s="5" t="s">
        <v>1002</v>
      </c>
      <c r="G1616" s="6" t="str">
        <f aca="false">INDEX(Catalogo_Causas!$B$2:$B$10,MATCH(F1616,Catalogo_Causas!$A$2:$A$10,0))</f>
        <v>Falla mecánica</v>
      </c>
      <c r="H1616" s="6" t="str">
        <f aca="false">INDEX(Catalogo_Causas!$C$2:$C$10,MATCH(F1616,Catalogo_Causas!$A$2:$A$10,0))</f>
        <v>Operacional</v>
      </c>
      <c r="I1616" s="5" t="n">
        <v>64</v>
      </c>
      <c r="J1616" s="29" t="n">
        <f aca="false">I1616/60</f>
        <v>1.06666666666667</v>
      </c>
    </row>
    <row r="1617" customFormat="false" ht="15" hidden="false" customHeight="false" outlineLevel="0" collapsed="false">
      <c r="A1617" s="5" t="s">
        <v>2659</v>
      </c>
      <c r="B1617" s="9" t="n">
        <v>46076</v>
      </c>
      <c r="C1617" s="9" t="n">
        <v>46081</v>
      </c>
      <c r="D1617" s="5" t="s">
        <v>138</v>
      </c>
      <c r="E1617" s="5" t="s">
        <v>1039</v>
      </c>
      <c r="F1617" s="5" t="s">
        <v>1002</v>
      </c>
      <c r="G1617" s="6" t="str">
        <f aca="false">INDEX(Catalogo_Causas!$B$2:$B$10,MATCH(F1617,Catalogo_Causas!$A$2:$A$10,0))</f>
        <v>Falla mecánica</v>
      </c>
      <c r="H1617" s="6" t="str">
        <f aca="false">INDEX(Catalogo_Causas!$C$2:$C$10,MATCH(F1617,Catalogo_Causas!$A$2:$A$10,0))</f>
        <v>Operacional</v>
      </c>
      <c r="I1617" s="5" t="n">
        <v>74</v>
      </c>
      <c r="J1617" s="29" t="n">
        <f aca="false">I1617/60</f>
        <v>1.23333333333333</v>
      </c>
    </row>
    <row r="1618" customFormat="false" ht="15" hidden="false" customHeight="false" outlineLevel="0" collapsed="false">
      <c r="A1618" s="5" t="s">
        <v>2660</v>
      </c>
      <c r="B1618" s="9" t="n">
        <v>46076</v>
      </c>
      <c r="C1618" s="9" t="n">
        <v>46081</v>
      </c>
      <c r="D1618" s="5" t="s">
        <v>138</v>
      </c>
      <c r="E1618" s="5" t="s">
        <v>1056</v>
      </c>
      <c r="F1618" s="5" t="s">
        <v>1005</v>
      </c>
      <c r="G1618" s="6" t="str">
        <f aca="false">INDEX(Catalogo_Causas!$B$2:$B$10,MATCH(F1618,Catalogo_Causas!$A$2:$A$10,0))</f>
        <v>Falla eléctrica / control</v>
      </c>
      <c r="H1618" s="6" t="str">
        <f aca="false">INDEX(Catalogo_Causas!$C$2:$C$10,MATCH(F1618,Catalogo_Causas!$A$2:$A$10,0))</f>
        <v>Operacional</v>
      </c>
      <c r="I1618" s="5" t="n">
        <v>20</v>
      </c>
      <c r="J1618" s="29" t="n">
        <f aca="false">I1618/60</f>
        <v>0.333333333333333</v>
      </c>
    </row>
    <row r="1619" customFormat="false" ht="15" hidden="false" customHeight="false" outlineLevel="0" collapsed="false">
      <c r="A1619" s="5" t="s">
        <v>2661</v>
      </c>
      <c r="B1619" s="9" t="n">
        <v>46076</v>
      </c>
      <c r="C1619" s="9" t="n">
        <v>46081</v>
      </c>
      <c r="D1619" s="5" t="s">
        <v>142</v>
      </c>
      <c r="E1619" s="5" t="s">
        <v>1041</v>
      </c>
      <c r="F1619" s="5" t="s">
        <v>1012</v>
      </c>
      <c r="G1619" s="6" t="str">
        <f aca="false">INDEX(Catalogo_Causas!$B$2:$B$10,MATCH(F1619,Catalogo_Causas!$A$2:$A$10,0))</f>
        <v>Falta de materia prima</v>
      </c>
      <c r="H1619" s="6" t="str">
        <f aca="false">INDEX(Catalogo_Causas!$C$2:$C$10,MATCH(F1619,Catalogo_Causas!$A$2:$A$10,0))</f>
        <v>Material / suministro</v>
      </c>
      <c r="I1619" s="5" t="n">
        <v>159</v>
      </c>
      <c r="J1619" s="29" t="n">
        <f aca="false">I1619/60</f>
        <v>2.65</v>
      </c>
    </row>
    <row r="1620" customFormat="false" ht="15" hidden="false" customHeight="false" outlineLevel="0" collapsed="false">
      <c r="A1620" s="5" t="s">
        <v>2662</v>
      </c>
      <c r="B1620" s="9" t="n">
        <v>46083</v>
      </c>
      <c r="C1620" s="9" t="n">
        <v>46083</v>
      </c>
      <c r="D1620" s="5" t="s">
        <v>132</v>
      </c>
      <c r="E1620" s="5" t="s">
        <v>1073</v>
      </c>
      <c r="F1620" s="5" t="s">
        <v>1018</v>
      </c>
      <c r="G1620" s="6" t="str">
        <f aca="false">INDEX(Catalogo_Causas!$B$2:$B$10,MATCH(F1620,Catalogo_Causas!$A$2:$A$10,0))</f>
        <v>Falta de personal</v>
      </c>
      <c r="H1620" s="6" t="str">
        <f aca="false">INDEX(Catalogo_Causas!$C$2:$C$10,MATCH(F1620,Catalogo_Causas!$A$2:$A$10,0))</f>
        <v>Personal</v>
      </c>
      <c r="I1620" s="5" t="n">
        <v>74</v>
      </c>
      <c r="J1620" s="29" t="n">
        <f aca="false">I1620/60</f>
        <v>1.23333333333333</v>
      </c>
    </row>
    <row r="1621" customFormat="false" ht="15" hidden="false" customHeight="false" outlineLevel="0" collapsed="false">
      <c r="A1621" s="5" t="s">
        <v>2663</v>
      </c>
      <c r="B1621" s="9" t="n">
        <v>46083</v>
      </c>
      <c r="C1621" s="9" t="n">
        <v>46083</v>
      </c>
      <c r="D1621" s="5" t="s">
        <v>132</v>
      </c>
      <c r="E1621" s="5" t="s">
        <v>1084</v>
      </c>
      <c r="F1621" s="5" t="s">
        <v>1016</v>
      </c>
      <c r="G1621" s="6" t="str">
        <f aca="false">INDEX(Catalogo_Causas!$B$2:$B$10,MATCH(F1621,Catalogo_Causas!$A$2:$A$10,0))</f>
        <v>Limpieza no programada (CIP)</v>
      </c>
      <c r="H1621" s="6" t="str">
        <f aca="false">INDEX(Catalogo_Causas!$C$2:$C$10,MATCH(F1621,Catalogo_Causas!$A$2:$A$10,0))</f>
        <v>Calidad</v>
      </c>
      <c r="I1621" s="5" t="n">
        <v>15</v>
      </c>
      <c r="J1621" s="29" t="n">
        <f aca="false">I1621/60</f>
        <v>0.25</v>
      </c>
    </row>
    <row r="1622" customFormat="false" ht="15" hidden="false" customHeight="false" outlineLevel="0" collapsed="false">
      <c r="A1622" s="5" t="s">
        <v>2664</v>
      </c>
      <c r="B1622" s="9" t="n">
        <v>46083</v>
      </c>
      <c r="C1622" s="9" t="n">
        <v>46083</v>
      </c>
      <c r="D1622" s="5" t="s">
        <v>134</v>
      </c>
      <c r="E1622" s="5" t="s">
        <v>1032</v>
      </c>
      <c r="F1622" s="5" t="s">
        <v>1002</v>
      </c>
      <c r="G1622" s="6" t="str">
        <f aca="false">INDEX(Catalogo_Causas!$B$2:$B$10,MATCH(F1622,Catalogo_Causas!$A$2:$A$10,0))</f>
        <v>Falla mecánica</v>
      </c>
      <c r="H1622" s="6" t="str">
        <f aca="false">INDEX(Catalogo_Causas!$C$2:$C$10,MATCH(F1622,Catalogo_Causas!$A$2:$A$10,0))</f>
        <v>Operacional</v>
      </c>
      <c r="I1622" s="5" t="n">
        <v>28</v>
      </c>
      <c r="J1622" s="29" t="n">
        <f aca="false">I1622/60</f>
        <v>0.466666666666667</v>
      </c>
    </row>
    <row r="1623" customFormat="false" ht="15" hidden="false" customHeight="false" outlineLevel="0" collapsed="false">
      <c r="A1623" s="5" t="s">
        <v>2665</v>
      </c>
      <c r="B1623" s="9" t="n">
        <v>46083</v>
      </c>
      <c r="C1623" s="9" t="n">
        <v>46083</v>
      </c>
      <c r="D1623" s="5" t="s">
        <v>142</v>
      </c>
      <c r="E1623" s="5" t="s">
        <v>1051</v>
      </c>
      <c r="F1623" s="5" t="s">
        <v>1005</v>
      </c>
      <c r="G1623" s="6" t="str">
        <f aca="false">INDEX(Catalogo_Causas!$B$2:$B$10,MATCH(F1623,Catalogo_Causas!$A$2:$A$10,0))</f>
        <v>Falla eléctrica / control</v>
      </c>
      <c r="H1623" s="6" t="str">
        <f aca="false">INDEX(Catalogo_Causas!$C$2:$C$10,MATCH(F1623,Catalogo_Causas!$A$2:$A$10,0))</f>
        <v>Operacional</v>
      </c>
      <c r="I1623" s="5" t="n">
        <v>10</v>
      </c>
      <c r="J1623" s="29" t="n">
        <f aca="false">I1623/60</f>
        <v>0.166666666666667</v>
      </c>
    </row>
    <row r="1624" customFormat="false" ht="15" hidden="false" customHeight="false" outlineLevel="0" collapsed="false">
      <c r="A1624" s="5" t="s">
        <v>2666</v>
      </c>
      <c r="B1624" s="9" t="n">
        <v>46083</v>
      </c>
      <c r="C1624" s="9" t="n">
        <v>46083</v>
      </c>
      <c r="D1624" s="5" t="s">
        <v>142</v>
      </c>
      <c r="E1624" s="5" t="s">
        <v>1051</v>
      </c>
      <c r="F1624" s="5" t="s">
        <v>1016</v>
      </c>
      <c r="G1624" s="6" t="str">
        <f aca="false">INDEX(Catalogo_Causas!$B$2:$B$10,MATCH(F1624,Catalogo_Causas!$A$2:$A$10,0))</f>
        <v>Limpieza no programada (CIP)</v>
      </c>
      <c r="H1624" s="6" t="str">
        <f aca="false">INDEX(Catalogo_Causas!$C$2:$C$10,MATCH(F1624,Catalogo_Causas!$A$2:$A$10,0))</f>
        <v>Calidad</v>
      </c>
      <c r="I1624" s="5" t="n">
        <v>140</v>
      </c>
      <c r="J1624" s="29" t="n">
        <f aca="false">I1624/60</f>
        <v>2.33333333333333</v>
      </c>
    </row>
    <row r="1625" customFormat="false" ht="15" hidden="false" customHeight="false" outlineLevel="0" collapsed="false">
      <c r="A1625" s="5" t="s">
        <v>2667</v>
      </c>
      <c r="B1625" s="9" t="n">
        <v>46083</v>
      </c>
      <c r="C1625" s="9" t="n">
        <v>46083</v>
      </c>
      <c r="D1625" s="5" t="s">
        <v>144</v>
      </c>
      <c r="E1625" s="5" t="s">
        <v>1043</v>
      </c>
      <c r="F1625" s="5" t="s">
        <v>1014</v>
      </c>
      <c r="G1625" s="6" t="str">
        <f aca="false">INDEX(Catalogo_Causas!$B$2:$B$10,MATCH(F1625,Catalogo_Causas!$A$2:$A$10,0))</f>
        <v>Retención de calidad</v>
      </c>
      <c r="H1625" s="6" t="str">
        <f aca="false">INDEX(Catalogo_Causas!$C$2:$C$10,MATCH(F1625,Catalogo_Causas!$A$2:$A$10,0))</f>
        <v>Calidad</v>
      </c>
      <c r="I1625" s="5" t="n">
        <v>111</v>
      </c>
      <c r="J1625" s="29" t="n">
        <f aca="false">I1625/60</f>
        <v>1.85</v>
      </c>
    </row>
    <row r="1626" customFormat="false" ht="15" hidden="false" customHeight="false" outlineLevel="0" collapsed="false">
      <c r="A1626" s="5" t="s">
        <v>2668</v>
      </c>
      <c r="B1626" s="9" t="n">
        <v>46083</v>
      </c>
      <c r="C1626" s="9" t="n">
        <v>46083</v>
      </c>
      <c r="D1626" s="5" t="s">
        <v>144</v>
      </c>
      <c r="E1626" s="5" t="s">
        <v>1032</v>
      </c>
      <c r="F1626" s="5" t="s">
        <v>1009</v>
      </c>
      <c r="G1626" s="6" t="str">
        <f aca="false">INDEX(Catalogo_Causas!$B$2:$B$10,MATCH(F1626,Catalogo_Causas!$A$2:$A$10,0))</f>
        <v>Falta de material de empaque</v>
      </c>
      <c r="H1626" s="6" t="str">
        <f aca="false">INDEX(Catalogo_Causas!$C$2:$C$10,MATCH(F1626,Catalogo_Causas!$A$2:$A$10,0))</f>
        <v>Material / suministro</v>
      </c>
      <c r="I1626" s="5" t="n">
        <v>70</v>
      </c>
      <c r="J1626" s="29" t="n">
        <f aca="false">I1626/60</f>
        <v>1.16666666666667</v>
      </c>
    </row>
    <row r="1627" customFormat="false" ht="15" hidden="false" customHeight="false" outlineLevel="0" collapsed="false">
      <c r="A1627" s="5" t="s">
        <v>2669</v>
      </c>
      <c r="B1627" s="9" t="n">
        <v>46083</v>
      </c>
      <c r="C1627" s="9" t="n">
        <v>46084</v>
      </c>
      <c r="D1627" s="5" t="s">
        <v>134</v>
      </c>
      <c r="E1627" s="5" t="s">
        <v>1054</v>
      </c>
      <c r="F1627" s="5" t="s">
        <v>1014</v>
      </c>
      <c r="G1627" s="6" t="str">
        <f aca="false">INDEX(Catalogo_Causas!$B$2:$B$10,MATCH(F1627,Catalogo_Causas!$A$2:$A$10,0))</f>
        <v>Retención de calidad</v>
      </c>
      <c r="H1627" s="6" t="str">
        <f aca="false">INDEX(Catalogo_Causas!$C$2:$C$10,MATCH(F1627,Catalogo_Causas!$A$2:$A$10,0))</f>
        <v>Calidad</v>
      </c>
      <c r="I1627" s="5" t="n">
        <v>43</v>
      </c>
      <c r="J1627" s="29" t="n">
        <f aca="false">I1627/60</f>
        <v>0.716666666666667</v>
      </c>
    </row>
    <row r="1628" customFormat="false" ht="15" hidden="false" customHeight="false" outlineLevel="0" collapsed="false">
      <c r="A1628" s="5" t="s">
        <v>2670</v>
      </c>
      <c r="B1628" s="9" t="n">
        <v>46083</v>
      </c>
      <c r="C1628" s="9" t="n">
        <v>46085</v>
      </c>
      <c r="D1628" s="5" t="s">
        <v>140</v>
      </c>
      <c r="E1628" s="5" t="s">
        <v>1032</v>
      </c>
      <c r="F1628" s="5" t="s">
        <v>1018</v>
      </c>
      <c r="G1628" s="6" t="str">
        <f aca="false">INDEX(Catalogo_Causas!$B$2:$B$10,MATCH(F1628,Catalogo_Causas!$A$2:$A$10,0))</f>
        <v>Falta de personal</v>
      </c>
      <c r="H1628" s="6" t="str">
        <f aca="false">INDEX(Catalogo_Causas!$C$2:$C$10,MATCH(F1628,Catalogo_Causas!$A$2:$A$10,0))</f>
        <v>Personal</v>
      </c>
      <c r="I1628" s="5" t="n">
        <v>38</v>
      </c>
      <c r="J1628" s="29" t="n">
        <f aca="false">I1628/60</f>
        <v>0.633333333333333</v>
      </c>
    </row>
    <row r="1629" customFormat="false" ht="15" hidden="false" customHeight="false" outlineLevel="0" collapsed="false">
      <c r="A1629" s="5" t="s">
        <v>2671</v>
      </c>
      <c r="B1629" s="9" t="n">
        <v>46083</v>
      </c>
      <c r="C1629" s="9" t="n">
        <v>46086</v>
      </c>
      <c r="D1629" s="5" t="s">
        <v>134</v>
      </c>
      <c r="E1629" s="5" t="s">
        <v>1030</v>
      </c>
      <c r="F1629" s="5" t="s">
        <v>1005</v>
      </c>
      <c r="G1629" s="6" t="str">
        <f aca="false">INDEX(Catalogo_Causas!$B$2:$B$10,MATCH(F1629,Catalogo_Causas!$A$2:$A$10,0))</f>
        <v>Falla eléctrica / control</v>
      </c>
      <c r="H1629" s="6" t="str">
        <f aca="false">INDEX(Catalogo_Causas!$C$2:$C$10,MATCH(F1629,Catalogo_Causas!$A$2:$A$10,0))</f>
        <v>Operacional</v>
      </c>
      <c r="I1629" s="5" t="n">
        <v>64</v>
      </c>
      <c r="J1629" s="29" t="n">
        <f aca="false">I1629/60</f>
        <v>1.06666666666667</v>
      </c>
    </row>
    <row r="1630" customFormat="false" ht="15" hidden="false" customHeight="false" outlineLevel="0" collapsed="false">
      <c r="A1630" s="5" t="s">
        <v>2672</v>
      </c>
      <c r="B1630" s="9" t="n">
        <v>46083</v>
      </c>
      <c r="C1630" s="9" t="n">
        <v>46086</v>
      </c>
      <c r="D1630" s="5" t="s">
        <v>140</v>
      </c>
      <c r="E1630" s="5" t="s">
        <v>1032</v>
      </c>
      <c r="F1630" s="5" t="s">
        <v>1018</v>
      </c>
      <c r="G1630" s="6" t="str">
        <f aca="false">INDEX(Catalogo_Causas!$B$2:$B$10,MATCH(F1630,Catalogo_Causas!$A$2:$A$10,0))</f>
        <v>Falta de personal</v>
      </c>
      <c r="H1630" s="6" t="str">
        <f aca="false">INDEX(Catalogo_Causas!$C$2:$C$10,MATCH(F1630,Catalogo_Causas!$A$2:$A$10,0))</f>
        <v>Personal</v>
      </c>
      <c r="I1630" s="5" t="n">
        <v>39</v>
      </c>
      <c r="J1630" s="29" t="n">
        <f aca="false">I1630/60</f>
        <v>0.65</v>
      </c>
    </row>
    <row r="1631" customFormat="false" ht="15" hidden="false" customHeight="false" outlineLevel="0" collapsed="false">
      <c r="A1631" s="5" t="s">
        <v>2673</v>
      </c>
      <c r="B1631" s="9" t="n">
        <v>46083</v>
      </c>
      <c r="C1631" s="9" t="n">
        <v>46087</v>
      </c>
      <c r="D1631" s="5" t="s">
        <v>138</v>
      </c>
      <c r="E1631" s="5" t="s">
        <v>1056</v>
      </c>
      <c r="F1631" s="5" t="s">
        <v>1014</v>
      </c>
      <c r="G1631" s="6" t="str">
        <f aca="false">INDEX(Catalogo_Causas!$B$2:$B$10,MATCH(F1631,Catalogo_Causas!$A$2:$A$10,0))</f>
        <v>Retención de calidad</v>
      </c>
      <c r="H1631" s="6" t="str">
        <f aca="false">INDEX(Catalogo_Causas!$C$2:$C$10,MATCH(F1631,Catalogo_Causas!$A$2:$A$10,0))</f>
        <v>Calidad</v>
      </c>
      <c r="I1631" s="5" t="n">
        <v>96</v>
      </c>
      <c r="J1631" s="29" t="n">
        <f aca="false">I1631/60</f>
        <v>1.6</v>
      </c>
    </row>
    <row r="1632" customFormat="false" ht="15" hidden="false" customHeight="false" outlineLevel="0" collapsed="false">
      <c r="A1632" s="5" t="s">
        <v>2674</v>
      </c>
      <c r="B1632" s="9" t="n">
        <v>46083</v>
      </c>
      <c r="C1632" s="9" t="n">
        <v>46088</v>
      </c>
      <c r="D1632" s="5" t="s">
        <v>130</v>
      </c>
      <c r="E1632" s="5" t="s">
        <v>1045</v>
      </c>
      <c r="F1632" s="5" t="s">
        <v>1002</v>
      </c>
      <c r="G1632" s="6" t="str">
        <f aca="false">INDEX(Catalogo_Causas!$B$2:$B$10,MATCH(F1632,Catalogo_Causas!$A$2:$A$10,0))</f>
        <v>Falla mecánica</v>
      </c>
      <c r="H1632" s="6" t="str">
        <f aca="false">INDEX(Catalogo_Causas!$C$2:$C$10,MATCH(F1632,Catalogo_Causas!$A$2:$A$10,0))</f>
        <v>Operacional</v>
      </c>
      <c r="I1632" s="5" t="n">
        <v>94</v>
      </c>
      <c r="J1632" s="29" t="n">
        <f aca="false">I1632/60</f>
        <v>1.56666666666667</v>
      </c>
    </row>
    <row r="1633" customFormat="false" ht="15" hidden="false" customHeight="false" outlineLevel="0" collapsed="false">
      <c r="A1633" s="5" t="s">
        <v>2675</v>
      </c>
      <c r="B1633" s="9" t="n">
        <v>46083</v>
      </c>
      <c r="C1633" s="9" t="n">
        <v>46088</v>
      </c>
      <c r="D1633" s="5" t="s">
        <v>132</v>
      </c>
      <c r="E1633" s="5" t="s">
        <v>1073</v>
      </c>
      <c r="F1633" s="5" t="s">
        <v>1005</v>
      </c>
      <c r="G1633" s="6" t="str">
        <f aca="false">INDEX(Catalogo_Causas!$B$2:$B$10,MATCH(F1633,Catalogo_Causas!$A$2:$A$10,0))</f>
        <v>Falla eléctrica / control</v>
      </c>
      <c r="H1633" s="6" t="str">
        <f aca="false">INDEX(Catalogo_Causas!$C$2:$C$10,MATCH(F1633,Catalogo_Causas!$A$2:$A$10,0))</f>
        <v>Operacional</v>
      </c>
      <c r="I1633" s="5" t="n">
        <v>22</v>
      </c>
      <c r="J1633" s="29" t="n">
        <f aca="false">I1633/60</f>
        <v>0.366666666666667</v>
      </c>
    </row>
    <row r="1634" customFormat="false" ht="15" hidden="false" customHeight="false" outlineLevel="0" collapsed="false">
      <c r="A1634" s="5" t="s">
        <v>2676</v>
      </c>
      <c r="B1634" s="9" t="n">
        <v>46083</v>
      </c>
      <c r="C1634" s="9" t="n">
        <v>46088</v>
      </c>
      <c r="D1634" s="5" t="s">
        <v>134</v>
      </c>
      <c r="E1634" s="5" t="s">
        <v>1032</v>
      </c>
      <c r="F1634" s="5" t="s">
        <v>1005</v>
      </c>
      <c r="G1634" s="6" t="str">
        <f aca="false">INDEX(Catalogo_Causas!$B$2:$B$10,MATCH(F1634,Catalogo_Causas!$A$2:$A$10,0))</f>
        <v>Falla eléctrica / control</v>
      </c>
      <c r="H1634" s="6" t="str">
        <f aca="false">INDEX(Catalogo_Causas!$C$2:$C$10,MATCH(F1634,Catalogo_Causas!$A$2:$A$10,0))</f>
        <v>Operacional</v>
      </c>
      <c r="I1634" s="5" t="n">
        <v>13</v>
      </c>
      <c r="J1634" s="29" t="n">
        <f aca="false">I1634/60</f>
        <v>0.216666666666667</v>
      </c>
    </row>
    <row r="1635" customFormat="false" ht="15" hidden="false" customHeight="false" outlineLevel="0" collapsed="false">
      <c r="A1635" s="5" t="s">
        <v>2677</v>
      </c>
      <c r="B1635" s="9" t="n">
        <v>46083</v>
      </c>
      <c r="C1635" s="9" t="n">
        <v>46088</v>
      </c>
      <c r="D1635" s="5" t="s">
        <v>144</v>
      </c>
      <c r="E1635" s="5" t="s">
        <v>1043</v>
      </c>
      <c r="F1635" s="5" t="s">
        <v>1014</v>
      </c>
      <c r="G1635" s="6" t="str">
        <f aca="false">INDEX(Catalogo_Causas!$B$2:$B$10,MATCH(F1635,Catalogo_Causas!$A$2:$A$10,0))</f>
        <v>Retención de calidad</v>
      </c>
      <c r="H1635" s="6" t="str">
        <f aca="false">INDEX(Catalogo_Causas!$C$2:$C$10,MATCH(F1635,Catalogo_Causas!$A$2:$A$10,0))</f>
        <v>Calidad</v>
      </c>
      <c r="I1635" s="5" t="n">
        <v>79</v>
      </c>
      <c r="J1635" s="29" t="n">
        <f aca="false">I1635/60</f>
        <v>1.31666666666667</v>
      </c>
    </row>
    <row r="1636" customFormat="false" ht="15" hidden="false" customHeight="false" outlineLevel="0" collapsed="false">
      <c r="A1636" s="5" t="s">
        <v>2678</v>
      </c>
      <c r="B1636" s="9" t="n">
        <v>46090</v>
      </c>
      <c r="C1636" s="9" t="n">
        <v>46090</v>
      </c>
      <c r="D1636" s="5" t="s">
        <v>132</v>
      </c>
      <c r="E1636" s="5" t="s">
        <v>1073</v>
      </c>
      <c r="F1636" s="5" t="s">
        <v>1016</v>
      </c>
      <c r="G1636" s="6" t="str">
        <f aca="false">INDEX(Catalogo_Causas!$B$2:$B$10,MATCH(F1636,Catalogo_Causas!$A$2:$A$10,0))</f>
        <v>Limpieza no programada (CIP)</v>
      </c>
      <c r="H1636" s="6" t="str">
        <f aca="false">INDEX(Catalogo_Causas!$C$2:$C$10,MATCH(F1636,Catalogo_Causas!$A$2:$A$10,0))</f>
        <v>Calidad</v>
      </c>
      <c r="I1636" s="5" t="n">
        <v>40</v>
      </c>
      <c r="J1636" s="29" t="n">
        <f aca="false">I1636/60</f>
        <v>0.666666666666667</v>
      </c>
    </row>
    <row r="1637" customFormat="false" ht="15" hidden="false" customHeight="false" outlineLevel="0" collapsed="false">
      <c r="A1637" s="5" t="s">
        <v>2679</v>
      </c>
      <c r="B1637" s="9" t="n">
        <v>46090</v>
      </c>
      <c r="C1637" s="9" t="n">
        <v>46090</v>
      </c>
      <c r="D1637" s="5" t="s">
        <v>138</v>
      </c>
      <c r="E1637" s="5" t="s">
        <v>1039</v>
      </c>
      <c r="F1637" s="5" t="s">
        <v>1009</v>
      </c>
      <c r="G1637" s="6" t="str">
        <f aca="false">INDEX(Catalogo_Causas!$B$2:$B$10,MATCH(F1637,Catalogo_Causas!$A$2:$A$10,0))</f>
        <v>Falta de material de empaque</v>
      </c>
      <c r="H1637" s="6" t="str">
        <f aca="false">INDEX(Catalogo_Causas!$C$2:$C$10,MATCH(F1637,Catalogo_Causas!$A$2:$A$10,0))</f>
        <v>Material / suministro</v>
      </c>
      <c r="I1637" s="5" t="n">
        <v>10</v>
      </c>
      <c r="J1637" s="29" t="n">
        <f aca="false">I1637/60</f>
        <v>0.166666666666667</v>
      </c>
    </row>
    <row r="1638" customFormat="false" ht="15" hidden="false" customHeight="false" outlineLevel="0" collapsed="false">
      <c r="A1638" s="5" t="s">
        <v>2680</v>
      </c>
      <c r="B1638" s="9" t="n">
        <v>46090</v>
      </c>
      <c r="C1638" s="9" t="n">
        <v>46091</v>
      </c>
      <c r="D1638" s="5" t="s">
        <v>134</v>
      </c>
      <c r="E1638" s="5" t="s">
        <v>1032</v>
      </c>
      <c r="F1638" s="5" t="s">
        <v>1005</v>
      </c>
      <c r="G1638" s="6" t="str">
        <f aca="false">INDEX(Catalogo_Causas!$B$2:$B$10,MATCH(F1638,Catalogo_Causas!$A$2:$A$10,0))</f>
        <v>Falla eléctrica / control</v>
      </c>
      <c r="H1638" s="6" t="str">
        <f aca="false">INDEX(Catalogo_Causas!$C$2:$C$10,MATCH(F1638,Catalogo_Causas!$A$2:$A$10,0))</f>
        <v>Operacional</v>
      </c>
      <c r="I1638" s="5" t="n">
        <v>105</v>
      </c>
      <c r="J1638" s="29" t="n">
        <f aca="false">I1638/60</f>
        <v>1.75</v>
      </c>
    </row>
    <row r="1639" customFormat="false" ht="15" hidden="false" customHeight="false" outlineLevel="0" collapsed="false">
      <c r="A1639" s="5" t="s">
        <v>2681</v>
      </c>
      <c r="B1639" s="9" t="n">
        <v>46090</v>
      </c>
      <c r="C1639" s="9" t="n">
        <v>46091</v>
      </c>
      <c r="D1639" s="5" t="s">
        <v>138</v>
      </c>
      <c r="E1639" s="5" t="s">
        <v>1056</v>
      </c>
      <c r="F1639" s="5" t="s">
        <v>1018</v>
      </c>
      <c r="G1639" s="6" t="str">
        <f aca="false">INDEX(Catalogo_Causas!$B$2:$B$10,MATCH(F1639,Catalogo_Causas!$A$2:$A$10,0))</f>
        <v>Falta de personal</v>
      </c>
      <c r="H1639" s="6" t="str">
        <f aca="false">INDEX(Catalogo_Causas!$C$2:$C$10,MATCH(F1639,Catalogo_Causas!$A$2:$A$10,0))</f>
        <v>Personal</v>
      </c>
      <c r="I1639" s="5" t="n">
        <v>67</v>
      </c>
      <c r="J1639" s="29" t="n">
        <f aca="false">I1639/60</f>
        <v>1.11666666666667</v>
      </c>
    </row>
    <row r="1640" customFormat="false" ht="15" hidden="false" customHeight="false" outlineLevel="0" collapsed="false">
      <c r="A1640" s="5" t="s">
        <v>2682</v>
      </c>
      <c r="B1640" s="9" t="n">
        <v>46090</v>
      </c>
      <c r="C1640" s="9" t="n">
        <v>46091</v>
      </c>
      <c r="D1640" s="5" t="s">
        <v>138</v>
      </c>
      <c r="E1640" s="5" t="s">
        <v>1056</v>
      </c>
      <c r="F1640" s="5" t="s">
        <v>1021</v>
      </c>
      <c r="G1640" s="6" t="str">
        <f aca="false">INDEX(Catalogo_Causas!$B$2:$B$10,MATCH(F1640,Catalogo_Causas!$A$2:$A$10,0))</f>
        <v>Falla de servicios (vapor/amoniaco/aire)</v>
      </c>
      <c r="H1640" s="6" t="str">
        <f aca="false">INDEX(Catalogo_Causas!$C$2:$C$10,MATCH(F1640,Catalogo_Causas!$A$2:$A$10,0))</f>
        <v>Servicios</v>
      </c>
      <c r="I1640" s="5" t="n">
        <v>28</v>
      </c>
      <c r="J1640" s="29" t="n">
        <f aca="false">I1640/60</f>
        <v>0.466666666666667</v>
      </c>
    </row>
    <row r="1641" customFormat="false" ht="15" hidden="false" customHeight="false" outlineLevel="0" collapsed="false">
      <c r="A1641" s="5" t="s">
        <v>2683</v>
      </c>
      <c r="B1641" s="9" t="n">
        <v>46090</v>
      </c>
      <c r="C1641" s="9" t="n">
        <v>46091</v>
      </c>
      <c r="D1641" s="5" t="s">
        <v>142</v>
      </c>
      <c r="E1641" s="5" t="s">
        <v>1041</v>
      </c>
      <c r="F1641" s="5" t="s">
        <v>1018</v>
      </c>
      <c r="G1641" s="6" t="str">
        <f aca="false">INDEX(Catalogo_Causas!$B$2:$B$10,MATCH(F1641,Catalogo_Causas!$A$2:$A$10,0))</f>
        <v>Falta de personal</v>
      </c>
      <c r="H1641" s="6" t="str">
        <f aca="false">INDEX(Catalogo_Causas!$C$2:$C$10,MATCH(F1641,Catalogo_Causas!$A$2:$A$10,0))</f>
        <v>Personal</v>
      </c>
      <c r="I1641" s="5" t="n">
        <v>36</v>
      </c>
      <c r="J1641" s="29" t="n">
        <f aca="false">I1641/60</f>
        <v>0.6</v>
      </c>
    </row>
    <row r="1642" customFormat="false" ht="15" hidden="false" customHeight="false" outlineLevel="0" collapsed="false">
      <c r="A1642" s="5" t="s">
        <v>2684</v>
      </c>
      <c r="B1642" s="9" t="n">
        <v>46090</v>
      </c>
      <c r="C1642" s="9" t="n">
        <v>46092</v>
      </c>
      <c r="D1642" s="5" t="s">
        <v>130</v>
      </c>
      <c r="E1642" s="5" t="s">
        <v>1045</v>
      </c>
      <c r="F1642" s="5" t="s">
        <v>1005</v>
      </c>
      <c r="G1642" s="6" t="str">
        <f aca="false">INDEX(Catalogo_Causas!$B$2:$B$10,MATCH(F1642,Catalogo_Causas!$A$2:$A$10,0))</f>
        <v>Falla eléctrica / control</v>
      </c>
      <c r="H1642" s="6" t="str">
        <f aca="false">INDEX(Catalogo_Causas!$C$2:$C$10,MATCH(F1642,Catalogo_Causas!$A$2:$A$10,0))</f>
        <v>Operacional</v>
      </c>
      <c r="I1642" s="5" t="n">
        <v>67</v>
      </c>
      <c r="J1642" s="29" t="n">
        <f aca="false">I1642/60</f>
        <v>1.11666666666667</v>
      </c>
    </row>
    <row r="1643" customFormat="false" ht="15" hidden="false" customHeight="false" outlineLevel="0" collapsed="false">
      <c r="A1643" s="5" t="s">
        <v>2685</v>
      </c>
      <c r="B1643" s="9" t="n">
        <v>46090</v>
      </c>
      <c r="C1643" s="9" t="n">
        <v>46092</v>
      </c>
      <c r="D1643" s="5" t="s">
        <v>132</v>
      </c>
      <c r="E1643" s="5" t="s">
        <v>1084</v>
      </c>
      <c r="F1643" s="5" t="s">
        <v>1002</v>
      </c>
      <c r="G1643" s="6" t="str">
        <f aca="false">INDEX(Catalogo_Causas!$B$2:$B$10,MATCH(F1643,Catalogo_Causas!$A$2:$A$10,0))</f>
        <v>Falla mecánica</v>
      </c>
      <c r="H1643" s="6" t="str">
        <f aca="false">INDEX(Catalogo_Causas!$C$2:$C$10,MATCH(F1643,Catalogo_Causas!$A$2:$A$10,0))</f>
        <v>Operacional</v>
      </c>
      <c r="I1643" s="5" t="n">
        <v>51</v>
      </c>
      <c r="J1643" s="29" t="n">
        <f aca="false">I1643/60</f>
        <v>0.85</v>
      </c>
    </row>
    <row r="1644" customFormat="false" ht="15" hidden="false" customHeight="false" outlineLevel="0" collapsed="false">
      <c r="A1644" s="5" t="s">
        <v>2686</v>
      </c>
      <c r="B1644" s="9" t="n">
        <v>46090</v>
      </c>
      <c r="C1644" s="9" t="n">
        <v>46092</v>
      </c>
      <c r="D1644" s="5" t="s">
        <v>138</v>
      </c>
      <c r="E1644" s="5" t="s">
        <v>1039</v>
      </c>
      <c r="F1644" s="5" t="s">
        <v>1007</v>
      </c>
      <c r="G1644" s="6" t="str">
        <f aca="false">INDEX(Catalogo_Causas!$B$2:$B$10,MATCH(F1644,Catalogo_Causas!$A$2:$A$10,0))</f>
        <v>Cambio de formato excedido</v>
      </c>
      <c r="H1644" s="6" t="str">
        <f aca="false">INDEX(Catalogo_Causas!$C$2:$C$10,MATCH(F1644,Catalogo_Causas!$A$2:$A$10,0))</f>
        <v>Operacional</v>
      </c>
      <c r="I1644" s="5" t="n">
        <v>37</v>
      </c>
      <c r="J1644" s="29" t="n">
        <f aca="false">I1644/60</f>
        <v>0.616666666666667</v>
      </c>
    </row>
    <row r="1645" customFormat="false" ht="15" hidden="false" customHeight="false" outlineLevel="0" collapsed="false">
      <c r="A1645" s="5" t="s">
        <v>2687</v>
      </c>
      <c r="B1645" s="9" t="n">
        <v>46090</v>
      </c>
      <c r="C1645" s="9" t="n">
        <v>46092</v>
      </c>
      <c r="D1645" s="5" t="s">
        <v>140</v>
      </c>
      <c r="E1645" s="5" t="s">
        <v>1032</v>
      </c>
      <c r="F1645" s="5" t="s">
        <v>1005</v>
      </c>
      <c r="G1645" s="6" t="str">
        <f aca="false">INDEX(Catalogo_Causas!$B$2:$B$10,MATCH(F1645,Catalogo_Causas!$A$2:$A$10,0))</f>
        <v>Falla eléctrica / control</v>
      </c>
      <c r="H1645" s="6" t="str">
        <f aca="false">INDEX(Catalogo_Causas!$C$2:$C$10,MATCH(F1645,Catalogo_Causas!$A$2:$A$10,0))</f>
        <v>Operacional</v>
      </c>
      <c r="I1645" s="5" t="n">
        <v>23</v>
      </c>
      <c r="J1645" s="29" t="n">
        <f aca="false">I1645/60</f>
        <v>0.383333333333333</v>
      </c>
    </row>
    <row r="1646" customFormat="false" ht="15" hidden="false" customHeight="false" outlineLevel="0" collapsed="false">
      <c r="A1646" s="5" t="s">
        <v>2688</v>
      </c>
      <c r="B1646" s="9" t="n">
        <v>46090</v>
      </c>
      <c r="C1646" s="9" t="n">
        <v>46092</v>
      </c>
      <c r="D1646" s="5" t="s">
        <v>144</v>
      </c>
      <c r="E1646" s="5" t="s">
        <v>1032</v>
      </c>
      <c r="F1646" s="5" t="s">
        <v>1021</v>
      </c>
      <c r="G1646" s="6" t="str">
        <f aca="false">INDEX(Catalogo_Causas!$B$2:$B$10,MATCH(F1646,Catalogo_Causas!$A$2:$A$10,0))</f>
        <v>Falla de servicios (vapor/amoniaco/aire)</v>
      </c>
      <c r="H1646" s="6" t="str">
        <f aca="false">INDEX(Catalogo_Causas!$C$2:$C$10,MATCH(F1646,Catalogo_Causas!$A$2:$A$10,0))</f>
        <v>Servicios</v>
      </c>
      <c r="I1646" s="5" t="n">
        <v>43</v>
      </c>
      <c r="J1646" s="29" t="n">
        <f aca="false">I1646/60</f>
        <v>0.716666666666667</v>
      </c>
    </row>
    <row r="1647" customFormat="false" ht="15" hidden="false" customHeight="false" outlineLevel="0" collapsed="false">
      <c r="A1647" s="5" t="s">
        <v>2689</v>
      </c>
      <c r="B1647" s="9" t="n">
        <v>46090</v>
      </c>
      <c r="C1647" s="9" t="n">
        <v>46092</v>
      </c>
      <c r="D1647" s="5" t="s">
        <v>144</v>
      </c>
      <c r="E1647" s="5" t="s">
        <v>1032</v>
      </c>
      <c r="F1647" s="5" t="s">
        <v>1002</v>
      </c>
      <c r="G1647" s="6" t="str">
        <f aca="false">INDEX(Catalogo_Causas!$B$2:$B$10,MATCH(F1647,Catalogo_Causas!$A$2:$A$10,0))</f>
        <v>Falla mecánica</v>
      </c>
      <c r="H1647" s="6" t="str">
        <f aca="false">INDEX(Catalogo_Causas!$C$2:$C$10,MATCH(F1647,Catalogo_Causas!$A$2:$A$10,0))</f>
        <v>Operacional</v>
      </c>
      <c r="I1647" s="5" t="n">
        <v>58</v>
      </c>
      <c r="J1647" s="29" t="n">
        <f aca="false">I1647/60</f>
        <v>0.966666666666667</v>
      </c>
    </row>
    <row r="1648" customFormat="false" ht="15" hidden="false" customHeight="false" outlineLevel="0" collapsed="false">
      <c r="A1648" s="5" t="s">
        <v>2690</v>
      </c>
      <c r="B1648" s="9" t="n">
        <v>46090</v>
      </c>
      <c r="C1648" s="9" t="n">
        <v>46093</v>
      </c>
      <c r="D1648" s="5" t="s">
        <v>132</v>
      </c>
      <c r="E1648" s="5" t="s">
        <v>1073</v>
      </c>
      <c r="F1648" s="5" t="s">
        <v>1012</v>
      </c>
      <c r="G1648" s="6" t="str">
        <f aca="false">INDEX(Catalogo_Causas!$B$2:$B$10,MATCH(F1648,Catalogo_Causas!$A$2:$A$10,0))</f>
        <v>Falta de materia prima</v>
      </c>
      <c r="H1648" s="6" t="str">
        <f aca="false">INDEX(Catalogo_Causas!$C$2:$C$10,MATCH(F1648,Catalogo_Causas!$A$2:$A$10,0))</f>
        <v>Material / suministro</v>
      </c>
      <c r="I1648" s="5" t="n">
        <v>179</v>
      </c>
      <c r="J1648" s="29" t="n">
        <f aca="false">I1648/60</f>
        <v>2.98333333333333</v>
      </c>
    </row>
    <row r="1649" customFormat="false" ht="15" hidden="false" customHeight="false" outlineLevel="0" collapsed="false">
      <c r="A1649" s="5" t="s">
        <v>2691</v>
      </c>
      <c r="B1649" s="9" t="n">
        <v>46090</v>
      </c>
      <c r="C1649" s="9" t="n">
        <v>46094</v>
      </c>
      <c r="D1649" s="5" t="s">
        <v>136</v>
      </c>
      <c r="E1649" s="5" t="s">
        <v>1101</v>
      </c>
      <c r="F1649" s="5" t="s">
        <v>1014</v>
      </c>
      <c r="G1649" s="6" t="str">
        <f aca="false">INDEX(Catalogo_Causas!$B$2:$B$10,MATCH(F1649,Catalogo_Causas!$A$2:$A$10,0))</f>
        <v>Retención de calidad</v>
      </c>
      <c r="H1649" s="6" t="str">
        <f aca="false">INDEX(Catalogo_Causas!$C$2:$C$10,MATCH(F1649,Catalogo_Causas!$A$2:$A$10,0))</f>
        <v>Calidad</v>
      </c>
      <c r="I1649" s="5" t="n">
        <v>24</v>
      </c>
      <c r="J1649" s="29" t="n">
        <f aca="false">I1649/60</f>
        <v>0.4</v>
      </c>
    </row>
    <row r="1650" customFormat="false" ht="15" hidden="false" customHeight="false" outlineLevel="0" collapsed="false">
      <c r="A1650" s="5" t="s">
        <v>2692</v>
      </c>
      <c r="B1650" s="9" t="n">
        <v>46090</v>
      </c>
      <c r="C1650" s="9" t="n">
        <v>46094</v>
      </c>
      <c r="D1650" s="5" t="s">
        <v>140</v>
      </c>
      <c r="E1650" s="5" t="s">
        <v>1036</v>
      </c>
      <c r="F1650" s="5" t="s">
        <v>1007</v>
      </c>
      <c r="G1650" s="6" t="str">
        <f aca="false">INDEX(Catalogo_Causas!$B$2:$B$10,MATCH(F1650,Catalogo_Causas!$A$2:$A$10,0))</f>
        <v>Cambio de formato excedido</v>
      </c>
      <c r="H1650" s="6" t="str">
        <f aca="false">INDEX(Catalogo_Causas!$C$2:$C$10,MATCH(F1650,Catalogo_Causas!$A$2:$A$10,0))</f>
        <v>Operacional</v>
      </c>
      <c r="I1650" s="5" t="n">
        <v>15</v>
      </c>
      <c r="J1650" s="29" t="n">
        <f aca="false">I1650/60</f>
        <v>0.25</v>
      </c>
    </row>
    <row r="1651" customFormat="false" ht="15" hidden="false" customHeight="false" outlineLevel="0" collapsed="false">
      <c r="A1651" s="5" t="s">
        <v>2693</v>
      </c>
      <c r="B1651" s="9" t="n">
        <v>46090</v>
      </c>
      <c r="C1651" s="9" t="n">
        <v>46094</v>
      </c>
      <c r="D1651" s="5" t="s">
        <v>142</v>
      </c>
      <c r="E1651" s="5" t="s">
        <v>1051</v>
      </c>
      <c r="F1651" s="5" t="s">
        <v>1002</v>
      </c>
      <c r="G1651" s="6" t="str">
        <f aca="false">INDEX(Catalogo_Causas!$B$2:$B$10,MATCH(F1651,Catalogo_Causas!$A$2:$A$10,0))</f>
        <v>Falla mecánica</v>
      </c>
      <c r="H1651" s="6" t="str">
        <f aca="false">INDEX(Catalogo_Causas!$C$2:$C$10,MATCH(F1651,Catalogo_Causas!$A$2:$A$10,0))</f>
        <v>Operacional</v>
      </c>
      <c r="I1651" s="5" t="n">
        <v>46</v>
      </c>
      <c r="J1651" s="29" t="n">
        <f aca="false">I1651/60</f>
        <v>0.766666666666667</v>
      </c>
    </row>
    <row r="1652" customFormat="false" ht="15" hidden="false" customHeight="false" outlineLevel="0" collapsed="false">
      <c r="A1652" s="5" t="s">
        <v>2694</v>
      </c>
      <c r="B1652" s="9" t="n">
        <v>46090</v>
      </c>
      <c r="C1652" s="9" t="n">
        <v>46095</v>
      </c>
      <c r="D1652" s="5" t="s">
        <v>130</v>
      </c>
      <c r="E1652" s="5" t="s">
        <v>1045</v>
      </c>
      <c r="F1652" s="5" t="s">
        <v>1007</v>
      </c>
      <c r="G1652" s="6" t="str">
        <f aca="false">INDEX(Catalogo_Causas!$B$2:$B$10,MATCH(F1652,Catalogo_Causas!$A$2:$A$10,0))</f>
        <v>Cambio de formato excedido</v>
      </c>
      <c r="H1652" s="6" t="str">
        <f aca="false">INDEX(Catalogo_Causas!$C$2:$C$10,MATCH(F1652,Catalogo_Causas!$A$2:$A$10,0))</f>
        <v>Operacional</v>
      </c>
      <c r="I1652" s="5" t="n">
        <v>36</v>
      </c>
      <c r="J1652" s="29" t="n">
        <f aca="false">I1652/60</f>
        <v>0.6</v>
      </c>
    </row>
    <row r="1653" customFormat="false" ht="15" hidden="false" customHeight="false" outlineLevel="0" collapsed="false">
      <c r="A1653" s="5" t="s">
        <v>2695</v>
      </c>
      <c r="B1653" s="9" t="n">
        <v>46090</v>
      </c>
      <c r="C1653" s="9" t="n">
        <v>46095</v>
      </c>
      <c r="D1653" s="5" t="s">
        <v>140</v>
      </c>
      <c r="E1653" s="5" t="s">
        <v>1036</v>
      </c>
      <c r="F1653" s="5" t="s">
        <v>1002</v>
      </c>
      <c r="G1653" s="6" t="str">
        <f aca="false">INDEX(Catalogo_Causas!$B$2:$B$10,MATCH(F1653,Catalogo_Causas!$A$2:$A$10,0))</f>
        <v>Falla mecánica</v>
      </c>
      <c r="H1653" s="6" t="str">
        <f aca="false">INDEX(Catalogo_Causas!$C$2:$C$10,MATCH(F1653,Catalogo_Causas!$A$2:$A$10,0))</f>
        <v>Operacional</v>
      </c>
      <c r="I1653" s="5" t="n">
        <v>36</v>
      </c>
      <c r="J1653" s="29" t="n">
        <f aca="false">I1653/60</f>
        <v>0.6</v>
      </c>
    </row>
    <row r="1654" customFormat="false" ht="15" hidden="false" customHeight="false" outlineLevel="0" collapsed="false">
      <c r="A1654" s="5" t="s">
        <v>2696</v>
      </c>
      <c r="B1654" s="9" t="n">
        <v>46090</v>
      </c>
      <c r="C1654" s="9" t="n">
        <v>46095</v>
      </c>
      <c r="D1654" s="5" t="s">
        <v>140</v>
      </c>
      <c r="E1654" s="5" t="s">
        <v>1036</v>
      </c>
      <c r="F1654" s="5" t="s">
        <v>1018</v>
      </c>
      <c r="G1654" s="6" t="str">
        <f aca="false">INDEX(Catalogo_Causas!$B$2:$B$10,MATCH(F1654,Catalogo_Causas!$A$2:$A$10,0))</f>
        <v>Falta de personal</v>
      </c>
      <c r="H1654" s="6" t="str">
        <f aca="false">INDEX(Catalogo_Causas!$C$2:$C$10,MATCH(F1654,Catalogo_Causas!$A$2:$A$10,0))</f>
        <v>Personal</v>
      </c>
      <c r="I1654" s="5" t="n">
        <v>22</v>
      </c>
      <c r="J1654" s="29" t="n">
        <f aca="false">I1654/60</f>
        <v>0.366666666666667</v>
      </c>
    </row>
    <row r="1655" customFormat="false" ht="15" hidden="false" customHeight="false" outlineLevel="0" collapsed="false">
      <c r="A1655" s="5" t="s">
        <v>2697</v>
      </c>
      <c r="B1655" s="9" t="n">
        <v>46097</v>
      </c>
      <c r="C1655" s="9" t="n">
        <v>46097</v>
      </c>
      <c r="D1655" s="5" t="s">
        <v>130</v>
      </c>
      <c r="E1655" s="5" t="s">
        <v>1078</v>
      </c>
      <c r="F1655" s="5" t="s">
        <v>1005</v>
      </c>
      <c r="G1655" s="6" t="str">
        <f aca="false">INDEX(Catalogo_Causas!$B$2:$B$10,MATCH(F1655,Catalogo_Causas!$A$2:$A$10,0))</f>
        <v>Falla eléctrica / control</v>
      </c>
      <c r="H1655" s="6" t="str">
        <f aca="false">INDEX(Catalogo_Causas!$C$2:$C$10,MATCH(F1655,Catalogo_Causas!$A$2:$A$10,0))</f>
        <v>Operacional</v>
      </c>
      <c r="I1655" s="5" t="n">
        <v>94</v>
      </c>
      <c r="J1655" s="29" t="n">
        <f aca="false">I1655/60</f>
        <v>1.56666666666667</v>
      </c>
    </row>
    <row r="1656" customFormat="false" ht="15" hidden="false" customHeight="false" outlineLevel="0" collapsed="false">
      <c r="A1656" s="5" t="s">
        <v>2698</v>
      </c>
      <c r="B1656" s="9" t="n">
        <v>46097</v>
      </c>
      <c r="C1656" s="9" t="n">
        <v>46097</v>
      </c>
      <c r="D1656" s="5" t="s">
        <v>132</v>
      </c>
      <c r="E1656" s="5" t="s">
        <v>1073</v>
      </c>
      <c r="F1656" s="5" t="s">
        <v>1005</v>
      </c>
      <c r="G1656" s="6" t="str">
        <f aca="false">INDEX(Catalogo_Causas!$B$2:$B$10,MATCH(F1656,Catalogo_Causas!$A$2:$A$10,0))</f>
        <v>Falla eléctrica / control</v>
      </c>
      <c r="H1656" s="6" t="str">
        <f aca="false">INDEX(Catalogo_Causas!$C$2:$C$10,MATCH(F1656,Catalogo_Causas!$A$2:$A$10,0))</f>
        <v>Operacional</v>
      </c>
      <c r="I1656" s="5" t="n">
        <v>10</v>
      </c>
      <c r="J1656" s="29" t="n">
        <f aca="false">I1656/60</f>
        <v>0.166666666666667</v>
      </c>
    </row>
    <row r="1657" customFormat="false" ht="15" hidden="false" customHeight="false" outlineLevel="0" collapsed="false">
      <c r="A1657" s="5" t="s">
        <v>2699</v>
      </c>
      <c r="B1657" s="9" t="n">
        <v>46097</v>
      </c>
      <c r="C1657" s="9" t="n">
        <v>46097</v>
      </c>
      <c r="D1657" s="5" t="s">
        <v>138</v>
      </c>
      <c r="E1657" s="5" t="s">
        <v>1034</v>
      </c>
      <c r="F1657" s="5" t="s">
        <v>1007</v>
      </c>
      <c r="G1657" s="6" t="str">
        <f aca="false">INDEX(Catalogo_Causas!$B$2:$B$10,MATCH(F1657,Catalogo_Causas!$A$2:$A$10,0))</f>
        <v>Cambio de formato excedido</v>
      </c>
      <c r="H1657" s="6" t="str">
        <f aca="false">INDEX(Catalogo_Causas!$C$2:$C$10,MATCH(F1657,Catalogo_Causas!$A$2:$A$10,0))</f>
        <v>Operacional</v>
      </c>
      <c r="I1657" s="5" t="n">
        <v>110</v>
      </c>
      <c r="J1657" s="29" t="n">
        <f aca="false">I1657/60</f>
        <v>1.83333333333333</v>
      </c>
    </row>
    <row r="1658" customFormat="false" ht="15" hidden="false" customHeight="false" outlineLevel="0" collapsed="false">
      <c r="A1658" s="5" t="s">
        <v>2700</v>
      </c>
      <c r="B1658" s="9" t="n">
        <v>46097</v>
      </c>
      <c r="C1658" s="9" t="n">
        <v>46097</v>
      </c>
      <c r="D1658" s="5" t="s">
        <v>144</v>
      </c>
      <c r="E1658" s="5" t="s">
        <v>1030</v>
      </c>
      <c r="F1658" s="5" t="s">
        <v>1002</v>
      </c>
      <c r="G1658" s="6" t="str">
        <f aca="false">INDEX(Catalogo_Causas!$B$2:$B$10,MATCH(F1658,Catalogo_Causas!$A$2:$A$10,0))</f>
        <v>Falla mecánica</v>
      </c>
      <c r="H1658" s="6" t="str">
        <f aca="false">INDEX(Catalogo_Causas!$C$2:$C$10,MATCH(F1658,Catalogo_Causas!$A$2:$A$10,0))</f>
        <v>Operacional</v>
      </c>
      <c r="I1658" s="5" t="n">
        <v>10</v>
      </c>
      <c r="J1658" s="29" t="n">
        <f aca="false">I1658/60</f>
        <v>0.166666666666667</v>
      </c>
    </row>
    <row r="1659" customFormat="false" ht="15" hidden="false" customHeight="false" outlineLevel="0" collapsed="false">
      <c r="A1659" s="5" t="s">
        <v>2701</v>
      </c>
      <c r="B1659" s="9" t="n">
        <v>46097</v>
      </c>
      <c r="C1659" s="9" t="n">
        <v>46098</v>
      </c>
      <c r="D1659" s="5" t="s">
        <v>138</v>
      </c>
      <c r="E1659" s="5" t="s">
        <v>1056</v>
      </c>
      <c r="F1659" s="5" t="s">
        <v>1005</v>
      </c>
      <c r="G1659" s="6" t="str">
        <f aca="false">INDEX(Catalogo_Causas!$B$2:$B$10,MATCH(F1659,Catalogo_Causas!$A$2:$A$10,0))</f>
        <v>Falla eléctrica / control</v>
      </c>
      <c r="H1659" s="6" t="str">
        <f aca="false">INDEX(Catalogo_Causas!$C$2:$C$10,MATCH(F1659,Catalogo_Causas!$A$2:$A$10,0))</f>
        <v>Operacional</v>
      </c>
      <c r="I1659" s="5" t="n">
        <v>133</v>
      </c>
      <c r="J1659" s="29" t="n">
        <f aca="false">I1659/60</f>
        <v>2.21666666666667</v>
      </c>
    </row>
    <row r="1660" customFormat="false" ht="15" hidden="false" customHeight="false" outlineLevel="0" collapsed="false">
      <c r="A1660" s="5" t="s">
        <v>2702</v>
      </c>
      <c r="B1660" s="9" t="n">
        <v>46097</v>
      </c>
      <c r="C1660" s="9" t="n">
        <v>46098</v>
      </c>
      <c r="D1660" s="5" t="s">
        <v>138</v>
      </c>
      <c r="E1660" s="5" t="s">
        <v>1056</v>
      </c>
      <c r="F1660" s="5" t="s">
        <v>1002</v>
      </c>
      <c r="G1660" s="6" t="str">
        <f aca="false">INDEX(Catalogo_Causas!$B$2:$B$10,MATCH(F1660,Catalogo_Causas!$A$2:$A$10,0))</f>
        <v>Falla mecánica</v>
      </c>
      <c r="H1660" s="6" t="str">
        <f aca="false">INDEX(Catalogo_Causas!$C$2:$C$10,MATCH(F1660,Catalogo_Causas!$A$2:$A$10,0))</f>
        <v>Operacional</v>
      </c>
      <c r="I1660" s="5" t="n">
        <v>118</v>
      </c>
      <c r="J1660" s="29" t="n">
        <f aca="false">I1660/60</f>
        <v>1.96666666666667</v>
      </c>
    </row>
    <row r="1661" customFormat="false" ht="15" hidden="false" customHeight="false" outlineLevel="0" collapsed="false">
      <c r="A1661" s="5" t="s">
        <v>2703</v>
      </c>
      <c r="B1661" s="9" t="n">
        <v>46097</v>
      </c>
      <c r="C1661" s="9" t="n">
        <v>46098</v>
      </c>
      <c r="D1661" s="5" t="s">
        <v>138</v>
      </c>
      <c r="E1661" s="5" t="s">
        <v>1056</v>
      </c>
      <c r="F1661" s="5" t="s">
        <v>1002</v>
      </c>
      <c r="G1661" s="6" t="str">
        <f aca="false">INDEX(Catalogo_Causas!$B$2:$B$10,MATCH(F1661,Catalogo_Causas!$A$2:$A$10,0))</f>
        <v>Falla mecánica</v>
      </c>
      <c r="H1661" s="6" t="str">
        <f aca="false">INDEX(Catalogo_Causas!$C$2:$C$10,MATCH(F1661,Catalogo_Causas!$A$2:$A$10,0))</f>
        <v>Operacional</v>
      </c>
      <c r="I1661" s="5" t="n">
        <v>99</v>
      </c>
      <c r="J1661" s="29" t="n">
        <f aca="false">I1661/60</f>
        <v>1.65</v>
      </c>
    </row>
    <row r="1662" customFormat="false" ht="15" hidden="false" customHeight="false" outlineLevel="0" collapsed="false">
      <c r="A1662" s="5" t="s">
        <v>2704</v>
      </c>
      <c r="B1662" s="9" t="n">
        <v>46097</v>
      </c>
      <c r="C1662" s="9" t="n">
        <v>46098</v>
      </c>
      <c r="D1662" s="5" t="s">
        <v>142</v>
      </c>
      <c r="E1662" s="5" t="s">
        <v>1041</v>
      </c>
      <c r="F1662" s="5" t="s">
        <v>1009</v>
      </c>
      <c r="G1662" s="6" t="str">
        <f aca="false">INDEX(Catalogo_Causas!$B$2:$B$10,MATCH(F1662,Catalogo_Causas!$A$2:$A$10,0))</f>
        <v>Falta de material de empaque</v>
      </c>
      <c r="H1662" s="6" t="str">
        <f aca="false">INDEX(Catalogo_Causas!$C$2:$C$10,MATCH(F1662,Catalogo_Causas!$A$2:$A$10,0))</f>
        <v>Material / suministro</v>
      </c>
      <c r="I1662" s="5" t="n">
        <v>32</v>
      </c>
      <c r="J1662" s="29" t="n">
        <f aca="false">I1662/60</f>
        <v>0.533333333333333</v>
      </c>
    </row>
    <row r="1663" customFormat="false" ht="15" hidden="false" customHeight="false" outlineLevel="0" collapsed="false">
      <c r="A1663" s="5" t="s">
        <v>2705</v>
      </c>
      <c r="B1663" s="9" t="n">
        <v>46097</v>
      </c>
      <c r="C1663" s="9" t="n">
        <v>46099</v>
      </c>
      <c r="D1663" s="5" t="s">
        <v>130</v>
      </c>
      <c r="E1663" s="5" t="s">
        <v>1030</v>
      </c>
      <c r="F1663" s="5" t="s">
        <v>1002</v>
      </c>
      <c r="G1663" s="6" t="str">
        <f aca="false">INDEX(Catalogo_Causas!$B$2:$B$10,MATCH(F1663,Catalogo_Causas!$A$2:$A$10,0))</f>
        <v>Falla mecánica</v>
      </c>
      <c r="H1663" s="6" t="str">
        <f aca="false">INDEX(Catalogo_Causas!$C$2:$C$10,MATCH(F1663,Catalogo_Causas!$A$2:$A$10,0))</f>
        <v>Operacional</v>
      </c>
      <c r="I1663" s="5" t="n">
        <v>32</v>
      </c>
      <c r="J1663" s="29" t="n">
        <f aca="false">I1663/60</f>
        <v>0.533333333333333</v>
      </c>
    </row>
    <row r="1664" customFormat="false" ht="15" hidden="false" customHeight="false" outlineLevel="0" collapsed="false">
      <c r="A1664" s="5" t="s">
        <v>2706</v>
      </c>
      <c r="B1664" s="9" t="n">
        <v>46097</v>
      </c>
      <c r="C1664" s="9" t="n">
        <v>46100</v>
      </c>
      <c r="D1664" s="5" t="s">
        <v>138</v>
      </c>
      <c r="E1664" s="5" t="s">
        <v>1056</v>
      </c>
      <c r="F1664" s="5" t="s">
        <v>1012</v>
      </c>
      <c r="G1664" s="6" t="str">
        <f aca="false">INDEX(Catalogo_Causas!$B$2:$B$10,MATCH(F1664,Catalogo_Causas!$A$2:$A$10,0))</f>
        <v>Falta de materia prima</v>
      </c>
      <c r="H1664" s="6" t="str">
        <f aca="false">INDEX(Catalogo_Causas!$C$2:$C$10,MATCH(F1664,Catalogo_Causas!$A$2:$A$10,0))</f>
        <v>Material / suministro</v>
      </c>
      <c r="I1664" s="5" t="n">
        <v>38</v>
      </c>
      <c r="J1664" s="29" t="n">
        <f aca="false">I1664/60</f>
        <v>0.633333333333333</v>
      </c>
    </row>
    <row r="1665" customFormat="false" ht="15" hidden="false" customHeight="false" outlineLevel="0" collapsed="false">
      <c r="A1665" s="5" t="s">
        <v>2707</v>
      </c>
      <c r="B1665" s="9" t="n">
        <v>46097</v>
      </c>
      <c r="C1665" s="9" t="n">
        <v>46100</v>
      </c>
      <c r="D1665" s="5" t="s">
        <v>138</v>
      </c>
      <c r="E1665" s="5" t="s">
        <v>1056</v>
      </c>
      <c r="F1665" s="5" t="s">
        <v>1012</v>
      </c>
      <c r="G1665" s="6" t="str">
        <f aca="false">INDEX(Catalogo_Causas!$B$2:$B$10,MATCH(F1665,Catalogo_Causas!$A$2:$A$10,0))</f>
        <v>Falta de materia prima</v>
      </c>
      <c r="H1665" s="6" t="str">
        <f aca="false">INDEX(Catalogo_Causas!$C$2:$C$10,MATCH(F1665,Catalogo_Causas!$A$2:$A$10,0))</f>
        <v>Material / suministro</v>
      </c>
      <c r="I1665" s="5" t="n">
        <v>28</v>
      </c>
      <c r="J1665" s="29" t="n">
        <f aca="false">I1665/60</f>
        <v>0.466666666666667</v>
      </c>
    </row>
    <row r="1666" customFormat="false" ht="15" hidden="false" customHeight="false" outlineLevel="0" collapsed="false">
      <c r="A1666" s="5" t="s">
        <v>2708</v>
      </c>
      <c r="B1666" s="9" t="n">
        <v>46097</v>
      </c>
      <c r="C1666" s="9" t="n">
        <v>46100</v>
      </c>
      <c r="D1666" s="5" t="s">
        <v>144</v>
      </c>
      <c r="E1666" s="5" t="s">
        <v>1032</v>
      </c>
      <c r="F1666" s="5" t="s">
        <v>1005</v>
      </c>
      <c r="G1666" s="6" t="str">
        <f aca="false">INDEX(Catalogo_Causas!$B$2:$B$10,MATCH(F1666,Catalogo_Causas!$A$2:$A$10,0))</f>
        <v>Falla eléctrica / control</v>
      </c>
      <c r="H1666" s="6" t="str">
        <f aca="false">INDEX(Catalogo_Causas!$C$2:$C$10,MATCH(F1666,Catalogo_Causas!$A$2:$A$10,0))</f>
        <v>Operacional</v>
      </c>
      <c r="I1666" s="5" t="n">
        <v>47</v>
      </c>
      <c r="J1666" s="29" t="n">
        <f aca="false">I1666/60</f>
        <v>0.783333333333333</v>
      </c>
    </row>
    <row r="1667" customFormat="false" ht="15" hidden="false" customHeight="false" outlineLevel="0" collapsed="false">
      <c r="A1667" s="5" t="s">
        <v>2709</v>
      </c>
      <c r="B1667" s="9" t="n">
        <v>46097</v>
      </c>
      <c r="C1667" s="9" t="n">
        <v>46101</v>
      </c>
      <c r="D1667" s="5" t="s">
        <v>138</v>
      </c>
      <c r="E1667" s="5" t="s">
        <v>1056</v>
      </c>
      <c r="F1667" s="5" t="s">
        <v>1021</v>
      </c>
      <c r="G1667" s="6" t="str">
        <f aca="false">INDEX(Catalogo_Causas!$B$2:$B$10,MATCH(F1667,Catalogo_Causas!$A$2:$A$10,0))</f>
        <v>Falla de servicios (vapor/amoniaco/aire)</v>
      </c>
      <c r="H1667" s="6" t="str">
        <f aca="false">INDEX(Catalogo_Causas!$C$2:$C$10,MATCH(F1667,Catalogo_Causas!$A$2:$A$10,0))</f>
        <v>Servicios</v>
      </c>
      <c r="I1667" s="5" t="n">
        <v>47</v>
      </c>
      <c r="J1667" s="29" t="n">
        <f aca="false">I1667/60</f>
        <v>0.783333333333333</v>
      </c>
    </row>
    <row r="1668" customFormat="false" ht="15" hidden="false" customHeight="false" outlineLevel="0" collapsed="false">
      <c r="A1668" s="5" t="s">
        <v>2710</v>
      </c>
      <c r="B1668" s="9" t="n">
        <v>46097</v>
      </c>
      <c r="C1668" s="9" t="n">
        <v>46101</v>
      </c>
      <c r="D1668" s="5" t="s">
        <v>138</v>
      </c>
      <c r="E1668" s="5" t="s">
        <v>1056</v>
      </c>
      <c r="F1668" s="5" t="s">
        <v>1009</v>
      </c>
      <c r="G1668" s="6" t="str">
        <f aca="false">INDEX(Catalogo_Causas!$B$2:$B$10,MATCH(F1668,Catalogo_Causas!$A$2:$A$10,0))</f>
        <v>Falta de material de empaque</v>
      </c>
      <c r="H1668" s="6" t="str">
        <f aca="false">INDEX(Catalogo_Causas!$C$2:$C$10,MATCH(F1668,Catalogo_Causas!$A$2:$A$10,0))</f>
        <v>Material / suministro</v>
      </c>
      <c r="I1668" s="5" t="n">
        <v>81</v>
      </c>
      <c r="J1668" s="29" t="n">
        <f aca="false">I1668/60</f>
        <v>1.35</v>
      </c>
    </row>
    <row r="1669" customFormat="false" ht="15" hidden="false" customHeight="false" outlineLevel="0" collapsed="false">
      <c r="A1669" s="5" t="s">
        <v>2711</v>
      </c>
      <c r="B1669" s="9" t="n">
        <v>46097</v>
      </c>
      <c r="C1669" s="9" t="n">
        <v>46101</v>
      </c>
      <c r="D1669" s="5" t="s">
        <v>140</v>
      </c>
      <c r="E1669" s="5" t="s">
        <v>1045</v>
      </c>
      <c r="F1669" s="5" t="s">
        <v>1009</v>
      </c>
      <c r="G1669" s="6" t="str">
        <f aca="false">INDEX(Catalogo_Causas!$B$2:$B$10,MATCH(F1669,Catalogo_Causas!$A$2:$A$10,0))</f>
        <v>Falta de material de empaque</v>
      </c>
      <c r="H1669" s="6" t="str">
        <f aca="false">INDEX(Catalogo_Causas!$C$2:$C$10,MATCH(F1669,Catalogo_Causas!$A$2:$A$10,0))</f>
        <v>Material / suministro</v>
      </c>
      <c r="I1669" s="5" t="n">
        <v>65</v>
      </c>
      <c r="J1669" s="29" t="n">
        <f aca="false">I1669/60</f>
        <v>1.08333333333333</v>
      </c>
    </row>
    <row r="1670" customFormat="false" ht="15" hidden="false" customHeight="false" outlineLevel="0" collapsed="false">
      <c r="A1670" s="5" t="s">
        <v>2712</v>
      </c>
      <c r="B1670" s="9" t="n">
        <v>46097</v>
      </c>
      <c r="C1670" s="9" t="n">
        <v>46101</v>
      </c>
      <c r="D1670" s="5" t="s">
        <v>142</v>
      </c>
      <c r="E1670" s="5" t="s">
        <v>1051</v>
      </c>
      <c r="F1670" s="5" t="s">
        <v>1002</v>
      </c>
      <c r="G1670" s="6" t="str">
        <f aca="false">INDEX(Catalogo_Causas!$B$2:$B$10,MATCH(F1670,Catalogo_Causas!$A$2:$A$10,0))</f>
        <v>Falla mecánica</v>
      </c>
      <c r="H1670" s="6" t="str">
        <f aca="false">INDEX(Catalogo_Causas!$C$2:$C$10,MATCH(F1670,Catalogo_Causas!$A$2:$A$10,0))</f>
        <v>Operacional</v>
      </c>
      <c r="I1670" s="5" t="n">
        <v>86</v>
      </c>
      <c r="J1670" s="29" t="n">
        <f aca="false">I1670/60</f>
        <v>1.43333333333333</v>
      </c>
    </row>
    <row r="1671" customFormat="false" ht="15" hidden="false" customHeight="false" outlineLevel="0" collapsed="false">
      <c r="A1671" s="5" t="s">
        <v>2713</v>
      </c>
      <c r="B1671" s="9" t="n">
        <v>46097</v>
      </c>
      <c r="C1671" s="9" t="n">
        <v>46102</v>
      </c>
      <c r="D1671" s="5" t="s">
        <v>134</v>
      </c>
      <c r="E1671" s="5" t="s">
        <v>1032</v>
      </c>
      <c r="F1671" s="5" t="s">
        <v>1012</v>
      </c>
      <c r="G1671" s="6" t="str">
        <f aca="false">INDEX(Catalogo_Causas!$B$2:$B$10,MATCH(F1671,Catalogo_Causas!$A$2:$A$10,0))</f>
        <v>Falta de materia prima</v>
      </c>
      <c r="H1671" s="6" t="str">
        <f aca="false">INDEX(Catalogo_Causas!$C$2:$C$10,MATCH(F1671,Catalogo_Causas!$A$2:$A$10,0))</f>
        <v>Material / suministro</v>
      </c>
      <c r="I1671" s="5" t="n">
        <v>106</v>
      </c>
      <c r="J1671" s="29" t="n">
        <f aca="false">I1671/60</f>
        <v>1.76666666666667</v>
      </c>
    </row>
    <row r="1672" customFormat="false" ht="15" hidden="false" customHeight="false" outlineLevel="0" collapsed="false">
      <c r="A1672" s="5" t="s">
        <v>2714</v>
      </c>
      <c r="B1672" s="9" t="n">
        <v>46097</v>
      </c>
      <c r="C1672" s="9" t="n">
        <v>46102</v>
      </c>
      <c r="D1672" s="5" t="s">
        <v>134</v>
      </c>
      <c r="E1672" s="5" t="s">
        <v>1054</v>
      </c>
      <c r="F1672" s="5" t="s">
        <v>1005</v>
      </c>
      <c r="G1672" s="6" t="str">
        <f aca="false">INDEX(Catalogo_Causas!$B$2:$B$10,MATCH(F1672,Catalogo_Causas!$A$2:$A$10,0))</f>
        <v>Falla eléctrica / control</v>
      </c>
      <c r="H1672" s="6" t="str">
        <f aca="false">INDEX(Catalogo_Causas!$C$2:$C$10,MATCH(F1672,Catalogo_Causas!$A$2:$A$10,0))</f>
        <v>Operacional</v>
      </c>
      <c r="I1672" s="5" t="n">
        <v>81</v>
      </c>
      <c r="J1672" s="29" t="n">
        <f aca="false">I1672/60</f>
        <v>1.35</v>
      </c>
    </row>
    <row r="1673" customFormat="false" ht="15" hidden="false" customHeight="false" outlineLevel="0" collapsed="false">
      <c r="A1673" s="5" t="s">
        <v>2715</v>
      </c>
      <c r="B1673" s="9" t="n">
        <v>46097</v>
      </c>
      <c r="C1673" s="9" t="n">
        <v>46102</v>
      </c>
      <c r="D1673" s="5" t="s">
        <v>142</v>
      </c>
      <c r="E1673" s="5" t="s">
        <v>1051</v>
      </c>
      <c r="F1673" s="5" t="s">
        <v>1005</v>
      </c>
      <c r="G1673" s="6" t="str">
        <f aca="false">INDEX(Catalogo_Causas!$B$2:$B$10,MATCH(F1673,Catalogo_Causas!$A$2:$A$10,0))</f>
        <v>Falla eléctrica / control</v>
      </c>
      <c r="H1673" s="6" t="str">
        <f aca="false">INDEX(Catalogo_Causas!$C$2:$C$10,MATCH(F1673,Catalogo_Causas!$A$2:$A$10,0))</f>
        <v>Operacional</v>
      </c>
      <c r="I1673" s="5" t="n">
        <v>31</v>
      </c>
      <c r="J1673" s="29" t="n">
        <f aca="false">I1673/60</f>
        <v>0.516666666666667</v>
      </c>
    </row>
    <row r="1674" customFormat="false" ht="15" hidden="false" customHeight="false" outlineLevel="0" collapsed="false">
      <c r="A1674" s="5" t="s">
        <v>2716</v>
      </c>
      <c r="B1674" s="9" t="n">
        <v>46104</v>
      </c>
      <c r="C1674" s="9" t="n">
        <v>46104</v>
      </c>
      <c r="D1674" s="5" t="s">
        <v>134</v>
      </c>
      <c r="E1674" s="5" t="s">
        <v>1054</v>
      </c>
      <c r="F1674" s="5" t="s">
        <v>1014</v>
      </c>
      <c r="G1674" s="6" t="str">
        <f aca="false">INDEX(Catalogo_Causas!$B$2:$B$10,MATCH(F1674,Catalogo_Causas!$A$2:$A$10,0))</f>
        <v>Retención de calidad</v>
      </c>
      <c r="H1674" s="6" t="str">
        <f aca="false">INDEX(Catalogo_Causas!$C$2:$C$10,MATCH(F1674,Catalogo_Causas!$A$2:$A$10,0))</f>
        <v>Calidad</v>
      </c>
      <c r="I1674" s="5" t="n">
        <v>115</v>
      </c>
      <c r="J1674" s="29" t="n">
        <f aca="false">I1674/60</f>
        <v>1.91666666666667</v>
      </c>
    </row>
    <row r="1675" customFormat="false" ht="15" hidden="false" customHeight="false" outlineLevel="0" collapsed="false">
      <c r="A1675" s="5" t="s">
        <v>2717</v>
      </c>
      <c r="B1675" s="9" t="n">
        <v>46104</v>
      </c>
      <c r="C1675" s="9" t="n">
        <v>46104</v>
      </c>
      <c r="D1675" s="5" t="s">
        <v>138</v>
      </c>
      <c r="E1675" s="5" t="s">
        <v>1039</v>
      </c>
      <c r="F1675" s="5" t="s">
        <v>1002</v>
      </c>
      <c r="G1675" s="6" t="str">
        <f aca="false">INDEX(Catalogo_Causas!$B$2:$B$10,MATCH(F1675,Catalogo_Causas!$A$2:$A$10,0))</f>
        <v>Falla mecánica</v>
      </c>
      <c r="H1675" s="6" t="str">
        <f aca="false">INDEX(Catalogo_Causas!$C$2:$C$10,MATCH(F1675,Catalogo_Causas!$A$2:$A$10,0))</f>
        <v>Operacional</v>
      </c>
      <c r="I1675" s="5" t="n">
        <v>20</v>
      </c>
      <c r="J1675" s="29" t="n">
        <f aca="false">I1675/60</f>
        <v>0.333333333333333</v>
      </c>
    </row>
    <row r="1676" customFormat="false" ht="15" hidden="false" customHeight="false" outlineLevel="0" collapsed="false">
      <c r="A1676" s="5" t="s">
        <v>2718</v>
      </c>
      <c r="B1676" s="9" t="n">
        <v>46104</v>
      </c>
      <c r="C1676" s="9" t="n">
        <v>46104</v>
      </c>
      <c r="D1676" s="5" t="s">
        <v>138</v>
      </c>
      <c r="E1676" s="5" t="s">
        <v>1039</v>
      </c>
      <c r="F1676" s="5" t="s">
        <v>1002</v>
      </c>
      <c r="G1676" s="6" t="str">
        <f aca="false">INDEX(Catalogo_Causas!$B$2:$B$10,MATCH(F1676,Catalogo_Causas!$A$2:$A$10,0))</f>
        <v>Falla mecánica</v>
      </c>
      <c r="H1676" s="6" t="str">
        <f aca="false">INDEX(Catalogo_Causas!$C$2:$C$10,MATCH(F1676,Catalogo_Causas!$A$2:$A$10,0))</f>
        <v>Operacional</v>
      </c>
      <c r="I1676" s="5" t="n">
        <v>36</v>
      </c>
      <c r="J1676" s="29" t="n">
        <f aca="false">I1676/60</f>
        <v>0.6</v>
      </c>
    </row>
    <row r="1677" customFormat="false" ht="15" hidden="false" customHeight="false" outlineLevel="0" collapsed="false">
      <c r="A1677" s="5" t="s">
        <v>2719</v>
      </c>
      <c r="B1677" s="9" t="n">
        <v>46104</v>
      </c>
      <c r="C1677" s="9" t="n">
        <v>46104</v>
      </c>
      <c r="D1677" s="5" t="s">
        <v>140</v>
      </c>
      <c r="E1677" s="5" t="s">
        <v>1036</v>
      </c>
      <c r="F1677" s="5" t="s">
        <v>1005</v>
      </c>
      <c r="G1677" s="6" t="str">
        <f aca="false">INDEX(Catalogo_Causas!$B$2:$B$10,MATCH(F1677,Catalogo_Causas!$A$2:$A$10,0))</f>
        <v>Falla eléctrica / control</v>
      </c>
      <c r="H1677" s="6" t="str">
        <f aca="false">INDEX(Catalogo_Causas!$C$2:$C$10,MATCH(F1677,Catalogo_Causas!$A$2:$A$10,0))</f>
        <v>Operacional</v>
      </c>
      <c r="I1677" s="5" t="n">
        <v>34</v>
      </c>
      <c r="J1677" s="29" t="n">
        <f aca="false">I1677/60</f>
        <v>0.566666666666667</v>
      </c>
    </row>
    <row r="1678" customFormat="false" ht="15" hidden="false" customHeight="false" outlineLevel="0" collapsed="false">
      <c r="A1678" s="5" t="s">
        <v>2720</v>
      </c>
      <c r="B1678" s="9" t="n">
        <v>46104</v>
      </c>
      <c r="C1678" s="9" t="n">
        <v>46104</v>
      </c>
      <c r="D1678" s="5" t="s">
        <v>142</v>
      </c>
      <c r="E1678" s="5" t="s">
        <v>1030</v>
      </c>
      <c r="F1678" s="5" t="s">
        <v>1002</v>
      </c>
      <c r="G1678" s="6" t="str">
        <f aca="false">INDEX(Catalogo_Causas!$B$2:$B$10,MATCH(F1678,Catalogo_Causas!$A$2:$A$10,0))</f>
        <v>Falla mecánica</v>
      </c>
      <c r="H1678" s="6" t="str">
        <f aca="false">INDEX(Catalogo_Causas!$C$2:$C$10,MATCH(F1678,Catalogo_Causas!$A$2:$A$10,0))</f>
        <v>Operacional</v>
      </c>
      <c r="I1678" s="5" t="n">
        <v>22</v>
      </c>
      <c r="J1678" s="29" t="n">
        <f aca="false">I1678/60</f>
        <v>0.366666666666667</v>
      </c>
    </row>
    <row r="1679" customFormat="false" ht="15" hidden="false" customHeight="false" outlineLevel="0" collapsed="false">
      <c r="A1679" s="5" t="s">
        <v>2721</v>
      </c>
      <c r="B1679" s="9" t="n">
        <v>46104</v>
      </c>
      <c r="C1679" s="9" t="n">
        <v>46104</v>
      </c>
      <c r="D1679" s="5" t="s">
        <v>142</v>
      </c>
      <c r="E1679" s="5" t="s">
        <v>1041</v>
      </c>
      <c r="F1679" s="5" t="s">
        <v>1009</v>
      </c>
      <c r="G1679" s="6" t="str">
        <f aca="false">INDEX(Catalogo_Causas!$B$2:$B$10,MATCH(F1679,Catalogo_Causas!$A$2:$A$10,0))</f>
        <v>Falta de material de empaque</v>
      </c>
      <c r="H1679" s="6" t="str">
        <f aca="false">INDEX(Catalogo_Causas!$C$2:$C$10,MATCH(F1679,Catalogo_Causas!$A$2:$A$10,0))</f>
        <v>Material / suministro</v>
      </c>
      <c r="I1679" s="5" t="n">
        <v>58</v>
      </c>
      <c r="J1679" s="29" t="n">
        <f aca="false">I1679/60</f>
        <v>0.966666666666667</v>
      </c>
    </row>
    <row r="1680" customFormat="false" ht="15" hidden="false" customHeight="false" outlineLevel="0" collapsed="false">
      <c r="A1680" s="5" t="s">
        <v>2722</v>
      </c>
      <c r="B1680" s="9" t="n">
        <v>46104</v>
      </c>
      <c r="C1680" s="9" t="n">
        <v>46105</v>
      </c>
      <c r="D1680" s="5" t="s">
        <v>132</v>
      </c>
      <c r="E1680" s="5" t="s">
        <v>1032</v>
      </c>
      <c r="F1680" s="5" t="s">
        <v>1014</v>
      </c>
      <c r="G1680" s="6" t="str">
        <f aca="false">INDEX(Catalogo_Causas!$B$2:$B$10,MATCH(F1680,Catalogo_Causas!$A$2:$A$10,0))</f>
        <v>Retención de calidad</v>
      </c>
      <c r="H1680" s="6" t="str">
        <f aca="false">INDEX(Catalogo_Causas!$C$2:$C$10,MATCH(F1680,Catalogo_Causas!$A$2:$A$10,0))</f>
        <v>Calidad</v>
      </c>
      <c r="I1680" s="5" t="n">
        <v>86</v>
      </c>
      <c r="J1680" s="29" t="n">
        <f aca="false">I1680/60</f>
        <v>1.43333333333333</v>
      </c>
    </row>
    <row r="1681" customFormat="false" ht="15" hidden="false" customHeight="false" outlineLevel="0" collapsed="false">
      <c r="A1681" s="5" t="s">
        <v>2723</v>
      </c>
      <c r="B1681" s="9" t="n">
        <v>46104</v>
      </c>
      <c r="C1681" s="9" t="n">
        <v>46105</v>
      </c>
      <c r="D1681" s="5" t="s">
        <v>140</v>
      </c>
      <c r="E1681" s="5" t="s">
        <v>1045</v>
      </c>
      <c r="F1681" s="5" t="s">
        <v>1014</v>
      </c>
      <c r="G1681" s="6" t="str">
        <f aca="false">INDEX(Catalogo_Causas!$B$2:$B$10,MATCH(F1681,Catalogo_Causas!$A$2:$A$10,0))</f>
        <v>Retención de calidad</v>
      </c>
      <c r="H1681" s="6" t="str">
        <f aca="false">INDEX(Catalogo_Causas!$C$2:$C$10,MATCH(F1681,Catalogo_Causas!$A$2:$A$10,0))</f>
        <v>Calidad</v>
      </c>
      <c r="I1681" s="5" t="n">
        <v>78</v>
      </c>
      <c r="J1681" s="29" t="n">
        <f aca="false">I1681/60</f>
        <v>1.3</v>
      </c>
    </row>
    <row r="1682" customFormat="false" ht="15" hidden="false" customHeight="false" outlineLevel="0" collapsed="false">
      <c r="A1682" s="5" t="s">
        <v>2724</v>
      </c>
      <c r="B1682" s="9" t="n">
        <v>46104</v>
      </c>
      <c r="C1682" s="9" t="n">
        <v>46105</v>
      </c>
      <c r="D1682" s="5" t="s">
        <v>142</v>
      </c>
      <c r="E1682" s="5" t="s">
        <v>1041</v>
      </c>
      <c r="F1682" s="5" t="s">
        <v>1012</v>
      </c>
      <c r="G1682" s="6" t="str">
        <f aca="false">INDEX(Catalogo_Causas!$B$2:$B$10,MATCH(F1682,Catalogo_Causas!$A$2:$A$10,0))</f>
        <v>Falta de materia prima</v>
      </c>
      <c r="H1682" s="6" t="str">
        <f aca="false">INDEX(Catalogo_Causas!$C$2:$C$10,MATCH(F1682,Catalogo_Causas!$A$2:$A$10,0))</f>
        <v>Material / suministro</v>
      </c>
      <c r="I1682" s="5" t="n">
        <v>67</v>
      </c>
      <c r="J1682" s="29" t="n">
        <f aca="false">I1682/60</f>
        <v>1.11666666666667</v>
      </c>
    </row>
    <row r="1683" customFormat="false" ht="15" hidden="false" customHeight="false" outlineLevel="0" collapsed="false">
      <c r="A1683" s="5" t="s">
        <v>2725</v>
      </c>
      <c r="B1683" s="9" t="n">
        <v>46104</v>
      </c>
      <c r="C1683" s="9" t="n">
        <v>46105</v>
      </c>
      <c r="D1683" s="5" t="s">
        <v>144</v>
      </c>
      <c r="E1683" s="5" t="s">
        <v>1032</v>
      </c>
      <c r="F1683" s="5" t="s">
        <v>1002</v>
      </c>
      <c r="G1683" s="6" t="str">
        <f aca="false">INDEX(Catalogo_Causas!$B$2:$B$10,MATCH(F1683,Catalogo_Causas!$A$2:$A$10,0))</f>
        <v>Falla mecánica</v>
      </c>
      <c r="H1683" s="6" t="str">
        <f aca="false">INDEX(Catalogo_Causas!$C$2:$C$10,MATCH(F1683,Catalogo_Causas!$A$2:$A$10,0))</f>
        <v>Operacional</v>
      </c>
      <c r="I1683" s="5" t="n">
        <v>86</v>
      </c>
      <c r="J1683" s="29" t="n">
        <f aca="false">I1683/60</f>
        <v>1.43333333333333</v>
      </c>
    </row>
    <row r="1684" customFormat="false" ht="15" hidden="false" customHeight="false" outlineLevel="0" collapsed="false">
      <c r="A1684" s="5" t="s">
        <v>2726</v>
      </c>
      <c r="B1684" s="9" t="n">
        <v>46104</v>
      </c>
      <c r="C1684" s="9" t="n">
        <v>46106</v>
      </c>
      <c r="D1684" s="5" t="s">
        <v>134</v>
      </c>
      <c r="E1684" s="5" t="s">
        <v>1054</v>
      </c>
      <c r="F1684" s="5" t="s">
        <v>1002</v>
      </c>
      <c r="G1684" s="6" t="str">
        <f aca="false">INDEX(Catalogo_Causas!$B$2:$B$10,MATCH(F1684,Catalogo_Causas!$A$2:$A$10,0))</f>
        <v>Falla mecánica</v>
      </c>
      <c r="H1684" s="6" t="str">
        <f aca="false">INDEX(Catalogo_Causas!$C$2:$C$10,MATCH(F1684,Catalogo_Causas!$A$2:$A$10,0))</f>
        <v>Operacional</v>
      </c>
      <c r="I1684" s="5" t="n">
        <v>45</v>
      </c>
      <c r="J1684" s="29" t="n">
        <f aca="false">I1684/60</f>
        <v>0.75</v>
      </c>
    </row>
    <row r="1685" customFormat="false" ht="15" hidden="false" customHeight="false" outlineLevel="0" collapsed="false">
      <c r="A1685" s="5" t="s">
        <v>2727</v>
      </c>
      <c r="B1685" s="9" t="n">
        <v>46104</v>
      </c>
      <c r="C1685" s="9" t="n">
        <v>46106</v>
      </c>
      <c r="D1685" s="5" t="s">
        <v>136</v>
      </c>
      <c r="E1685" s="5" t="s">
        <v>1051</v>
      </c>
      <c r="F1685" s="5" t="s">
        <v>1021</v>
      </c>
      <c r="G1685" s="6" t="str">
        <f aca="false">INDEX(Catalogo_Causas!$B$2:$B$10,MATCH(F1685,Catalogo_Causas!$A$2:$A$10,0))</f>
        <v>Falla de servicios (vapor/amoniaco/aire)</v>
      </c>
      <c r="H1685" s="6" t="str">
        <f aca="false">INDEX(Catalogo_Causas!$C$2:$C$10,MATCH(F1685,Catalogo_Causas!$A$2:$A$10,0))</f>
        <v>Servicios</v>
      </c>
      <c r="I1685" s="5" t="n">
        <v>118</v>
      </c>
      <c r="J1685" s="29" t="n">
        <f aca="false">I1685/60</f>
        <v>1.96666666666667</v>
      </c>
    </row>
    <row r="1686" customFormat="false" ht="15" hidden="false" customHeight="false" outlineLevel="0" collapsed="false">
      <c r="A1686" s="5" t="s">
        <v>2728</v>
      </c>
      <c r="B1686" s="9" t="n">
        <v>46104</v>
      </c>
      <c r="C1686" s="9" t="n">
        <v>46106</v>
      </c>
      <c r="D1686" s="5" t="s">
        <v>140</v>
      </c>
      <c r="E1686" s="5" t="s">
        <v>1032</v>
      </c>
      <c r="F1686" s="5" t="s">
        <v>1005</v>
      </c>
      <c r="G1686" s="6" t="str">
        <f aca="false">INDEX(Catalogo_Causas!$B$2:$B$10,MATCH(F1686,Catalogo_Causas!$A$2:$A$10,0))</f>
        <v>Falla eléctrica / control</v>
      </c>
      <c r="H1686" s="6" t="str">
        <f aca="false">INDEX(Catalogo_Causas!$C$2:$C$10,MATCH(F1686,Catalogo_Causas!$A$2:$A$10,0))</f>
        <v>Operacional</v>
      </c>
      <c r="I1686" s="5" t="n">
        <v>50</v>
      </c>
      <c r="J1686" s="29" t="n">
        <f aca="false">I1686/60</f>
        <v>0.833333333333333</v>
      </c>
    </row>
    <row r="1687" customFormat="false" ht="15" hidden="false" customHeight="false" outlineLevel="0" collapsed="false">
      <c r="A1687" s="5" t="s">
        <v>2729</v>
      </c>
      <c r="B1687" s="9" t="n">
        <v>46104</v>
      </c>
      <c r="C1687" s="9" t="n">
        <v>46106</v>
      </c>
      <c r="D1687" s="5" t="s">
        <v>142</v>
      </c>
      <c r="E1687" s="5" t="s">
        <v>1030</v>
      </c>
      <c r="F1687" s="5" t="s">
        <v>1016</v>
      </c>
      <c r="G1687" s="6" t="str">
        <f aca="false">INDEX(Catalogo_Causas!$B$2:$B$10,MATCH(F1687,Catalogo_Causas!$A$2:$A$10,0))</f>
        <v>Limpieza no programada (CIP)</v>
      </c>
      <c r="H1687" s="6" t="str">
        <f aca="false">INDEX(Catalogo_Causas!$C$2:$C$10,MATCH(F1687,Catalogo_Causas!$A$2:$A$10,0))</f>
        <v>Calidad</v>
      </c>
      <c r="I1687" s="5" t="n">
        <v>13</v>
      </c>
      <c r="J1687" s="29" t="n">
        <f aca="false">I1687/60</f>
        <v>0.216666666666667</v>
      </c>
    </row>
    <row r="1688" customFormat="false" ht="15" hidden="false" customHeight="false" outlineLevel="0" collapsed="false">
      <c r="A1688" s="5" t="s">
        <v>2730</v>
      </c>
      <c r="B1688" s="9" t="n">
        <v>46104</v>
      </c>
      <c r="C1688" s="9" t="n">
        <v>46106</v>
      </c>
      <c r="D1688" s="5" t="s">
        <v>144</v>
      </c>
      <c r="E1688" s="5" t="s">
        <v>1030</v>
      </c>
      <c r="F1688" s="5" t="s">
        <v>1007</v>
      </c>
      <c r="G1688" s="6" t="str">
        <f aca="false">INDEX(Catalogo_Causas!$B$2:$B$10,MATCH(F1688,Catalogo_Causas!$A$2:$A$10,0))</f>
        <v>Cambio de formato excedido</v>
      </c>
      <c r="H1688" s="6" t="str">
        <f aca="false">INDEX(Catalogo_Causas!$C$2:$C$10,MATCH(F1688,Catalogo_Causas!$A$2:$A$10,0))</f>
        <v>Operacional</v>
      </c>
      <c r="I1688" s="5" t="n">
        <v>78</v>
      </c>
      <c r="J1688" s="29" t="n">
        <f aca="false">I1688/60</f>
        <v>1.3</v>
      </c>
    </row>
    <row r="1689" customFormat="false" ht="15" hidden="false" customHeight="false" outlineLevel="0" collapsed="false">
      <c r="A1689" s="5" t="s">
        <v>2731</v>
      </c>
      <c r="B1689" s="9" t="n">
        <v>46104</v>
      </c>
      <c r="C1689" s="9" t="n">
        <v>46107</v>
      </c>
      <c r="D1689" s="5" t="s">
        <v>130</v>
      </c>
      <c r="E1689" s="5" t="s">
        <v>1078</v>
      </c>
      <c r="F1689" s="5" t="s">
        <v>1021</v>
      </c>
      <c r="G1689" s="6" t="str">
        <f aca="false">INDEX(Catalogo_Causas!$B$2:$B$10,MATCH(F1689,Catalogo_Causas!$A$2:$A$10,0))</f>
        <v>Falla de servicios (vapor/amoniaco/aire)</v>
      </c>
      <c r="H1689" s="6" t="str">
        <f aca="false">INDEX(Catalogo_Causas!$C$2:$C$10,MATCH(F1689,Catalogo_Causas!$A$2:$A$10,0))</f>
        <v>Servicios</v>
      </c>
      <c r="I1689" s="5" t="n">
        <v>29</v>
      </c>
      <c r="J1689" s="29" t="n">
        <f aca="false">I1689/60</f>
        <v>0.483333333333333</v>
      </c>
    </row>
    <row r="1690" customFormat="false" ht="15" hidden="false" customHeight="false" outlineLevel="0" collapsed="false">
      <c r="A1690" s="5" t="s">
        <v>2732</v>
      </c>
      <c r="B1690" s="9" t="n">
        <v>46104</v>
      </c>
      <c r="C1690" s="9" t="n">
        <v>46107</v>
      </c>
      <c r="D1690" s="5" t="s">
        <v>132</v>
      </c>
      <c r="E1690" s="5" t="s">
        <v>1084</v>
      </c>
      <c r="F1690" s="5" t="s">
        <v>1002</v>
      </c>
      <c r="G1690" s="6" t="str">
        <f aca="false">INDEX(Catalogo_Causas!$B$2:$B$10,MATCH(F1690,Catalogo_Causas!$A$2:$A$10,0))</f>
        <v>Falla mecánica</v>
      </c>
      <c r="H1690" s="6" t="str">
        <f aca="false">INDEX(Catalogo_Causas!$C$2:$C$10,MATCH(F1690,Catalogo_Causas!$A$2:$A$10,0))</f>
        <v>Operacional</v>
      </c>
      <c r="I1690" s="5" t="n">
        <v>47</v>
      </c>
      <c r="J1690" s="29" t="n">
        <f aca="false">I1690/60</f>
        <v>0.783333333333333</v>
      </c>
    </row>
    <row r="1691" customFormat="false" ht="15" hidden="false" customHeight="false" outlineLevel="0" collapsed="false">
      <c r="A1691" s="5" t="s">
        <v>2733</v>
      </c>
      <c r="B1691" s="9" t="n">
        <v>46104</v>
      </c>
      <c r="C1691" s="9" t="n">
        <v>46107</v>
      </c>
      <c r="D1691" s="5" t="s">
        <v>144</v>
      </c>
      <c r="E1691" s="5" t="s">
        <v>1032</v>
      </c>
      <c r="F1691" s="5" t="s">
        <v>1002</v>
      </c>
      <c r="G1691" s="6" t="str">
        <f aca="false">INDEX(Catalogo_Causas!$B$2:$B$10,MATCH(F1691,Catalogo_Causas!$A$2:$A$10,0))</f>
        <v>Falla mecánica</v>
      </c>
      <c r="H1691" s="6" t="str">
        <f aca="false">INDEX(Catalogo_Causas!$C$2:$C$10,MATCH(F1691,Catalogo_Causas!$A$2:$A$10,0))</f>
        <v>Operacional</v>
      </c>
      <c r="I1691" s="5" t="n">
        <v>60</v>
      </c>
      <c r="J1691" s="29" t="n">
        <f aca="false">I1691/60</f>
        <v>1</v>
      </c>
    </row>
    <row r="1692" customFormat="false" ht="15" hidden="false" customHeight="false" outlineLevel="0" collapsed="false">
      <c r="A1692" s="5" t="s">
        <v>2734</v>
      </c>
      <c r="B1692" s="9" t="n">
        <v>46104</v>
      </c>
      <c r="C1692" s="9" t="n">
        <v>46108</v>
      </c>
      <c r="D1692" s="5" t="s">
        <v>130</v>
      </c>
      <c r="E1692" s="5" t="s">
        <v>1045</v>
      </c>
      <c r="F1692" s="5" t="s">
        <v>1002</v>
      </c>
      <c r="G1692" s="6" t="str">
        <f aca="false">INDEX(Catalogo_Causas!$B$2:$B$10,MATCH(F1692,Catalogo_Causas!$A$2:$A$10,0))</f>
        <v>Falla mecánica</v>
      </c>
      <c r="H1692" s="6" t="str">
        <f aca="false">INDEX(Catalogo_Causas!$C$2:$C$10,MATCH(F1692,Catalogo_Causas!$A$2:$A$10,0))</f>
        <v>Operacional</v>
      </c>
      <c r="I1692" s="5" t="n">
        <v>46</v>
      </c>
      <c r="J1692" s="29" t="n">
        <f aca="false">I1692/60</f>
        <v>0.766666666666667</v>
      </c>
    </row>
    <row r="1693" customFormat="false" ht="15" hidden="false" customHeight="false" outlineLevel="0" collapsed="false">
      <c r="A1693" s="5" t="s">
        <v>2735</v>
      </c>
      <c r="B1693" s="9" t="n">
        <v>46104</v>
      </c>
      <c r="C1693" s="9" t="n">
        <v>46108</v>
      </c>
      <c r="D1693" s="5" t="s">
        <v>132</v>
      </c>
      <c r="E1693" s="5" t="s">
        <v>1073</v>
      </c>
      <c r="F1693" s="5" t="s">
        <v>1021</v>
      </c>
      <c r="G1693" s="6" t="str">
        <f aca="false">INDEX(Catalogo_Causas!$B$2:$B$10,MATCH(F1693,Catalogo_Causas!$A$2:$A$10,0))</f>
        <v>Falla de servicios (vapor/amoniaco/aire)</v>
      </c>
      <c r="H1693" s="6" t="str">
        <f aca="false">INDEX(Catalogo_Causas!$C$2:$C$10,MATCH(F1693,Catalogo_Causas!$A$2:$A$10,0))</f>
        <v>Servicios</v>
      </c>
      <c r="I1693" s="5" t="n">
        <v>36</v>
      </c>
      <c r="J1693" s="29" t="n">
        <f aca="false">I1693/60</f>
        <v>0.6</v>
      </c>
    </row>
    <row r="1694" customFormat="false" ht="15" hidden="false" customHeight="false" outlineLevel="0" collapsed="false">
      <c r="A1694" s="5" t="s">
        <v>2736</v>
      </c>
      <c r="B1694" s="9" t="n">
        <v>46104</v>
      </c>
      <c r="C1694" s="9" t="n">
        <v>46108</v>
      </c>
      <c r="D1694" s="5" t="s">
        <v>134</v>
      </c>
      <c r="E1694" s="5" t="s">
        <v>1032</v>
      </c>
      <c r="F1694" s="5" t="s">
        <v>1021</v>
      </c>
      <c r="G1694" s="6" t="str">
        <f aca="false">INDEX(Catalogo_Causas!$B$2:$B$10,MATCH(F1694,Catalogo_Causas!$A$2:$A$10,0))</f>
        <v>Falla de servicios (vapor/amoniaco/aire)</v>
      </c>
      <c r="H1694" s="6" t="str">
        <f aca="false">INDEX(Catalogo_Causas!$C$2:$C$10,MATCH(F1694,Catalogo_Causas!$A$2:$A$10,0))</f>
        <v>Servicios</v>
      </c>
      <c r="I1694" s="5" t="n">
        <v>104</v>
      </c>
      <c r="J1694" s="29" t="n">
        <f aca="false">I1694/60</f>
        <v>1.73333333333333</v>
      </c>
    </row>
    <row r="1695" customFormat="false" ht="15" hidden="false" customHeight="false" outlineLevel="0" collapsed="false">
      <c r="A1695" s="5" t="s">
        <v>2737</v>
      </c>
      <c r="B1695" s="9" t="n">
        <v>46104</v>
      </c>
      <c r="C1695" s="9" t="n">
        <v>46108</v>
      </c>
      <c r="D1695" s="5" t="s">
        <v>136</v>
      </c>
      <c r="E1695" s="5" t="s">
        <v>1101</v>
      </c>
      <c r="F1695" s="5" t="s">
        <v>1007</v>
      </c>
      <c r="G1695" s="6" t="str">
        <f aca="false">INDEX(Catalogo_Causas!$B$2:$B$10,MATCH(F1695,Catalogo_Causas!$A$2:$A$10,0))</f>
        <v>Cambio de formato excedido</v>
      </c>
      <c r="H1695" s="6" t="str">
        <f aca="false">INDEX(Catalogo_Causas!$C$2:$C$10,MATCH(F1695,Catalogo_Causas!$A$2:$A$10,0))</f>
        <v>Operacional</v>
      </c>
      <c r="I1695" s="5" t="n">
        <v>73</v>
      </c>
      <c r="J1695" s="29" t="n">
        <f aca="false">I1695/60</f>
        <v>1.21666666666667</v>
      </c>
    </row>
    <row r="1696" customFormat="false" ht="15" hidden="false" customHeight="false" outlineLevel="0" collapsed="false">
      <c r="A1696" s="5" t="s">
        <v>2738</v>
      </c>
      <c r="B1696" s="9" t="n">
        <v>46104</v>
      </c>
      <c r="C1696" s="9" t="n">
        <v>46108</v>
      </c>
      <c r="D1696" s="5" t="s">
        <v>138</v>
      </c>
      <c r="E1696" s="5" t="s">
        <v>1034</v>
      </c>
      <c r="F1696" s="5" t="s">
        <v>1021</v>
      </c>
      <c r="G1696" s="6" t="str">
        <f aca="false">INDEX(Catalogo_Causas!$B$2:$B$10,MATCH(F1696,Catalogo_Causas!$A$2:$A$10,0))</f>
        <v>Falla de servicios (vapor/amoniaco/aire)</v>
      </c>
      <c r="H1696" s="6" t="str">
        <f aca="false">INDEX(Catalogo_Causas!$C$2:$C$10,MATCH(F1696,Catalogo_Causas!$A$2:$A$10,0))</f>
        <v>Servicios</v>
      </c>
      <c r="I1696" s="5" t="n">
        <v>18</v>
      </c>
      <c r="J1696" s="29" t="n">
        <f aca="false">I1696/60</f>
        <v>0.3</v>
      </c>
    </row>
    <row r="1697" customFormat="false" ht="15" hidden="false" customHeight="false" outlineLevel="0" collapsed="false">
      <c r="A1697" s="5" t="s">
        <v>2739</v>
      </c>
      <c r="B1697" s="9" t="n">
        <v>46104</v>
      </c>
      <c r="C1697" s="9" t="n">
        <v>46108</v>
      </c>
      <c r="D1697" s="5" t="s">
        <v>142</v>
      </c>
      <c r="E1697" s="5" t="s">
        <v>1030</v>
      </c>
      <c r="F1697" s="5" t="s">
        <v>1012</v>
      </c>
      <c r="G1697" s="6" t="str">
        <f aca="false">INDEX(Catalogo_Causas!$B$2:$B$10,MATCH(F1697,Catalogo_Causas!$A$2:$A$10,0))</f>
        <v>Falta de materia prima</v>
      </c>
      <c r="H1697" s="6" t="str">
        <f aca="false">INDEX(Catalogo_Causas!$C$2:$C$10,MATCH(F1697,Catalogo_Causas!$A$2:$A$10,0))</f>
        <v>Material / suministro</v>
      </c>
      <c r="I1697" s="5" t="n">
        <v>41</v>
      </c>
      <c r="J1697" s="29" t="n">
        <f aca="false">I1697/60</f>
        <v>0.683333333333333</v>
      </c>
    </row>
    <row r="1698" customFormat="false" ht="15" hidden="false" customHeight="false" outlineLevel="0" collapsed="false">
      <c r="A1698" s="5" t="s">
        <v>2740</v>
      </c>
      <c r="B1698" s="9" t="n">
        <v>46104</v>
      </c>
      <c r="C1698" s="9" t="n">
        <v>46108</v>
      </c>
      <c r="D1698" s="5" t="s">
        <v>144</v>
      </c>
      <c r="E1698" s="5" t="s">
        <v>1030</v>
      </c>
      <c r="F1698" s="5" t="s">
        <v>1002</v>
      </c>
      <c r="G1698" s="6" t="str">
        <f aca="false">INDEX(Catalogo_Causas!$B$2:$B$10,MATCH(F1698,Catalogo_Causas!$A$2:$A$10,0))</f>
        <v>Falla mecánica</v>
      </c>
      <c r="H1698" s="6" t="str">
        <f aca="false">INDEX(Catalogo_Causas!$C$2:$C$10,MATCH(F1698,Catalogo_Causas!$A$2:$A$10,0))</f>
        <v>Operacional</v>
      </c>
      <c r="I1698" s="5" t="n">
        <v>43</v>
      </c>
      <c r="J1698" s="29" t="n">
        <f aca="false">I1698/60</f>
        <v>0.716666666666667</v>
      </c>
    </row>
    <row r="1699" customFormat="false" ht="15" hidden="false" customHeight="false" outlineLevel="0" collapsed="false">
      <c r="A1699" s="5" t="s">
        <v>2741</v>
      </c>
      <c r="B1699" s="9" t="n">
        <v>46104</v>
      </c>
      <c r="C1699" s="9" t="n">
        <v>46109</v>
      </c>
      <c r="D1699" s="5" t="s">
        <v>136</v>
      </c>
      <c r="E1699" s="5" t="s">
        <v>1051</v>
      </c>
      <c r="F1699" s="5" t="s">
        <v>1002</v>
      </c>
      <c r="G1699" s="6" t="str">
        <f aca="false">INDEX(Catalogo_Causas!$B$2:$B$10,MATCH(F1699,Catalogo_Causas!$A$2:$A$10,0))</f>
        <v>Falla mecánica</v>
      </c>
      <c r="H1699" s="6" t="str">
        <f aca="false">INDEX(Catalogo_Causas!$C$2:$C$10,MATCH(F1699,Catalogo_Causas!$A$2:$A$10,0))</f>
        <v>Operacional</v>
      </c>
      <c r="I1699" s="5" t="n">
        <v>50</v>
      </c>
      <c r="J1699" s="29" t="n">
        <f aca="false">I1699/60</f>
        <v>0.833333333333333</v>
      </c>
    </row>
    <row r="1700" customFormat="false" ht="15" hidden="false" customHeight="false" outlineLevel="0" collapsed="false">
      <c r="A1700" s="5" t="s">
        <v>2742</v>
      </c>
      <c r="B1700" s="9" t="n">
        <v>46104</v>
      </c>
      <c r="C1700" s="9" t="n">
        <v>46109</v>
      </c>
      <c r="D1700" s="5" t="s">
        <v>140</v>
      </c>
      <c r="E1700" s="5" t="s">
        <v>1045</v>
      </c>
      <c r="F1700" s="5" t="s">
        <v>1012</v>
      </c>
      <c r="G1700" s="6" t="str">
        <f aca="false">INDEX(Catalogo_Causas!$B$2:$B$10,MATCH(F1700,Catalogo_Causas!$A$2:$A$10,0))</f>
        <v>Falta de materia prima</v>
      </c>
      <c r="H1700" s="6" t="str">
        <f aca="false">INDEX(Catalogo_Causas!$C$2:$C$10,MATCH(F1700,Catalogo_Causas!$A$2:$A$10,0))</f>
        <v>Material / suministro</v>
      </c>
      <c r="I1700" s="5" t="n">
        <v>21</v>
      </c>
      <c r="J1700" s="29" t="n">
        <f aca="false">I1700/60</f>
        <v>0.35</v>
      </c>
    </row>
    <row r="1701" customFormat="false" ht="15" hidden="false" customHeight="false" outlineLevel="0" collapsed="false">
      <c r="A1701" s="5" t="s">
        <v>2743</v>
      </c>
      <c r="B1701" s="9" t="n">
        <v>46104</v>
      </c>
      <c r="C1701" s="9" t="n">
        <v>46109</v>
      </c>
      <c r="D1701" s="5" t="s">
        <v>140</v>
      </c>
      <c r="E1701" s="5" t="s">
        <v>1045</v>
      </c>
      <c r="F1701" s="5" t="s">
        <v>1005</v>
      </c>
      <c r="G1701" s="6" t="str">
        <f aca="false">INDEX(Catalogo_Causas!$B$2:$B$10,MATCH(F1701,Catalogo_Causas!$A$2:$A$10,0))</f>
        <v>Falla eléctrica / control</v>
      </c>
      <c r="H1701" s="6" t="str">
        <f aca="false">INDEX(Catalogo_Causas!$C$2:$C$10,MATCH(F1701,Catalogo_Causas!$A$2:$A$10,0))</f>
        <v>Operacional</v>
      </c>
      <c r="I1701" s="5" t="n">
        <v>76</v>
      </c>
      <c r="J1701" s="29" t="n">
        <f aca="false">I1701/60</f>
        <v>1.26666666666667</v>
      </c>
    </row>
    <row r="1702" customFormat="false" ht="15" hidden="false" customHeight="false" outlineLevel="0" collapsed="false">
      <c r="A1702" s="5" t="s">
        <v>2744</v>
      </c>
      <c r="B1702" s="9" t="n">
        <v>46111</v>
      </c>
      <c r="C1702" s="9" t="n">
        <v>46111</v>
      </c>
      <c r="D1702" s="5" t="s">
        <v>138</v>
      </c>
      <c r="E1702" s="5" t="s">
        <v>1034</v>
      </c>
      <c r="F1702" s="5" t="s">
        <v>1002</v>
      </c>
      <c r="G1702" s="6" t="str">
        <f aca="false">INDEX(Catalogo_Causas!$B$2:$B$10,MATCH(F1702,Catalogo_Causas!$A$2:$A$10,0))</f>
        <v>Falla mecánica</v>
      </c>
      <c r="H1702" s="6" t="str">
        <f aca="false">INDEX(Catalogo_Causas!$C$2:$C$10,MATCH(F1702,Catalogo_Causas!$A$2:$A$10,0))</f>
        <v>Operacional</v>
      </c>
      <c r="I1702" s="5" t="n">
        <v>69</v>
      </c>
      <c r="J1702" s="29" t="n">
        <f aca="false">I1702/60</f>
        <v>1.15</v>
      </c>
    </row>
    <row r="1703" customFormat="false" ht="15" hidden="false" customHeight="false" outlineLevel="0" collapsed="false">
      <c r="A1703" s="5" t="s">
        <v>2745</v>
      </c>
      <c r="B1703" s="9" t="n">
        <v>46111</v>
      </c>
      <c r="C1703" s="9" t="n">
        <v>46112</v>
      </c>
      <c r="D1703" s="5" t="s">
        <v>130</v>
      </c>
      <c r="E1703" s="5" t="s">
        <v>1045</v>
      </c>
      <c r="F1703" s="5" t="s">
        <v>1002</v>
      </c>
      <c r="G1703" s="6" t="str">
        <f aca="false">INDEX(Catalogo_Causas!$B$2:$B$10,MATCH(F1703,Catalogo_Causas!$A$2:$A$10,0))</f>
        <v>Falla mecánica</v>
      </c>
      <c r="H1703" s="6" t="str">
        <f aca="false">INDEX(Catalogo_Causas!$C$2:$C$10,MATCH(F1703,Catalogo_Causas!$A$2:$A$10,0))</f>
        <v>Operacional</v>
      </c>
      <c r="I1703" s="5" t="n">
        <v>46</v>
      </c>
      <c r="J1703" s="29" t="n">
        <f aca="false">I1703/60</f>
        <v>0.766666666666667</v>
      </c>
    </row>
    <row r="1704" customFormat="false" ht="15" hidden="false" customHeight="false" outlineLevel="0" collapsed="false">
      <c r="A1704" s="5" t="s">
        <v>2746</v>
      </c>
      <c r="B1704" s="9" t="n">
        <v>46111</v>
      </c>
      <c r="C1704" s="9" t="n">
        <v>46112</v>
      </c>
      <c r="D1704" s="5" t="s">
        <v>132</v>
      </c>
      <c r="E1704" s="5" t="s">
        <v>1073</v>
      </c>
      <c r="F1704" s="5" t="s">
        <v>1002</v>
      </c>
      <c r="G1704" s="6" t="str">
        <f aca="false">INDEX(Catalogo_Causas!$B$2:$B$10,MATCH(F1704,Catalogo_Causas!$A$2:$A$10,0))</f>
        <v>Falla mecánica</v>
      </c>
      <c r="H1704" s="6" t="str">
        <f aca="false">INDEX(Catalogo_Causas!$C$2:$C$10,MATCH(F1704,Catalogo_Causas!$A$2:$A$10,0))</f>
        <v>Operacional</v>
      </c>
      <c r="I1704" s="5" t="n">
        <v>66</v>
      </c>
      <c r="J1704" s="29" t="n">
        <f aca="false">I1704/60</f>
        <v>1.1</v>
      </c>
    </row>
    <row r="1705" customFormat="false" ht="15" hidden="false" customHeight="false" outlineLevel="0" collapsed="false">
      <c r="A1705" s="5" t="s">
        <v>2747</v>
      </c>
      <c r="B1705" s="9" t="n">
        <v>46111</v>
      </c>
      <c r="C1705" s="9" t="n">
        <v>46112</v>
      </c>
      <c r="D1705" s="5" t="s">
        <v>138</v>
      </c>
      <c r="E1705" s="5" t="s">
        <v>1034</v>
      </c>
      <c r="F1705" s="5" t="s">
        <v>1016</v>
      </c>
      <c r="G1705" s="6" t="str">
        <f aca="false">INDEX(Catalogo_Causas!$B$2:$B$10,MATCH(F1705,Catalogo_Causas!$A$2:$A$10,0))</f>
        <v>Limpieza no programada (CIP)</v>
      </c>
      <c r="H1705" s="6" t="str">
        <f aca="false">INDEX(Catalogo_Causas!$C$2:$C$10,MATCH(F1705,Catalogo_Causas!$A$2:$A$10,0))</f>
        <v>Calidad</v>
      </c>
      <c r="I1705" s="5" t="n">
        <v>38</v>
      </c>
      <c r="J1705" s="29" t="n">
        <f aca="false">I1705/60</f>
        <v>0.633333333333333</v>
      </c>
    </row>
    <row r="1706" customFormat="false" ht="15" hidden="false" customHeight="false" outlineLevel="0" collapsed="false">
      <c r="A1706" s="5" t="s">
        <v>2748</v>
      </c>
      <c r="B1706" s="9" t="n">
        <v>46111</v>
      </c>
      <c r="C1706" s="9" t="n">
        <v>46112</v>
      </c>
      <c r="D1706" s="5" t="s">
        <v>140</v>
      </c>
      <c r="E1706" s="5" t="s">
        <v>1032</v>
      </c>
      <c r="F1706" s="5" t="s">
        <v>1002</v>
      </c>
      <c r="G1706" s="6" t="str">
        <f aca="false">INDEX(Catalogo_Causas!$B$2:$B$10,MATCH(F1706,Catalogo_Causas!$A$2:$A$10,0))</f>
        <v>Falla mecánica</v>
      </c>
      <c r="H1706" s="6" t="str">
        <f aca="false">INDEX(Catalogo_Causas!$C$2:$C$10,MATCH(F1706,Catalogo_Causas!$A$2:$A$10,0))</f>
        <v>Operacional</v>
      </c>
      <c r="I1706" s="5" t="n">
        <v>27</v>
      </c>
      <c r="J1706" s="29" t="n">
        <f aca="false">I1706/60</f>
        <v>0.45</v>
      </c>
    </row>
    <row r="1707" customFormat="false" ht="15" hidden="false" customHeight="false" outlineLevel="0" collapsed="false">
      <c r="A1707" s="5" t="s">
        <v>2749</v>
      </c>
      <c r="B1707" s="9" t="n">
        <v>46111</v>
      </c>
      <c r="C1707" s="9" t="n">
        <v>46112</v>
      </c>
      <c r="D1707" s="5" t="s">
        <v>142</v>
      </c>
      <c r="E1707" s="5" t="s">
        <v>1030</v>
      </c>
      <c r="F1707" s="5" t="s">
        <v>1009</v>
      </c>
      <c r="G1707" s="6" t="str">
        <f aca="false">INDEX(Catalogo_Causas!$B$2:$B$10,MATCH(F1707,Catalogo_Causas!$A$2:$A$10,0))</f>
        <v>Falta de material de empaque</v>
      </c>
      <c r="H1707" s="6" t="str">
        <f aca="false">INDEX(Catalogo_Causas!$C$2:$C$10,MATCH(F1707,Catalogo_Causas!$A$2:$A$10,0))</f>
        <v>Material / suministro</v>
      </c>
      <c r="I1707" s="5" t="n">
        <v>139</v>
      </c>
      <c r="J1707" s="29" t="n">
        <f aca="false">I1707/60</f>
        <v>2.31666666666667</v>
      </c>
    </row>
    <row r="1708" customFormat="false" ht="15" hidden="false" customHeight="false" outlineLevel="0" collapsed="false">
      <c r="A1708" s="5" t="s">
        <v>2750</v>
      </c>
      <c r="B1708" s="9" t="n">
        <v>46111</v>
      </c>
      <c r="C1708" s="9" t="n">
        <v>46113</v>
      </c>
      <c r="D1708" s="5" t="s">
        <v>138</v>
      </c>
      <c r="E1708" s="5" t="s">
        <v>1039</v>
      </c>
      <c r="F1708" s="5" t="s">
        <v>1005</v>
      </c>
      <c r="G1708" s="6" t="str">
        <f aca="false">INDEX(Catalogo_Causas!$B$2:$B$10,MATCH(F1708,Catalogo_Causas!$A$2:$A$10,0))</f>
        <v>Falla eléctrica / control</v>
      </c>
      <c r="H1708" s="6" t="str">
        <f aca="false">INDEX(Catalogo_Causas!$C$2:$C$10,MATCH(F1708,Catalogo_Causas!$A$2:$A$10,0))</f>
        <v>Operacional</v>
      </c>
      <c r="I1708" s="5" t="n">
        <v>26</v>
      </c>
      <c r="J1708" s="29" t="n">
        <f aca="false">I1708/60</f>
        <v>0.433333333333333</v>
      </c>
    </row>
    <row r="1709" customFormat="false" ht="15" hidden="false" customHeight="false" outlineLevel="0" collapsed="false">
      <c r="A1709" s="5" t="s">
        <v>2751</v>
      </c>
      <c r="B1709" s="9" t="n">
        <v>46111</v>
      </c>
      <c r="C1709" s="9" t="n">
        <v>46113</v>
      </c>
      <c r="D1709" s="5" t="s">
        <v>138</v>
      </c>
      <c r="E1709" s="5" t="s">
        <v>1034</v>
      </c>
      <c r="F1709" s="5" t="s">
        <v>1002</v>
      </c>
      <c r="G1709" s="6" t="str">
        <f aca="false">INDEX(Catalogo_Causas!$B$2:$B$10,MATCH(F1709,Catalogo_Causas!$A$2:$A$10,0))</f>
        <v>Falla mecánica</v>
      </c>
      <c r="H1709" s="6" t="str">
        <f aca="false">INDEX(Catalogo_Causas!$C$2:$C$10,MATCH(F1709,Catalogo_Causas!$A$2:$A$10,0))</f>
        <v>Operacional</v>
      </c>
      <c r="I1709" s="5" t="n">
        <v>13</v>
      </c>
      <c r="J1709" s="29" t="n">
        <f aca="false">I1709/60</f>
        <v>0.216666666666667</v>
      </c>
    </row>
    <row r="1710" customFormat="false" ht="15" hidden="false" customHeight="false" outlineLevel="0" collapsed="false">
      <c r="A1710" s="5" t="s">
        <v>2752</v>
      </c>
      <c r="B1710" s="9" t="n">
        <v>46111</v>
      </c>
      <c r="C1710" s="9" t="n">
        <v>46113</v>
      </c>
      <c r="D1710" s="5" t="s">
        <v>138</v>
      </c>
      <c r="E1710" s="5" t="s">
        <v>1034</v>
      </c>
      <c r="F1710" s="5" t="s">
        <v>1002</v>
      </c>
      <c r="G1710" s="6" t="str">
        <f aca="false">INDEX(Catalogo_Causas!$B$2:$B$10,MATCH(F1710,Catalogo_Causas!$A$2:$A$10,0))</f>
        <v>Falla mecánica</v>
      </c>
      <c r="H1710" s="6" t="str">
        <f aca="false">INDEX(Catalogo_Causas!$C$2:$C$10,MATCH(F1710,Catalogo_Causas!$A$2:$A$10,0))</f>
        <v>Operacional</v>
      </c>
      <c r="I1710" s="5" t="n">
        <v>33</v>
      </c>
      <c r="J1710" s="29" t="n">
        <f aca="false">I1710/60</f>
        <v>0.55</v>
      </c>
    </row>
    <row r="1711" customFormat="false" ht="15" hidden="false" customHeight="false" outlineLevel="0" collapsed="false">
      <c r="A1711" s="5" t="s">
        <v>2753</v>
      </c>
      <c r="B1711" s="9" t="n">
        <v>46111</v>
      </c>
      <c r="C1711" s="9" t="n">
        <v>46113</v>
      </c>
      <c r="D1711" s="5" t="s">
        <v>142</v>
      </c>
      <c r="E1711" s="5" t="s">
        <v>1041</v>
      </c>
      <c r="F1711" s="5" t="s">
        <v>1018</v>
      </c>
      <c r="G1711" s="6" t="str">
        <f aca="false">INDEX(Catalogo_Causas!$B$2:$B$10,MATCH(F1711,Catalogo_Causas!$A$2:$A$10,0))</f>
        <v>Falta de personal</v>
      </c>
      <c r="H1711" s="6" t="str">
        <f aca="false">INDEX(Catalogo_Causas!$C$2:$C$10,MATCH(F1711,Catalogo_Causas!$A$2:$A$10,0))</f>
        <v>Personal</v>
      </c>
      <c r="I1711" s="5" t="n">
        <v>87</v>
      </c>
      <c r="J1711" s="29" t="n">
        <f aca="false">I1711/60</f>
        <v>1.45</v>
      </c>
    </row>
    <row r="1712" customFormat="false" ht="15" hidden="false" customHeight="false" outlineLevel="0" collapsed="false">
      <c r="A1712" s="5" t="s">
        <v>2754</v>
      </c>
      <c r="B1712" s="9" t="n">
        <v>46111</v>
      </c>
      <c r="C1712" s="9" t="n">
        <v>46114</v>
      </c>
      <c r="D1712" s="5" t="s">
        <v>130</v>
      </c>
      <c r="E1712" s="5" t="s">
        <v>1030</v>
      </c>
      <c r="F1712" s="5" t="s">
        <v>1018</v>
      </c>
      <c r="G1712" s="6" t="str">
        <f aca="false">INDEX(Catalogo_Causas!$B$2:$B$10,MATCH(F1712,Catalogo_Causas!$A$2:$A$10,0))</f>
        <v>Falta de personal</v>
      </c>
      <c r="H1712" s="6" t="str">
        <f aca="false">INDEX(Catalogo_Causas!$C$2:$C$10,MATCH(F1712,Catalogo_Causas!$A$2:$A$10,0))</f>
        <v>Personal</v>
      </c>
      <c r="I1712" s="5" t="n">
        <v>26</v>
      </c>
      <c r="J1712" s="29" t="n">
        <f aca="false">I1712/60</f>
        <v>0.433333333333333</v>
      </c>
    </row>
    <row r="1713" customFormat="false" ht="15" hidden="false" customHeight="false" outlineLevel="0" collapsed="false">
      <c r="A1713" s="5" t="s">
        <v>2755</v>
      </c>
      <c r="B1713" s="9" t="n">
        <v>46111</v>
      </c>
      <c r="C1713" s="9" t="n">
        <v>46114</v>
      </c>
      <c r="D1713" s="5" t="s">
        <v>132</v>
      </c>
      <c r="E1713" s="5" t="s">
        <v>1032</v>
      </c>
      <c r="F1713" s="5" t="s">
        <v>1002</v>
      </c>
      <c r="G1713" s="6" t="str">
        <f aca="false">INDEX(Catalogo_Causas!$B$2:$B$10,MATCH(F1713,Catalogo_Causas!$A$2:$A$10,0))</f>
        <v>Falla mecánica</v>
      </c>
      <c r="H1713" s="6" t="str">
        <f aca="false">INDEX(Catalogo_Causas!$C$2:$C$10,MATCH(F1713,Catalogo_Causas!$A$2:$A$10,0))</f>
        <v>Operacional</v>
      </c>
      <c r="I1713" s="5" t="n">
        <v>63</v>
      </c>
      <c r="J1713" s="29" t="n">
        <f aca="false">I1713/60</f>
        <v>1.05</v>
      </c>
    </row>
    <row r="1714" customFormat="false" ht="15" hidden="false" customHeight="false" outlineLevel="0" collapsed="false">
      <c r="A1714" s="5" t="s">
        <v>2756</v>
      </c>
      <c r="B1714" s="9" t="n">
        <v>46111</v>
      </c>
      <c r="C1714" s="9" t="n">
        <v>46114</v>
      </c>
      <c r="D1714" s="5" t="s">
        <v>132</v>
      </c>
      <c r="E1714" s="5" t="s">
        <v>1073</v>
      </c>
      <c r="F1714" s="5" t="s">
        <v>1018</v>
      </c>
      <c r="G1714" s="6" t="str">
        <f aca="false">INDEX(Catalogo_Causas!$B$2:$B$10,MATCH(F1714,Catalogo_Causas!$A$2:$A$10,0))</f>
        <v>Falta de personal</v>
      </c>
      <c r="H1714" s="6" t="str">
        <f aca="false">INDEX(Catalogo_Causas!$C$2:$C$10,MATCH(F1714,Catalogo_Causas!$A$2:$A$10,0))</f>
        <v>Personal</v>
      </c>
      <c r="I1714" s="5" t="n">
        <v>47</v>
      </c>
      <c r="J1714" s="29" t="n">
        <f aca="false">I1714/60</f>
        <v>0.783333333333333</v>
      </c>
    </row>
    <row r="1715" customFormat="false" ht="15" hidden="false" customHeight="false" outlineLevel="0" collapsed="false">
      <c r="A1715" s="5" t="s">
        <v>2757</v>
      </c>
      <c r="B1715" s="9" t="n">
        <v>46111</v>
      </c>
      <c r="C1715" s="9" t="n">
        <v>46114</v>
      </c>
      <c r="D1715" s="5" t="s">
        <v>134</v>
      </c>
      <c r="E1715" s="5" t="s">
        <v>1054</v>
      </c>
      <c r="F1715" s="5" t="s">
        <v>1002</v>
      </c>
      <c r="G1715" s="6" t="str">
        <f aca="false">INDEX(Catalogo_Causas!$B$2:$B$10,MATCH(F1715,Catalogo_Causas!$A$2:$A$10,0))</f>
        <v>Falla mecánica</v>
      </c>
      <c r="H1715" s="6" t="str">
        <f aca="false">INDEX(Catalogo_Causas!$C$2:$C$10,MATCH(F1715,Catalogo_Causas!$A$2:$A$10,0))</f>
        <v>Operacional</v>
      </c>
      <c r="I1715" s="5" t="n">
        <v>30</v>
      </c>
      <c r="J1715" s="29" t="n">
        <f aca="false">I1715/60</f>
        <v>0.5</v>
      </c>
    </row>
    <row r="1716" customFormat="false" ht="15" hidden="false" customHeight="false" outlineLevel="0" collapsed="false">
      <c r="A1716" s="5" t="s">
        <v>2758</v>
      </c>
      <c r="B1716" s="9" t="n">
        <v>46111</v>
      </c>
      <c r="C1716" s="9" t="n">
        <v>46114</v>
      </c>
      <c r="D1716" s="5" t="s">
        <v>136</v>
      </c>
      <c r="E1716" s="5" t="s">
        <v>1032</v>
      </c>
      <c r="F1716" s="5" t="s">
        <v>1018</v>
      </c>
      <c r="G1716" s="6" t="str">
        <f aca="false">INDEX(Catalogo_Causas!$B$2:$B$10,MATCH(F1716,Catalogo_Causas!$A$2:$A$10,0))</f>
        <v>Falta de personal</v>
      </c>
      <c r="H1716" s="6" t="str">
        <f aca="false">INDEX(Catalogo_Causas!$C$2:$C$10,MATCH(F1716,Catalogo_Causas!$A$2:$A$10,0))</f>
        <v>Personal</v>
      </c>
      <c r="I1716" s="5" t="n">
        <v>89</v>
      </c>
      <c r="J1716" s="29" t="n">
        <f aca="false">I1716/60</f>
        <v>1.48333333333333</v>
      </c>
    </row>
    <row r="1717" customFormat="false" ht="15" hidden="false" customHeight="false" outlineLevel="0" collapsed="false">
      <c r="A1717" s="5" t="s">
        <v>2759</v>
      </c>
      <c r="B1717" s="9" t="n">
        <v>46111</v>
      </c>
      <c r="C1717" s="9" t="n">
        <v>46114</v>
      </c>
      <c r="D1717" s="5" t="s">
        <v>138</v>
      </c>
      <c r="E1717" s="5" t="s">
        <v>1056</v>
      </c>
      <c r="F1717" s="5" t="s">
        <v>1002</v>
      </c>
      <c r="G1717" s="6" t="str">
        <f aca="false">INDEX(Catalogo_Causas!$B$2:$B$10,MATCH(F1717,Catalogo_Causas!$A$2:$A$10,0))</f>
        <v>Falla mecánica</v>
      </c>
      <c r="H1717" s="6" t="str">
        <f aca="false">INDEX(Catalogo_Causas!$C$2:$C$10,MATCH(F1717,Catalogo_Causas!$A$2:$A$10,0))</f>
        <v>Operacional</v>
      </c>
      <c r="I1717" s="5" t="n">
        <v>35</v>
      </c>
      <c r="J1717" s="29" t="n">
        <f aca="false">I1717/60</f>
        <v>0.583333333333333</v>
      </c>
    </row>
    <row r="1718" customFormat="false" ht="15" hidden="false" customHeight="false" outlineLevel="0" collapsed="false">
      <c r="A1718" s="5" t="s">
        <v>2760</v>
      </c>
      <c r="B1718" s="9" t="n">
        <v>46111</v>
      </c>
      <c r="C1718" s="9" t="n">
        <v>46114</v>
      </c>
      <c r="D1718" s="5" t="s">
        <v>138</v>
      </c>
      <c r="E1718" s="5" t="s">
        <v>1056</v>
      </c>
      <c r="F1718" s="5" t="s">
        <v>1009</v>
      </c>
      <c r="G1718" s="6" t="str">
        <f aca="false">INDEX(Catalogo_Causas!$B$2:$B$10,MATCH(F1718,Catalogo_Causas!$A$2:$A$10,0))</f>
        <v>Falta de material de empaque</v>
      </c>
      <c r="H1718" s="6" t="str">
        <f aca="false">INDEX(Catalogo_Causas!$C$2:$C$10,MATCH(F1718,Catalogo_Causas!$A$2:$A$10,0))</f>
        <v>Material / suministro</v>
      </c>
      <c r="I1718" s="5" t="n">
        <v>86</v>
      </c>
      <c r="J1718" s="29" t="n">
        <f aca="false">I1718/60</f>
        <v>1.43333333333333</v>
      </c>
    </row>
    <row r="1719" customFormat="false" ht="15" hidden="false" customHeight="false" outlineLevel="0" collapsed="false">
      <c r="A1719" s="5" t="s">
        <v>2761</v>
      </c>
      <c r="B1719" s="9" t="n">
        <v>46111</v>
      </c>
      <c r="C1719" s="9" t="n">
        <v>46115</v>
      </c>
      <c r="D1719" s="5" t="s">
        <v>132</v>
      </c>
      <c r="E1719" s="5" t="s">
        <v>1084</v>
      </c>
      <c r="F1719" s="5" t="s">
        <v>1007</v>
      </c>
      <c r="G1719" s="6" t="str">
        <f aca="false">INDEX(Catalogo_Causas!$B$2:$B$10,MATCH(F1719,Catalogo_Causas!$A$2:$A$10,0))</f>
        <v>Cambio de formato excedido</v>
      </c>
      <c r="H1719" s="6" t="str">
        <f aca="false">INDEX(Catalogo_Causas!$C$2:$C$10,MATCH(F1719,Catalogo_Causas!$A$2:$A$10,0))</f>
        <v>Operacional</v>
      </c>
      <c r="I1719" s="5" t="n">
        <v>94</v>
      </c>
      <c r="J1719" s="29" t="n">
        <f aca="false">I1719/60</f>
        <v>1.56666666666667</v>
      </c>
    </row>
    <row r="1720" customFormat="false" ht="15" hidden="false" customHeight="false" outlineLevel="0" collapsed="false">
      <c r="A1720" s="5" t="s">
        <v>2762</v>
      </c>
      <c r="B1720" s="9" t="n">
        <v>46111</v>
      </c>
      <c r="C1720" s="9" t="n">
        <v>46115</v>
      </c>
      <c r="D1720" s="5" t="s">
        <v>132</v>
      </c>
      <c r="E1720" s="5" t="s">
        <v>1084</v>
      </c>
      <c r="F1720" s="5" t="s">
        <v>1005</v>
      </c>
      <c r="G1720" s="6" t="str">
        <f aca="false">INDEX(Catalogo_Causas!$B$2:$B$10,MATCH(F1720,Catalogo_Causas!$A$2:$A$10,0))</f>
        <v>Falla eléctrica / control</v>
      </c>
      <c r="H1720" s="6" t="str">
        <f aca="false">INDEX(Catalogo_Causas!$C$2:$C$10,MATCH(F1720,Catalogo_Causas!$A$2:$A$10,0))</f>
        <v>Operacional</v>
      </c>
      <c r="I1720" s="5" t="n">
        <v>37</v>
      </c>
      <c r="J1720" s="29" t="n">
        <f aca="false">I1720/60</f>
        <v>0.616666666666667</v>
      </c>
    </row>
    <row r="1721" customFormat="false" ht="15" hidden="false" customHeight="false" outlineLevel="0" collapsed="false">
      <c r="A1721" s="5" t="s">
        <v>2763</v>
      </c>
      <c r="B1721" s="9" t="n">
        <v>46111</v>
      </c>
      <c r="C1721" s="9" t="n">
        <v>46115</v>
      </c>
      <c r="D1721" s="5" t="s">
        <v>134</v>
      </c>
      <c r="E1721" s="5" t="s">
        <v>1030</v>
      </c>
      <c r="F1721" s="5" t="s">
        <v>1002</v>
      </c>
      <c r="G1721" s="6" t="str">
        <f aca="false">INDEX(Catalogo_Causas!$B$2:$B$10,MATCH(F1721,Catalogo_Causas!$A$2:$A$10,0))</f>
        <v>Falla mecánica</v>
      </c>
      <c r="H1721" s="6" t="str">
        <f aca="false">INDEX(Catalogo_Causas!$C$2:$C$10,MATCH(F1721,Catalogo_Causas!$A$2:$A$10,0))</f>
        <v>Operacional</v>
      </c>
      <c r="I1721" s="5" t="n">
        <v>41</v>
      </c>
      <c r="J1721" s="29" t="n">
        <f aca="false">I1721/60</f>
        <v>0.683333333333333</v>
      </c>
    </row>
    <row r="1722" customFormat="false" ht="15" hidden="false" customHeight="false" outlineLevel="0" collapsed="false">
      <c r="A1722" s="5" t="s">
        <v>2764</v>
      </c>
      <c r="B1722" s="9" t="n">
        <v>46111</v>
      </c>
      <c r="C1722" s="9" t="n">
        <v>46116</v>
      </c>
      <c r="D1722" s="5" t="s">
        <v>138</v>
      </c>
      <c r="E1722" s="5" t="s">
        <v>1034</v>
      </c>
      <c r="F1722" s="5" t="s">
        <v>1012</v>
      </c>
      <c r="G1722" s="6" t="str">
        <f aca="false">INDEX(Catalogo_Causas!$B$2:$B$10,MATCH(F1722,Catalogo_Causas!$A$2:$A$10,0))</f>
        <v>Falta de materia prima</v>
      </c>
      <c r="H1722" s="6" t="str">
        <f aca="false">INDEX(Catalogo_Causas!$C$2:$C$10,MATCH(F1722,Catalogo_Causas!$A$2:$A$10,0))</f>
        <v>Material / suministro</v>
      </c>
      <c r="I1722" s="5" t="n">
        <v>28</v>
      </c>
      <c r="J1722" s="29" t="n">
        <f aca="false">I1722/60</f>
        <v>0.466666666666667</v>
      </c>
    </row>
    <row r="1723" customFormat="false" ht="15" hidden="false" customHeight="false" outlineLevel="0" collapsed="false">
      <c r="A1723" s="5" t="s">
        <v>2765</v>
      </c>
      <c r="B1723" s="9" t="n">
        <v>46111</v>
      </c>
      <c r="C1723" s="9" t="n">
        <v>46116</v>
      </c>
      <c r="D1723" s="5" t="s">
        <v>142</v>
      </c>
      <c r="E1723" s="5" t="s">
        <v>1041</v>
      </c>
      <c r="F1723" s="5" t="s">
        <v>1002</v>
      </c>
      <c r="G1723" s="6" t="str">
        <f aca="false">INDEX(Catalogo_Causas!$B$2:$B$10,MATCH(F1723,Catalogo_Causas!$A$2:$A$10,0))</f>
        <v>Falla mecánica</v>
      </c>
      <c r="H1723" s="6" t="str">
        <f aca="false">INDEX(Catalogo_Causas!$C$2:$C$10,MATCH(F1723,Catalogo_Causas!$A$2:$A$10,0))</f>
        <v>Operacional</v>
      </c>
      <c r="I1723" s="5" t="n">
        <v>135</v>
      </c>
      <c r="J1723" s="29" t="n">
        <f aca="false">I1723/60</f>
        <v>2.25</v>
      </c>
    </row>
    <row r="1724" customFormat="false" ht="15" hidden="false" customHeight="false" outlineLevel="0" collapsed="false">
      <c r="A1724" s="5" t="s">
        <v>2766</v>
      </c>
      <c r="B1724" s="9" t="n">
        <v>46118</v>
      </c>
      <c r="C1724" s="9" t="n">
        <v>46119</v>
      </c>
      <c r="D1724" s="5" t="s">
        <v>130</v>
      </c>
      <c r="E1724" s="5" t="s">
        <v>1045</v>
      </c>
      <c r="F1724" s="5" t="s">
        <v>1002</v>
      </c>
      <c r="G1724" s="6" t="str">
        <f aca="false">INDEX(Catalogo_Causas!$B$2:$B$10,MATCH(F1724,Catalogo_Causas!$A$2:$A$10,0))</f>
        <v>Falla mecánica</v>
      </c>
      <c r="H1724" s="6" t="str">
        <f aca="false">INDEX(Catalogo_Causas!$C$2:$C$10,MATCH(F1724,Catalogo_Causas!$A$2:$A$10,0))</f>
        <v>Operacional</v>
      </c>
      <c r="I1724" s="5" t="n">
        <v>47</v>
      </c>
      <c r="J1724" s="29" t="n">
        <f aca="false">I1724/60</f>
        <v>0.783333333333333</v>
      </c>
    </row>
    <row r="1725" customFormat="false" ht="15" hidden="false" customHeight="false" outlineLevel="0" collapsed="false">
      <c r="A1725" s="5" t="s">
        <v>2767</v>
      </c>
      <c r="B1725" s="9" t="n">
        <v>46118</v>
      </c>
      <c r="C1725" s="9" t="n">
        <v>46119</v>
      </c>
      <c r="D1725" s="5" t="s">
        <v>132</v>
      </c>
      <c r="E1725" s="5" t="s">
        <v>1032</v>
      </c>
      <c r="F1725" s="5" t="s">
        <v>1005</v>
      </c>
      <c r="G1725" s="6" t="str">
        <f aca="false">INDEX(Catalogo_Causas!$B$2:$B$10,MATCH(F1725,Catalogo_Causas!$A$2:$A$10,0))</f>
        <v>Falla eléctrica / control</v>
      </c>
      <c r="H1725" s="6" t="str">
        <f aca="false">INDEX(Catalogo_Causas!$C$2:$C$10,MATCH(F1725,Catalogo_Causas!$A$2:$A$10,0))</f>
        <v>Operacional</v>
      </c>
      <c r="I1725" s="5" t="n">
        <v>49</v>
      </c>
      <c r="J1725" s="29" t="n">
        <f aca="false">I1725/60</f>
        <v>0.816666666666667</v>
      </c>
    </row>
    <row r="1726" customFormat="false" ht="15" hidden="false" customHeight="false" outlineLevel="0" collapsed="false">
      <c r="A1726" s="5" t="s">
        <v>2768</v>
      </c>
      <c r="B1726" s="9" t="n">
        <v>46118</v>
      </c>
      <c r="C1726" s="9" t="n">
        <v>46119</v>
      </c>
      <c r="D1726" s="5" t="s">
        <v>132</v>
      </c>
      <c r="E1726" s="5" t="s">
        <v>1073</v>
      </c>
      <c r="F1726" s="5" t="s">
        <v>1002</v>
      </c>
      <c r="G1726" s="6" t="str">
        <f aca="false">INDEX(Catalogo_Causas!$B$2:$B$10,MATCH(F1726,Catalogo_Causas!$A$2:$A$10,0))</f>
        <v>Falla mecánica</v>
      </c>
      <c r="H1726" s="6" t="str">
        <f aca="false">INDEX(Catalogo_Causas!$C$2:$C$10,MATCH(F1726,Catalogo_Causas!$A$2:$A$10,0))</f>
        <v>Operacional</v>
      </c>
      <c r="I1726" s="5" t="n">
        <v>52</v>
      </c>
      <c r="J1726" s="29" t="n">
        <f aca="false">I1726/60</f>
        <v>0.866666666666667</v>
      </c>
    </row>
    <row r="1727" customFormat="false" ht="15" hidden="false" customHeight="false" outlineLevel="0" collapsed="false">
      <c r="A1727" s="5" t="s">
        <v>2769</v>
      </c>
      <c r="B1727" s="9" t="n">
        <v>46118</v>
      </c>
      <c r="C1727" s="9" t="n">
        <v>46119</v>
      </c>
      <c r="D1727" s="5" t="s">
        <v>136</v>
      </c>
      <c r="E1727" s="5" t="s">
        <v>1101</v>
      </c>
      <c r="F1727" s="5" t="s">
        <v>1005</v>
      </c>
      <c r="G1727" s="6" t="str">
        <f aca="false">INDEX(Catalogo_Causas!$B$2:$B$10,MATCH(F1727,Catalogo_Causas!$A$2:$A$10,0))</f>
        <v>Falla eléctrica / control</v>
      </c>
      <c r="H1727" s="6" t="str">
        <f aca="false">INDEX(Catalogo_Causas!$C$2:$C$10,MATCH(F1727,Catalogo_Causas!$A$2:$A$10,0))</f>
        <v>Operacional</v>
      </c>
      <c r="I1727" s="5" t="n">
        <v>61</v>
      </c>
      <c r="J1727" s="29" t="n">
        <f aca="false">I1727/60</f>
        <v>1.01666666666667</v>
      </c>
    </row>
    <row r="1728" customFormat="false" ht="15" hidden="false" customHeight="false" outlineLevel="0" collapsed="false">
      <c r="A1728" s="5" t="s">
        <v>2770</v>
      </c>
      <c r="B1728" s="9" t="n">
        <v>46118</v>
      </c>
      <c r="C1728" s="9" t="n">
        <v>46119</v>
      </c>
      <c r="D1728" s="5" t="s">
        <v>138</v>
      </c>
      <c r="E1728" s="5" t="s">
        <v>1056</v>
      </c>
      <c r="F1728" s="5" t="s">
        <v>1002</v>
      </c>
      <c r="G1728" s="6" t="str">
        <f aca="false">INDEX(Catalogo_Causas!$B$2:$B$10,MATCH(F1728,Catalogo_Causas!$A$2:$A$10,0))</f>
        <v>Falla mecánica</v>
      </c>
      <c r="H1728" s="6" t="str">
        <f aca="false">INDEX(Catalogo_Causas!$C$2:$C$10,MATCH(F1728,Catalogo_Causas!$A$2:$A$10,0))</f>
        <v>Operacional</v>
      </c>
      <c r="I1728" s="5" t="n">
        <v>71</v>
      </c>
      <c r="J1728" s="29" t="n">
        <f aca="false">I1728/60</f>
        <v>1.18333333333333</v>
      </c>
    </row>
    <row r="1729" customFormat="false" ht="15" hidden="false" customHeight="false" outlineLevel="0" collapsed="false">
      <c r="A1729" s="5" t="s">
        <v>2771</v>
      </c>
      <c r="B1729" s="9" t="n">
        <v>46118</v>
      </c>
      <c r="C1729" s="9" t="n">
        <v>46119</v>
      </c>
      <c r="D1729" s="5" t="s">
        <v>144</v>
      </c>
      <c r="E1729" s="5" t="s">
        <v>1032</v>
      </c>
      <c r="F1729" s="5" t="s">
        <v>1002</v>
      </c>
      <c r="G1729" s="6" t="str">
        <f aca="false">INDEX(Catalogo_Causas!$B$2:$B$10,MATCH(F1729,Catalogo_Causas!$A$2:$A$10,0))</f>
        <v>Falla mecánica</v>
      </c>
      <c r="H1729" s="6" t="str">
        <f aca="false">INDEX(Catalogo_Causas!$C$2:$C$10,MATCH(F1729,Catalogo_Causas!$A$2:$A$10,0))</f>
        <v>Operacional</v>
      </c>
      <c r="I1729" s="5" t="n">
        <v>110</v>
      </c>
      <c r="J1729" s="29" t="n">
        <f aca="false">I1729/60</f>
        <v>1.83333333333333</v>
      </c>
    </row>
    <row r="1730" customFormat="false" ht="15" hidden="false" customHeight="false" outlineLevel="0" collapsed="false">
      <c r="A1730" s="5" t="s">
        <v>2772</v>
      </c>
      <c r="B1730" s="9" t="n">
        <v>46118</v>
      </c>
      <c r="C1730" s="9" t="n">
        <v>46119</v>
      </c>
      <c r="D1730" s="5" t="s">
        <v>144</v>
      </c>
      <c r="E1730" s="5" t="s">
        <v>1043</v>
      </c>
      <c r="F1730" s="5" t="s">
        <v>1002</v>
      </c>
      <c r="G1730" s="6" t="str">
        <f aca="false">INDEX(Catalogo_Causas!$B$2:$B$10,MATCH(F1730,Catalogo_Causas!$A$2:$A$10,0))</f>
        <v>Falla mecánica</v>
      </c>
      <c r="H1730" s="6" t="str">
        <f aca="false">INDEX(Catalogo_Causas!$C$2:$C$10,MATCH(F1730,Catalogo_Causas!$A$2:$A$10,0))</f>
        <v>Operacional</v>
      </c>
      <c r="I1730" s="5" t="n">
        <v>104</v>
      </c>
      <c r="J1730" s="29" t="n">
        <f aca="false">I1730/60</f>
        <v>1.73333333333333</v>
      </c>
    </row>
    <row r="1731" customFormat="false" ht="15" hidden="false" customHeight="false" outlineLevel="0" collapsed="false">
      <c r="A1731" s="5" t="s">
        <v>2773</v>
      </c>
      <c r="B1731" s="9" t="n">
        <v>46118</v>
      </c>
      <c r="C1731" s="9" t="n">
        <v>46119</v>
      </c>
      <c r="D1731" s="5" t="s">
        <v>144</v>
      </c>
      <c r="E1731" s="5" t="s">
        <v>1032</v>
      </c>
      <c r="F1731" s="5" t="s">
        <v>1014</v>
      </c>
      <c r="G1731" s="6" t="str">
        <f aca="false">INDEX(Catalogo_Causas!$B$2:$B$10,MATCH(F1731,Catalogo_Causas!$A$2:$A$10,0))</f>
        <v>Retención de calidad</v>
      </c>
      <c r="H1731" s="6" t="str">
        <f aca="false">INDEX(Catalogo_Causas!$C$2:$C$10,MATCH(F1731,Catalogo_Causas!$A$2:$A$10,0))</f>
        <v>Calidad</v>
      </c>
      <c r="I1731" s="5" t="n">
        <v>29</v>
      </c>
      <c r="J1731" s="29" t="n">
        <f aca="false">I1731/60</f>
        <v>0.483333333333333</v>
      </c>
    </row>
    <row r="1732" customFormat="false" ht="15" hidden="false" customHeight="false" outlineLevel="0" collapsed="false">
      <c r="A1732" s="5" t="s">
        <v>2774</v>
      </c>
      <c r="B1732" s="9" t="n">
        <v>46118</v>
      </c>
      <c r="C1732" s="9" t="n">
        <v>46120</v>
      </c>
      <c r="D1732" s="5" t="s">
        <v>130</v>
      </c>
      <c r="E1732" s="5" t="s">
        <v>1078</v>
      </c>
      <c r="F1732" s="5" t="s">
        <v>1007</v>
      </c>
      <c r="G1732" s="6" t="str">
        <f aca="false">INDEX(Catalogo_Causas!$B$2:$B$10,MATCH(F1732,Catalogo_Causas!$A$2:$A$10,0))</f>
        <v>Cambio de formato excedido</v>
      </c>
      <c r="H1732" s="6" t="str">
        <f aca="false">INDEX(Catalogo_Causas!$C$2:$C$10,MATCH(F1732,Catalogo_Causas!$A$2:$A$10,0))</f>
        <v>Operacional</v>
      </c>
      <c r="I1732" s="5" t="n">
        <v>72</v>
      </c>
      <c r="J1732" s="29" t="n">
        <f aca="false">I1732/60</f>
        <v>1.2</v>
      </c>
    </row>
    <row r="1733" customFormat="false" ht="15" hidden="false" customHeight="false" outlineLevel="0" collapsed="false">
      <c r="A1733" s="5" t="s">
        <v>2775</v>
      </c>
      <c r="B1733" s="9" t="n">
        <v>46118</v>
      </c>
      <c r="C1733" s="9" t="n">
        <v>46120</v>
      </c>
      <c r="D1733" s="5" t="s">
        <v>136</v>
      </c>
      <c r="E1733" s="5" t="s">
        <v>1101</v>
      </c>
      <c r="F1733" s="5" t="s">
        <v>1005</v>
      </c>
      <c r="G1733" s="6" t="str">
        <f aca="false">INDEX(Catalogo_Causas!$B$2:$B$10,MATCH(F1733,Catalogo_Causas!$A$2:$A$10,0))</f>
        <v>Falla eléctrica / control</v>
      </c>
      <c r="H1733" s="6" t="str">
        <f aca="false">INDEX(Catalogo_Causas!$C$2:$C$10,MATCH(F1733,Catalogo_Causas!$A$2:$A$10,0))</f>
        <v>Operacional</v>
      </c>
      <c r="I1733" s="5" t="n">
        <v>86</v>
      </c>
      <c r="J1733" s="29" t="n">
        <f aca="false">I1733/60</f>
        <v>1.43333333333333</v>
      </c>
    </row>
    <row r="1734" customFormat="false" ht="15" hidden="false" customHeight="false" outlineLevel="0" collapsed="false">
      <c r="A1734" s="5" t="s">
        <v>2776</v>
      </c>
      <c r="B1734" s="9" t="n">
        <v>46118</v>
      </c>
      <c r="C1734" s="9" t="n">
        <v>46120</v>
      </c>
      <c r="D1734" s="5" t="s">
        <v>138</v>
      </c>
      <c r="E1734" s="5" t="s">
        <v>1039</v>
      </c>
      <c r="F1734" s="5" t="s">
        <v>1014</v>
      </c>
      <c r="G1734" s="6" t="str">
        <f aca="false">INDEX(Catalogo_Causas!$B$2:$B$10,MATCH(F1734,Catalogo_Causas!$A$2:$A$10,0))</f>
        <v>Retención de calidad</v>
      </c>
      <c r="H1734" s="6" t="str">
        <f aca="false">INDEX(Catalogo_Causas!$C$2:$C$10,MATCH(F1734,Catalogo_Causas!$A$2:$A$10,0))</f>
        <v>Calidad</v>
      </c>
      <c r="I1734" s="5" t="n">
        <v>23</v>
      </c>
      <c r="J1734" s="29" t="n">
        <f aca="false">I1734/60</f>
        <v>0.383333333333333</v>
      </c>
    </row>
    <row r="1735" customFormat="false" ht="15" hidden="false" customHeight="false" outlineLevel="0" collapsed="false">
      <c r="A1735" s="5" t="s">
        <v>2777</v>
      </c>
      <c r="B1735" s="9" t="n">
        <v>46118</v>
      </c>
      <c r="C1735" s="9" t="n">
        <v>46120</v>
      </c>
      <c r="D1735" s="5" t="s">
        <v>142</v>
      </c>
      <c r="E1735" s="5" t="s">
        <v>1030</v>
      </c>
      <c r="F1735" s="5" t="s">
        <v>1007</v>
      </c>
      <c r="G1735" s="6" t="str">
        <f aca="false">INDEX(Catalogo_Causas!$B$2:$B$10,MATCH(F1735,Catalogo_Causas!$A$2:$A$10,0))</f>
        <v>Cambio de formato excedido</v>
      </c>
      <c r="H1735" s="6" t="str">
        <f aca="false">INDEX(Catalogo_Causas!$C$2:$C$10,MATCH(F1735,Catalogo_Causas!$A$2:$A$10,0))</f>
        <v>Operacional</v>
      </c>
      <c r="I1735" s="5" t="n">
        <v>37</v>
      </c>
      <c r="J1735" s="29" t="n">
        <f aca="false">I1735/60</f>
        <v>0.616666666666667</v>
      </c>
    </row>
    <row r="1736" customFormat="false" ht="15" hidden="false" customHeight="false" outlineLevel="0" collapsed="false">
      <c r="A1736" s="5" t="s">
        <v>2778</v>
      </c>
      <c r="B1736" s="9" t="n">
        <v>46118</v>
      </c>
      <c r="C1736" s="9" t="n">
        <v>46120</v>
      </c>
      <c r="D1736" s="5" t="s">
        <v>144</v>
      </c>
      <c r="E1736" s="5" t="s">
        <v>1043</v>
      </c>
      <c r="F1736" s="5" t="s">
        <v>1002</v>
      </c>
      <c r="G1736" s="6" t="str">
        <f aca="false">INDEX(Catalogo_Causas!$B$2:$B$10,MATCH(F1736,Catalogo_Causas!$A$2:$A$10,0))</f>
        <v>Falla mecánica</v>
      </c>
      <c r="H1736" s="6" t="str">
        <f aca="false">INDEX(Catalogo_Causas!$C$2:$C$10,MATCH(F1736,Catalogo_Causas!$A$2:$A$10,0))</f>
        <v>Operacional</v>
      </c>
      <c r="I1736" s="5" t="n">
        <v>37</v>
      </c>
      <c r="J1736" s="29" t="n">
        <f aca="false">I1736/60</f>
        <v>0.616666666666667</v>
      </c>
    </row>
    <row r="1737" customFormat="false" ht="15" hidden="false" customHeight="false" outlineLevel="0" collapsed="false">
      <c r="A1737" s="5" t="s">
        <v>2779</v>
      </c>
      <c r="B1737" s="9" t="n">
        <v>46118</v>
      </c>
      <c r="C1737" s="9" t="n">
        <v>46121</v>
      </c>
      <c r="D1737" s="5" t="s">
        <v>132</v>
      </c>
      <c r="E1737" s="5" t="s">
        <v>1032</v>
      </c>
      <c r="F1737" s="5" t="s">
        <v>1016</v>
      </c>
      <c r="G1737" s="6" t="str">
        <f aca="false">INDEX(Catalogo_Causas!$B$2:$B$10,MATCH(F1737,Catalogo_Causas!$A$2:$A$10,0))</f>
        <v>Limpieza no programada (CIP)</v>
      </c>
      <c r="H1737" s="6" t="str">
        <f aca="false">INDEX(Catalogo_Causas!$C$2:$C$10,MATCH(F1737,Catalogo_Causas!$A$2:$A$10,0))</f>
        <v>Calidad</v>
      </c>
      <c r="I1737" s="5" t="n">
        <v>89</v>
      </c>
      <c r="J1737" s="29" t="n">
        <f aca="false">I1737/60</f>
        <v>1.48333333333333</v>
      </c>
    </row>
    <row r="1738" customFormat="false" ht="15" hidden="false" customHeight="false" outlineLevel="0" collapsed="false">
      <c r="A1738" s="5" t="s">
        <v>2780</v>
      </c>
      <c r="B1738" s="9" t="n">
        <v>46118</v>
      </c>
      <c r="C1738" s="9" t="n">
        <v>46121</v>
      </c>
      <c r="D1738" s="5" t="s">
        <v>134</v>
      </c>
      <c r="E1738" s="5" t="s">
        <v>1054</v>
      </c>
      <c r="F1738" s="5" t="s">
        <v>1005</v>
      </c>
      <c r="G1738" s="6" t="str">
        <f aca="false">INDEX(Catalogo_Causas!$B$2:$B$10,MATCH(F1738,Catalogo_Causas!$A$2:$A$10,0))</f>
        <v>Falla eléctrica / control</v>
      </c>
      <c r="H1738" s="6" t="str">
        <f aca="false">INDEX(Catalogo_Causas!$C$2:$C$10,MATCH(F1738,Catalogo_Causas!$A$2:$A$10,0))</f>
        <v>Operacional</v>
      </c>
      <c r="I1738" s="5" t="n">
        <v>17</v>
      </c>
      <c r="J1738" s="29" t="n">
        <f aca="false">I1738/60</f>
        <v>0.283333333333333</v>
      </c>
    </row>
    <row r="1739" customFormat="false" ht="15" hidden="false" customHeight="false" outlineLevel="0" collapsed="false">
      <c r="A1739" s="5" t="s">
        <v>2781</v>
      </c>
      <c r="B1739" s="9" t="n">
        <v>46118</v>
      </c>
      <c r="C1739" s="9" t="n">
        <v>46121</v>
      </c>
      <c r="D1739" s="5" t="s">
        <v>134</v>
      </c>
      <c r="E1739" s="5" t="s">
        <v>1054</v>
      </c>
      <c r="F1739" s="5" t="s">
        <v>1002</v>
      </c>
      <c r="G1739" s="6" t="str">
        <f aca="false">INDEX(Catalogo_Causas!$B$2:$B$10,MATCH(F1739,Catalogo_Causas!$A$2:$A$10,0))</f>
        <v>Falla mecánica</v>
      </c>
      <c r="H1739" s="6" t="str">
        <f aca="false">INDEX(Catalogo_Causas!$C$2:$C$10,MATCH(F1739,Catalogo_Causas!$A$2:$A$10,0))</f>
        <v>Operacional</v>
      </c>
      <c r="I1739" s="5" t="n">
        <v>60</v>
      </c>
      <c r="J1739" s="29" t="n">
        <f aca="false">I1739/60</f>
        <v>1</v>
      </c>
    </row>
    <row r="1740" customFormat="false" ht="15" hidden="false" customHeight="false" outlineLevel="0" collapsed="false">
      <c r="A1740" s="5" t="s">
        <v>2782</v>
      </c>
      <c r="B1740" s="9" t="n">
        <v>46118</v>
      </c>
      <c r="C1740" s="9" t="n">
        <v>46121</v>
      </c>
      <c r="D1740" s="5" t="s">
        <v>134</v>
      </c>
      <c r="E1740" s="5" t="s">
        <v>1030</v>
      </c>
      <c r="F1740" s="5" t="s">
        <v>1005</v>
      </c>
      <c r="G1740" s="6" t="str">
        <f aca="false">INDEX(Catalogo_Causas!$B$2:$B$10,MATCH(F1740,Catalogo_Causas!$A$2:$A$10,0))</f>
        <v>Falla eléctrica / control</v>
      </c>
      <c r="H1740" s="6" t="str">
        <f aca="false">INDEX(Catalogo_Causas!$C$2:$C$10,MATCH(F1740,Catalogo_Causas!$A$2:$A$10,0))</f>
        <v>Operacional</v>
      </c>
      <c r="I1740" s="5" t="n">
        <v>41</v>
      </c>
      <c r="J1740" s="29" t="n">
        <f aca="false">I1740/60</f>
        <v>0.683333333333333</v>
      </c>
    </row>
    <row r="1741" customFormat="false" ht="15" hidden="false" customHeight="false" outlineLevel="0" collapsed="false">
      <c r="A1741" s="5" t="s">
        <v>2783</v>
      </c>
      <c r="B1741" s="9" t="n">
        <v>46118</v>
      </c>
      <c r="C1741" s="9" t="n">
        <v>46121</v>
      </c>
      <c r="D1741" s="5" t="s">
        <v>136</v>
      </c>
      <c r="E1741" s="5" t="s">
        <v>1051</v>
      </c>
      <c r="F1741" s="5" t="s">
        <v>1002</v>
      </c>
      <c r="G1741" s="6" t="str">
        <f aca="false">INDEX(Catalogo_Causas!$B$2:$B$10,MATCH(F1741,Catalogo_Causas!$A$2:$A$10,0))</f>
        <v>Falla mecánica</v>
      </c>
      <c r="H1741" s="6" t="str">
        <f aca="false">INDEX(Catalogo_Causas!$C$2:$C$10,MATCH(F1741,Catalogo_Causas!$A$2:$A$10,0))</f>
        <v>Operacional</v>
      </c>
      <c r="I1741" s="5" t="n">
        <v>22</v>
      </c>
      <c r="J1741" s="29" t="n">
        <f aca="false">I1741/60</f>
        <v>0.366666666666667</v>
      </c>
    </row>
    <row r="1742" customFormat="false" ht="15" hidden="false" customHeight="false" outlineLevel="0" collapsed="false">
      <c r="A1742" s="5" t="s">
        <v>2784</v>
      </c>
      <c r="B1742" s="9" t="n">
        <v>46118</v>
      </c>
      <c r="C1742" s="9" t="n">
        <v>46121</v>
      </c>
      <c r="D1742" s="5" t="s">
        <v>138</v>
      </c>
      <c r="E1742" s="5" t="s">
        <v>1056</v>
      </c>
      <c r="F1742" s="5" t="s">
        <v>1016</v>
      </c>
      <c r="G1742" s="6" t="str">
        <f aca="false">INDEX(Catalogo_Causas!$B$2:$B$10,MATCH(F1742,Catalogo_Causas!$A$2:$A$10,0))</f>
        <v>Limpieza no programada (CIP)</v>
      </c>
      <c r="H1742" s="6" t="str">
        <f aca="false">INDEX(Catalogo_Causas!$C$2:$C$10,MATCH(F1742,Catalogo_Causas!$A$2:$A$10,0))</f>
        <v>Calidad</v>
      </c>
      <c r="I1742" s="5" t="n">
        <v>70</v>
      </c>
      <c r="J1742" s="29" t="n">
        <f aca="false">I1742/60</f>
        <v>1.16666666666667</v>
      </c>
    </row>
    <row r="1743" customFormat="false" ht="15" hidden="false" customHeight="false" outlineLevel="0" collapsed="false">
      <c r="A1743" s="5" t="s">
        <v>2785</v>
      </c>
      <c r="B1743" s="9" t="n">
        <v>46118</v>
      </c>
      <c r="C1743" s="9" t="n">
        <v>46121</v>
      </c>
      <c r="D1743" s="5" t="s">
        <v>144</v>
      </c>
      <c r="E1743" s="5" t="s">
        <v>1030</v>
      </c>
      <c r="F1743" s="5" t="s">
        <v>1014</v>
      </c>
      <c r="G1743" s="6" t="str">
        <f aca="false">INDEX(Catalogo_Causas!$B$2:$B$10,MATCH(F1743,Catalogo_Causas!$A$2:$A$10,0))</f>
        <v>Retención de calidad</v>
      </c>
      <c r="H1743" s="6" t="str">
        <f aca="false">INDEX(Catalogo_Causas!$C$2:$C$10,MATCH(F1743,Catalogo_Causas!$A$2:$A$10,0))</f>
        <v>Calidad</v>
      </c>
      <c r="I1743" s="5" t="n">
        <v>21</v>
      </c>
      <c r="J1743" s="29" t="n">
        <f aca="false">I1743/60</f>
        <v>0.35</v>
      </c>
    </row>
    <row r="1744" customFormat="false" ht="15" hidden="false" customHeight="false" outlineLevel="0" collapsed="false">
      <c r="A1744" s="5" t="s">
        <v>2786</v>
      </c>
      <c r="B1744" s="9" t="n">
        <v>46118</v>
      </c>
      <c r="C1744" s="9" t="n">
        <v>46121</v>
      </c>
      <c r="D1744" s="5" t="s">
        <v>144</v>
      </c>
      <c r="E1744" s="5" t="s">
        <v>1030</v>
      </c>
      <c r="F1744" s="5" t="s">
        <v>1018</v>
      </c>
      <c r="G1744" s="6" t="str">
        <f aca="false">INDEX(Catalogo_Causas!$B$2:$B$10,MATCH(F1744,Catalogo_Causas!$A$2:$A$10,0))</f>
        <v>Falta de personal</v>
      </c>
      <c r="H1744" s="6" t="str">
        <f aca="false">INDEX(Catalogo_Causas!$C$2:$C$10,MATCH(F1744,Catalogo_Causas!$A$2:$A$10,0))</f>
        <v>Personal</v>
      </c>
      <c r="I1744" s="5" t="n">
        <v>54</v>
      </c>
      <c r="J1744" s="29" t="n">
        <f aca="false">I1744/60</f>
        <v>0.9</v>
      </c>
    </row>
    <row r="1745" customFormat="false" ht="15" hidden="false" customHeight="false" outlineLevel="0" collapsed="false">
      <c r="A1745" s="5" t="s">
        <v>2787</v>
      </c>
      <c r="B1745" s="9" t="n">
        <v>46118</v>
      </c>
      <c r="C1745" s="9" t="n">
        <v>46122</v>
      </c>
      <c r="D1745" s="5" t="s">
        <v>132</v>
      </c>
      <c r="E1745" s="5" t="s">
        <v>1073</v>
      </c>
      <c r="F1745" s="5" t="s">
        <v>1002</v>
      </c>
      <c r="G1745" s="6" t="str">
        <f aca="false">INDEX(Catalogo_Causas!$B$2:$B$10,MATCH(F1745,Catalogo_Causas!$A$2:$A$10,0))</f>
        <v>Falla mecánica</v>
      </c>
      <c r="H1745" s="6" t="str">
        <f aca="false">INDEX(Catalogo_Causas!$C$2:$C$10,MATCH(F1745,Catalogo_Causas!$A$2:$A$10,0))</f>
        <v>Operacional</v>
      </c>
      <c r="I1745" s="5" t="n">
        <v>22</v>
      </c>
      <c r="J1745" s="29" t="n">
        <f aca="false">I1745/60</f>
        <v>0.366666666666667</v>
      </c>
    </row>
    <row r="1746" customFormat="false" ht="15" hidden="false" customHeight="false" outlineLevel="0" collapsed="false">
      <c r="A1746" s="5" t="s">
        <v>2788</v>
      </c>
      <c r="B1746" s="9" t="n">
        <v>46118</v>
      </c>
      <c r="C1746" s="9" t="n">
        <v>46122</v>
      </c>
      <c r="D1746" s="5" t="s">
        <v>132</v>
      </c>
      <c r="E1746" s="5" t="s">
        <v>1073</v>
      </c>
      <c r="F1746" s="5" t="s">
        <v>1018</v>
      </c>
      <c r="G1746" s="6" t="str">
        <f aca="false">INDEX(Catalogo_Causas!$B$2:$B$10,MATCH(F1746,Catalogo_Causas!$A$2:$A$10,0))</f>
        <v>Falta de personal</v>
      </c>
      <c r="H1746" s="6" t="str">
        <f aca="false">INDEX(Catalogo_Causas!$C$2:$C$10,MATCH(F1746,Catalogo_Causas!$A$2:$A$10,0))</f>
        <v>Personal</v>
      </c>
      <c r="I1746" s="5" t="n">
        <v>83</v>
      </c>
      <c r="J1746" s="29" t="n">
        <f aca="false">I1746/60</f>
        <v>1.38333333333333</v>
      </c>
    </row>
    <row r="1747" customFormat="false" ht="15" hidden="false" customHeight="false" outlineLevel="0" collapsed="false">
      <c r="A1747" s="5" t="s">
        <v>2789</v>
      </c>
      <c r="B1747" s="9" t="n">
        <v>46118</v>
      </c>
      <c r="C1747" s="9" t="n">
        <v>46122</v>
      </c>
      <c r="D1747" s="5" t="s">
        <v>134</v>
      </c>
      <c r="E1747" s="5" t="s">
        <v>1030</v>
      </c>
      <c r="F1747" s="5" t="s">
        <v>1002</v>
      </c>
      <c r="G1747" s="6" t="str">
        <f aca="false">INDEX(Catalogo_Causas!$B$2:$B$10,MATCH(F1747,Catalogo_Causas!$A$2:$A$10,0))</f>
        <v>Falla mecánica</v>
      </c>
      <c r="H1747" s="6" t="str">
        <f aca="false">INDEX(Catalogo_Causas!$C$2:$C$10,MATCH(F1747,Catalogo_Causas!$A$2:$A$10,0))</f>
        <v>Operacional</v>
      </c>
      <c r="I1747" s="5" t="n">
        <v>38</v>
      </c>
      <c r="J1747" s="29" t="n">
        <f aca="false">I1747/60</f>
        <v>0.633333333333333</v>
      </c>
    </row>
    <row r="1748" customFormat="false" ht="15" hidden="false" customHeight="false" outlineLevel="0" collapsed="false">
      <c r="A1748" s="5" t="s">
        <v>2790</v>
      </c>
      <c r="B1748" s="9" t="n">
        <v>46118</v>
      </c>
      <c r="C1748" s="9" t="n">
        <v>46122</v>
      </c>
      <c r="D1748" s="5" t="s">
        <v>136</v>
      </c>
      <c r="E1748" s="5" t="s">
        <v>1032</v>
      </c>
      <c r="F1748" s="5" t="s">
        <v>1005</v>
      </c>
      <c r="G1748" s="6" t="str">
        <f aca="false">INDEX(Catalogo_Causas!$B$2:$B$10,MATCH(F1748,Catalogo_Causas!$A$2:$A$10,0))</f>
        <v>Falla eléctrica / control</v>
      </c>
      <c r="H1748" s="6" t="str">
        <f aca="false">INDEX(Catalogo_Causas!$C$2:$C$10,MATCH(F1748,Catalogo_Causas!$A$2:$A$10,0))</f>
        <v>Operacional</v>
      </c>
      <c r="I1748" s="5" t="n">
        <v>25</v>
      </c>
      <c r="J1748" s="29" t="n">
        <f aca="false">I1748/60</f>
        <v>0.416666666666667</v>
      </c>
    </row>
    <row r="1749" customFormat="false" ht="15" hidden="false" customHeight="false" outlineLevel="0" collapsed="false">
      <c r="A1749" s="5" t="s">
        <v>2791</v>
      </c>
      <c r="B1749" s="9" t="n">
        <v>46118</v>
      </c>
      <c r="C1749" s="9" t="n">
        <v>46122</v>
      </c>
      <c r="D1749" s="5" t="s">
        <v>142</v>
      </c>
      <c r="E1749" s="5" t="s">
        <v>1051</v>
      </c>
      <c r="F1749" s="5" t="s">
        <v>1007</v>
      </c>
      <c r="G1749" s="6" t="str">
        <f aca="false">INDEX(Catalogo_Causas!$B$2:$B$10,MATCH(F1749,Catalogo_Causas!$A$2:$A$10,0))</f>
        <v>Cambio de formato excedido</v>
      </c>
      <c r="H1749" s="6" t="str">
        <f aca="false">INDEX(Catalogo_Causas!$C$2:$C$10,MATCH(F1749,Catalogo_Causas!$A$2:$A$10,0))</f>
        <v>Operacional</v>
      </c>
      <c r="I1749" s="5" t="n">
        <v>76</v>
      </c>
      <c r="J1749" s="29" t="n">
        <f aca="false">I1749/60</f>
        <v>1.26666666666667</v>
      </c>
    </row>
    <row r="1750" customFormat="false" ht="15" hidden="false" customHeight="false" outlineLevel="0" collapsed="false">
      <c r="A1750" s="5" t="s">
        <v>2792</v>
      </c>
      <c r="B1750" s="9" t="n">
        <v>46118</v>
      </c>
      <c r="C1750" s="9" t="n">
        <v>46122</v>
      </c>
      <c r="D1750" s="5" t="s">
        <v>142</v>
      </c>
      <c r="E1750" s="5" t="s">
        <v>1030</v>
      </c>
      <c r="F1750" s="5" t="s">
        <v>1005</v>
      </c>
      <c r="G1750" s="6" t="str">
        <f aca="false">INDEX(Catalogo_Causas!$B$2:$B$10,MATCH(F1750,Catalogo_Causas!$A$2:$A$10,0))</f>
        <v>Falla eléctrica / control</v>
      </c>
      <c r="H1750" s="6" t="str">
        <f aca="false">INDEX(Catalogo_Causas!$C$2:$C$10,MATCH(F1750,Catalogo_Causas!$A$2:$A$10,0))</f>
        <v>Operacional</v>
      </c>
      <c r="I1750" s="5" t="n">
        <v>31</v>
      </c>
      <c r="J1750" s="29" t="n">
        <f aca="false">I1750/60</f>
        <v>0.516666666666667</v>
      </c>
    </row>
    <row r="1751" customFormat="false" ht="15" hidden="false" customHeight="false" outlineLevel="0" collapsed="false">
      <c r="A1751" s="5" t="s">
        <v>2793</v>
      </c>
      <c r="B1751" s="9" t="n">
        <v>46118</v>
      </c>
      <c r="C1751" s="9" t="n">
        <v>46123</v>
      </c>
      <c r="D1751" s="5" t="s">
        <v>140</v>
      </c>
      <c r="E1751" s="5" t="s">
        <v>1036</v>
      </c>
      <c r="F1751" s="5" t="s">
        <v>1002</v>
      </c>
      <c r="G1751" s="6" t="str">
        <f aca="false">INDEX(Catalogo_Causas!$B$2:$B$10,MATCH(F1751,Catalogo_Causas!$A$2:$A$10,0))</f>
        <v>Falla mecánica</v>
      </c>
      <c r="H1751" s="6" t="str">
        <f aca="false">INDEX(Catalogo_Causas!$C$2:$C$10,MATCH(F1751,Catalogo_Causas!$A$2:$A$10,0))</f>
        <v>Operacional</v>
      </c>
      <c r="I1751" s="5" t="n">
        <v>85</v>
      </c>
      <c r="J1751" s="29" t="n">
        <f aca="false">I1751/60</f>
        <v>1.41666666666667</v>
      </c>
    </row>
    <row r="1752" customFormat="false" ht="15" hidden="false" customHeight="false" outlineLevel="0" collapsed="false">
      <c r="A1752" s="5" t="s">
        <v>2794</v>
      </c>
      <c r="B1752" s="9" t="n">
        <v>46118</v>
      </c>
      <c r="C1752" s="9" t="n">
        <v>46123</v>
      </c>
      <c r="D1752" s="5" t="s">
        <v>142</v>
      </c>
      <c r="E1752" s="5" t="s">
        <v>1041</v>
      </c>
      <c r="F1752" s="5" t="s">
        <v>1005</v>
      </c>
      <c r="G1752" s="6" t="str">
        <f aca="false">INDEX(Catalogo_Causas!$B$2:$B$10,MATCH(F1752,Catalogo_Causas!$A$2:$A$10,0))</f>
        <v>Falla eléctrica / control</v>
      </c>
      <c r="H1752" s="6" t="str">
        <f aca="false">INDEX(Catalogo_Causas!$C$2:$C$10,MATCH(F1752,Catalogo_Causas!$A$2:$A$10,0))</f>
        <v>Operacional</v>
      </c>
      <c r="I1752" s="5" t="n">
        <v>155</v>
      </c>
      <c r="J1752" s="29" t="n">
        <f aca="false">I1752/60</f>
        <v>2.58333333333333</v>
      </c>
    </row>
    <row r="1753" customFormat="false" ht="15" hidden="false" customHeight="false" outlineLevel="0" collapsed="false">
      <c r="A1753" s="5" t="s">
        <v>2795</v>
      </c>
      <c r="B1753" s="9" t="n">
        <v>46125</v>
      </c>
      <c r="C1753" s="9" t="n">
        <v>46125</v>
      </c>
      <c r="D1753" s="5" t="s">
        <v>130</v>
      </c>
      <c r="E1753" s="5" t="s">
        <v>1030</v>
      </c>
      <c r="F1753" s="5" t="s">
        <v>1009</v>
      </c>
      <c r="G1753" s="6" t="str">
        <f aca="false">INDEX(Catalogo_Causas!$B$2:$B$10,MATCH(F1753,Catalogo_Causas!$A$2:$A$10,0))</f>
        <v>Falta de material de empaque</v>
      </c>
      <c r="H1753" s="6" t="str">
        <f aca="false">INDEX(Catalogo_Causas!$C$2:$C$10,MATCH(F1753,Catalogo_Causas!$A$2:$A$10,0))</f>
        <v>Material / suministro</v>
      </c>
      <c r="I1753" s="5" t="n">
        <v>36</v>
      </c>
      <c r="J1753" s="29" t="n">
        <f aca="false">I1753/60</f>
        <v>0.6</v>
      </c>
    </row>
    <row r="1754" customFormat="false" ht="15" hidden="false" customHeight="false" outlineLevel="0" collapsed="false">
      <c r="A1754" s="5" t="s">
        <v>2796</v>
      </c>
      <c r="B1754" s="9" t="n">
        <v>46125</v>
      </c>
      <c r="C1754" s="9" t="n">
        <v>46125</v>
      </c>
      <c r="D1754" s="5" t="s">
        <v>132</v>
      </c>
      <c r="E1754" s="5" t="s">
        <v>1032</v>
      </c>
      <c r="F1754" s="5" t="s">
        <v>1002</v>
      </c>
      <c r="G1754" s="6" t="str">
        <f aca="false">INDEX(Catalogo_Causas!$B$2:$B$10,MATCH(F1754,Catalogo_Causas!$A$2:$A$10,0))</f>
        <v>Falla mecánica</v>
      </c>
      <c r="H1754" s="6" t="str">
        <f aca="false">INDEX(Catalogo_Causas!$C$2:$C$10,MATCH(F1754,Catalogo_Causas!$A$2:$A$10,0))</f>
        <v>Operacional</v>
      </c>
      <c r="I1754" s="5" t="n">
        <v>13</v>
      </c>
      <c r="J1754" s="29" t="n">
        <f aca="false">I1754/60</f>
        <v>0.216666666666667</v>
      </c>
    </row>
    <row r="1755" customFormat="false" ht="15" hidden="false" customHeight="false" outlineLevel="0" collapsed="false">
      <c r="A1755" s="5" t="s">
        <v>2797</v>
      </c>
      <c r="B1755" s="9" t="n">
        <v>46125</v>
      </c>
      <c r="C1755" s="9" t="n">
        <v>46125</v>
      </c>
      <c r="D1755" s="5" t="s">
        <v>134</v>
      </c>
      <c r="E1755" s="5" t="s">
        <v>1032</v>
      </c>
      <c r="F1755" s="5" t="s">
        <v>1012</v>
      </c>
      <c r="G1755" s="6" t="str">
        <f aca="false">INDEX(Catalogo_Causas!$B$2:$B$10,MATCH(F1755,Catalogo_Causas!$A$2:$A$10,0))</f>
        <v>Falta de materia prima</v>
      </c>
      <c r="H1755" s="6" t="str">
        <f aca="false">INDEX(Catalogo_Causas!$C$2:$C$10,MATCH(F1755,Catalogo_Causas!$A$2:$A$10,0))</f>
        <v>Material / suministro</v>
      </c>
      <c r="I1755" s="5" t="n">
        <v>15</v>
      </c>
      <c r="J1755" s="29" t="n">
        <f aca="false">I1755/60</f>
        <v>0.25</v>
      </c>
    </row>
    <row r="1756" customFormat="false" ht="15" hidden="false" customHeight="false" outlineLevel="0" collapsed="false">
      <c r="A1756" s="5" t="s">
        <v>2798</v>
      </c>
      <c r="B1756" s="9" t="n">
        <v>46125</v>
      </c>
      <c r="C1756" s="9" t="n">
        <v>46125</v>
      </c>
      <c r="D1756" s="5" t="s">
        <v>136</v>
      </c>
      <c r="E1756" s="5" t="s">
        <v>1101</v>
      </c>
      <c r="F1756" s="5" t="s">
        <v>1002</v>
      </c>
      <c r="G1756" s="6" t="str">
        <f aca="false">INDEX(Catalogo_Causas!$B$2:$B$10,MATCH(F1756,Catalogo_Causas!$A$2:$A$10,0))</f>
        <v>Falla mecánica</v>
      </c>
      <c r="H1756" s="6" t="str">
        <f aca="false">INDEX(Catalogo_Causas!$C$2:$C$10,MATCH(F1756,Catalogo_Causas!$A$2:$A$10,0))</f>
        <v>Operacional</v>
      </c>
      <c r="I1756" s="5" t="n">
        <v>72</v>
      </c>
      <c r="J1756" s="29" t="n">
        <f aca="false">I1756/60</f>
        <v>1.2</v>
      </c>
    </row>
    <row r="1757" customFormat="false" ht="15" hidden="false" customHeight="false" outlineLevel="0" collapsed="false">
      <c r="A1757" s="5" t="s">
        <v>2799</v>
      </c>
      <c r="B1757" s="9" t="n">
        <v>46125</v>
      </c>
      <c r="C1757" s="9" t="n">
        <v>46125</v>
      </c>
      <c r="D1757" s="5" t="s">
        <v>142</v>
      </c>
      <c r="E1757" s="5" t="s">
        <v>1030</v>
      </c>
      <c r="F1757" s="5" t="s">
        <v>1014</v>
      </c>
      <c r="G1757" s="6" t="str">
        <f aca="false">INDEX(Catalogo_Causas!$B$2:$B$10,MATCH(F1757,Catalogo_Causas!$A$2:$A$10,0))</f>
        <v>Retención de calidad</v>
      </c>
      <c r="H1757" s="6" t="str">
        <f aca="false">INDEX(Catalogo_Causas!$C$2:$C$10,MATCH(F1757,Catalogo_Causas!$A$2:$A$10,0))</f>
        <v>Calidad</v>
      </c>
      <c r="I1757" s="5" t="n">
        <v>122</v>
      </c>
      <c r="J1757" s="29" t="n">
        <f aca="false">I1757/60</f>
        <v>2.03333333333333</v>
      </c>
    </row>
    <row r="1758" customFormat="false" ht="15" hidden="false" customHeight="false" outlineLevel="0" collapsed="false">
      <c r="A1758" s="5" t="s">
        <v>2800</v>
      </c>
      <c r="B1758" s="9" t="n">
        <v>46125</v>
      </c>
      <c r="C1758" s="9" t="n">
        <v>46125</v>
      </c>
      <c r="D1758" s="5" t="s">
        <v>142</v>
      </c>
      <c r="E1758" s="5" t="s">
        <v>1030</v>
      </c>
      <c r="F1758" s="5" t="s">
        <v>1021</v>
      </c>
      <c r="G1758" s="6" t="str">
        <f aca="false">INDEX(Catalogo_Causas!$B$2:$B$10,MATCH(F1758,Catalogo_Causas!$A$2:$A$10,0))</f>
        <v>Falla de servicios (vapor/amoniaco/aire)</v>
      </c>
      <c r="H1758" s="6" t="str">
        <f aca="false">INDEX(Catalogo_Causas!$C$2:$C$10,MATCH(F1758,Catalogo_Causas!$A$2:$A$10,0))</f>
        <v>Servicios</v>
      </c>
      <c r="I1758" s="5" t="n">
        <v>30</v>
      </c>
      <c r="J1758" s="29" t="n">
        <f aca="false">I1758/60</f>
        <v>0.5</v>
      </c>
    </row>
    <row r="1759" customFormat="false" ht="15" hidden="false" customHeight="false" outlineLevel="0" collapsed="false">
      <c r="A1759" s="5" t="s">
        <v>2801</v>
      </c>
      <c r="B1759" s="9" t="n">
        <v>46125</v>
      </c>
      <c r="C1759" s="9" t="n">
        <v>46125</v>
      </c>
      <c r="D1759" s="5" t="s">
        <v>144</v>
      </c>
      <c r="E1759" s="5" t="s">
        <v>1030</v>
      </c>
      <c r="F1759" s="5" t="s">
        <v>1005</v>
      </c>
      <c r="G1759" s="6" t="str">
        <f aca="false">INDEX(Catalogo_Causas!$B$2:$B$10,MATCH(F1759,Catalogo_Causas!$A$2:$A$10,0))</f>
        <v>Falla eléctrica / control</v>
      </c>
      <c r="H1759" s="6" t="str">
        <f aca="false">INDEX(Catalogo_Causas!$C$2:$C$10,MATCH(F1759,Catalogo_Causas!$A$2:$A$10,0))</f>
        <v>Operacional</v>
      </c>
      <c r="I1759" s="5" t="n">
        <v>82</v>
      </c>
      <c r="J1759" s="29" t="n">
        <f aca="false">I1759/60</f>
        <v>1.36666666666667</v>
      </c>
    </row>
    <row r="1760" customFormat="false" ht="15" hidden="false" customHeight="false" outlineLevel="0" collapsed="false">
      <c r="A1760" s="5" t="s">
        <v>2802</v>
      </c>
      <c r="B1760" s="9" t="n">
        <v>46125</v>
      </c>
      <c r="C1760" s="9" t="n">
        <v>46126</v>
      </c>
      <c r="D1760" s="5" t="s">
        <v>132</v>
      </c>
      <c r="E1760" s="5" t="s">
        <v>1084</v>
      </c>
      <c r="F1760" s="5" t="s">
        <v>1002</v>
      </c>
      <c r="G1760" s="6" t="str">
        <f aca="false">INDEX(Catalogo_Causas!$B$2:$B$10,MATCH(F1760,Catalogo_Causas!$A$2:$A$10,0))</f>
        <v>Falla mecánica</v>
      </c>
      <c r="H1760" s="6" t="str">
        <f aca="false">INDEX(Catalogo_Causas!$C$2:$C$10,MATCH(F1760,Catalogo_Causas!$A$2:$A$10,0))</f>
        <v>Operacional</v>
      </c>
      <c r="I1760" s="5" t="n">
        <v>40</v>
      </c>
      <c r="J1760" s="29" t="n">
        <f aca="false">I1760/60</f>
        <v>0.666666666666667</v>
      </c>
    </row>
    <row r="1761" customFormat="false" ht="15" hidden="false" customHeight="false" outlineLevel="0" collapsed="false">
      <c r="A1761" s="5" t="s">
        <v>2803</v>
      </c>
      <c r="B1761" s="9" t="n">
        <v>46125</v>
      </c>
      <c r="C1761" s="9" t="n">
        <v>46126</v>
      </c>
      <c r="D1761" s="5" t="s">
        <v>134</v>
      </c>
      <c r="E1761" s="5" t="s">
        <v>1032</v>
      </c>
      <c r="F1761" s="5" t="s">
        <v>1009</v>
      </c>
      <c r="G1761" s="6" t="str">
        <f aca="false">INDEX(Catalogo_Causas!$B$2:$B$10,MATCH(F1761,Catalogo_Causas!$A$2:$A$10,0))</f>
        <v>Falta de material de empaque</v>
      </c>
      <c r="H1761" s="6" t="str">
        <f aca="false">INDEX(Catalogo_Causas!$C$2:$C$10,MATCH(F1761,Catalogo_Causas!$A$2:$A$10,0))</f>
        <v>Material / suministro</v>
      </c>
      <c r="I1761" s="5" t="n">
        <v>97</v>
      </c>
      <c r="J1761" s="29" t="n">
        <f aca="false">I1761/60</f>
        <v>1.61666666666667</v>
      </c>
    </row>
    <row r="1762" customFormat="false" ht="15" hidden="false" customHeight="false" outlineLevel="0" collapsed="false">
      <c r="A1762" s="5" t="s">
        <v>2804</v>
      </c>
      <c r="B1762" s="9" t="n">
        <v>46125</v>
      </c>
      <c r="C1762" s="9" t="n">
        <v>46126</v>
      </c>
      <c r="D1762" s="5" t="s">
        <v>134</v>
      </c>
      <c r="E1762" s="5" t="s">
        <v>1030</v>
      </c>
      <c r="F1762" s="5" t="s">
        <v>1005</v>
      </c>
      <c r="G1762" s="6" t="str">
        <f aca="false">INDEX(Catalogo_Causas!$B$2:$B$10,MATCH(F1762,Catalogo_Causas!$A$2:$A$10,0))</f>
        <v>Falla eléctrica / control</v>
      </c>
      <c r="H1762" s="6" t="str">
        <f aca="false">INDEX(Catalogo_Causas!$C$2:$C$10,MATCH(F1762,Catalogo_Causas!$A$2:$A$10,0))</f>
        <v>Operacional</v>
      </c>
      <c r="I1762" s="5" t="n">
        <v>89</v>
      </c>
      <c r="J1762" s="29" t="n">
        <f aca="false">I1762/60</f>
        <v>1.48333333333333</v>
      </c>
    </row>
    <row r="1763" customFormat="false" ht="15" hidden="false" customHeight="false" outlineLevel="0" collapsed="false">
      <c r="A1763" s="5" t="s">
        <v>2805</v>
      </c>
      <c r="B1763" s="9" t="n">
        <v>46125</v>
      </c>
      <c r="C1763" s="9" t="n">
        <v>46126</v>
      </c>
      <c r="D1763" s="5" t="s">
        <v>138</v>
      </c>
      <c r="E1763" s="5" t="s">
        <v>1056</v>
      </c>
      <c r="F1763" s="5" t="s">
        <v>1007</v>
      </c>
      <c r="G1763" s="6" t="str">
        <f aca="false">INDEX(Catalogo_Causas!$B$2:$B$10,MATCH(F1763,Catalogo_Causas!$A$2:$A$10,0))</f>
        <v>Cambio de formato excedido</v>
      </c>
      <c r="H1763" s="6" t="str">
        <f aca="false">INDEX(Catalogo_Causas!$C$2:$C$10,MATCH(F1763,Catalogo_Causas!$A$2:$A$10,0))</f>
        <v>Operacional</v>
      </c>
      <c r="I1763" s="5" t="n">
        <v>49</v>
      </c>
      <c r="J1763" s="29" t="n">
        <f aca="false">I1763/60</f>
        <v>0.816666666666667</v>
      </c>
    </row>
    <row r="1764" customFormat="false" ht="15" hidden="false" customHeight="false" outlineLevel="0" collapsed="false">
      <c r="A1764" s="5" t="s">
        <v>2806</v>
      </c>
      <c r="B1764" s="9" t="n">
        <v>46125</v>
      </c>
      <c r="C1764" s="9" t="n">
        <v>46127</v>
      </c>
      <c r="D1764" s="5" t="s">
        <v>132</v>
      </c>
      <c r="E1764" s="5" t="s">
        <v>1084</v>
      </c>
      <c r="F1764" s="5" t="s">
        <v>1002</v>
      </c>
      <c r="G1764" s="6" t="str">
        <f aca="false">INDEX(Catalogo_Causas!$B$2:$B$10,MATCH(F1764,Catalogo_Causas!$A$2:$A$10,0))</f>
        <v>Falla mecánica</v>
      </c>
      <c r="H1764" s="6" t="str">
        <f aca="false">INDEX(Catalogo_Causas!$C$2:$C$10,MATCH(F1764,Catalogo_Causas!$A$2:$A$10,0))</f>
        <v>Operacional</v>
      </c>
      <c r="I1764" s="5" t="n">
        <v>121</v>
      </c>
      <c r="J1764" s="29" t="n">
        <f aca="false">I1764/60</f>
        <v>2.01666666666667</v>
      </c>
    </row>
    <row r="1765" customFormat="false" ht="15" hidden="false" customHeight="false" outlineLevel="0" collapsed="false">
      <c r="A1765" s="5" t="s">
        <v>2807</v>
      </c>
      <c r="B1765" s="9" t="n">
        <v>46125</v>
      </c>
      <c r="C1765" s="9" t="n">
        <v>46127</v>
      </c>
      <c r="D1765" s="5" t="s">
        <v>134</v>
      </c>
      <c r="E1765" s="5" t="s">
        <v>1030</v>
      </c>
      <c r="F1765" s="5" t="s">
        <v>1002</v>
      </c>
      <c r="G1765" s="6" t="str">
        <f aca="false">INDEX(Catalogo_Causas!$B$2:$B$10,MATCH(F1765,Catalogo_Causas!$A$2:$A$10,0))</f>
        <v>Falla mecánica</v>
      </c>
      <c r="H1765" s="6" t="str">
        <f aca="false">INDEX(Catalogo_Causas!$C$2:$C$10,MATCH(F1765,Catalogo_Causas!$A$2:$A$10,0))</f>
        <v>Operacional</v>
      </c>
      <c r="I1765" s="5" t="n">
        <v>49</v>
      </c>
      <c r="J1765" s="29" t="n">
        <f aca="false">I1765/60</f>
        <v>0.816666666666667</v>
      </c>
    </row>
    <row r="1766" customFormat="false" ht="15" hidden="false" customHeight="false" outlineLevel="0" collapsed="false">
      <c r="A1766" s="5" t="s">
        <v>2808</v>
      </c>
      <c r="B1766" s="9" t="n">
        <v>46125</v>
      </c>
      <c r="C1766" s="9" t="n">
        <v>46127</v>
      </c>
      <c r="D1766" s="5" t="s">
        <v>140</v>
      </c>
      <c r="E1766" s="5" t="s">
        <v>1036</v>
      </c>
      <c r="F1766" s="5" t="s">
        <v>1016</v>
      </c>
      <c r="G1766" s="6" t="str">
        <f aca="false">INDEX(Catalogo_Causas!$B$2:$B$10,MATCH(F1766,Catalogo_Causas!$A$2:$A$10,0))</f>
        <v>Limpieza no programada (CIP)</v>
      </c>
      <c r="H1766" s="6" t="str">
        <f aca="false">INDEX(Catalogo_Causas!$C$2:$C$10,MATCH(F1766,Catalogo_Causas!$A$2:$A$10,0))</f>
        <v>Calidad</v>
      </c>
      <c r="I1766" s="5" t="n">
        <v>121</v>
      </c>
      <c r="J1766" s="29" t="n">
        <f aca="false">I1766/60</f>
        <v>2.01666666666667</v>
      </c>
    </row>
    <row r="1767" customFormat="false" ht="15" hidden="false" customHeight="false" outlineLevel="0" collapsed="false">
      <c r="A1767" s="5" t="s">
        <v>2809</v>
      </c>
      <c r="B1767" s="9" t="n">
        <v>46125</v>
      </c>
      <c r="C1767" s="9" t="n">
        <v>46128</v>
      </c>
      <c r="D1767" s="5" t="s">
        <v>130</v>
      </c>
      <c r="E1767" s="5" t="s">
        <v>1078</v>
      </c>
      <c r="F1767" s="5" t="s">
        <v>1007</v>
      </c>
      <c r="G1767" s="6" t="str">
        <f aca="false">INDEX(Catalogo_Causas!$B$2:$B$10,MATCH(F1767,Catalogo_Causas!$A$2:$A$10,0))</f>
        <v>Cambio de formato excedido</v>
      </c>
      <c r="H1767" s="6" t="str">
        <f aca="false">INDEX(Catalogo_Causas!$C$2:$C$10,MATCH(F1767,Catalogo_Causas!$A$2:$A$10,0))</f>
        <v>Operacional</v>
      </c>
      <c r="I1767" s="5" t="n">
        <v>27</v>
      </c>
      <c r="J1767" s="29" t="n">
        <f aca="false">I1767/60</f>
        <v>0.45</v>
      </c>
    </row>
    <row r="1768" customFormat="false" ht="15" hidden="false" customHeight="false" outlineLevel="0" collapsed="false">
      <c r="A1768" s="5" t="s">
        <v>2810</v>
      </c>
      <c r="B1768" s="9" t="n">
        <v>46125</v>
      </c>
      <c r="C1768" s="9" t="n">
        <v>46128</v>
      </c>
      <c r="D1768" s="5" t="s">
        <v>132</v>
      </c>
      <c r="E1768" s="5" t="s">
        <v>1073</v>
      </c>
      <c r="F1768" s="5" t="s">
        <v>1002</v>
      </c>
      <c r="G1768" s="6" t="str">
        <f aca="false">INDEX(Catalogo_Causas!$B$2:$B$10,MATCH(F1768,Catalogo_Causas!$A$2:$A$10,0))</f>
        <v>Falla mecánica</v>
      </c>
      <c r="H1768" s="6" t="str">
        <f aca="false">INDEX(Catalogo_Causas!$C$2:$C$10,MATCH(F1768,Catalogo_Causas!$A$2:$A$10,0))</f>
        <v>Operacional</v>
      </c>
      <c r="I1768" s="5" t="n">
        <v>30</v>
      </c>
      <c r="J1768" s="29" t="n">
        <f aca="false">I1768/60</f>
        <v>0.5</v>
      </c>
    </row>
    <row r="1769" customFormat="false" ht="15" hidden="false" customHeight="false" outlineLevel="0" collapsed="false">
      <c r="A1769" s="5" t="s">
        <v>2811</v>
      </c>
      <c r="B1769" s="9" t="n">
        <v>46125</v>
      </c>
      <c r="C1769" s="9" t="n">
        <v>46128</v>
      </c>
      <c r="D1769" s="5" t="s">
        <v>134</v>
      </c>
      <c r="E1769" s="5" t="s">
        <v>1054</v>
      </c>
      <c r="F1769" s="5" t="s">
        <v>1014</v>
      </c>
      <c r="G1769" s="6" t="str">
        <f aca="false">INDEX(Catalogo_Causas!$B$2:$B$10,MATCH(F1769,Catalogo_Causas!$A$2:$A$10,0))</f>
        <v>Retención de calidad</v>
      </c>
      <c r="H1769" s="6" t="str">
        <f aca="false">INDEX(Catalogo_Causas!$C$2:$C$10,MATCH(F1769,Catalogo_Causas!$A$2:$A$10,0))</f>
        <v>Calidad</v>
      </c>
      <c r="I1769" s="5" t="n">
        <v>12</v>
      </c>
      <c r="J1769" s="29" t="n">
        <f aca="false">I1769/60</f>
        <v>0.2</v>
      </c>
    </row>
    <row r="1770" customFormat="false" ht="15" hidden="false" customHeight="false" outlineLevel="0" collapsed="false">
      <c r="A1770" s="5" t="s">
        <v>2812</v>
      </c>
      <c r="B1770" s="9" t="n">
        <v>46125</v>
      </c>
      <c r="C1770" s="9" t="n">
        <v>46128</v>
      </c>
      <c r="D1770" s="5" t="s">
        <v>140</v>
      </c>
      <c r="E1770" s="5" t="s">
        <v>1045</v>
      </c>
      <c r="F1770" s="5" t="s">
        <v>1009</v>
      </c>
      <c r="G1770" s="6" t="str">
        <f aca="false">INDEX(Catalogo_Causas!$B$2:$B$10,MATCH(F1770,Catalogo_Causas!$A$2:$A$10,0))</f>
        <v>Falta de material de empaque</v>
      </c>
      <c r="H1770" s="6" t="str">
        <f aca="false">INDEX(Catalogo_Causas!$C$2:$C$10,MATCH(F1770,Catalogo_Causas!$A$2:$A$10,0))</f>
        <v>Material / suministro</v>
      </c>
      <c r="I1770" s="5" t="n">
        <v>44</v>
      </c>
      <c r="J1770" s="29" t="n">
        <f aca="false">I1770/60</f>
        <v>0.733333333333333</v>
      </c>
    </row>
    <row r="1771" customFormat="false" ht="15" hidden="false" customHeight="false" outlineLevel="0" collapsed="false">
      <c r="A1771" s="5" t="s">
        <v>2813</v>
      </c>
      <c r="B1771" s="9" t="n">
        <v>46125</v>
      </c>
      <c r="C1771" s="9" t="n">
        <v>46129</v>
      </c>
      <c r="D1771" s="5" t="s">
        <v>132</v>
      </c>
      <c r="E1771" s="5" t="s">
        <v>1032</v>
      </c>
      <c r="F1771" s="5" t="s">
        <v>1021</v>
      </c>
      <c r="G1771" s="6" t="str">
        <f aca="false">INDEX(Catalogo_Causas!$B$2:$B$10,MATCH(F1771,Catalogo_Causas!$A$2:$A$10,0))</f>
        <v>Falla de servicios (vapor/amoniaco/aire)</v>
      </c>
      <c r="H1771" s="6" t="str">
        <f aca="false">INDEX(Catalogo_Causas!$C$2:$C$10,MATCH(F1771,Catalogo_Causas!$A$2:$A$10,0))</f>
        <v>Servicios</v>
      </c>
      <c r="I1771" s="5" t="n">
        <v>30</v>
      </c>
      <c r="J1771" s="29" t="n">
        <f aca="false">I1771/60</f>
        <v>0.5</v>
      </c>
    </row>
    <row r="1772" customFormat="false" ht="15" hidden="false" customHeight="false" outlineLevel="0" collapsed="false">
      <c r="A1772" s="5" t="s">
        <v>2814</v>
      </c>
      <c r="B1772" s="9" t="n">
        <v>46125</v>
      </c>
      <c r="C1772" s="9" t="n">
        <v>46129</v>
      </c>
      <c r="D1772" s="5" t="s">
        <v>132</v>
      </c>
      <c r="E1772" s="5" t="s">
        <v>1084</v>
      </c>
      <c r="F1772" s="5" t="s">
        <v>1012</v>
      </c>
      <c r="G1772" s="6" t="str">
        <f aca="false">INDEX(Catalogo_Causas!$B$2:$B$10,MATCH(F1772,Catalogo_Causas!$A$2:$A$10,0))</f>
        <v>Falta de materia prima</v>
      </c>
      <c r="H1772" s="6" t="str">
        <f aca="false">INDEX(Catalogo_Causas!$C$2:$C$10,MATCH(F1772,Catalogo_Causas!$A$2:$A$10,0))</f>
        <v>Material / suministro</v>
      </c>
      <c r="I1772" s="5" t="n">
        <v>53</v>
      </c>
      <c r="J1772" s="29" t="n">
        <f aca="false">I1772/60</f>
        <v>0.883333333333333</v>
      </c>
    </row>
    <row r="1773" customFormat="false" ht="15" hidden="false" customHeight="false" outlineLevel="0" collapsed="false">
      <c r="A1773" s="5" t="s">
        <v>2815</v>
      </c>
      <c r="B1773" s="9" t="n">
        <v>46125</v>
      </c>
      <c r="C1773" s="9" t="n">
        <v>46129</v>
      </c>
      <c r="D1773" s="5" t="s">
        <v>140</v>
      </c>
      <c r="E1773" s="5" t="s">
        <v>1032</v>
      </c>
      <c r="F1773" s="5" t="s">
        <v>1007</v>
      </c>
      <c r="G1773" s="6" t="str">
        <f aca="false">INDEX(Catalogo_Causas!$B$2:$B$10,MATCH(F1773,Catalogo_Causas!$A$2:$A$10,0))</f>
        <v>Cambio de formato excedido</v>
      </c>
      <c r="H1773" s="6" t="str">
        <f aca="false">INDEX(Catalogo_Causas!$C$2:$C$10,MATCH(F1773,Catalogo_Causas!$A$2:$A$10,0))</f>
        <v>Operacional</v>
      </c>
      <c r="I1773" s="5" t="n">
        <v>29</v>
      </c>
      <c r="J1773" s="29" t="n">
        <f aca="false">I1773/60</f>
        <v>0.483333333333333</v>
      </c>
    </row>
    <row r="1774" customFormat="false" ht="15" hidden="false" customHeight="false" outlineLevel="0" collapsed="false">
      <c r="A1774" s="5" t="s">
        <v>2816</v>
      </c>
      <c r="B1774" s="9" t="n">
        <v>46125</v>
      </c>
      <c r="C1774" s="9" t="n">
        <v>46129</v>
      </c>
      <c r="D1774" s="5" t="s">
        <v>140</v>
      </c>
      <c r="E1774" s="5" t="s">
        <v>1032</v>
      </c>
      <c r="F1774" s="5" t="s">
        <v>1012</v>
      </c>
      <c r="G1774" s="6" t="str">
        <f aca="false">INDEX(Catalogo_Causas!$B$2:$B$10,MATCH(F1774,Catalogo_Causas!$A$2:$A$10,0))</f>
        <v>Falta de materia prima</v>
      </c>
      <c r="H1774" s="6" t="str">
        <f aca="false">INDEX(Catalogo_Causas!$C$2:$C$10,MATCH(F1774,Catalogo_Causas!$A$2:$A$10,0))</f>
        <v>Material / suministro</v>
      </c>
      <c r="I1774" s="5" t="n">
        <v>74</v>
      </c>
      <c r="J1774" s="29" t="n">
        <f aca="false">I1774/60</f>
        <v>1.23333333333333</v>
      </c>
    </row>
    <row r="1775" customFormat="false" ht="15" hidden="false" customHeight="false" outlineLevel="0" collapsed="false">
      <c r="A1775" s="5" t="s">
        <v>2817</v>
      </c>
      <c r="B1775" s="9" t="n">
        <v>46125</v>
      </c>
      <c r="C1775" s="9" t="n">
        <v>46129</v>
      </c>
      <c r="D1775" s="5" t="s">
        <v>142</v>
      </c>
      <c r="E1775" s="5" t="s">
        <v>1030</v>
      </c>
      <c r="F1775" s="5" t="s">
        <v>1002</v>
      </c>
      <c r="G1775" s="6" t="str">
        <f aca="false">INDEX(Catalogo_Causas!$B$2:$B$10,MATCH(F1775,Catalogo_Causas!$A$2:$A$10,0))</f>
        <v>Falla mecánica</v>
      </c>
      <c r="H1775" s="6" t="str">
        <f aca="false">INDEX(Catalogo_Causas!$C$2:$C$10,MATCH(F1775,Catalogo_Causas!$A$2:$A$10,0))</f>
        <v>Operacional</v>
      </c>
      <c r="I1775" s="5" t="n">
        <v>80</v>
      </c>
      <c r="J1775" s="29" t="n">
        <f aca="false">I1775/60</f>
        <v>1.33333333333333</v>
      </c>
    </row>
    <row r="1776" customFormat="false" ht="15" hidden="false" customHeight="false" outlineLevel="0" collapsed="false">
      <c r="A1776" s="5" t="s">
        <v>2818</v>
      </c>
      <c r="B1776" s="9" t="n">
        <v>46125</v>
      </c>
      <c r="C1776" s="9" t="n">
        <v>46129</v>
      </c>
      <c r="D1776" s="5" t="s">
        <v>142</v>
      </c>
      <c r="E1776" s="5" t="s">
        <v>1041</v>
      </c>
      <c r="F1776" s="5" t="s">
        <v>1002</v>
      </c>
      <c r="G1776" s="6" t="str">
        <f aca="false">INDEX(Catalogo_Causas!$B$2:$B$10,MATCH(F1776,Catalogo_Causas!$A$2:$A$10,0))</f>
        <v>Falla mecánica</v>
      </c>
      <c r="H1776" s="6" t="str">
        <f aca="false">INDEX(Catalogo_Causas!$C$2:$C$10,MATCH(F1776,Catalogo_Causas!$A$2:$A$10,0))</f>
        <v>Operacional</v>
      </c>
      <c r="I1776" s="5" t="n">
        <v>73</v>
      </c>
      <c r="J1776" s="29" t="n">
        <f aca="false">I1776/60</f>
        <v>1.21666666666667</v>
      </c>
    </row>
    <row r="1777" customFormat="false" ht="15" hidden="false" customHeight="false" outlineLevel="0" collapsed="false">
      <c r="A1777" s="5" t="s">
        <v>2819</v>
      </c>
      <c r="B1777" s="9" t="n">
        <v>46125</v>
      </c>
      <c r="C1777" s="9" t="n">
        <v>46130</v>
      </c>
      <c r="D1777" s="5" t="s">
        <v>136</v>
      </c>
      <c r="E1777" s="5" t="s">
        <v>1051</v>
      </c>
      <c r="F1777" s="5" t="s">
        <v>1014</v>
      </c>
      <c r="G1777" s="6" t="str">
        <f aca="false">INDEX(Catalogo_Causas!$B$2:$B$10,MATCH(F1777,Catalogo_Causas!$A$2:$A$10,0))</f>
        <v>Retención de calidad</v>
      </c>
      <c r="H1777" s="6" t="str">
        <f aca="false">INDEX(Catalogo_Causas!$C$2:$C$10,MATCH(F1777,Catalogo_Causas!$A$2:$A$10,0))</f>
        <v>Calidad</v>
      </c>
      <c r="I1777" s="5" t="n">
        <v>37</v>
      </c>
      <c r="J1777" s="29" t="n">
        <f aca="false">I1777/60</f>
        <v>0.616666666666667</v>
      </c>
    </row>
    <row r="1778" customFormat="false" ht="15" hidden="false" customHeight="false" outlineLevel="0" collapsed="false">
      <c r="A1778" s="5" t="s">
        <v>2820</v>
      </c>
      <c r="B1778" s="9" t="n">
        <v>46125</v>
      </c>
      <c r="C1778" s="9" t="n">
        <v>46130</v>
      </c>
      <c r="D1778" s="5" t="s">
        <v>136</v>
      </c>
      <c r="E1778" s="5" t="s">
        <v>1101</v>
      </c>
      <c r="F1778" s="5" t="s">
        <v>1016</v>
      </c>
      <c r="G1778" s="6" t="str">
        <f aca="false">INDEX(Catalogo_Causas!$B$2:$B$10,MATCH(F1778,Catalogo_Causas!$A$2:$A$10,0))</f>
        <v>Limpieza no programada (CIP)</v>
      </c>
      <c r="H1778" s="6" t="str">
        <f aca="false">INDEX(Catalogo_Causas!$C$2:$C$10,MATCH(F1778,Catalogo_Causas!$A$2:$A$10,0))</f>
        <v>Calidad</v>
      </c>
      <c r="I1778" s="5" t="n">
        <v>98</v>
      </c>
      <c r="J1778" s="29" t="n">
        <f aca="false">I1778/60</f>
        <v>1.63333333333333</v>
      </c>
    </row>
    <row r="1779" customFormat="false" ht="15" hidden="false" customHeight="false" outlineLevel="0" collapsed="false">
      <c r="A1779" s="5" t="s">
        <v>2821</v>
      </c>
      <c r="B1779" s="9" t="n">
        <v>46125</v>
      </c>
      <c r="C1779" s="9" t="n">
        <v>46130</v>
      </c>
      <c r="D1779" s="5" t="s">
        <v>144</v>
      </c>
      <c r="E1779" s="5" t="s">
        <v>1030</v>
      </c>
      <c r="F1779" s="5" t="s">
        <v>1002</v>
      </c>
      <c r="G1779" s="6" t="str">
        <f aca="false">INDEX(Catalogo_Causas!$B$2:$B$10,MATCH(F1779,Catalogo_Causas!$A$2:$A$10,0))</f>
        <v>Falla mecánica</v>
      </c>
      <c r="H1779" s="6" t="str">
        <f aca="false">INDEX(Catalogo_Causas!$C$2:$C$10,MATCH(F1779,Catalogo_Causas!$A$2:$A$10,0))</f>
        <v>Operacional</v>
      </c>
      <c r="I1779" s="5" t="n">
        <v>53</v>
      </c>
      <c r="J1779" s="29" t="n">
        <f aca="false">I1779/60</f>
        <v>0.883333333333333</v>
      </c>
    </row>
    <row r="1780" customFormat="false" ht="15" hidden="false" customHeight="false" outlineLevel="0" collapsed="false">
      <c r="A1780" s="5" t="s">
        <v>2822</v>
      </c>
      <c r="B1780" s="9" t="n">
        <v>46132</v>
      </c>
      <c r="C1780" s="9" t="n">
        <v>46132</v>
      </c>
      <c r="D1780" s="5" t="s">
        <v>132</v>
      </c>
      <c r="E1780" s="5" t="s">
        <v>1084</v>
      </c>
      <c r="F1780" s="5" t="s">
        <v>1009</v>
      </c>
      <c r="G1780" s="6" t="str">
        <f aca="false">INDEX(Catalogo_Causas!$B$2:$B$10,MATCH(F1780,Catalogo_Causas!$A$2:$A$10,0))</f>
        <v>Falta de material de empaque</v>
      </c>
      <c r="H1780" s="6" t="str">
        <f aca="false">INDEX(Catalogo_Causas!$C$2:$C$10,MATCH(F1780,Catalogo_Causas!$A$2:$A$10,0))</f>
        <v>Material / suministro</v>
      </c>
      <c r="I1780" s="5" t="n">
        <v>51</v>
      </c>
      <c r="J1780" s="29" t="n">
        <f aca="false">I1780/60</f>
        <v>0.85</v>
      </c>
    </row>
    <row r="1781" customFormat="false" ht="15" hidden="false" customHeight="false" outlineLevel="0" collapsed="false">
      <c r="A1781" s="5" t="s">
        <v>2823</v>
      </c>
      <c r="B1781" s="9" t="n">
        <v>46132</v>
      </c>
      <c r="C1781" s="9" t="n">
        <v>46133</v>
      </c>
      <c r="D1781" s="5" t="s">
        <v>130</v>
      </c>
      <c r="E1781" s="5" t="s">
        <v>1078</v>
      </c>
      <c r="F1781" s="5" t="s">
        <v>1009</v>
      </c>
      <c r="G1781" s="6" t="str">
        <f aca="false">INDEX(Catalogo_Causas!$B$2:$B$10,MATCH(F1781,Catalogo_Causas!$A$2:$A$10,0))</f>
        <v>Falta de material de empaque</v>
      </c>
      <c r="H1781" s="6" t="str">
        <f aca="false">INDEX(Catalogo_Causas!$C$2:$C$10,MATCH(F1781,Catalogo_Causas!$A$2:$A$10,0))</f>
        <v>Material / suministro</v>
      </c>
      <c r="I1781" s="5" t="n">
        <v>90</v>
      </c>
      <c r="J1781" s="29" t="n">
        <f aca="false">I1781/60</f>
        <v>1.5</v>
      </c>
    </row>
    <row r="1782" customFormat="false" ht="15" hidden="false" customHeight="false" outlineLevel="0" collapsed="false">
      <c r="A1782" s="5" t="s">
        <v>2824</v>
      </c>
      <c r="B1782" s="9" t="n">
        <v>46132</v>
      </c>
      <c r="C1782" s="9" t="n">
        <v>46133</v>
      </c>
      <c r="D1782" s="5" t="s">
        <v>130</v>
      </c>
      <c r="E1782" s="5" t="s">
        <v>1045</v>
      </c>
      <c r="F1782" s="5" t="s">
        <v>1007</v>
      </c>
      <c r="G1782" s="6" t="str">
        <f aca="false">INDEX(Catalogo_Causas!$B$2:$B$10,MATCH(F1782,Catalogo_Causas!$A$2:$A$10,0))</f>
        <v>Cambio de formato excedido</v>
      </c>
      <c r="H1782" s="6" t="str">
        <f aca="false">INDEX(Catalogo_Causas!$C$2:$C$10,MATCH(F1782,Catalogo_Causas!$A$2:$A$10,0))</f>
        <v>Operacional</v>
      </c>
      <c r="I1782" s="5" t="n">
        <v>37</v>
      </c>
      <c r="J1782" s="29" t="n">
        <f aca="false">I1782/60</f>
        <v>0.616666666666667</v>
      </c>
    </row>
    <row r="1783" customFormat="false" ht="15" hidden="false" customHeight="false" outlineLevel="0" collapsed="false">
      <c r="A1783" s="5" t="s">
        <v>2825</v>
      </c>
      <c r="B1783" s="9" t="n">
        <v>46132</v>
      </c>
      <c r="C1783" s="9" t="n">
        <v>46133</v>
      </c>
      <c r="D1783" s="5" t="s">
        <v>132</v>
      </c>
      <c r="E1783" s="5" t="s">
        <v>1032</v>
      </c>
      <c r="F1783" s="5" t="s">
        <v>1009</v>
      </c>
      <c r="G1783" s="6" t="str">
        <f aca="false">INDEX(Catalogo_Causas!$B$2:$B$10,MATCH(F1783,Catalogo_Causas!$A$2:$A$10,0))</f>
        <v>Falta de material de empaque</v>
      </c>
      <c r="H1783" s="6" t="str">
        <f aca="false">INDEX(Catalogo_Causas!$C$2:$C$10,MATCH(F1783,Catalogo_Causas!$A$2:$A$10,0))</f>
        <v>Material / suministro</v>
      </c>
      <c r="I1783" s="5" t="n">
        <v>78</v>
      </c>
      <c r="J1783" s="29" t="n">
        <f aca="false">I1783/60</f>
        <v>1.3</v>
      </c>
    </row>
    <row r="1784" customFormat="false" ht="15" hidden="false" customHeight="false" outlineLevel="0" collapsed="false">
      <c r="A1784" s="5" t="s">
        <v>2826</v>
      </c>
      <c r="B1784" s="9" t="n">
        <v>46132</v>
      </c>
      <c r="C1784" s="9" t="n">
        <v>46133</v>
      </c>
      <c r="D1784" s="5" t="s">
        <v>138</v>
      </c>
      <c r="E1784" s="5" t="s">
        <v>1039</v>
      </c>
      <c r="F1784" s="5" t="s">
        <v>1021</v>
      </c>
      <c r="G1784" s="6" t="str">
        <f aca="false">INDEX(Catalogo_Causas!$B$2:$B$10,MATCH(F1784,Catalogo_Causas!$A$2:$A$10,0))</f>
        <v>Falla de servicios (vapor/amoniaco/aire)</v>
      </c>
      <c r="H1784" s="6" t="str">
        <f aca="false">INDEX(Catalogo_Causas!$C$2:$C$10,MATCH(F1784,Catalogo_Causas!$A$2:$A$10,0))</f>
        <v>Servicios</v>
      </c>
      <c r="I1784" s="5" t="n">
        <v>21</v>
      </c>
      <c r="J1784" s="29" t="n">
        <f aca="false">I1784/60</f>
        <v>0.35</v>
      </c>
    </row>
    <row r="1785" customFormat="false" ht="15" hidden="false" customHeight="false" outlineLevel="0" collapsed="false">
      <c r="A1785" s="5" t="s">
        <v>2827</v>
      </c>
      <c r="B1785" s="9" t="n">
        <v>46132</v>
      </c>
      <c r="C1785" s="9" t="n">
        <v>46133</v>
      </c>
      <c r="D1785" s="5" t="s">
        <v>142</v>
      </c>
      <c r="E1785" s="5" t="s">
        <v>1041</v>
      </c>
      <c r="F1785" s="5" t="s">
        <v>1021</v>
      </c>
      <c r="G1785" s="6" t="str">
        <f aca="false">INDEX(Catalogo_Causas!$B$2:$B$10,MATCH(F1785,Catalogo_Causas!$A$2:$A$10,0))</f>
        <v>Falla de servicios (vapor/amoniaco/aire)</v>
      </c>
      <c r="H1785" s="6" t="str">
        <f aca="false">INDEX(Catalogo_Causas!$C$2:$C$10,MATCH(F1785,Catalogo_Causas!$A$2:$A$10,0))</f>
        <v>Servicios</v>
      </c>
      <c r="I1785" s="5" t="n">
        <v>96</v>
      </c>
      <c r="J1785" s="29" t="n">
        <f aca="false">I1785/60</f>
        <v>1.6</v>
      </c>
    </row>
    <row r="1786" customFormat="false" ht="15" hidden="false" customHeight="false" outlineLevel="0" collapsed="false">
      <c r="A1786" s="5" t="s">
        <v>2828</v>
      </c>
      <c r="B1786" s="9" t="n">
        <v>46132</v>
      </c>
      <c r="C1786" s="9" t="n">
        <v>46133</v>
      </c>
      <c r="D1786" s="5" t="s">
        <v>142</v>
      </c>
      <c r="E1786" s="5" t="s">
        <v>1051</v>
      </c>
      <c r="F1786" s="5" t="s">
        <v>1012</v>
      </c>
      <c r="G1786" s="6" t="str">
        <f aca="false">INDEX(Catalogo_Causas!$B$2:$B$10,MATCH(F1786,Catalogo_Causas!$A$2:$A$10,0))</f>
        <v>Falta de materia prima</v>
      </c>
      <c r="H1786" s="6" t="str">
        <f aca="false">INDEX(Catalogo_Causas!$C$2:$C$10,MATCH(F1786,Catalogo_Causas!$A$2:$A$10,0))</f>
        <v>Material / suministro</v>
      </c>
      <c r="I1786" s="5" t="n">
        <v>96</v>
      </c>
      <c r="J1786" s="29" t="n">
        <f aca="false">I1786/60</f>
        <v>1.6</v>
      </c>
    </row>
    <row r="1787" customFormat="false" ht="15" hidden="false" customHeight="false" outlineLevel="0" collapsed="false">
      <c r="A1787" s="5" t="s">
        <v>2829</v>
      </c>
      <c r="B1787" s="9" t="n">
        <v>46132</v>
      </c>
      <c r="C1787" s="9" t="n">
        <v>46133</v>
      </c>
      <c r="D1787" s="5" t="s">
        <v>144</v>
      </c>
      <c r="E1787" s="5" t="s">
        <v>1030</v>
      </c>
      <c r="F1787" s="5" t="s">
        <v>1005</v>
      </c>
      <c r="G1787" s="6" t="str">
        <f aca="false">INDEX(Catalogo_Causas!$B$2:$B$10,MATCH(F1787,Catalogo_Causas!$A$2:$A$10,0))</f>
        <v>Falla eléctrica / control</v>
      </c>
      <c r="H1787" s="6" t="str">
        <f aca="false">INDEX(Catalogo_Causas!$C$2:$C$10,MATCH(F1787,Catalogo_Causas!$A$2:$A$10,0))</f>
        <v>Operacional</v>
      </c>
      <c r="I1787" s="5" t="n">
        <v>34</v>
      </c>
      <c r="J1787" s="29" t="n">
        <f aca="false">I1787/60</f>
        <v>0.566666666666667</v>
      </c>
    </row>
    <row r="1788" customFormat="false" ht="15" hidden="false" customHeight="false" outlineLevel="0" collapsed="false">
      <c r="A1788" s="5" t="s">
        <v>2830</v>
      </c>
      <c r="B1788" s="9" t="n">
        <v>46132</v>
      </c>
      <c r="C1788" s="9" t="n">
        <v>46134</v>
      </c>
      <c r="D1788" s="5" t="s">
        <v>132</v>
      </c>
      <c r="E1788" s="5" t="s">
        <v>1084</v>
      </c>
      <c r="F1788" s="5" t="s">
        <v>1007</v>
      </c>
      <c r="G1788" s="6" t="str">
        <f aca="false">INDEX(Catalogo_Causas!$B$2:$B$10,MATCH(F1788,Catalogo_Causas!$A$2:$A$10,0))</f>
        <v>Cambio de formato excedido</v>
      </c>
      <c r="H1788" s="6" t="str">
        <f aca="false">INDEX(Catalogo_Causas!$C$2:$C$10,MATCH(F1788,Catalogo_Causas!$A$2:$A$10,0))</f>
        <v>Operacional</v>
      </c>
      <c r="I1788" s="5" t="n">
        <v>56</v>
      </c>
      <c r="J1788" s="29" t="n">
        <f aca="false">I1788/60</f>
        <v>0.933333333333333</v>
      </c>
    </row>
    <row r="1789" customFormat="false" ht="15" hidden="false" customHeight="false" outlineLevel="0" collapsed="false">
      <c r="A1789" s="5" t="s">
        <v>2831</v>
      </c>
      <c r="B1789" s="9" t="n">
        <v>46132</v>
      </c>
      <c r="C1789" s="9" t="n">
        <v>46134</v>
      </c>
      <c r="D1789" s="5" t="s">
        <v>132</v>
      </c>
      <c r="E1789" s="5" t="s">
        <v>1032</v>
      </c>
      <c r="F1789" s="5" t="s">
        <v>1021</v>
      </c>
      <c r="G1789" s="6" t="str">
        <f aca="false">INDEX(Catalogo_Causas!$B$2:$B$10,MATCH(F1789,Catalogo_Causas!$A$2:$A$10,0))</f>
        <v>Falla de servicios (vapor/amoniaco/aire)</v>
      </c>
      <c r="H1789" s="6" t="str">
        <f aca="false">INDEX(Catalogo_Causas!$C$2:$C$10,MATCH(F1789,Catalogo_Causas!$A$2:$A$10,0))</f>
        <v>Servicios</v>
      </c>
      <c r="I1789" s="5" t="n">
        <v>49</v>
      </c>
      <c r="J1789" s="29" t="n">
        <f aca="false">I1789/60</f>
        <v>0.816666666666667</v>
      </c>
    </row>
    <row r="1790" customFormat="false" ht="15" hidden="false" customHeight="false" outlineLevel="0" collapsed="false">
      <c r="A1790" s="5" t="s">
        <v>2832</v>
      </c>
      <c r="B1790" s="9" t="n">
        <v>46132</v>
      </c>
      <c r="C1790" s="9" t="n">
        <v>46134</v>
      </c>
      <c r="D1790" s="5" t="s">
        <v>142</v>
      </c>
      <c r="E1790" s="5" t="s">
        <v>1030</v>
      </c>
      <c r="F1790" s="5" t="s">
        <v>1021</v>
      </c>
      <c r="G1790" s="6" t="str">
        <f aca="false">INDEX(Catalogo_Causas!$B$2:$B$10,MATCH(F1790,Catalogo_Causas!$A$2:$A$10,0))</f>
        <v>Falla de servicios (vapor/amoniaco/aire)</v>
      </c>
      <c r="H1790" s="6" t="str">
        <f aca="false">INDEX(Catalogo_Causas!$C$2:$C$10,MATCH(F1790,Catalogo_Causas!$A$2:$A$10,0))</f>
        <v>Servicios</v>
      </c>
      <c r="I1790" s="5" t="n">
        <v>53</v>
      </c>
      <c r="J1790" s="29" t="n">
        <f aca="false">I1790/60</f>
        <v>0.883333333333333</v>
      </c>
    </row>
    <row r="1791" customFormat="false" ht="15" hidden="false" customHeight="false" outlineLevel="0" collapsed="false">
      <c r="A1791" s="5" t="s">
        <v>2833</v>
      </c>
      <c r="B1791" s="9" t="n">
        <v>46132</v>
      </c>
      <c r="C1791" s="9" t="n">
        <v>46135</v>
      </c>
      <c r="D1791" s="5" t="s">
        <v>132</v>
      </c>
      <c r="E1791" s="5" t="s">
        <v>1073</v>
      </c>
      <c r="F1791" s="5" t="s">
        <v>1005</v>
      </c>
      <c r="G1791" s="6" t="str">
        <f aca="false">INDEX(Catalogo_Causas!$B$2:$B$10,MATCH(F1791,Catalogo_Causas!$A$2:$A$10,0))</f>
        <v>Falla eléctrica / control</v>
      </c>
      <c r="H1791" s="6" t="str">
        <f aca="false">INDEX(Catalogo_Causas!$C$2:$C$10,MATCH(F1791,Catalogo_Causas!$A$2:$A$10,0))</f>
        <v>Operacional</v>
      </c>
      <c r="I1791" s="5" t="n">
        <v>112</v>
      </c>
      <c r="J1791" s="29" t="n">
        <f aca="false">I1791/60</f>
        <v>1.86666666666667</v>
      </c>
    </row>
    <row r="1792" customFormat="false" ht="15" hidden="false" customHeight="false" outlineLevel="0" collapsed="false">
      <c r="A1792" s="5" t="s">
        <v>2834</v>
      </c>
      <c r="B1792" s="9" t="n">
        <v>46132</v>
      </c>
      <c r="C1792" s="9" t="n">
        <v>46136</v>
      </c>
      <c r="D1792" s="5" t="s">
        <v>134</v>
      </c>
      <c r="E1792" s="5" t="s">
        <v>1030</v>
      </c>
      <c r="F1792" s="5" t="s">
        <v>1002</v>
      </c>
      <c r="G1792" s="6" t="str">
        <f aca="false">INDEX(Catalogo_Causas!$B$2:$B$10,MATCH(F1792,Catalogo_Causas!$A$2:$A$10,0))</f>
        <v>Falla mecánica</v>
      </c>
      <c r="H1792" s="6" t="str">
        <f aca="false">INDEX(Catalogo_Causas!$C$2:$C$10,MATCH(F1792,Catalogo_Causas!$A$2:$A$10,0))</f>
        <v>Operacional</v>
      </c>
      <c r="I1792" s="5" t="n">
        <v>149</v>
      </c>
      <c r="J1792" s="29" t="n">
        <f aca="false">I1792/60</f>
        <v>2.48333333333333</v>
      </c>
    </row>
    <row r="1793" customFormat="false" ht="15" hidden="false" customHeight="false" outlineLevel="0" collapsed="false">
      <c r="A1793" s="5" t="s">
        <v>2835</v>
      </c>
      <c r="B1793" s="9" t="n">
        <v>46132</v>
      </c>
      <c r="C1793" s="9" t="n">
        <v>46136</v>
      </c>
      <c r="D1793" s="5" t="s">
        <v>136</v>
      </c>
      <c r="E1793" s="5" t="s">
        <v>1101</v>
      </c>
      <c r="F1793" s="5" t="s">
        <v>1002</v>
      </c>
      <c r="G1793" s="6" t="str">
        <f aca="false">INDEX(Catalogo_Causas!$B$2:$B$10,MATCH(F1793,Catalogo_Causas!$A$2:$A$10,0))</f>
        <v>Falla mecánica</v>
      </c>
      <c r="H1793" s="6" t="str">
        <f aca="false">INDEX(Catalogo_Causas!$C$2:$C$10,MATCH(F1793,Catalogo_Causas!$A$2:$A$10,0))</f>
        <v>Operacional</v>
      </c>
      <c r="I1793" s="5" t="n">
        <v>46</v>
      </c>
      <c r="J1793" s="29" t="n">
        <f aca="false">I1793/60</f>
        <v>0.766666666666667</v>
      </c>
    </row>
    <row r="1794" customFormat="false" ht="15" hidden="false" customHeight="false" outlineLevel="0" collapsed="false">
      <c r="A1794" s="5" t="s">
        <v>2836</v>
      </c>
      <c r="B1794" s="9" t="n">
        <v>46132</v>
      </c>
      <c r="C1794" s="9" t="n">
        <v>46137</v>
      </c>
      <c r="D1794" s="5" t="s">
        <v>142</v>
      </c>
      <c r="E1794" s="5" t="s">
        <v>1030</v>
      </c>
      <c r="F1794" s="5" t="s">
        <v>1021</v>
      </c>
      <c r="G1794" s="6" t="str">
        <f aca="false">INDEX(Catalogo_Causas!$B$2:$B$10,MATCH(F1794,Catalogo_Causas!$A$2:$A$10,0))</f>
        <v>Falla de servicios (vapor/amoniaco/aire)</v>
      </c>
      <c r="H1794" s="6" t="str">
        <f aca="false">INDEX(Catalogo_Causas!$C$2:$C$10,MATCH(F1794,Catalogo_Causas!$A$2:$A$10,0))</f>
        <v>Servicios</v>
      </c>
      <c r="I1794" s="5" t="n">
        <v>48</v>
      </c>
      <c r="J1794" s="29" t="n">
        <f aca="false">I1794/60</f>
        <v>0.8</v>
      </c>
    </row>
    <row r="1795" customFormat="false" ht="15" hidden="false" customHeight="false" outlineLevel="0" collapsed="false">
      <c r="A1795" s="5" t="s">
        <v>2837</v>
      </c>
      <c r="B1795" s="9" t="n">
        <v>46139</v>
      </c>
      <c r="C1795" s="9" t="n">
        <v>46139</v>
      </c>
      <c r="D1795" s="5" t="s">
        <v>138</v>
      </c>
      <c r="E1795" s="5" t="s">
        <v>1056</v>
      </c>
      <c r="F1795" s="5" t="s">
        <v>1005</v>
      </c>
      <c r="G1795" s="6" t="str">
        <f aca="false">INDEX(Catalogo_Causas!$B$2:$B$10,MATCH(F1795,Catalogo_Causas!$A$2:$A$10,0))</f>
        <v>Falla eléctrica / control</v>
      </c>
      <c r="H1795" s="6" t="str">
        <f aca="false">INDEX(Catalogo_Causas!$C$2:$C$10,MATCH(F1795,Catalogo_Causas!$A$2:$A$10,0))</f>
        <v>Operacional</v>
      </c>
      <c r="I1795" s="5" t="n">
        <v>50</v>
      </c>
      <c r="J1795" s="29" t="n">
        <f aca="false">I1795/60</f>
        <v>0.833333333333333</v>
      </c>
    </row>
    <row r="1796" customFormat="false" ht="15" hidden="false" customHeight="false" outlineLevel="0" collapsed="false">
      <c r="A1796" s="5" t="s">
        <v>2838</v>
      </c>
      <c r="B1796" s="9" t="n">
        <v>46139</v>
      </c>
      <c r="C1796" s="9" t="n">
        <v>46139</v>
      </c>
      <c r="D1796" s="5" t="s">
        <v>142</v>
      </c>
      <c r="E1796" s="5" t="s">
        <v>1041</v>
      </c>
      <c r="F1796" s="5" t="s">
        <v>1014</v>
      </c>
      <c r="G1796" s="6" t="str">
        <f aca="false">INDEX(Catalogo_Causas!$B$2:$B$10,MATCH(F1796,Catalogo_Causas!$A$2:$A$10,0))</f>
        <v>Retención de calidad</v>
      </c>
      <c r="H1796" s="6" t="str">
        <f aca="false">INDEX(Catalogo_Causas!$C$2:$C$10,MATCH(F1796,Catalogo_Causas!$A$2:$A$10,0))</f>
        <v>Calidad</v>
      </c>
      <c r="I1796" s="5" t="n">
        <v>51</v>
      </c>
      <c r="J1796" s="29" t="n">
        <f aca="false">I1796/60</f>
        <v>0.85</v>
      </c>
    </row>
    <row r="1797" customFormat="false" ht="15" hidden="false" customHeight="false" outlineLevel="0" collapsed="false">
      <c r="A1797" s="5" t="s">
        <v>2839</v>
      </c>
      <c r="B1797" s="9" t="n">
        <v>46139</v>
      </c>
      <c r="C1797" s="9" t="n">
        <v>46139</v>
      </c>
      <c r="D1797" s="5" t="s">
        <v>144</v>
      </c>
      <c r="E1797" s="5" t="s">
        <v>1043</v>
      </c>
      <c r="F1797" s="5" t="s">
        <v>1021</v>
      </c>
      <c r="G1797" s="6" t="str">
        <f aca="false">INDEX(Catalogo_Causas!$B$2:$B$10,MATCH(F1797,Catalogo_Causas!$A$2:$A$10,0))</f>
        <v>Falla de servicios (vapor/amoniaco/aire)</v>
      </c>
      <c r="H1797" s="6" t="str">
        <f aca="false">INDEX(Catalogo_Causas!$C$2:$C$10,MATCH(F1797,Catalogo_Causas!$A$2:$A$10,0))</f>
        <v>Servicios</v>
      </c>
      <c r="I1797" s="5" t="n">
        <v>52</v>
      </c>
      <c r="J1797" s="29" t="n">
        <f aca="false">I1797/60</f>
        <v>0.866666666666667</v>
      </c>
    </row>
    <row r="1798" customFormat="false" ht="15" hidden="false" customHeight="false" outlineLevel="0" collapsed="false">
      <c r="A1798" s="5" t="s">
        <v>2840</v>
      </c>
      <c r="B1798" s="9" t="n">
        <v>46139</v>
      </c>
      <c r="C1798" s="9" t="n">
        <v>46141</v>
      </c>
      <c r="D1798" s="5" t="s">
        <v>132</v>
      </c>
      <c r="E1798" s="5" t="s">
        <v>1032</v>
      </c>
      <c r="F1798" s="5" t="s">
        <v>1002</v>
      </c>
      <c r="G1798" s="6" t="str">
        <f aca="false">INDEX(Catalogo_Causas!$B$2:$B$10,MATCH(F1798,Catalogo_Causas!$A$2:$A$10,0))</f>
        <v>Falla mecánica</v>
      </c>
      <c r="H1798" s="6" t="str">
        <f aca="false">INDEX(Catalogo_Causas!$C$2:$C$10,MATCH(F1798,Catalogo_Causas!$A$2:$A$10,0))</f>
        <v>Operacional</v>
      </c>
      <c r="I1798" s="5" t="n">
        <v>29</v>
      </c>
      <c r="J1798" s="29" t="n">
        <f aca="false">I1798/60</f>
        <v>0.483333333333333</v>
      </c>
    </row>
    <row r="1799" customFormat="false" ht="15" hidden="false" customHeight="false" outlineLevel="0" collapsed="false">
      <c r="A1799" s="5" t="s">
        <v>2841</v>
      </c>
      <c r="B1799" s="9" t="n">
        <v>46139</v>
      </c>
      <c r="C1799" s="9" t="n">
        <v>46142</v>
      </c>
      <c r="D1799" s="5" t="s">
        <v>136</v>
      </c>
      <c r="E1799" s="5" t="s">
        <v>1051</v>
      </c>
      <c r="F1799" s="5" t="s">
        <v>1007</v>
      </c>
      <c r="G1799" s="6" t="str">
        <f aca="false">INDEX(Catalogo_Causas!$B$2:$B$10,MATCH(F1799,Catalogo_Causas!$A$2:$A$10,0))</f>
        <v>Cambio de formato excedido</v>
      </c>
      <c r="H1799" s="6" t="str">
        <f aca="false">INDEX(Catalogo_Causas!$C$2:$C$10,MATCH(F1799,Catalogo_Causas!$A$2:$A$10,0))</f>
        <v>Operacional</v>
      </c>
      <c r="I1799" s="5" t="n">
        <v>192</v>
      </c>
      <c r="J1799" s="29" t="n">
        <f aca="false">I1799/60</f>
        <v>3.2</v>
      </c>
    </row>
    <row r="1800" customFormat="false" ht="15" hidden="false" customHeight="false" outlineLevel="0" collapsed="false">
      <c r="A1800" s="5" t="s">
        <v>2842</v>
      </c>
      <c r="B1800" s="9" t="n">
        <v>46139</v>
      </c>
      <c r="C1800" s="9" t="n">
        <v>46142</v>
      </c>
      <c r="D1800" s="5" t="s">
        <v>138</v>
      </c>
      <c r="E1800" s="5" t="s">
        <v>1056</v>
      </c>
      <c r="F1800" s="5" t="s">
        <v>1007</v>
      </c>
      <c r="G1800" s="6" t="str">
        <f aca="false">INDEX(Catalogo_Causas!$B$2:$B$10,MATCH(F1800,Catalogo_Causas!$A$2:$A$10,0))</f>
        <v>Cambio de formato excedido</v>
      </c>
      <c r="H1800" s="6" t="str">
        <f aca="false">INDEX(Catalogo_Causas!$C$2:$C$10,MATCH(F1800,Catalogo_Causas!$A$2:$A$10,0))</f>
        <v>Operacional</v>
      </c>
      <c r="I1800" s="5" t="n">
        <v>63</v>
      </c>
      <c r="J1800" s="29" t="n">
        <f aca="false">I1800/60</f>
        <v>1.05</v>
      </c>
    </row>
    <row r="1801" customFormat="false" ht="15" hidden="false" customHeight="false" outlineLevel="0" collapsed="false">
      <c r="A1801" s="5" t="s">
        <v>2843</v>
      </c>
      <c r="B1801" s="9" t="n">
        <v>46139</v>
      </c>
      <c r="C1801" s="9" t="n">
        <v>46142</v>
      </c>
      <c r="D1801" s="5" t="s">
        <v>142</v>
      </c>
      <c r="E1801" s="5" t="s">
        <v>1041</v>
      </c>
      <c r="F1801" s="5" t="s">
        <v>1018</v>
      </c>
      <c r="G1801" s="6" t="str">
        <f aca="false">INDEX(Catalogo_Causas!$B$2:$B$10,MATCH(F1801,Catalogo_Causas!$A$2:$A$10,0))</f>
        <v>Falta de personal</v>
      </c>
      <c r="H1801" s="6" t="str">
        <f aca="false">INDEX(Catalogo_Causas!$C$2:$C$10,MATCH(F1801,Catalogo_Causas!$A$2:$A$10,0))</f>
        <v>Personal</v>
      </c>
      <c r="I1801" s="5" t="n">
        <v>29</v>
      </c>
      <c r="J1801" s="29" t="n">
        <f aca="false">I1801/60</f>
        <v>0.483333333333333</v>
      </c>
    </row>
    <row r="1802" customFormat="false" ht="15" hidden="false" customHeight="false" outlineLevel="0" collapsed="false">
      <c r="A1802" s="5" t="s">
        <v>2844</v>
      </c>
      <c r="B1802" s="9" t="n">
        <v>46139</v>
      </c>
      <c r="C1802" s="9" t="n">
        <v>46143</v>
      </c>
      <c r="D1802" s="5" t="s">
        <v>130</v>
      </c>
      <c r="E1802" s="5" t="s">
        <v>1045</v>
      </c>
      <c r="F1802" s="5" t="s">
        <v>1002</v>
      </c>
      <c r="G1802" s="6" t="str">
        <f aca="false">INDEX(Catalogo_Causas!$B$2:$B$10,MATCH(F1802,Catalogo_Causas!$A$2:$A$10,0))</f>
        <v>Falla mecánica</v>
      </c>
      <c r="H1802" s="6" t="str">
        <f aca="false">INDEX(Catalogo_Causas!$C$2:$C$10,MATCH(F1802,Catalogo_Causas!$A$2:$A$10,0))</f>
        <v>Operacional</v>
      </c>
      <c r="I1802" s="5" t="n">
        <v>20</v>
      </c>
      <c r="J1802" s="29" t="n">
        <f aca="false">I1802/60</f>
        <v>0.333333333333333</v>
      </c>
    </row>
    <row r="1803" customFormat="false" ht="15" hidden="false" customHeight="false" outlineLevel="0" collapsed="false">
      <c r="A1803" s="5" t="s">
        <v>2845</v>
      </c>
      <c r="B1803" s="9" t="n">
        <v>46139</v>
      </c>
      <c r="C1803" s="9" t="n">
        <v>46143</v>
      </c>
      <c r="D1803" s="5" t="s">
        <v>138</v>
      </c>
      <c r="E1803" s="5" t="s">
        <v>1034</v>
      </c>
      <c r="F1803" s="5" t="s">
        <v>1002</v>
      </c>
      <c r="G1803" s="6" t="str">
        <f aca="false">INDEX(Catalogo_Causas!$B$2:$B$10,MATCH(F1803,Catalogo_Causas!$A$2:$A$10,0))</f>
        <v>Falla mecánica</v>
      </c>
      <c r="H1803" s="6" t="str">
        <f aca="false">INDEX(Catalogo_Causas!$C$2:$C$10,MATCH(F1803,Catalogo_Causas!$A$2:$A$10,0))</f>
        <v>Operacional</v>
      </c>
      <c r="I1803" s="5" t="n">
        <v>64</v>
      </c>
      <c r="J1803" s="29" t="n">
        <f aca="false">I1803/60</f>
        <v>1.06666666666667</v>
      </c>
    </row>
    <row r="1804" customFormat="false" ht="15" hidden="false" customHeight="false" outlineLevel="0" collapsed="false">
      <c r="A1804" s="5" t="s">
        <v>2846</v>
      </c>
      <c r="B1804" s="9" t="n">
        <v>46139</v>
      </c>
      <c r="C1804" s="9" t="n">
        <v>46143</v>
      </c>
      <c r="D1804" s="5" t="s">
        <v>138</v>
      </c>
      <c r="E1804" s="5" t="s">
        <v>1039</v>
      </c>
      <c r="F1804" s="5" t="s">
        <v>1005</v>
      </c>
      <c r="G1804" s="6" t="str">
        <f aca="false">INDEX(Catalogo_Causas!$B$2:$B$10,MATCH(F1804,Catalogo_Causas!$A$2:$A$10,0))</f>
        <v>Falla eléctrica / control</v>
      </c>
      <c r="H1804" s="6" t="str">
        <f aca="false">INDEX(Catalogo_Causas!$C$2:$C$10,MATCH(F1804,Catalogo_Causas!$A$2:$A$10,0))</f>
        <v>Operacional</v>
      </c>
      <c r="I1804" s="5" t="n">
        <v>33</v>
      </c>
      <c r="J1804" s="29" t="n">
        <f aca="false">I1804/60</f>
        <v>0.55</v>
      </c>
    </row>
    <row r="1805" customFormat="false" ht="15" hidden="false" customHeight="false" outlineLevel="0" collapsed="false">
      <c r="A1805" s="5" t="s">
        <v>2847</v>
      </c>
      <c r="B1805" s="9" t="n">
        <v>46139</v>
      </c>
      <c r="C1805" s="9" t="n">
        <v>46143</v>
      </c>
      <c r="D1805" s="5" t="s">
        <v>142</v>
      </c>
      <c r="E1805" s="5" t="s">
        <v>1041</v>
      </c>
      <c r="F1805" s="5" t="s">
        <v>1007</v>
      </c>
      <c r="G1805" s="6" t="str">
        <f aca="false">INDEX(Catalogo_Causas!$B$2:$B$10,MATCH(F1805,Catalogo_Causas!$A$2:$A$10,0))</f>
        <v>Cambio de formato excedido</v>
      </c>
      <c r="H1805" s="6" t="str">
        <f aca="false">INDEX(Catalogo_Causas!$C$2:$C$10,MATCH(F1805,Catalogo_Causas!$A$2:$A$10,0))</f>
        <v>Operacional</v>
      </c>
      <c r="I1805" s="5" t="n">
        <v>43</v>
      </c>
      <c r="J1805" s="29" t="n">
        <f aca="false">I1805/60</f>
        <v>0.716666666666667</v>
      </c>
    </row>
    <row r="1806" customFormat="false" ht="15" hidden="false" customHeight="false" outlineLevel="0" collapsed="false">
      <c r="A1806" s="5" t="s">
        <v>2848</v>
      </c>
      <c r="B1806" s="9" t="n">
        <v>46139</v>
      </c>
      <c r="C1806" s="9" t="n">
        <v>46143</v>
      </c>
      <c r="D1806" s="5" t="s">
        <v>144</v>
      </c>
      <c r="E1806" s="5" t="s">
        <v>1030</v>
      </c>
      <c r="F1806" s="5" t="s">
        <v>1007</v>
      </c>
      <c r="G1806" s="6" t="str">
        <f aca="false">INDEX(Catalogo_Causas!$B$2:$B$10,MATCH(F1806,Catalogo_Causas!$A$2:$A$10,0))</f>
        <v>Cambio de formato excedido</v>
      </c>
      <c r="H1806" s="6" t="str">
        <f aca="false">INDEX(Catalogo_Causas!$C$2:$C$10,MATCH(F1806,Catalogo_Causas!$A$2:$A$10,0))</f>
        <v>Operacional</v>
      </c>
      <c r="I1806" s="5" t="n">
        <v>93</v>
      </c>
      <c r="J1806" s="29" t="n">
        <f aca="false">I1806/60</f>
        <v>1.55</v>
      </c>
    </row>
    <row r="1807" customFormat="false" ht="15" hidden="false" customHeight="false" outlineLevel="0" collapsed="false">
      <c r="A1807" s="5" t="s">
        <v>2849</v>
      </c>
      <c r="B1807" s="9" t="n">
        <v>46139</v>
      </c>
      <c r="C1807" s="9" t="n">
        <v>46144</v>
      </c>
      <c r="D1807" s="5" t="s">
        <v>136</v>
      </c>
      <c r="E1807" s="5" t="s">
        <v>1032</v>
      </c>
      <c r="F1807" s="5" t="s">
        <v>1002</v>
      </c>
      <c r="G1807" s="6" t="str">
        <f aca="false">INDEX(Catalogo_Causas!$B$2:$B$10,MATCH(F1807,Catalogo_Causas!$A$2:$A$10,0))</f>
        <v>Falla mecánica</v>
      </c>
      <c r="H1807" s="6" t="str">
        <f aca="false">INDEX(Catalogo_Causas!$C$2:$C$10,MATCH(F1807,Catalogo_Causas!$A$2:$A$10,0))</f>
        <v>Operacional</v>
      </c>
      <c r="I1807" s="5" t="n">
        <v>28</v>
      </c>
      <c r="J1807" s="29" t="n">
        <f aca="false">I1807/60</f>
        <v>0.466666666666667</v>
      </c>
    </row>
    <row r="1808" customFormat="false" ht="15" hidden="false" customHeight="false" outlineLevel="0" collapsed="false">
      <c r="A1808" s="5" t="s">
        <v>2850</v>
      </c>
      <c r="B1808" s="9" t="n">
        <v>46139</v>
      </c>
      <c r="C1808" s="9" t="n">
        <v>46144</v>
      </c>
      <c r="D1808" s="5" t="s">
        <v>136</v>
      </c>
      <c r="E1808" s="5" t="s">
        <v>1051</v>
      </c>
      <c r="F1808" s="5" t="s">
        <v>1007</v>
      </c>
      <c r="G1808" s="6" t="str">
        <f aca="false">INDEX(Catalogo_Causas!$B$2:$B$10,MATCH(F1808,Catalogo_Causas!$A$2:$A$10,0))</f>
        <v>Cambio de formato excedido</v>
      </c>
      <c r="H1808" s="6" t="str">
        <f aca="false">INDEX(Catalogo_Causas!$C$2:$C$10,MATCH(F1808,Catalogo_Causas!$A$2:$A$10,0))</f>
        <v>Operacional</v>
      </c>
      <c r="I1808" s="5" t="n">
        <v>248</v>
      </c>
      <c r="J1808" s="29" t="n">
        <f aca="false">I1808/60</f>
        <v>4.13333333333333</v>
      </c>
    </row>
    <row r="1809" customFormat="false" ht="15" hidden="false" customHeight="false" outlineLevel="0" collapsed="false">
      <c r="A1809" s="5" t="s">
        <v>2851</v>
      </c>
      <c r="B1809" s="9" t="n">
        <v>46139</v>
      </c>
      <c r="C1809" s="9" t="n">
        <v>46144</v>
      </c>
      <c r="D1809" s="5" t="s">
        <v>138</v>
      </c>
      <c r="E1809" s="5" t="s">
        <v>1034</v>
      </c>
      <c r="F1809" s="5" t="s">
        <v>1005</v>
      </c>
      <c r="G1809" s="6" t="str">
        <f aca="false">INDEX(Catalogo_Causas!$B$2:$B$10,MATCH(F1809,Catalogo_Causas!$A$2:$A$10,0))</f>
        <v>Falla eléctrica / control</v>
      </c>
      <c r="H1809" s="6" t="str">
        <f aca="false">INDEX(Catalogo_Causas!$C$2:$C$10,MATCH(F1809,Catalogo_Causas!$A$2:$A$10,0))</f>
        <v>Operacional</v>
      </c>
      <c r="I1809" s="5" t="n">
        <v>36</v>
      </c>
      <c r="J1809" s="29" t="n">
        <f aca="false">I1809/60</f>
        <v>0.6</v>
      </c>
    </row>
    <row r="1810" customFormat="false" ht="15" hidden="false" customHeight="false" outlineLevel="0" collapsed="false">
      <c r="A1810" s="5" t="s">
        <v>2852</v>
      </c>
      <c r="B1810" s="9" t="n">
        <v>46139</v>
      </c>
      <c r="C1810" s="9" t="n">
        <v>46144</v>
      </c>
      <c r="D1810" s="5" t="s">
        <v>142</v>
      </c>
      <c r="E1810" s="5" t="s">
        <v>1041</v>
      </c>
      <c r="F1810" s="5" t="s">
        <v>1009</v>
      </c>
      <c r="G1810" s="6" t="str">
        <f aca="false">INDEX(Catalogo_Causas!$B$2:$B$10,MATCH(F1810,Catalogo_Causas!$A$2:$A$10,0))</f>
        <v>Falta de material de empaque</v>
      </c>
      <c r="H1810" s="6" t="str">
        <f aca="false">INDEX(Catalogo_Causas!$C$2:$C$10,MATCH(F1810,Catalogo_Causas!$A$2:$A$10,0))</f>
        <v>Material / suministro</v>
      </c>
      <c r="I1810" s="5" t="n">
        <v>89</v>
      </c>
      <c r="J1810" s="29" t="n">
        <f aca="false">I1810/60</f>
        <v>1.48333333333333</v>
      </c>
    </row>
    <row r="1811" customFormat="false" ht="15" hidden="false" customHeight="false" outlineLevel="0" collapsed="false">
      <c r="A1811" s="5" t="s">
        <v>2853</v>
      </c>
      <c r="B1811" s="9" t="n">
        <v>46146</v>
      </c>
      <c r="C1811" s="9" t="n">
        <v>46146</v>
      </c>
      <c r="D1811" s="5" t="s">
        <v>132</v>
      </c>
      <c r="E1811" s="5" t="s">
        <v>1084</v>
      </c>
      <c r="F1811" s="5" t="s">
        <v>1007</v>
      </c>
      <c r="G1811" s="6" t="str">
        <f aca="false">INDEX(Catalogo_Causas!$B$2:$B$10,MATCH(F1811,Catalogo_Causas!$A$2:$A$10,0))</f>
        <v>Cambio de formato excedido</v>
      </c>
      <c r="H1811" s="6" t="str">
        <f aca="false">INDEX(Catalogo_Causas!$C$2:$C$10,MATCH(F1811,Catalogo_Causas!$A$2:$A$10,0))</f>
        <v>Operacional</v>
      </c>
      <c r="I1811" s="5" t="n">
        <v>52</v>
      </c>
      <c r="J1811" s="29" t="n">
        <f aca="false">I1811/60</f>
        <v>0.866666666666667</v>
      </c>
    </row>
    <row r="1812" customFormat="false" ht="15" hidden="false" customHeight="false" outlineLevel="0" collapsed="false">
      <c r="A1812" s="5" t="s">
        <v>2854</v>
      </c>
      <c r="B1812" s="9" t="n">
        <v>46146</v>
      </c>
      <c r="C1812" s="9" t="n">
        <v>46146</v>
      </c>
      <c r="D1812" s="5" t="s">
        <v>142</v>
      </c>
      <c r="E1812" s="5" t="s">
        <v>1041</v>
      </c>
      <c r="F1812" s="5" t="s">
        <v>1018</v>
      </c>
      <c r="G1812" s="6" t="str">
        <f aca="false">INDEX(Catalogo_Causas!$B$2:$B$10,MATCH(F1812,Catalogo_Causas!$A$2:$A$10,0))</f>
        <v>Falta de personal</v>
      </c>
      <c r="H1812" s="6" t="str">
        <f aca="false">INDEX(Catalogo_Causas!$C$2:$C$10,MATCH(F1812,Catalogo_Causas!$A$2:$A$10,0))</f>
        <v>Personal</v>
      </c>
      <c r="I1812" s="5" t="n">
        <v>53</v>
      </c>
      <c r="J1812" s="29" t="n">
        <f aca="false">I1812/60</f>
        <v>0.883333333333333</v>
      </c>
    </row>
    <row r="1813" customFormat="false" ht="15" hidden="false" customHeight="false" outlineLevel="0" collapsed="false">
      <c r="A1813" s="5" t="s">
        <v>2855</v>
      </c>
      <c r="B1813" s="9" t="n">
        <v>46146</v>
      </c>
      <c r="C1813" s="9" t="n">
        <v>46147</v>
      </c>
      <c r="D1813" s="5" t="s">
        <v>130</v>
      </c>
      <c r="E1813" s="5" t="s">
        <v>1045</v>
      </c>
      <c r="F1813" s="5" t="s">
        <v>1007</v>
      </c>
      <c r="G1813" s="6" t="str">
        <f aca="false">INDEX(Catalogo_Causas!$B$2:$B$10,MATCH(F1813,Catalogo_Causas!$A$2:$A$10,0))</f>
        <v>Cambio de formato excedido</v>
      </c>
      <c r="H1813" s="6" t="str">
        <f aca="false">INDEX(Catalogo_Causas!$C$2:$C$10,MATCH(F1813,Catalogo_Causas!$A$2:$A$10,0))</f>
        <v>Operacional</v>
      </c>
      <c r="I1813" s="5" t="n">
        <v>54</v>
      </c>
      <c r="J1813" s="29" t="n">
        <f aca="false">I1813/60</f>
        <v>0.9</v>
      </c>
    </row>
    <row r="1814" customFormat="false" ht="15" hidden="false" customHeight="false" outlineLevel="0" collapsed="false">
      <c r="A1814" s="5" t="s">
        <v>2856</v>
      </c>
      <c r="B1814" s="9" t="n">
        <v>46146</v>
      </c>
      <c r="C1814" s="9" t="n">
        <v>46147</v>
      </c>
      <c r="D1814" s="5" t="s">
        <v>132</v>
      </c>
      <c r="E1814" s="5" t="s">
        <v>1084</v>
      </c>
      <c r="F1814" s="5" t="s">
        <v>1012</v>
      </c>
      <c r="G1814" s="6" t="str">
        <f aca="false">INDEX(Catalogo_Causas!$B$2:$B$10,MATCH(F1814,Catalogo_Causas!$A$2:$A$10,0))</f>
        <v>Falta de materia prima</v>
      </c>
      <c r="H1814" s="6" t="str">
        <f aca="false">INDEX(Catalogo_Causas!$C$2:$C$10,MATCH(F1814,Catalogo_Causas!$A$2:$A$10,0))</f>
        <v>Material / suministro</v>
      </c>
      <c r="I1814" s="5" t="n">
        <v>15</v>
      </c>
      <c r="J1814" s="29" t="n">
        <f aca="false">I1814/60</f>
        <v>0.25</v>
      </c>
    </row>
    <row r="1815" customFormat="false" ht="15" hidden="false" customHeight="false" outlineLevel="0" collapsed="false">
      <c r="A1815" s="5" t="s">
        <v>2857</v>
      </c>
      <c r="B1815" s="9" t="n">
        <v>46146</v>
      </c>
      <c r="C1815" s="9" t="n">
        <v>46147</v>
      </c>
      <c r="D1815" s="5" t="s">
        <v>134</v>
      </c>
      <c r="E1815" s="5" t="s">
        <v>1030</v>
      </c>
      <c r="F1815" s="5" t="s">
        <v>1002</v>
      </c>
      <c r="G1815" s="6" t="str">
        <f aca="false">INDEX(Catalogo_Causas!$B$2:$B$10,MATCH(F1815,Catalogo_Causas!$A$2:$A$10,0))</f>
        <v>Falla mecánica</v>
      </c>
      <c r="H1815" s="6" t="str">
        <f aca="false">INDEX(Catalogo_Causas!$C$2:$C$10,MATCH(F1815,Catalogo_Causas!$A$2:$A$10,0))</f>
        <v>Operacional</v>
      </c>
      <c r="I1815" s="5" t="n">
        <v>130</v>
      </c>
      <c r="J1815" s="29" t="n">
        <f aca="false">I1815/60</f>
        <v>2.16666666666667</v>
      </c>
    </row>
    <row r="1816" customFormat="false" ht="15" hidden="false" customHeight="false" outlineLevel="0" collapsed="false">
      <c r="A1816" s="5" t="s">
        <v>2858</v>
      </c>
      <c r="B1816" s="9" t="n">
        <v>46146</v>
      </c>
      <c r="C1816" s="9" t="n">
        <v>46148</v>
      </c>
      <c r="D1816" s="5" t="s">
        <v>132</v>
      </c>
      <c r="E1816" s="5" t="s">
        <v>1032</v>
      </c>
      <c r="F1816" s="5" t="s">
        <v>1002</v>
      </c>
      <c r="G1816" s="6" t="str">
        <f aca="false">INDEX(Catalogo_Causas!$B$2:$B$10,MATCH(F1816,Catalogo_Causas!$A$2:$A$10,0))</f>
        <v>Falla mecánica</v>
      </c>
      <c r="H1816" s="6" t="str">
        <f aca="false">INDEX(Catalogo_Causas!$C$2:$C$10,MATCH(F1816,Catalogo_Causas!$A$2:$A$10,0))</f>
        <v>Operacional</v>
      </c>
      <c r="I1816" s="5" t="n">
        <v>23</v>
      </c>
      <c r="J1816" s="29" t="n">
        <f aca="false">I1816/60</f>
        <v>0.383333333333333</v>
      </c>
    </row>
    <row r="1817" customFormat="false" ht="15" hidden="false" customHeight="false" outlineLevel="0" collapsed="false">
      <c r="A1817" s="5" t="s">
        <v>2859</v>
      </c>
      <c r="B1817" s="9" t="n">
        <v>46146</v>
      </c>
      <c r="C1817" s="9" t="n">
        <v>46148</v>
      </c>
      <c r="D1817" s="5" t="s">
        <v>138</v>
      </c>
      <c r="E1817" s="5" t="s">
        <v>1056</v>
      </c>
      <c r="F1817" s="5" t="s">
        <v>1002</v>
      </c>
      <c r="G1817" s="6" t="str">
        <f aca="false">INDEX(Catalogo_Causas!$B$2:$B$10,MATCH(F1817,Catalogo_Causas!$A$2:$A$10,0))</f>
        <v>Falla mecánica</v>
      </c>
      <c r="H1817" s="6" t="str">
        <f aca="false">INDEX(Catalogo_Causas!$C$2:$C$10,MATCH(F1817,Catalogo_Causas!$A$2:$A$10,0))</f>
        <v>Operacional</v>
      </c>
      <c r="I1817" s="5" t="n">
        <v>26</v>
      </c>
      <c r="J1817" s="29" t="n">
        <f aca="false">I1817/60</f>
        <v>0.433333333333333</v>
      </c>
    </row>
    <row r="1818" customFormat="false" ht="15" hidden="false" customHeight="false" outlineLevel="0" collapsed="false">
      <c r="A1818" s="5" t="s">
        <v>2860</v>
      </c>
      <c r="B1818" s="9" t="n">
        <v>46146</v>
      </c>
      <c r="C1818" s="9" t="n">
        <v>46149</v>
      </c>
      <c r="D1818" s="5" t="s">
        <v>138</v>
      </c>
      <c r="E1818" s="5" t="s">
        <v>1039</v>
      </c>
      <c r="F1818" s="5" t="s">
        <v>1014</v>
      </c>
      <c r="G1818" s="6" t="str">
        <f aca="false">INDEX(Catalogo_Causas!$B$2:$B$10,MATCH(F1818,Catalogo_Causas!$A$2:$A$10,0))</f>
        <v>Retención de calidad</v>
      </c>
      <c r="H1818" s="6" t="str">
        <f aca="false">INDEX(Catalogo_Causas!$C$2:$C$10,MATCH(F1818,Catalogo_Causas!$A$2:$A$10,0))</f>
        <v>Calidad</v>
      </c>
      <c r="I1818" s="5" t="n">
        <v>135</v>
      </c>
      <c r="J1818" s="29" t="n">
        <f aca="false">I1818/60</f>
        <v>2.25</v>
      </c>
    </row>
    <row r="1819" customFormat="false" ht="15" hidden="false" customHeight="false" outlineLevel="0" collapsed="false">
      <c r="A1819" s="5" t="s">
        <v>2861</v>
      </c>
      <c r="B1819" s="9" t="n">
        <v>46146</v>
      </c>
      <c r="C1819" s="9" t="n">
        <v>46150</v>
      </c>
      <c r="D1819" s="5" t="s">
        <v>134</v>
      </c>
      <c r="E1819" s="5" t="s">
        <v>1054</v>
      </c>
      <c r="F1819" s="5" t="s">
        <v>1014</v>
      </c>
      <c r="G1819" s="6" t="str">
        <f aca="false">INDEX(Catalogo_Causas!$B$2:$B$10,MATCH(F1819,Catalogo_Causas!$A$2:$A$10,0))</f>
        <v>Retención de calidad</v>
      </c>
      <c r="H1819" s="6" t="str">
        <f aca="false">INDEX(Catalogo_Causas!$C$2:$C$10,MATCH(F1819,Catalogo_Causas!$A$2:$A$10,0))</f>
        <v>Calidad</v>
      </c>
      <c r="I1819" s="5" t="n">
        <v>112</v>
      </c>
      <c r="J1819" s="29" t="n">
        <f aca="false">I1819/60</f>
        <v>1.86666666666667</v>
      </c>
    </row>
    <row r="1820" customFormat="false" ht="15" hidden="false" customHeight="false" outlineLevel="0" collapsed="false">
      <c r="A1820" s="5" t="s">
        <v>2862</v>
      </c>
      <c r="B1820" s="9" t="n">
        <v>46146</v>
      </c>
      <c r="C1820" s="9" t="n">
        <v>46150</v>
      </c>
      <c r="D1820" s="5" t="s">
        <v>144</v>
      </c>
      <c r="E1820" s="5" t="s">
        <v>1032</v>
      </c>
      <c r="F1820" s="5" t="s">
        <v>1005</v>
      </c>
      <c r="G1820" s="6" t="str">
        <f aca="false">INDEX(Catalogo_Causas!$B$2:$B$10,MATCH(F1820,Catalogo_Causas!$A$2:$A$10,0))</f>
        <v>Falla eléctrica / control</v>
      </c>
      <c r="H1820" s="6" t="str">
        <f aca="false">INDEX(Catalogo_Causas!$C$2:$C$10,MATCH(F1820,Catalogo_Causas!$A$2:$A$10,0))</f>
        <v>Operacional</v>
      </c>
      <c r="I1820" s="5" t="n">
        <v>111</v>
      </c>
      <c r="J1820" s="29" t="n">
        <f aca="false">I1820/60</f>
        <v>1.85</v>
      </c>
    </row>
    <row r="1821" customFormat="false" ht="15" hidden="false" customHeight="false" outlineLevel="0" collapsed="false">
      <c r="A1821" s="5" t="s">
        <v>2863</v>
      </c>
      <c r="B1821" s="9" t="n">
        <v>46146</v>
      </c>
      <c r="C1821" s="9" t="n">
        <v>46151</v>
      </c>
      <c r="D1821" s="5" t="s">
        <v>140</v>
      </c>
      <c r="E1821" s="5" t="s">
        <v>1036</v>
      </c>
      <c r="F1821" s="5" t="s">
        <v>1007</v>
      </c>
      <c r="G1821" s="6" t="str">
        <f aca="false">INDEX(Catalogo_Causas!$B$2:$B$10,MATCH(F1821,Catalogo_Causas!$A$2:$A$10,0))</f>
        <v>Cambio de formato excedido</v>
      </c>
      <c r="H1821" s="6" t="str">
        <f aca="false">INDEX(Catalogo_Causas!$C$2:$C$10,MATCH(F1821,Catalogo_Causas!$A$2:$A$10,0))</f>
        <v>Operacional</v>
      </c>
      <c r="I1821" s="5" t="n">
        <v>39</v>
      </c>
      <c r="J1821" s="29" t="n">
        <f aca="false">I1821/60</f>
        <v>0.65</v>
      </c>
    </row>
    <row r="1822" customFormat="false" ht="15" hidden="false" customHeight="false" outlineLevel="0" collapsed="false">
      <c r="A1822" s="5" t="s">
        <v>2864</v>
      </c>
      <c r="B1822" s="9" t="n">
        <v>46153</v>
      </c>
      <c r="C1822" s="9" t="n">
        <v>46153</v>
      </c>
      <c r="D1822" s="5" t="s">
        <v>130</v>
      </c>
      <c r="E1822" s="5" t="s">
        <v>1078</v>
      </c>
      <c r="F1822" s="5" t="s">
        <v>1002</v>
      </c>
      <c r="G1822" s="6" t="str">
        <f aca="false">INDEX(Catalogo_Causas!$B$2:$B$10,MATCH(F1822,Catalogo_Causas!$A$2:$A$10,0))</f>
        <v>Falla mecánica</v>
      </c>
      <c r="H1822" s="6" t="str">
        <f aca="false">INDEX(Catalogo_Causas!$C$2:$C$10,MATCH(F1822,Catalogo_Causas!$A$2:$A$10,0))</f>
        <v>Operacional</v>
      </c>
      <c r="I1822" s="5" t="n">
        <v>386</v>
      </c>
      <c r="J1822" s="29" t="n">
        <f aca="false">I1822/60</f>
        <v>6.43333333333333</v>
      </c>
    </row>
    <row r="1823" customFormat="false" ht="15" hidden="false" customHeight="false" outlineLevel="0" collapsed="false">
      <c r="A1823" s="5" t="s">
        <v>2865</v>
      </c>
      <c r="B1823" s="9" t="n">
        <v>46153</v>
      </c>
      <c r="C1823" s="9" t="n">
        <v>46153</v>
      </c>
      <c r="D1823" s="5" t="s">
        <v>134</v>
      </c>
      <c r="E1823" s="5" t="s">
        <v>1032</v>
      </c>
      <c r="F1823" s="5" t="s">
        <v>1007</v>
      </c>
      <c r="G1823" s="6" t="str">
        <f aca="false">INDEX(Catalogo_Causas!$B$2:$B$10,MATCH(F1823,Catalogo_Causas!$A$2:$A$10,0))</f>
        <v>Cambio de formato excedido</v>
      </c>
      <c r="H1823" s="6" t="str">
        <f aca="false">INDEX(Catalogo_Causas!$C$2:$C$10,MATCH(F1823,Catalogo_Causas!$A$2:$A$10,0))</f>
        <v>Operacional</v>
      </c>
      <c r="I1823" s="5" t="n">
        <v>65</v>
      </c>
      <c r="J1823" s="29" t="n">
        <f aca="false">I1823/60</f>
        <v>1.08333333333333</v>
      </c>
    </row>
    <row r="1824" customFormat="false" ht="15" hidden="false" customHeight="false" outlineLevel="0" collapsed="false">
      <c r="A1824" s="5" t="s">
        <v>2866</v>
      </c>
      <c r="B1824" s="9" t="n">
        <v>46153</v>
      </c>
      <c r="C1824" s="9" t="n">
        <v>46153</v>
      </c>
      <c r="D1824" s="5" t="s">
        <v>136</v>
      </c>
      <c r="E1824" s="5" t="s">
        <v>1051</v>
      </c>
      <c r="F1824" s="5" t="s">
        <v>1007</v>
      </c>
      <c r="G1824" s="6" t="str">
        <f aca="false">INDEX(Catalogo_Causas!$B$2:$B$10,MATCH(F1824,Catalogo_Causas!$A$2:$A$10,0))</f>
        <v>Cambio de formato excedido</v>
      </c>
      <c r="H1824" s="6" t="str">
        <f aca="false">INDEX(Catalogo_Causas!$C$2:$C$10,MATCH(F1824,Catalogo_Causas!$A$2:$A$10,0))</f>
        <v>Operacional</v>
      </c>
      <c r="I1824" s="5" t="n">
        <v>52</v>
      </c>
      <c r="J1824" s="29" t="n">
        <f aca="false">I1824/60</f>
        <v>0.866666666666667</v>
      </c>
    </row>
    <row r="1825" customFormat="false" ht="15" hidden="false" customHeight="false" outlineLevel="0" collapsed="false">
      <c r="A1825" s="5" t="s">
        <v>2867</v>
      </c>
      <c r="B1825" s="9" t="n">
        <v>46153</v>
      </c>
      <c r="C1825" s="9" t="n">
        <v>46153</v>
      </c>
      <c r="D1825" s="5" t="s">
        <v>136</v>
      </c>
      <c r="E1825" s="5" t="s">
        <v>1101</v>
      </c>
      <c r="F1825" s="5" t="s">
        <v>1005</v>
      </c>
      <c r="G1825" s="6" t="str">
        <f aca="false">INDEX(Catalogo_Causas!$B$2:$B$10,MATCH(F1825,Catalogo_Causas!$A$2:$A$10,0))</f>
        <v>Falla eléctrica / control</v>
      </c>
      <c r="H1825" s="6" t="str">
        <f aca="false">INDEX(Catalogo_Causas!$C$2:$C$10,MATCH(F1825,Catalogo_Causas!$A$2:$A$10,0))</f>
        <v>Operacional</v>
      </c>
      <c r="I1825" s="5" t="n">
        <v>72</v>
      </c>
      <c r="J1825" s="29" t="n">
        <f aca="false">I1825/60</f>
        <v>1.2</v>
      </c>
    </row>
    <row r="1826" customFormat="false" ht="15" hidden="false" customHeight="false" outlineLevel="0" collapsed="false">
      <c r="A1826" s="5" t="s">
        <v>2868</v>
      </c>
      <c r="B1826" s="9" t="n">
        <v>46153</v>
      </c>
      <c r="C1826" s="9" t="n">
        <v>46153</v>
      </c>
      <c r="D1826" s="5" t="s">
        <v>138</v>
      </c>
      <c r="E1826" s="5" t="s">
        <v>1039</v>
      </c>
      <c r="F1826" s="5" t="s">
        <v>1007</v>
      </c>
      <c r="G1826" s="6" t="str">
        <f aca="false">INDEX(Catalogo_Causas!$B$2:$B$10,MATCH(F1826,Catalogo_Causas!$A$2:$A$10,0))</f>
        <v>Cambio de formato excedido</v>
      </c>
      <c r="H1826" s="6" t="str">
        <f aca="false">INDEX(Catalogo_Causas!$C$2:$C$10,MATCH(F1826,Catalogo_Causas!$A$2:$A$10,0))</f>
        <v>Operacional</v>
      </c>
      <c r="I1826" s="5" t="n">
        <v>66</v>
      </c>
      <c r="J1826" s="29" t="n">
        <f aca="false">I1826/60</f>
        <v>1.1</v>
      </c>
    </row>
    <row r="1827" customFormat="false" ht="15" hidden="false" customHeight="false" outlineLevel="0" collapsed="false">
      <c r="A1827" s="5" t="s">
        <v>2869</v>
      </c>
      <c r="B1827" s="9" t="n">
        <v>46153</v>
      </c>
      <c r="C1827" s="9" t="n">
        <v>46153</v>
      </c>
      <c r="D1827" s="5" t="s">
        <v>140</v>
      </c>
      <c r="E1827" s="5" t="s">
        <v>1045</v>
      </c>
      <c r="F1827" s="5" t="s">
        <v>1007</v>
      </c>
      <c r="G1827" s="6" t="str">
        <f aca="false">INDEX(Catalogo_Causas!$B$2:$B$10,MATCH(F1827,Catalogo_Causas!$A$2:$A$10,0))</f>
        <v>Cambio de formato excedido</v>
      </c>
      <c r="H1827" s="6" t="str">
        <f aca="false">INDEX(Catalogo_Causas!$C$2:$C$10,MATCH(F1827,Catalogo_Causas!$A$2:$A$10,0))</f>
        <v>Operacional</v>
      </c>
      <c r="I1827" s="5" t="n">
        <v>33</v>
      </c>
      <c r="J1827" s="29" t="n">
        <f aca="false">I1827/60</f>
        <v>0.55</v>
      </c>
    </row>
    <row r="1828" customFormat="false" ht="15" hidden="false" customHeight="false" outlineLevel="0" collapsed="false">
      <c r="A1828" s="5" t="s">
        <v>2870</v>
      </c>
      <c r="B1828" s="9" t="n">
        <v>46153</v>
      </c>
      <c r="C1828" s="9" t="n">
        <v>46153</v>
      </c>
      <c r="D1828" s="5" t="s">
        <v>142</v>
      </c>
      <c r="E1828" s="5" t="s">
        <v>1030</v>
      </c>
      <c r="F1828" s="5" t="s">
        <v>1007</v>
      </c>
      <c r="G1828" s="6" t="str">
        <f aca="false">INDEX(Catalogo_Causas!$B$2:$B$10,MATCH(F1828,Catalogo_Causas!$A$2:$A$10,0))</f>
        <v>Cambio de formato excedido</v>
      </c>
      <c r="H1828" s="6" t="str">
        <f aca="false">INDEX(Catalogo_Causas!$C$2:$C$10,MATCH(F1828,Catalogo_Causas!$A$2:$A$10,0))</f>
        <v>Operacional</v>
      </c>
      <c r="I1828" s="5" t="n">
        <v>72</v>
      </c>
      <c r="J1828" s="29" t="n">
        <f aca="false">I1828/60</f>
        <v>1.2</v>
      </c>
    </row>
    <row r="1829" customFormat="false" ht="15" hidden="false" customHeight="false" outlineLevel="0" collapsed="false">
      <c r="A1829" s="5" t="s">
        <v>2871</v>
      </c>
      <c r="B1829" s="9" t="n">
        <v>46153</v>
      </c>
      <c r="C1829" s="9" t="n">
        <v>46154</v>
      </c>
      <c r="D1829" s="5" t="s">
        <v>132</v>
      </c>
      <c r="E1829" s="5" t="s">
        <v>1084</v>
      </c>
      <c r="F1829" s="5" t="s">
        <v>1012</v>
      </c>
      <c r="G1829" s="6" t="str">
        <f aca="false">INDEX(Catalogo_Causas!$B$2:$B$10,MATCH(F1829,Catalogo_Causas!$A$2:$A$10,0))</f>
        <v>Falta de materia prima</v>
      </c>
      <c r="H1829" s="6" t="str">
        <f aca="false">INDEX(Catalogo_Causas!$C$2:$C$10,MATCH(F1829,Catalogo_Causas!$A$2:$A$10,0))</f>
        <v>Material / suministro</v>
      </c>
      <c r="I1829" s="5" t="n">
        <v>69</v>
      </c>
      <c r="J1829" s="29" t="n">
        <f aca="false">I1829/60</f>
        <v>1.15</v>
      </c>
    </row>
    <row r="1830" customFormat="false" ht="15" hidden="false" customHeight="false" outlineLevel="0" collapsed="false">
      <c r="A1830" s="5" t="s">
        <v>2872</v>
      </c>
      <c r="B1830" s="9" t="n">
        <v>46153</v>
      </c>
      <c r="C1830" s="9" t="n">
        <v>46154</v>
      </c>
      <c r="D1830" s="5" t="s">
        <v>134</v>
      </c>
      <c r="E1830" s="5" t="s">
        <v>1032</v>
      </c>
      <c r="F1830" s="5" t="s">
        <v>1007</v>
      </c>
      <c r="G1830" s="6" t="str">
        <f aca="false">INDEX(Catalogo_Causas!$B$2:$B$10,MATCH(F1830,Catalogo_Causas!$A$2:$A$10,0))</f>
        <v>Cambio de formato excedido</v>
      </c>
      <c r="H1830" s="6" t="str">
        <f aca="false">INDEX(Catalogo_Causas!$C$2:$C$10,MATCH(F1830,Catalogo_Causas!$A$2:$A$10,0))</f>
        <v>Operacional</v>
      </c>
      <c r="I1830" s="5" t="n">
        <v>124</v>
      </c>
      <c r="J1830" s="29" t="n">
        <f aca="false">I1830/60</f>
        <v>2.06666666666667</v>
      </c>
    </row>
    <row r="1831" customFormat="false" ht="15" hidden="false" customHeight="false" outlineLevel="0" collapsed="false">
      <c r="A1831" s="5" t="s">
        <v>2873</v>
      </c>
      <c r="B1831" s="9" t="n">
        <v>46153</v>
      </c>
      <c r="C1831" s="9" t="n">
        <v>46154</v>
      </c>
      <c r="D1831" s="5" t="s">
        <v>136</v>
      </c>
      <c r="E1831" s="5" t="s">
        <v>1101</v>
      </c>
      <c r="F1831" s="5" t="s">
        <v>1007</v>
      </c>
      <c r="G1831" s="6" t="str">
        <f aca="false">INDEX(Catalogo_Causas!$B$2:$B$10,MATCH(F1831,Catalogo_Causas!$A$2:$A$10,0))</f>
        <v>Cambio de formato excedido</v>
      </c>
      <c r="H1831" s="6" t="str">
        <f aca="false">INDEX(Catalogo_Causas!$C$2:$C$10,MATCH(F1831,Catalogo_Causas!$A$2:$A$10,0))</f>
        <v>Operacional</v>
      </c>
      <c r="I1831" s="5" t="n">
        <v>19</v>
      </c>
      <c r="J1831" s="29" t="n">
        <f aca="false">I1831/60</f>
        <v>0.316666666666667</v>
      </c>
    </row>
    <row r="1832" customFormat="false" ht="15" hidden="false" customHeight="false" outlineLevel="0" collapsed="false">
      <c r="A1832" s="5" t="s">
        <v>2874</v>
      </c>
      <c r="B1832" s="9" t="n">
        <v>46153</v>
      </c>
      <c r="C1832" s="9" t="n">
        <v>46154</v>
      </c>
      <c r="D1832" s="5" t="s">
        <v>138</v>
      </c>
      <c r="E1832" s="5" t="s">
        <v>1056</v>
      </c>
      <c r="F1832" s="5" t="s">
        <v>1014</v>
      </c>
      <c r="G1832" s="6" t="str">
        <f aca="false">INDEX(Catalogo_Causas!$B$2:$B$10,MATCH(F1832,Catalogo_Causas!$A$2:$A$10,0))</f>
        <v>Retención de calidad</v>
      </c>
      <c r="H1832" s="6" t="str">
        <f aca="false">INDEX(Catalogo_Causas!$C$2:$C$10,MATCH(F1832,Catalogo_Causas!$A$2:$A$10,0))</f>
        <v>Calidad</v>
      </c>
      <c r="I1832" s="5" t="n">
        <v>39</v>
      </c>
      <c r="J1832" s="29" t="n">
        <f aca="false">I1832/60</f>
        <v>0.65</v>
      </c>
    </row>
    <row r="1833" customFormat="false" ht="15" hidden="false" customHeight="false" outlineLevel="0" collapsed="false">
      <c r="A1833" s="5" t="s">
        <v>2875</v>
      </c>
      <c r="B1833" s="9" t="n">
        <v>46153</v>
      </c>
      <c r="C1833" s="9" t="n">
        <v>46155</v>
      </c>
      <c r="D1833" s="5" t="s">
        <v>138</v>
      </c>
      <c r="E1833" s="5" t="s">
        <v>1056</v>
      </c>
      <c r="F1833" s="5" t="s">
        <v>1021</v>
      </c>
      <c r="G1833" s="6" t="str">
        <f aca="false">INDEX(Catalogo_Causas!$B$2:$B$10,MATCH(F1833,Catalogo_Causas!$A$2:$A$10,0))</f>
        <v>Falla de servicios (vapor/amoniaco/aire)</v>
      </c>
      <c r="H1833" s="6" t="str">
        <f aca="false">INDEX(Catalogo_Causas!$C$2:$C$10,MATCH(F1833,Catalogo_Causas!$A$2:$A$10,0))</f>
        <v>Servicios</v>
      </c>
      <c r="I1833" s="5" t="n">
        <v>71</v>
      </c>
      <c r="J1833" s="29" t="n">
        <f aca="false">I1833/60</f>
        <v>1.18333333333333</v>
      </c>
    </row>
    <row r="1834" customFormat="false" ht="15" hidden="false" customHeight="false" outlineLevel="0" collapsed="false">
      <c r="A1834" s="5" t="s">
        <v>2876</v>
      </c>
      <c r="B1834" s="9" t="n">
        <v>46153</v>
      </c>
      <c r="C1834" s="9" t="n">
        <v>46155</v>
      </c>
      <c r="D1834" s="5" t="s">
        <v>138</v>
      </c>
      <c r="E1834" s="5" t="s">
        <v>1056</v>
      </c>
      <c r="F1834" s="5" t="s">
        <v>1005</v>
      </c>
      <c r="G1834" s="6" t="str">
        <f aca="false">INDEX(Catalogo_Causas!$B$2:$B$10,MATCH(F1834,Catalogo_Causas!$A$2:$A$10,0))</f>
        <v>Falla eléctrica / control</v>
      </c>
      <c r="H1834" s="6" t="str">
        <f aca="false">INDEX(Catalogo_Causas!$C$2:$C$10,MATCH(F1834,Catalogo_Causas!$A$2:$A$10,0))</f>
        <v>Operacional</v>
      </c>
      <c r="I1834" s="5" t="n">
        <v>120</v>
      </c>
      <c r="J1834" s="29" t="n">
        <f aca="false">I1834/60</f>
        <v>2</v>
      </c>
    </row>
    <row r="1835" customFormat="false" ht="15" hidden="false" customHeight="false" outlineLevel="0" collapsed="false">
      <c r="A1835" s="5" t="s">
        <v>2877</v>
      </c>
      <c r="B1835" s="9" t="n">
        <v>46153</v>
      </c>
      <c r="C1835" s="9" t="n">
        <v>46156</v>
      </c>
      <c r="D1835" s="5" t="s">
        <v>138</v>
      </c>
      <c r="E1835" s="5" t="s">
        <v>1056</v>
      </c>
      <c r="F1835" s="5" t="s">
        <v>1021</v>
      </c>
      <c r="G1835" s="6" t="str">
        <f aca="false">INDEX(Catalogo_Causas!$B$2:$B$10,MATCH(F1835,Catalogo_Causas!$A$2:$A$10,0))</f>
        <v>Falla de servicios (vapor/amoniaco/aire)</v>
      </c>
      <c r="H1835" s="6" t="str">
        <f aca="false">INDEX(Catalogo_Causas!$C$2:$C$10,MATCH(F1835,Catalogo_Causas!$A$2:$A$10,0))</f>
        <v>Servicios</v>
      </c>
      <c r="I1835" s="5" t="n">
        <v>81</v>
      </c>
      <c r="J1835" s="29" t="n">
        <f aca="false">I1835/60</f>
        <v>1.35</v>
      </c>
    </row>
    <row r="1836" customFormat="false" ht="15" hidden="false" customHeight="false" outlineLevel="0" collapsed="false">
      <c r="A1836" s="5" t="s">
        <v>2878</v>
      </c>
      <c r="B1836" s="9" t="n">
        <v>46153</v>
      </c>
      <c r="C1836" s="9" t="n">
        <v>46156</v>
      </c>
      <c r="D1836" s="5" t="s">
        <v>144</v>
      </c>
      <c r="E1836" s="5" t="s">
        <v>1043</v>
      </c>
      <c r="F1836" s="5" t="s">
        <v>1002</v>
      </c>
      <c r="G1836" s="6" t="str">
        <f aca="false">INDEX(Catalogo_Causas!$B$2:$B$10,MATCH(F1836,Catalogo_Causas!$A$2:$A$10,0))</f>
        <v>Falla mecánica</v>
      </c>
      <c r="H1836" s="6" t="str">
        <f aca="false">INDEX(Catalogo_Causas!$C$2:$C$10,MATCH(F1836,Catalogo_Causas!$A$2:$A$10,0))</f>
        <v>Operacional</v>
      </c>
      <c r="I1836" s="5" t="n">
        <v>79</v>
      </c>
      <c r="J1836" s="29" t="n">
        <f aca="false">I1836/60</f>
        <v>1.31666666666667</v>
      </c>
    </row>
    <row r="1837" customFormat="false" ht="15" hidden="false" customHeight="false" outlineLevel="0" collapsed="false">
      <c r="A1837" s="5" t="s">
        <v>2879</v>
      </c>
      <c r="B1837" s="9" t="n">
        <v>46153</v>
      </c>
      <c r="C1837" s="9" t="n">
        <v>46156</v>
      </c>
      <c r="D1837" s="5" t="s">
        <v>144</v>
      </c>
      <c r="E1837" s="5" t="s">
        <v>1043</v>
      </c>
      <c r="F1837" s="5" t="s">
        <v>1002</v>
      </c>
      <c r="G1837" s="6" t="str">
        <f aca="false">INDEX(Catalogo_Causas!$B$2:$B$10,MATCH(F1837,Catalogo_Causas!$A$2:$A$10,0))</f>
        <v>Falla mecánica</v>
      </c>
      <c r="H1837" s="6" t="str">
        <f aca="false">INDEX(Catalogo_Causas!$C$2:$C$10,MATCH(F1837,Catalogo_Causas!$A$2:$A$10,0))</f>
        <v>Operacional</v>
      </c>
      <c r="I1837" s="5" t="n">
        <v>81</v>
      </c>
      <c r="J1837" s="29" t="n">
        <f aca="false">I1837/60</f>
        <v>1.35</v>
      </c>
    </row>
    <row r="1838" customFormat="false" ht="15" hidden="false" customHeight="false" outlineLevel="0" collapsed="false">
      <c r="A1838" s="5" t="s">
        <v>2880</v>
      </c>
      <c r="B1838" s="9" t="n">
        <v>46153</v>
      </c>
      <c r="C1838" s="9" t="n">
        <v>46157</v>
      </c>
      <c r="D1838" s="5" t="s">
        <v>130</v>
      </c>
      <c r="E1838" s="5" t="s">
        <v>1078</v>
      </c>
      <c r="F1838" s="5" t="s">
        <v>1012</v>
      </c>
      <c r="G1838" s="6" t="str">
        <f aca="false">INDEX(Catalogo_Causas!$B$2:$B$10,MATCH(F1838,Catalogo_Causas!$A$2:$A$10,0))</f>
        <v>Falta de materia prima</v>
      </c>
      <c r="H1838" s="6" t="str">
        <f aca="false">INDEX(Catalogo_Causas!$C$2:$C$10,MATCH(F1838,Catalogo_Causas!$A$2:$A$10,0))</f>
        <v>Material / suministro</v>
      </c>
      <c r="I1838" s="5" t="n">
        <v>21</v>
      </c>
      <c r="J1838" s="29" t="n">
        <f aca="false">I1838/60</f>
        <v>0.35</v>
      </c>
    </row>
    <row r="1839" customFormat="false" ht="15" hidden="false" customHeight="false" outlineLevel="0" collapsed="false">
      <c r="A1839" s="5" t="s">
        <v>2881</v>
      </c>
      <c r="B1839" s="9" t="n">
        <v>46153</v>
      </c>
      <c r="C1839" s="9" t="n">
        <v>46157</v>
      </c>
      <c r="D1839" s="5" t="s">
        <v>134</v>
      </c>
      <c r="E1839" s="5" t="s">
        <v>1054</v>
      </c>
      <c r="F1839" s="5" t="s">
        <v>1009</v>
      </c>
      <c r="G1839" s="6" t="str">
        <f aca="false">INDEX(Catalogo_Causas!$B$2:$B$10,MATCH(F1839,Catalogo_Causas!$A$2:$A$10,0))</f>
        <v>Falta de material de empaque</v>
      </c>
      <c r="H1839" s="6" t="str">
        <f aca="false">INDEX(Catalogo_Causas!$C$2:$C$10,MATCH(F1839,Catalogo_Causas!$A$2:$A$10,0))</f>
        <v>Material / suministro</v>
      </c>
      <c r="I1839" s="5" t="n">
        <v>85</v>
      </c>
      <c r="J1839" s="29" t="n">
        <f aca="false">I1839/60</f>
        <v>1.41666666666667</v>
      </c>
    </row>
    <row r="1840" customFormat="false" ht="15" hidden="false" customHeight="false" outlineLevel="0" collapsed="false">
      <c r="A1840" s="5" t="s">
        <v>2882</v>
      </c>
      <c r="B1840" s="9" t="n">
        <v>46153</v>
      </c>
      <c r="C1840" s="9" t="n">
        <v>46157</v>
      </c>
      <c r="D1840" s="5" t="s">
        <v>138</v>
      </c>
      <c r="E1840" s="5" t="s">
        <v>1039</v>
      </c>
      <c r="F1840" s="5" t="s">
        <v>1012</v>
      </c>
      <c r="G1840" s="6" t="str">
        <f aca="false">INDEX(Catalogo_Causas!$B$2:$B$10,MATCH(F1840,Catalogo_Causas!$A$2:$A$10,0))</f>
        <v>Falta de materia prima</v>
      </c>
      <c r="H1840" s="6" t="str">
        <f aca="false">INDEX(Catalogo_Causas!$C$2:$C$10,MATCH(F1840,Catalogo_Causas!$A$2:$A$10,0))</f>
        <v>Material / suministro</v>
      </c>
      <c r="I1840" s="5" t="n">
        <v>26</v>
      </c>
      <c r="J1840" s="29" t="n">
        <f aca="false">I1840/60</f>
        <v>0.433333333333333</v>
      </c>
    </row>
    <row r="1841" customFormat="false" ht="15" hidden="false" customHeight="false" outlineLevel="0" collapsed="false">
      <c r="A1841" s="5" t="s">
        <v>2883</v>
      </c>
      <c r="B1841" s="9" t="n">
        <v>46153</v>
      </c>
      <c r="C1841" s="9" t="n">
        <v>46157</v>
      </c>
      <c r="D1841" s="5" t="s">
        <v>142</v>
      </c>
      <c r="E1841" s="5" t="s">
        <v>1030</v>
      </c>
      <c r="F1841" s="5" t="s">
        <v>1002</v>
      </c>
      <c r="G1841" s="6" t="str">
        <f aca="false">INDEX(Catalogo_Causas!$B$2:$B$10,MATCH(F1841,Catalogo_Causas!$A$2:$A$10,0))</f>
        <v>Falla mecánica</v>
      </c>
      <c r="H1841" s="6" t="str">
        <f aca="false">INDEX(Catalogo_Causas!$C$2:$C$10,MATCH(F1841,Catalogo_Causas!$A$2:$A$10,0))</f>
        <v>Operacional</v>
      </c>
      <c r="I1841" s="5" t="n">
        <v>38</v>
      </c>
      <c r="J1841" s="29" t="n">
        <f aca="false">I1841/60</f>
        <v>0.633333333333333</v>
      </c>
    </row>
    <row r="1842" customFormat="false" ht="15" hidden="false" customHeight="false" outlineLevel="0" collapsed="false">
      <c r="A1842" s="5" t="s">
        <v>2884</v>
      </c>
      <c r="B1842" s="9" t="n">
        <v>46153</v>
      </c>
      <c r="C1842" s="9" t="n">
        <v>46158</v>
      </c>
      <c r="D1842" s="5" t="s">
        <v>130</v>
      </c>
      <c r="E1842" s="5" t="s">
        <v>1045</v>
      </c>
      <c r="F1842" s="5" t="s">
        <v>1021</v>
      </c>
      <c r="G1842" s="6" t="str">
        <f aca="false">INDEX(Catalogo_Causas!$B$2:$B$10,MATCH(F1842,Catalogo_Causas!$A$2:$A$10,0))</f>
        <v>Falla de servicios (vapor/amoniaco/aire)</v>
      </c>
      <c r="H1842" s="6" t="str">
        <f aca="false">INDEX(Catalogo_Causas!$C$2:$C$10,MATCH(F1842,Catalogo_Causas!$A$2:$A$10,0))</f>
        <v>Servicios</v>
      </c>
      <c r="I1842" s="5" t="n">
        <v>329</v>
      </c>
      <c r="J1842" s="29" t="n">
        <f aca="false">I1842/60</f>
        <v>5.48333333333333</v>
      </c>
    </row>
    <row r="1843" customFormat="false" ht="15" hidden="false" customHeight="false" outlineLevel="0" collapsed="false">
      <c r="A1843" s="5" t="s">
        <v>2885</v>
      </c>
      <c r="B1843" s="9" t="n">
        <v>46153</v>
      </c>
      <c r="C1843" s="9" t="n">
        <v>46158</v>
      </c>
      <c r="D1843" s="5" t="s">
        <v>134</v>
      </c>
      <c r="E1843" s="5" t="s">
        <v>1054</v>
      </c>
      <c r="F1843" s="5" t="s">
        <v>1009</v>
      </c>
      <c r="G1843" s="6" t="str">
        <f aca="false">INDEX(Catalogo_Causas!$B$2:$B$10,MATCH(F1843,Catalogo_Causas!$A$2:$A$10,0))</f>
        <v>Falta de material de empaque</v>
      </c>
      <c r="H1843" s="6" t="str">
        <f aca="false">INDEX(Catalogo_Causas!$C$2:$C$10,MATCH(F1843,Catalogo_Causas!$A$2:$A$10,0))</f>
        <v>Material / suministro</v>
      </c>
      <c r="I1843" s="5" t="n">
        <v>94</v>
      </c>
      <c r="J1843" s="29" t="n">
        <f aca="false">I1843/60</f>
        <v>1.56666666666667</v>
      </c>
    </row>
    <row r="1844" customFormat="false" ht="15" hidden="false" customHeight="false" outlineLevel="0" collapsed="false">
      <c r="A1844" s="5" t="s">
        <v>2886</v>
      </c>
      <c r="B1844" s="9" t="n">
        <v>46153</v>
      </c>
      <c r="C1844" s="9" t="n">
        <v>46158</v>
      </c>
      <c r="D1844" s="5" t="s">
        <v>134</v>
      </c>
      <c r="E1844" s="5" t="s">
        <v>1054</v>
      </c>
      <c r="F1844" s="5" t="s">
        <v>1005</v>
      </c>
      <c r="G1844" s="6" t="str">
        <f aca="false">INDEX(Catalogo_Causas!$B$2:$B$10,MATCH(F1844,Catalogo_Causas!$A$2:$A$10,0))</f>
        <v>Falla eléctrica / control</v>
      </c>
      <c r="H1844" s="6" t="str">
        <f aca="false">INDEX(Catalogo_Causas!$C$2:$C$10,MATCH(F1844,Catalogo_Causas!$A$2:$A$10,0))</f>
        <v>Operacional</v>
      </c>
      <c r="I1844" s="5" t="n">
        <v>48</v>
      </c>
      <c r="J1844" s="29" t="n">
        <f aca="false">I1844/60</f>
        <v>0.8</v>
      </c>
    </row>
    <row r="1845" customFormat="false" ht="15" hidden="false" customHeight="false" outlineLevel="0" collapsed="false">
      <c r="A1845" s="5" t="s">
        <v>2887</v>
      </c>
      <c r="B1845" s="9" t="n">
        <v>46153</v>
      </c>
      <c r="C1845" s="9" t="n">
        <v>46158</v>
      </c>
      <c r="D1845" s="5" t="s">
        <v>144</v>
      </c>
      <c r="E1845" s="5" t="s">
        <v>1032</v>
      </c>
      <c r="F1845" s="5" t="s">
        <v>1007</v>
      </c>
      <c r="G1845" s="6" t="str">
        <f aca="false">INDEX(Catalogo_Causas!$B$2:$B$10,MATCH(F1845,Catalogo_Causas!$A$2:$A$10,0))</f>
        <v>Cambio de formato excedido</v>
      </c>
      <c r="H1845" s="6" t="str">
        <f aca="false">INDEX(Catalogo_Causas!$C$2:$C$10,MATCH(F1845,Catalogo_Causas!$A$2:$A$10,0))</f>
        <v>Operacional</v>
      </c>
      <c r="I1845" s="5" t="n">
        <v>41</v>
      </c>
      <c r="J1845" s="29" t="n">
        <f aca="false">I1845/60</f>
        <v>0.683333333333333</v>
      </c>
    </row>
    <row r="1846" customFormat="false" ht="15" hidden="false" customHeight="false" outlineLevel="0" collapsed="false">
      <c r="A1846" s="5" t="s">
        <v>2888</v>
      </c>
      <c r="B1846" s="9" t="n">
        <v>46160</v>
      </c>
      <c r="C1846" s="9" t="n">
        <v>46160</v>
      </c>
      <c r="D1846" s="5" t="s">
        <v>130</v>
      </c>
      <c r="E1846" s="5" t="s">
        <v>1030</v>
      </c>
      <c r="F1846" s="5" t="s">
        <v>1016</v>
      </c>
      <c r="G1846" s="6" t="str">
        <f aca="false">INDEX(Catalogo_Causas!$B$2:$B$10,MATCH(F1846,Catalogo_Causas!$A$2:$A$10,0))</f>
        <v>Limpieza no programada (CIP)</v>
      </c>
      <c r="H1846" s="6" t="str">
        <f aca="false">INDEX(Catalogo_Causas!$C$2:$C$10,MATCH(F1846,Catalogo_Causas!$A$2:$A$10,0))</f>
        <v>Calidad</v>
      </c>
      <c r="I1846" s="5" t="n">
        <v>27</v>
      </c>
      <c r="J1846" s="29" t="n">
        <f aca="false">I1846/60</f>
        <v>0.45</v>
      </c>
    </row>
    <row r="1847" customFormat="false" ht="15" hidden="false" customHeight="false" outlineLevel="0" collapsed="false">
      <c r="A1847" s="5" t="s">
        <v>2889</v>
      </c>
      <c r="B1847" s="9" t="n">
        <v>46160</v>
      </c>
      <c r="C1847" s="9" t="n">
        <v>46160</v>
      </c>
      <c r="D1847" s="5" t="s">
        <v>134</v>
      </c>
      <c r="E1847" s="5" t="s">
        <v>1030</v>
      </c>
      <c r="F1847" s="5" t="s">
        <v>1012</v>
      </c>
      <c r="G1847" s="6" t="str">
        <f aca="false">INDEX(Catalogo_Causas!$B$2:$B$10,MATCH(F1847,Catalogo_Causas!$A$2:$A$10,0))</f>
        <v>Falta de materia prima</v>
      </c>
      <c r="H1847" s="6" t="str">
        <f aca="false">INDEX(Catalogo_Causas!$C$2:$C$10,MATCH(F1847,Catalogo_Causas!$A$2:$A$10,0))</f>
        <v>Material / suministro</v>
      </c>
      <c r="I1847" s="5" t="n">
        <v>79</v>
      </c>
      <c r="J1847" s="29" t="n">
        <f aca="false">I1847/60</f>
        <v>1.31666666666667</v>
      </c>
    </row>
    <row r="1848" customFormat="false" ht="15" hidden="false" customHeight="false" outlineLevel="0" collapsed="false">
      <c r="A1848" s="5" t="s">
        <v>2890</v>
      </c>
      <c r="B1848" s="9" t="n">
        <v>46160</v>
      </c>
      <c r="C1848" s="9" t="n">
        <v>46160</v>
      </c>
      <c r="D1848" s="5" t="s">
        <v>134</v>
      </c>
      <c r="E1848" s="5" t="s">
        <v>1032</v>
      </c>
      <c r="F1848" s="5" t="s">
        <v>1012</v>
      </c>
      <c r="G1848" s="6" t="str">
        <f aca="false">INDEX(Catalogo_Causas!$B$2:$B$10,MATCH(F1848,Catalogo_Causas!$A$2:$A$10,0))</f>
        <v>Falta de materia prima</v>
      </c>
      <c r="H1848" s="6" t="str">
        <f aca="false">INDEX(Catalogo_Causas!$C$2:$C$10,MATCH(F1848,Catalogo_Causas!$A$2:$A$10,0))</f>
        <v>Material / suministro</v>
      </c>
      <c r="I1848" s="5" t="n">
        <v>27</v>
      </c>
      <c r="J1848" s="29" t="n">
        <f aca="false">I1848/60</f>
        <v>0.45</v>
      </c>
    </row>
    <row r="1849" customFormat="false" ht="15" hidden="false" customHeight="false" outlineLevel="0" collapsed="false">
      <c r="A1849" s="5" t="s">
        <v>2891</v>
      </c>
      <c r="B1849" s="9" t="n">
        <v>46160</v>
      </c>
      <c r="C1849" s="9" t="n">
        <v>46160</v>
      </c>
      <c r="D1849" s="5" t="s">
        <v>134</v>
      </c>
      <c r="E1849" s="5" t="s">
        <v>1030</v>
      </c>
      <c r="F1849" s="5" t="s">
        <v>1012</v>
      </c>
      <c r="G1849" s="6" t="str">
        <f aca="false">INDEX(Catalogo_Causas!$B$2:$B$10,MATCH(F1849,Catalogo_Causas!$A$2:$A$10,0))</f>
        <v>Falta de materia prima</v>
      </c>
      <c r="H1849" s="6" t="str">
        <f aca="false">INDEX(Catalogo_Causas!$C$2:$C$10,MATCH(F1849,Catalogo_Causas!$A$2:$A$10,0))</f>
        <v>Material / suministro</v>
      </c>
      <c r="I1849" s="5" t="n">
        <v>106</v>
      </c>
      <c r="J1849" s="29" t="n">
        <f aca="false">I1849/60</f>
        <v>1.76666666666667</v>
      </c>
    </row>
    <row r="1850" customFormat="false" ht="15" hidden="false" customHeight="false" outlineLevel="0" collapsed="false">
      <c r="A1850" s="5" t="s">
        <v>2892</v>
      </c>
      <c r="B1850" s="9" t="n">
        <v>46160</v>
      </c>
      <c r="C1850" s="9" t="n">
        <v>46160</v>
      </c>
      <c r="D1850" s="5" t="s">
        <v>138</v>
      </c>
      <c r="E1850" s="5" t="s">
        <v>1039</v>
      </c>
      <c r="F1850" s="5" t="s">
        <v>1007</v>
      </c>
      <c r="G1850" s="6" t="str">
        <f aca="false">INDEX(Catalogo_Causas!$B$2:$B$10,MATCH(F1850,Catalogo_Causas!$A$2:$A$10,0))</f>
        <v>Cambio de formato excedido</v>
      </c>
      <c r="H1850" s="6" t="str">
        <f aca="false">INDEX(Catalogo_Causas!$C$2:$C$10,MATCH(F1850,Catalogo_Causas!$A$2:$A$10,0))</f>
        <v>Operacional</v>
      </c>
      <c r="I1850" s="5" t="n">
        <v>112</v>
      </c>
      <c r="J1850" s="29" t="n">
        <f aca="false">I1850/60</f>
        <v>1.86666666666667</v>
      </c>
    </row>
    <row r="1851" customFormat="false" ht="15" hidden="false" customHeight="false" outlineLevel="0" collapsed="false">
      <c r="A1851" s="5" t="s">
        <v>2893</v>
      </c>
      <c r="B1851" s="9" t="n">
        <v>46160</v>
      </c>
      <c r="C1851" s="9" t="n">
        <v>46161</v>
      </c>
      <c r="D1851" s="5" t="s">
        <v>134</v>
      </c>
      <c r="E1851" s="5" t="s">
        <v>1054</v>
      </c>
      <c r="F1851" s="5" t="s">
        <v>1005</v>
      </c>
      <c r="G1851" s="6" t="str">
        <f aca="false">INDEX(Catalogo_Causas!$B$2:$B$10,MATCH(F1851,Catalogo_Causas!$A$2:$A$10,0))</f>
        <v>Falla eléctrica / control</v>
      </c>
      <c r="H1851" s="6" t="str">
        <f aca="false">INDEX(Catalogo_Causas!$C$2:$C$10,MATCH(F1851,Catalogo_Causas!$A$2:$A$10,0))</f>
        <v>Operacional</v>
      </c>
      <c r="I1851" s="5" t="n">
        <v>71</v>
      </c>
      <c r="J1851" s="29" t="n">
        <f aca="false">I1851/60</f>
        <v>1.18333333333333</v>
      </c>
    </row>
    <row r="1852" customFormat="false" ht="15" hidden="false" customHeight="false" outlineLevel="0" collapsed="false">
      <c r="A1852" s="5" t="s">
        <v>2894</v>
      </c>
      <c r="B1852" s="9" t="n">
        <v>46160</v>
      </c>
      <c r="C1852" s="9" t="n">
        <v>46161</v>
      </c>
      <c r="D1852" s="5" t="s">
        <v>136</v>
      </c>
      <c r="E1852" s="5" t="s">
        <v>1051</v>
      </c>
      <c r="F1852" s="5" t="s">
        <v>1018</v>
      </c>
      <c r="G1852" s="6" t="str">
        <f aca="false">INDEX(Catalogo_Causas!$B$2:$B$10,MATCH(F1852,Catalogo_Causas!$A$2:$A$10,0))</f>
        <v>Falta de personal</v>
      </c>
      <c r="H1852" s="6" t="str">
        <f aca="false">INDEX(Catalogo_Causas!$C$2:$C$10,MATCH(F1852,Catalogo_Causas!$A$2:$A$10,0))</f>
        <v>Personal</v>
      </c>
      <c r="I1852" s="5" t="n">
        <v>45</v>
      </c>
      <c r="J1852" s="29" t="n">
        <f aca="false">I1852/60</f>
        <v>0.75</v>
      </c>
    </row>
    <row r="1853" customFormat="false" ht="15" hidden="false" customHeight="false" outlineLevel="0" collapsed="false">
      <c r="A1853" s="5" t="s">
        <v>2895</v>
      </c>
      <c r="B1853" s="9" t="n">
        <v>46160</v>
      </c>
      <c r="C1853" s="9" t="n">
        <v>46161</v>
      </c>
      <c r="D1853" s="5" t="s">
        <v>138</v>
      </c>
      <c r="E1853" s="5" t="s">
        <v>1056</v>
      </c>
      <c r="F1853" s="5" t="s">
        <v>1005</v>
      </c>
      <c r="G1853" s="6" t="str">
        <f aca="false">INDEX(Catalogo_Causas!$B$2:$B$10,MATCH(F1853,Catalogo_Causas!$A$2:$A$10,0))</f>
        <v>Falla eléctrica / control</v>
      </c>
      <c r="H1853" s="6" t="str">
        <f aca="false">INDEX(Catalogo_Causas!$C$2:$C$10,MATCH(F1853,Catalogo_Causas!$A$2:$A$10,0))</f>
        <v>Operacional</v>
      </c>
      <c r="I1853" s="5" t="n">
        <v>83</v>
      </c>
      <c r="J1853" s="29" t="n">
        <f aca="false">I1853/60</f>
        <v>1.38333333333333</v>
      </c>
    </row>
    <row r="1854" customFormat="false" ht="15" hidden="false" customHeight="false" outlineLevel="0" collapsed="false">
      <c r="A1854" s="5" t="s">
        <v>2896</v>
      </c>
      <c r="B1854" s="9" t="n">
        <v>46160</v>
      </c>
      <c r="C1854" s="9" t="n">
        <v>46161</v>
      </c>
      <c r="D1854" s="5" t="s">
        <v>138</v>
      </c>
      <c r="E1854" s="5" t="s">
        <v>1039</v>
      </c>
      <c r="F1854" s="5" t="s">
        <v>1002</v>
      </c>
      <c r="G1854" s="6" t="str">
        <f aca="false">INDEX(Catalogo_Causas!$B$2:$B$10,MATCH(F1854,Catalogo_Causas!$A$2:$A$10,0))</f>
        <v>Falla mecánica</v>
      </c>
      <c r="H1854" s="6" t="str">
        <f aca="false">INDEX(Catalogo_Causas!$C$2:$C$10,MATCH(F1854,Catalogo_Causas!$A$2:$A$10,0))</f>
        <v>Operacional</v>
      </c>
      <c r="I1854" s="5" t="n">
        <v>86</v>
      </c>
      <c r="J1854" s="29" t="n">
        <f aca="false">I1854/60</f>
        <v>1.43333333333333</v>
      </c>
    </row>
    <row r="1855" customFormat="false" ht="15" hidden="false" customHeight="false" outlineLevel="0" collapsed="false">
      <c r="A1855" s="5" t="s">
        <v>2897</v>
      </c>
      <c r="B1855" s="9" t="n">
        <v>46160</v>
      </c>
      <c r="C1855" s="9" t="n">
        <v>46161</v>
      </c>
      <c r="D1855" s="5" t="s">
        <v>140</v>
      </c>
      <c r="E1855" s="5" t="s">
        <v>1036</v>
      </c>
      <c r="F1855" s="5" t="s">
        <v>1002</v>
      </c>
      <c r="G1855" s="6" t="str">
        <f aca="false">INDEX(Catalogo_Causas!$B$2:$B$10,MATCH(F1855,Catalogo_Causas!$A$2:$A$10,0))</f>
        <v>Falla mecánica</v>
      </c>
      <c r="H1855" s="6" t="str">
        <f aca="false">INDEX(Catalogo_Causas!$C$2:$C$10,MATCH(F1855,Catalogo_Causas!$A$2:$A$10,0))</f>
        <v>Operacional</v>
      </c>
      <c r="I1855" s="5" t="n">
        <v>27</v>
      </c>
      <c r="J1855" s="29" t="n">
        <f aca="false">I1855/60</f>
        <v>0.45</v>
      </c>
    </row>
    <row r="1856" customFormat="false" ht="15" hidden="false" customHeight="false" outlineLevel="0" collapsed="false">
      <c r="A1856" s="5" t="s">
        <v>2898</v>
      </c>
      <c r="B1856" s="9" t="n">
        <v>46160</v>
      </c>
      <c r="C1856" s="9" t="n">
        <v>46162</v>
      </c>
      <c r="D1856" s="5" t="s">
        <v>132</v>
      </c>
      <c r="E1856" s="5" t="s">
        <v>1032</v>
      </c>
      <c r="F1856" s="5" t="s">
        <v>1002</v>
      </c>
      <c r="G1856" s="6" t="str">
        <f aca="false">INDEX(Catalogo_Causas!$B$2:$B$10,MATCH(F1856,Catalogo_Causas!$A$2:$A$10,0))</f>
        <v>Falla mecánica</v>
      </c>
      <c r="H1856" s="6" t="str">
        <f aca="false">INDEX(Catalogo_Causas!$C$2:$C$10,MATCH(F1856,Catalogo_Causas!$A$2:$A$10,0))</f>
        <v>Operacional</v>
      </c>
      <c r="I1856" s="5" t="n">
        <v>16</v>
      </c>
      <c r="J1856" s="29" t="n">
        <f aca="false">I1856/60</f>
        <v>0.266666666666667</v>
      </c>
    </row>
    <row r="1857" customFormat="false" ht="15" hidden="false" customHeight="false" outlineLevel="0" collapsed="false">
      <c r="A1857" s="5" t="s">
        <v>2899</v>
      </c>
      <c r="B1857" s="9" t="n">
        <v>46160</v>
      </c>
      <c r="C1857" s="9" t="n">
        <v>46162</v>
      </c>
      <c r="D1857" s="5" t="s">
        <v>134</v>
      </c>
      <c r="E1857" s="5" t="s">
        <v>1032</v>
      </c>
      <c r="F1857" s="5" t="s">
        <v>1018</v>
      </c>
      <c r="G1857" s="6" t="str">
        <f aca="false">INDEX(Catalogo_Causas!$B$2:$B$10,MATCH(F1857,Catalogo_Causas!$A$2:$A$10,0))</f>
        <v>Falta de personal</v>
      </c>
      <c r="H1857" s="6" t="str">
        <f aca="false">INDEX(Catalogo_Causas!$C$2:$C$10,MATCH(F1857,Catalogo_Causas!$A$2:$A$10,0))</f>
        <v>Personal</v>
      </c>
      <c r="I1857" s="5" t="n">
        <v>28</v>
      </c>
      <c r="J1857" s="29" t="n">
        <f aca="false">I1857/60</f>
        <v>0.466666666666667</v>
      </c>
    </row>
    <row r="1858" customFormat="false" ht="15" hidden="false" customHeight="false" outlineLevel="0" collapsed="false">
      <c r="A1858" s="5" t="s">
        <v>2900</v>
      </c>
      <c r="B1858" s="9" t="n">
        <v>46160</v>
      </c>
      <c r="C1858" s="9" t="n">
        <v>46162</v>
      </c>
      <c r="D1858" s="5" t="s">
        <v>134</v>
      </c>
      <c r="E1858" s="5" t="s">
        <v>1054</v>
      </c>
      <c r="F1858" s="5" t="s">
        <v>1002</v>
      </c>
      <c r="G1858" s="6" t="str">
        <f aca="false">INDEX(Catalogo_Causas!$B$2:$B$10,MATCH(F1858,Catalogo_Causas!$A$2:$A$10,0))</f>
        <v>Falla mecánica</v>
      </c>
      <c r="H1858" s="6" t="str">
        <f aca="false">INDEX(Catalogo_Causas!$C$2:$C$10,MATCH(F1858,Catalogo_Causas!$A$2:$A$10,0))</f>
        <v>Operacional</v>
      </c>
      <c r="I1858" s="5" t="n">
        <v>12</v>
      </c>
      <c r="J1858" s="29" t="n">
        <f aca="false">I1858/60</f>
        <v>0.2</v>
      </c>
    </row>
    <row r="1859" customFormat="false" ht="15" hidden="false" customHeight="false" outlineLevel="0" collapsed="false">
      <c r="A1859" s="5" t="s">
        <v>2901</v>
      </c>
      <c r="B1859" s="9" t="n">
        <v>46160</v>
      </c>
      <c r="C1859" s="9" t="n">
        <v>46162</v>
      </c>
      <c r="D1859" s="5" t="s">
        <v>138</v>
      </c>
      <c r="E1859" s="5" t="s">
        <v>1034</v>
      </c>
      <c r="F1859" s="5" t="s">
        <v>1016</v>
      </c>
      <c r="G1859" s="6" t="str">
        <f aca="false">INDEX(Catalogo_Causas!$B$2:$B$10,MATCH(F1859,Catalogo_Causas!$A$2:$A$10,0))</f>
        <v>Limpieza no programada (CIP)</v>
      </c>
      <c r="H1859" s="6" t="str">
        <f aca="false">INDEX(Catalogo_Causas!$C$2:$C$10,MATCH(F1859,Catalogo_Causas!$A$2:$A$10,0))</f>
        <v>Calidad</v>
      </c>
      <c r="I1859" s="5" t="n">
        <v>108</v>
      </c>
      <c r="J1859" s="29" t="n">
        <f aca="false">I1859/60</f>
        <v>1.8</v>
      </c>
    </row>
    <row r="1860" customFormat="false" ht="15" hidden="false" customHeight="false" outlineLevel="0" collapsed="false">
      <c r="A1860" s="5" t="s">
        <v>2902</v>
      </c>
      <c r="B1860" s="9" t="n">
        <v>46160</v>
      </c>
      <c r="C1860" s="9" t="n">
        <v>46162</v>
      </c>
      <c r="D1860" s="5" t="s">
        <v>140</v>
      </c>
      <c r="E1860" s="5" t="s">
        <v>1036</v>
      </c>
      <c r="F1860" s="5" t="s">
        <v>1002</v>
      </c>
      <c r="G1860" s="6" t="str">
        <f aca="false">INDEX(Catalogo_Causas!$B$2:$B$10,MATCH(F1860,Catalogo_Causas!$A$2:$A$10,0))</f>
        <v>Falla mecánica</v>
      </c>
      <c r="H1860" s="6" t="str">
        <f aca="false">INDEX(Catalogo_Causas!$C$2:$C$10,MATCH(F1860,Catalogo_Causas!$A$2:$A$10,0))</f>
        <v>Operacional</v>
      </c>
      <c r="I1860" s="5" t="n">
        <v>77</v>
      </c>
      <c r="J1860" s="29" t="n">
        <f aca="false">I1860/60</f>
        <v>1.28333333333333</v>
      </c>
    </row>
    <row r="1861" customFormat="false" ht="15" hidden="false" customHeight="false" outlineLevel="0" collapsed="false">
      <c r="A1861" s="5" t="s">
        <v>2903</v>
      </c>
      <c r="B1861" s="9" t="n">
        <v>46160</v>
      </c>
      <c r="C1861" s="9" t="n">
        <v>46163</v>
      </c>
      <c r="D1861" s="5" t="s">
        <v>142</v>
      </c>
      <c r="E1861" s="5" t="s">
        <v>1041</v>
      </c>
      <c r="F1861" s="5" t="s">
        <v>1002</v>
      </c>
      <c r="G1861" s="6" t="str">
        <f aca="false">INDEX(Catalogo_Causas!$B$2:$B$10,MATCH(F1861,Catalogo_Causas!$A$2:$A$10,0))</f>
        <v>Falla mecánica</v>
      </c>
      <c r="H1861" s="6" t="str">
        <f aca="false">INDEX(Catalogo_Causas!$C$2:$C$10,MATCH(F1861,Catalogo_Causas!$A$2:$A$10,0))</f>
        <v>Operacional</v>
      </c>
      <c r="I1861" s="5" t="n">
        <v>100</v>
      </c>
      <c r="J1861" s="29" t="n">
        <f aca="false">I1861/60</f>
        <v>1.66666666666667</v>
      </c>
    </row>
    <row r="1862" customFormat="false" ht="15" hidden="false" customHeight="false" outlineLevel="0" collapsed="false">
      <c r="A1862" s="5" t="s">
        <v>2904</v>
      </c>
      <c r="B1862" s="9" t="n">
        <v>46160</v>
      </c>
      <c r="C1862" s="9" t="n">
        <v>46164</v>
      </c>
      <c r="D1862" s="5" t="s">
        <v>132</v>
      </c>
      <c r="E1862" s="5" t="s">
        <v>1032</v>
      </c>
      <c r="F1862" s="5" t="s">
        <v>1002</v>
      </c>
      <c r="G1862" s="6" t="str">
        <f aca="false">INDEX(Catalogo_Causas!$B$2:$B$10,MATCH(F1862,Catalogo_Causas!$A$2:$A$10,0))</f>
        <v>Falla mecánica</v>
      </c>
      <c r="H1862" s="6" t="str">
        <f aca="false">INDEX(Catalogo_Causas!$C$2:$C$10,MATCH(F1862,Catalogo_Causas!$A$2:$A$10,0))</f>
        <v>Operacional</v>
      </c>
      <c r="I1862" s="5" t="n">
        <v>140</v>
      </c>
      <c r="J1862" s="29" t="n">
        <f aca="false">I1862/60</f>
        <v>2.33333333333333</v>
      </c>
    </row>
    <row r="1863" customFormat="false" ht="15" hidden="false" customHeight="false" outlineLevel="0" collapsed="false">
      <c r="A1863" s="5" t="s">
        <v>2905</v>
      </c>
      <c r="B1863" s="9" t="n">
        <v>46160</v>
      </c>
      <c r="C1863" s="9" t="n">
        <v>46164</v>
      </c>
      <c r="D1863" s="5" t="s">
        <v>134</v>
      </c>
      <c r="E1863" s="5" t="s">
        <v>1054</v>
      </c>
      <c r="F1863" s="5" t="s">
        <v>1007</v>
      </c>
      <c r="G1863" s="6" t="str">
        <f aca="false">INDEX(Catalogo_Causas!$B$2:$B$10,MATCH(F1863,Catalogo_Causas!$A$2:$A$10,0))</f>
        <v>Cambio de formato excedido</v>
      </c>
      <c r="H1863" s="6" t="str">
        <f aca="false">INDEX(Catalogo_Causas!$C$2:$C$10,MATCH(F1863,Catalogo_Causas!$A$2:$A$10,0))</f>
        <v>Operacional</v>
      </c>
      <c r="I1863" s="5" t="n">
        <v>55</v>
      </c>
      <c r="J1863" s="29" t="n">
        <f aca="false">I1863/60</f>
        <v>0.916666666666667</v>
      </c>
    </row>
    <row r="1864" customFormat="false" ht="15" hidden="false" customHeight="false" outlineLevel="0" collapsed="false">
      <c r="A1864" s="5" t="s">
        <v>2906</v>
      </c>
      <c r="B1864" s="9" t="n">
        <v>46160</v>
      </c>
      <c r="C1864" s="9" t="n">
        <v>46165</v>
      </c>
      <c r="D1864" s="5" t="s">
        <v>136</v>
      </c>
      <c r="E1864" s="5" t="s">
        <v>1032</v>
      </c>
      <c r="F1864" s="5" t="s">
        <v>1016</v>
      </c>
      <c r="G1864" s="6" t="str">
        <f aca="false">INDEX(Catalogo_Causas!$B$2:$B$10,MATCH(F1864,Catalogo_Causas!$A$2:$A$10,0))</f>
        <v>Limpieza no programada (CIP)</v>
      </c>
      <c r="H1864" s="6" t="str">
        <f aca="false">INDEX(Catalogo_Causas!$C$2:$C$10,MATCH(F1864,Catalogo_Causas!$A$2:$A$10,0))</f>
        <v>Calidad</v>
      </c>
      <c r="I1864" s="5" t="n">
        <v>72</v>
      </c>
      <c r="J1864" s="29" t="n">
        <f aca="false">I1864/60</f>
        <v>1.2</v>
      </c>
    </row>
    <row r="1865" customFormat="false" ht="15" hidden="false" customHeight="false" outlineLevel="0" collapsed="false">
      <c r="A1865" s="5" t="s">
        <v>2907</v>
      </c>
      <c r="B1865" s="9" t="n">
        <v>46160</v>
      </c>
      <c r="C1865" s="9" t="n">
        <v>46165</v>
      </c>
      <c r="D1865" s="5" t="s">
        <v>138</v>
      </c>
      <c r="E1865" s="5" t="s">
        <v>1034</v>
      </c>
      <c r="F1865" s="5" t="s">
        <v>1016</v>
      </c>
      <c r="G1865" s="6" t="str">
        <f aca="false">INDEX(Catalogo_Causas!$B$2:$B$10,MATCH(F1865,Catalogo_Causas!$A$2:$A$10,0))</f>
        <v>Limpieza no programada (CIP)</v>
      </c>
      <c r="H1865" s="6" t="str">
        <f aca="false">INDEX(Catalogo_Causas!$C$2:$C$10,MATCH(F1865,Catalogo_Causas!$A$2:$A$10,0))</f>
        <v>Calidad</v>
      </c>
      <c r="I1865" s="5" t="n">
        <v>31</v>
      </c>
      <c r="J1865" s="29" t="n">
        <f aca="false">I1865/60</f>
        <v>0.516666666666667</v>
      </c>
    </row>
    <row r="1866" customFormat="false" ht="15" hidden="false" customHeight="false" outlineLevel="0" collapsed="false">
      <c r="A1866" s="5" t="s">
        <v>2908</v>
      </c>
      <c r="B1866" s="9" t="n">
        <v>46160</v>
      </c>
      <c r="C1866" s="9" t="n">
        <v>46165</v>
      </c>
      <c r="D1866" s="5" t="s">
        <v>142</v>
      </c>
      <c r="E1866" s="5" t="s">
        <v>1030</v>
      </c>
      <c r="F1866" s="5" t="s">
        <v>1005</v>
      </c>
      <c r="G1866" s="6" t="str">
        <f aca="false">INDEX(Catalogo_Causas!$B$2:$B$10,MATCH(F1866,Catalogo_Causas!$A$2:$A$10,0))</f>
        <v>Falla eléctrica / control</v>
      </c>
      <c r="H1866" s="6" t="str">
        <f aca="false">INDEX(Catalogo_Causas!$C$2:$C$10,MATCH(F1866,Catalogo_Causas!$A$2:$A$10,0))</f>
        <v>Operacional</v>
      </c>
      <c r="I1866" s="5" t="n">
        <v>57</v>
      </c>
      <c r="J1866" s="29" t="n">
        <f aca="false">I1866/60</f>
        <v>0.95</v>
      </c>
    </row>
    <row r="1867" customFormat="false" ht="15" hidden="false" customHeight="false" outlineLevel="0" collapsed="false">
      <c r="A1867" s="5" t="s">
        <v>2909</v>
      </c>
      <c r="B1867" s="9" t="n">
        <v>46167</v>
      </c>
      <c r="C1867" s="9" t="n">
        <v>46167</v>
      </c>
      <c r="D1867" s="5" t="s">
        <v>132</v>
      </c>
      <c r="E1867" s="5" t="s">
        <v>1073</v>
      </c>
      <c r="F1867" s="5" t="s">
        <v>1014</v>
      </c>
      <c r="G1867" s="6" t="str">
        <f aca="false">INDEX(Catalogo_Causas!$B$2:$B$10,MATCH(F1867,Catalogo_Causas!$A$2:$A$10,0))</f>
        <v>Retención de calidad</v>
      </c>
      <c r="H1867" s="6" t="str">
        <f aca="false">INDEX(Catalogo_Causas!$C$2:$C$10,MATCH(F1867,Catalogo_Causas!$A$2:$A$10,0))</f>
        <v>Calidad</v>
      </c>
      <c r="I1867" s="5" t="n">
        <v>25</v>
      </c>
      <c r="J1867" s="29" t="n">
        <f aca="false">I1867/60</f>
        <v>0.416666666666667</v>
      </c>
    </row>
    <row r="1868" customFormat="false" ht="15" hidden="false" customHeight="false" outlineLevel="0" collapsed="false">
      <c r="A1868" s="5" t="s">
        <v>2910</v>
      </c>
      <c r="B1868" s="9" t="n">
        <v>46167</v>
      </c>
      <c r="C1868" s="9" t="n">
        <v>46167</v>
      </c>
      <c r="D1868" s="5" t="s">
        <v>138</v>
      </c>
      <c r="E1868" s="5" t="s">
        <v>1056</v>
      </c>
      <c r="F1868" s="5" t="s">
        <v>1009</v>
      </c>
      <c r="G1868" s="6" t="str">
        <f aca="false">INDEX(Catalogo_Causas!$B$2:$B$10,MATCH(F1868,Catalogo_Causas!$A$2:$A$10,0))</f>
        <v>Falta de material de empaque</v>
      </c>
      <c r="H1868" s="6" t="str">
        <f aca="false">INDEX(Catalogo_Causas!$C$2:$C$10,MATCH(F1868,Catalogo_Causas!$A$2:$A$10,0))</f>
        <v>Material / suministro</v>
      </c>
      <c r="I1868" s="5" t="n">
        <v>105</v>
      </c>
      <c r="J1868" s="29" t="n">
        <f aca="false">I1868/60</f>
        <v>1.75</v>
      </c>
    </row>
    <row r="1869" customFormat="false" ht="15" hidden="false" customHeight="false" outlineLevel="0" collapsed="false">
      <c r="A1869" s="5" t="s">
        <v>2911</v>
      </c>
      <c r="B1869" s="9" t="n">
        <v>46167</v>
      </c>
      <c r="C1869" s="9" t="n">
        <v>46167</v>
      </c>
      <c r="D1869" s="5" t="s">
        <v>142</v>
      </c>
      <c r="E1869" s="5" t="s">
        <v>1041</v>
      </c>
      <c r="F1869" s="5" t="s">
        <v>1002</v>
      </c>
      <c r="G1869" s="6" t="str">
        <f aca="false">INDEX(Catalogo_Causas!$B$2:$B$10,MATCH(F1869,Catalogo_Causas!$A$2:$A$10,0))</f>
        <v>Falla mecánica</v>
      </c>
      <c r="H1869" s="6" t="str">
        <f aca="false">INDEX(Catalogo_Causas!$C$2:$C$10,MATCH(F1869,Catalogo_Causas!$A$2:$A$10,0))</f>
        <v>Operacional</v>
      </c>
      <c r="I1869" s="5" t="n">
        <v>86</v>
      </c>
      <c r="J1869" s="29" t="n">
        <f aca="false">I1869/60</f>
        <v>1.43333333333333</v>
      </c>
    </row>
    <row r="1870" customFormat="false" ht="15" hidden="false" customHeight="false" outlineLevel="0" collapsed="false">
      <c r="A1870" s="5" t="s">
        <v>2912</v>
      </c>
      <c r="B1870" s="9" t="n">
        <v>46167</v>
      </c>
      <c r="C1870" s="9" t="n">
        <v>46167</v>
      </c>
      <c r="D1870" s="5" t="s">
        <v>144</v>
      </c>
      <c r="E1870" s="5" t="s">
        <v>1043</v>
      </c>
      <c r="F1870" s="5" t="s">
        <v>1002</v>
      </c>
      <c r="G1870" s="6" t="str">
        <f aca="false">INDEX(Catalogo_Causas!$B$2:$B$10,MATCH(F1870,Catalogo_Causas!$A$2:$A$10,0))</f>
        <v>Falla mecánica</v>
      </c>
      <c r="H1870" s="6" t="str">
        <f aca="false">INDEX(Catalogo_Causas!$C$2:$C$10,MATCH(F1870,Catalogo_Causas!$A$2:$A$10,0))</f>
        <v>Operacional</v>
      </c>
      <c r="I1870" s="5" t="n">
        <v>67</v>
      </c>
      <c r="J1870" s="29" t="n">
        <f aca="false">I1870/60</f>
        <v>1.11666666666667</v>
      </c>
    </row>
    <row r="1871" customFormat="false" ht="15" hidden="false" customHeight="false" outlineLevel="0" collapsed="false">
      <c r="A1871" s="5" t="s">
        <v>2913</v>
      </c>
      <c r="B1871" s="9" t="n">
        <v>46167</v>
      </c>
      <c r="C1871" s="9" t="n">
        <v>46168</v>
      </c>
      <c r="D1871" s="5" t="s">
        <v>130</v>
      </c>
      <c r="E1871" s="5" t="s">
        <v>1078</v>
      </c>
      <c r="F1871" s="5" t="s">
        <v>1018</v>
      </c>
      <c r="G1871" s="6" t="str">
        <f aca="false">INDEX(Catalogo_Causas!$B$2:$B$10,MATCH(F1871,Catalogo_Causas!$A$2:$A$10,0))</f>
        <v>Falta de personal</v>
      </c>
      <c r="H1871" s="6" t="str">
        <f aca="false">INDEX(Catalogo_Causas!$C$2:$C$10,MATCH(F1871,Catalogo_Causas!$A$2:$A$10,0))</f>
        <v>Personal</v>
      </c>
      <c r="I1871" s="5" t="n">
        <v>121</v>
      </c>
      <c r="J1871" s="29" t="n">
        <f aca="false">I1871/60</f>
        <v>2.01666666666667</v>
      </c>
    </row>
    <row r="1872" customFormat="false" ht="15" hidden="false" customHeight="false" outlineLevel="0" collapsed="false">
      <c r="A1872" s="5" t="s">
        <v>2914</v>
      </c>
      <c r="B1872" s="9" t="n">
        <v>46167</v>
      </c>
      <c r="C1872" s="9" t="n">
        <v>46168</v>
      </c>
      <c r="D1872" s="5" t="s">
        <v>136</v>
      </c>
      <c r="E1872" s="5" t="s">
        <v>1051</v>
      </c>
      <c r="F1872" s="5" t="s">
        <v>1016</v>
      </c>
      <c r="G1872" s="6" t="str">
        <f aca="false">INDEX(Catalogo_Causas!$B$2:$B$10,MATCH(F1872,Catalogo_Causas!$A$2:$A$10,0))</f>
        <v>Limpieza no programada (CIP)</v>
      </c>
      <c r="H1872" s="6" t="str">
        <f aca="false">INDEX(Catalogo_Causas!$C$2:$C$10,MATCH(F1872,Catalogo_Causas!$A$2:$A$10,0))</f>
        <v>Calidad</v>
      </c>
      <c r="I1872" s="5" t="n">
        <v>22</v>
      </c>
      <c r="J1872" s="29" t="n">
        <f aca="false">I1872/60</f>
        <v>0.366666666666667</v>
      </c>
    </row>
    <row r="1873" customFormat="false" ht="15" hidden="false" customHeight="false" outlineLevel="0" collapsed="false">
      <c r="A1873" s="5" t="s">
        <v>2915</v>
      </c>
      <c r="B1873" s="9" t="n">
        <v>46167</v>
      </c>
      <c r="C1873" s="9" t="n">
        <v>46168</v>
      </c>
      <c r="D1873" s="5" t="s">
        <v>136</v>
      </c>
      <c r="E1873" s="5" t="s">
        <v>1101</v>
      </c>
      <c r="F1873" s="5" t="s">
        <v>1002</v>
      </c>
      <c r="G1873" s="6" t="str">
        <f aca="false">INDEX(Catalogo_Causas!$B$2:$B$10,MATCH(F1873,Catalogo_Causas!$A$2:$A$10,0))</f>
        <v>Falla mecánica</v>
      </c>
      <c r="H1873" s="6" t="str">
        <f aca="false">INDEX(Catalogo_Causas!$C$2:$C$10,MATCH(F1873,Catalogo_Causas!$A$2:$A$10,0))</f>
        <v>Operacional</v>
      </c>
      <c r="I1873" s="5" t="n">
        <v>32</v>
      </c>
      <c r="J1873" s="29" t="n">
        <f aca="false">I1873/60</f>
        <v>0.533333333333333</v>
      </c>
    </row>
    <row r="1874" customFormat="false" ht="15" hidden="false" customHeight="false" outlineLevel="0" collapsed="false">
      <c r="A1874" s="5" t="s">
        <v>2916</v>
      </c>
      <c r="B1874" s="9" t="n">
        <v>46167</v>
      </c>
      <c r="C1874" s="9" t="n">
        <v>46168</v>
      </c>
      <c r="D1874" s="5" t="s">
        <v>142</v>
      </c>
      <c r="E1874" s="5" t="s">
        <v>1030</v>
      </c>
      <c r="F1874" s="5" t="s">
        <v>1005</v>
      </c>
      <c r="G1874" s="6" t="str">
        <f aca="false">INDEX(Catalogo_Causas!$B$2:$B$10,MATCH(F1874,Catalogo_Causas!$A$2:$A$10,0))</f>
        <v>Falla eléctrica / control</v>
      </c>
      <c r="H1874" s="6" t="str">
        <f aca="false">INDEX(Catalogo_Causas!$C$2:$C$10,MATCH(F1874,Catalogo_Causas!$A$2:$A$10,0))</f>
        <v>Operacional</v>
      </c>
      <c r="I1874" s="5" t="n">
        <v>105</v>
      </c>
      <c r="J1874" s="29" t="n">
        <f aca="false">I1874/60</f>
        <v>1.75</v>
      </c>
    </row>
    <row r="1875" customFormat="false" ht="15" hidden="false" customHeight="false" outlineLevel="0" collapsed="false">
      <c r="A1875" s="5" t="s">
        <v>2917</v>
      </c>
      <c r="B1875" s="9" t="n">
        <v>46167</v>
      </c>
      <c r="C1875" s="9" t="n">
        <v>46168</v>
      </c>
      <c r="D1875" s="5" t="s">
        <v>142</v>
      </c>
      <c r="E1875" s="5" t="s">
        <v>1030</v>
      </c>
      <c r="F1875" s="5" t="s">
        <v>1005</v>
      </c>
      <c r="G1875" s="6" t="str">
        <f aca="false">INDEX(Catalogo_Causas!$B$2:$B$10,MATCH(F1875,Catalogo_Causas!$A$2:$A$10,0))</f>
        <v>Falla eléctrica / control</v>
      </c>
      <c r="H1875" s="6" t="str">
        <f aca="false">INDEX(Catalogo_Causas!$C$2:$C$10,MATCH(F1875,Catalogo_Causas!$A$2:$A$10,0))</f>
        <v>Operacional</v>
      </c>
      <c r="I1875" s="5" t="n">
        <v>86</v>
      </c>
      <c r="J1875" s="29" t="n">
        <f aca="false">I1875/60</f>
        <v>1.43333333333333</v>
      </c>
    </row>
    <row r="1876" customFormat="false" ht="15" hidden="false" customHeight="false" outlineLevel="0" collapsed="false">
      <c r="A1876" s="5" t="s">
        <v>2918</v>
      </c>
      <c r="B1876" s="9" t="n">
        <v>46167</v>
      </c>
      <c r="C1876" s="9" t="n">
        <v>46169</v>
      </c>
      <c r="D1876" s="5" t="s">
        <v>132</v>
      </c>
      <c r="E1876" s="5" t="s">
        <v>1073</v>
      </c>
      <c r="F1876" s="5" t="s">
        <v>1012</v>
      </c>
      <c r="G1876" s="6" t="str">
        <f aca="false">INDEX(Catalogo_Causas!$B$2:$B$10,MATCH(F1876,Catalogo_Causas!$A$2:$A$10,0))</f>
        <v>Falta de materia prima</v>
      </c>
      <c r="H1876" s="6" t="str">
        <f aca="false">INDEX(Catalogo_Causas!$C$2:$C$10,MATCH(F1876,Catalogo_Causas!$A$2:$A$10,0))</f>
        <v>Material / suministro</v>
      </c>
      <c r="I1876" s="5" t="n">
        <v>56</v>
      </c>
      <c r="J1876" s="29" t="n">
        <f aca="false">I1876/60</f>
        <v>0.933333333333333</v>
      </c>
    </row>
    <row r="1877" customFormat="false" ht="15" hidden="false" customHeight="false" outlineLevel="0" collapsed="false">
      <c r="A1877" s="5" t="s">
        <v>2919</v>
      </c>
      <c r="B1877" s="9" t="n">
        <v>46167</v>
      </c>
      <c r="C1877" s="9" t="n">
        <v>46169</v>
      </c>
      <c r="D1877" s="5" t="s">
        <v>144</v>
      </c>
      <c r="E1877" s="5" t="s">
        <v>1032</v>
      </c>
      <c r="F1877" s="5" t="s">
        <v>1005</v>
      </c>
      <c r="G1877" s="6" t="str">
        <f aca="false">INDEX(Catalogo_Causas!$B$2:$B$10,MATCH(F1877,Catalogo_Causas!$A$2:$A$10,0))</f>
        <v>Falla eléctrica / control</v>
      </c>
      <c r="H1877" s="6" t="str">
        <f aca="false">INDEX(Catalogo_Causas!$C$2:$C$10,MATCH(F1877,Catalogo_Causas!$A$2:$A$10,0))</f>
        <v>Operacional</v>
      </c>
      <c r="I1877" s="5" t="n">
        <v>46</v>
      </c>
      <c r="J1877" s="29" t="n">
        <f aca="false">I1877/60</f>
        <v>0.766666666666667</v>
      </c>
    </row>
    <row r="1878" customFormat="false" ht="15" hidden="false" customHeight="false" outlineLevel="0" collapsed="false">
      <c r="A1878" s="5" t="s">
        <v>2920</v>
      </c>
      <c r="B1878" s="9" t="n">
        <v>46167</v>
      </c>
      <c r="C1878" s="9" t="n">
        <v>46170</v>
      </c>
      <c r="D1878" s="5" t="s">
        <v>130</v>
      </c>
      <c r="E1878" s="5" t="s">
        <v>1045</v>
      </c>
      <c r="F1878" s="5" t="s">
        <v>1009</v>
      </c>
      <c r="G1878" s="6" t="str">
        <f aca="false">INDEX(Catalogo_Causas!$B$2:$B$10,MATCH(F1878,Catalogo_Causas!$A$2:$A$10,0))</f>
        <v>Falta de material de empaque</v>
      </c>
      <c r="H1878" s="6" t="str">
        <f aca="false">INDEX(Catalogo_Causas!$C$2:$C$10,MATCH(F1878,Catalogo_Causas!$A$2:$A$10,0))</f>
        <v>Material / suministro</v>
      </c>
      <c r="I1878" s="5" t="n">
        <v>104</v>
      </c>
      <c r="J1878" s="29" t="n">
        <f aca="false">I1878/60</f>
        <v>1.73333333333333</v>
      </c>
    </row>
    <row r="1879" customFormat="false" ht="15" hidden="false" customHeight="false" outlineLevel="0" collapsed="false">
      <c r="A1879" s="5" t="s">
        <v>2921</v>
      </c>
      <c r="B1879" s="9" t="n">
        <v>46167</v>
      </c>
      <c r="C1879" s="9" t="n">
        <v>46170</v>
      </c>
      <c r="D1879" s="5" t="s">
        <v>136</v>
      </c>
      <c r="E1879" s="5" t="s">
        <v>1101</v>
      </c>
      <c r="F1879" s="5" t="s">
        <v>1007</v>
      </c>
      <c r="G1879" s="6" t="str">
        <f aca="false">INDEX(Catalogo_Causas!$B$2:$B$10,MATCH(F1879,Catalogo_Causas!$A$2:$A$10,0))</f>
        <v>Cambio de formato excedido</v>
      </c>
      <c r="H1879" s="6" t="str">
        <f aca="false">INDEX(Catalogo_Causas!$C$2:$C$10,MATCH(F1879,Catalogo_Causas!$A$2:$A$10,0))</f>
        <v>Operacional</v>
      </c>
      <c r="I1879" s="5" t="n">
        <v>41</v>
      </c>
      <c r="J1879" s="29" t="n">
        <f aca="false">I1879/60</f>
        <v>0.683333333333333</v>
      </c>
    </row>
    <row r="1880" customFormat="false" ht="15" hidden="false" customHeight="false" outlineLevel="0" collapsed="false">
      <c r="A1880" s="5" t="s">
        <v>2922</v>
      </c>
      <c r="B1880" s="9" t="n">
        <v>46167</v>
      </c>
      <c r="C1880" s="9" t="n">
        <v>46170</v>
      </c>
      <c r="D1880" s="5" t="s">
        <v>138</v>
      </c>
      <c r="E1880" s="5" t="s">
        <v>1056</v>
      </c>
      <c r="F1880" s="5" t="s">
        <v>1002</v>
      </c>
      <c r="G1880" s="6" t="str">
        <f aca="false">INDEX(Catalogo_Causas!$B$2:$B$10,MATCH(F1880,Catalogo_Causas!$A$2:$A$10,0))</f>
        <v>Falla mecánica</v>
      </c>
      <c r="H1880" s="6" t="str">
        <f aca="false">INDEX(Catalogo_Causas!$C$2:$C$10,MATCH(F1880,Catalogo_Causas!$A$2:$A$10,0))</f>
        <v>Operacional</v>
      </c>
      <c r="I1880" s="5" t="n">
        <v>71</v>
      </c>
      <c r="J1880" s="29" t="n">
        <f aca="false">I1880/60</f>
        <v>1.18333333333333</v>
      </c>
    </row>
    <row r="1881" customFormat="false" ht="15" hidden="false" customHeight="false" outlineLevel="0" collapsed="false">
      <c r="A1881" s="5" t="s">
        <v>2923</v>
      </c>
      <c r="B1881" s="9" t="n">
        <v>46167</v>
      </c>
      <c r="C1881" s="9" t="n">
        <v>46171</v>
      </c>
      <c r="D1881" s="5" t="s">
        <v>140</v>
      </c>
      <c r="E1881" s="5" t="s">
        <v>1036</v>
      </c>
      <c r="F1881" s="5" t="s">
        <v>1014</v>
      </c>
      <c r="G1881" s="6" t="str">
        <f aca="false">INDEX(Catalogo_Causas!$B$2:$B$10,MATCH(F1881,Catalogo_Causas!$A$2:$A$10,0))</f>
        <v>Retención de calidad</v>
      </c>
      <c r="H1881" s="6" t="str">
        <f aca="false">INDEX(Catalogo_Causas!$C$2:$C$10,MATCH(F1881,Catalogo_Causas!$A$2:$A$10,0))</f>
        <v>Calidad</v>
      </c>
      <c r="I1881" s="5" t="n">
        <v>34</v>
      </c>
      <c r="J1881" s="29" t="n">
        <f aca="false">I1881/60</f>
        <v>0.566666666666667</v>
      </c>
    </row>
    <row r="1882" customFormat="false" ht="15" hidden="false" customHeight="false" outlineLevel="0" collapsed="false">
      <c r="A1882" s="5" t="s">
        <v>2924</v>
      </c>
      <c r="B1882" s="9" t="n">
        <v>46167</v>
      </c>
      <c r="C1882" s="9" t="n">
        <v>46171</v>
      </c>
      <c r="D1882" s="5" t="s">
        <v>144</v>
      </c>
      <c r="E1882" s="5" t="s">
        <v>1032</v>
      </c>
      <c r="F1882" s="5" t="s">
        <v>1002</v>
      </c>
      <c r="G1882" s="6" t="str">
        <f aca="false">INDEX(Catalogo_Causas!$B$2:$B$10,MATCH(F1882,Catalogo_Causas!$A$2:$A$10,0))</f>
        <v>Falla mecánica</v>
      </c>
      <c r="H1882" s="6" t="str">
        <f aca="false">INDEX(Catalogo_Causas!$C$2:$C$10,MATCH(F1882,Catalogo_Causas!$A$2:$A$10,0))</f>
        <v>Operacional</v>
      </c>
      <c r="I1882" s="5" t="n">
        <v>165</v>
      </c>
      <c r="J1882" s="29" t="n">
        <f aca="false">I1882/60</f>
        <v>2.75</v>
      </c>
    </row>
    <row r="1883" customFormat="false" ht="15" hidden="false" customHeight="false" outlineLevel="0" collapsed="false">
      <c r="A1883" s="5" t="s">
        <v>2925</v>
      </c>
      <c r="B1883" s="9" t="n">
        <v>46167</v>
      </c>
      <c r="C1883" s="9" t="n">
        <v>46172</v>
      </c>
      <c r="D1883" s="5" t="s">
        <v>132</v>
      </c>
      <c r="E1883" s="5" t="s">
        <v>1084</v>
      </c>
      <c r="F1883" s="5" t="s">
        <v>1002</v>
      </c>
      <c r="G1883" s="6" t="str">
        <f aca="false">INDEX(Catalogo_Causas!$B$2:$B$10,MATCH(F1883,Catalogo_Causas!$A$2:$A$10,0))</f>
        <v>Falla mecánica</v>
      </c>
      <c r="H1883" s="6" t="str">
        <f aca="false">INDEX(Catalogo_Causas!$C$2:$C$10,MATCH(F1883,Catalogo_Causas!$A$2:$A$10,0))</f>
        <v>Operacional</v>
      </c>
      <c r="I1883" s="5" t="n">
        <v>62</v>
      </c>
      <c r="J1883" s="29" t="n">
        <f aca="false">I1883/60</f>
        <v>1.03333333333333</v>
      </c>
    </row>
    <row r="1884" customFormat="false" ht="15" hidden="false" customHeight="false" outlineLevel="0" collapsed="false">
      <c r="A1884" s="5" t="s">
        <v>2926</v>
      </c>
      <c r="B1884" s="9" t="n">
        <v>46167</v>
      </c>
      <c r="C1884" s="9" t="n">
        <v>46172</v>
      </c>
      <c r="D1884" s="5" t="s">
        <v>134</v>
      </c>
      <c r="E1884" s="5" t="s">
        <v>1030</v>
      </c>
      <c r="F1884" s="5" t="s">
        <v>1005</v>
      </c>
      <c r="G1884" s="6" t="str">
        <f aca="false">INDEX(Catalogo_Causas!$B$2:$B$10,MATCH(F1884,Catalogo_Causas!$A$2:$A$10,0))</f>
        <v>Falla eléctrica / control</v>
      </c>
      <c r="H1884" s="6" t="str">
        <f aca="false">INDEX(Catalogo_Causas!$C$2:$C$10,MATCH(F1884,Catalogo_Causas!$A$2:$A$10,0))</f>
        <v>Operacional</v>
      </c>
      <c r="I1884" s="5" t="n">
        <v>126</v>
      </c>
      <c r="J1884" s="29" t="n">
        <f aca="false">I1884/60</f>
        <v>2.1</v>
      </c>
    </row>
    <row r="1885" customFormat="false" ht="15" hidden="false" customHeight="false" outlineLevel="0" collapsed="false">
      <c r="A1885" s="5" t="s">
        <v>2927</v>
      </c>
      <c r="B1885" s="9" t="n">
        <v>46167</v>
      </c>
      <c r="C1885" s="9" t="n">
        <v>46172</v>
      </c>
      <c r="D1885" s="5" t="s">
        <v>138</v>
      </c>
      <c r="E1885" s="5" t="s">
        <v>1034</v>
      </c>
      <c r="F1885" s="5" t="s">
        <v>1002</v>
      </c>
      <c r="G1885" s="6" t="str">
        <f aca="false">INDEX(Catalogo_Causas!$B$2:$B$10,MATCH(F1885,Catalogo_Causas!$A$2:$A$10,0))</f>
        <v>Falla mecánica</v>
      </c>
      <c r="H1885" s="6" t="str">
        <f aca="false">INDEX(Catalogo_Causas!$C$2:$C$10,MATCH(F1885,Catalogo_Causas!$A$2:$A$10,0))</f>
        <v>Operacional</v>
      </c>
      <c r="I1885" s="5" t="n">
        <v>114</v>
      </c>
      <c r="J1885" s="29" t="n">
        <f aca="false">I1885/60</f>
        <v>1.9</v>
      </c>
    </row>
    <row r="1886" customFormat="false" ht="15" hidden="false" customHeight="false" outlineLevel="0" collapsed="false">
      <c r="A1886" s="5" t="s">
        <v>2928</v>
      </c>
      <c r="B1886" s="9" t="n">
        <v>46167</v>
      </c>
      <c r="C1886" s="9" t="n">
        <v>46172</v>
      </c>
      <c r="D1886" s="5" t="s">
        <v>142</v>
      </c>
      <c r="E1886" s="5" t="s">
        <v>1041</v>
      </c>
      <c r="F1886" s="5" t="s">
        <v>1007</v>
      </c>
      <c r="G1886" s="6" t="str">
        <f aca="false">INDEX(Catalogo_Causas!$B$2:$B$10,MATCH(F1886,Catalogo_Causas!$A$2:$A$10,0))</f>
        <v>Cambio de formato excedido</v>
      </c>
      <c r="H1886" s="6" t="str">
        <f aca="false">INDEX(Catalogo_Causas!$C$2:$C$10,MATCH(F1886,Catalogo_Causas!$A$2:$A$10,0))</f>
        <v>Operacional</v>
      </c>
      <c r="I1886" s="5" t="n">
        <v>129</v>
      </c>
      <c r="J1886" s="29" t="n">
        <f aca="false">I1886/60</f>
        <v>2.15</v>
      </c>
    </row>
    <row r="1887" customFormat="false" ht="15" hidden="false" customHeight="false" outlineLevel="0" collapsed="false">
      <c r="A1887" s="5" t="s">
        <v>2929</v>
      </c>
      <c r="B1887" s="9" t="n">
        <v>46167</v>
      </c>
      <c r="C1887" s="9" t="n">
        <v>46172</v>
      </c>
      <c r="D1887" s="5" t="s">
        <v>144</v>
      </c>
      <c r="E1887" s="5" t="s">
        <v>1043</v>
      </c>
      <c r="F1887" s="5" t="s">
        <v>1002</v>
      </c>
      <c r="G1887" s="6" t="str">
        <f aca="false">INDEX(Catalogo_Causas!$B$2:$B$10,MATCH(F1887,Catalogo_Causas!$A$2:$A$10,0))</f>
        <v>Falla mecánica</v>
      </c>
      <c r="H1887" s="6" t="str">
        <f aca="false">INDEX(Catalogo_Causas!$C$2:$C$10,MATCH(F1887,Catalogo_Causas!$A$2:$A$10,0))</f>
        <v>Operacional</v>
      </c>
      <c r="I1887" s="5" t="n">
        <v>73</v>
      </c>
      <c r="J1887" s="29" t="n">
        <f aca="false">I1887/60</f>
        <v>1.21666666666667</v>
      </c>
    </row>
    <row r="1888" customFormat="false" ht="15" hidden="false" customHeight="false" outlineLevel="0" collapsed="false">
      <c r="A1888" s="5" t="s">
        <v>2930</v>
      </c>
      <c r="B1888" s="9" t="n">
        <v>46174</v>
      </c>
      <c r="C1888" s="9" t="n">
        <v>46174</v>
      </c>
      <c r="D1888" s="5" t="s">
        <v>130</v>
      </c>
      <c r="E1888" s="5" t="s">
        <v>1078</v>
      </c>
      <c r="F1888" s="5" t="s">
        <v>1002</v>
      </c>
      <c r="G1888" s="6" t="str">
        <f aca="false">INDEX(Catalogo_Causas!$B$2:$B$10,MATCH(F1888,Catalogo_Causas!$A$2:$A$10,0))</f>
        <v>Falla mecánica</v>
      </c>
      <c r="H1888" s="6" t="str">
        <f aca="false">INDEX(Catalogo_Causas!$C$2:$C$10,MATCH(F1888,Catalogo_Causas!$A$2:$A$10,0))</f>
        <v>Operacional</v>
      </c>
      <c r="I1888" s="5" t="n">
        <v>80</v>
      </c>
      <c r="J1888" s="29" t="n">
        <f aca="false">I1888/60</f>
        <v>1.33333333333333</v>
      </c>
    </row>
    <row r="1889" customFormat="false" ht="15" hidden="false" customHeight="false" outlineLevel="0" collapsed="false">
      <c r="A1889" s="5" t="s">
        <v>2931</v>
      </c>
      <c r="B1889" s="9" t="n">
        <v>46174</v>
      </c>
      <c r="C1889" s="9" t="n">
        <v>46174</v>
      </c>
      <c r="D1889" s="5" t="s">
        <v>134</v>
      </c>
      <c r="E1889" s="5" t="s">
        <v>1030</v>
      </c>
      <c r="F1889" s="5" t="s">
        <v>1002</v>
      </c>
      <c r="G1889" s="6" t="str">
        <f aca="false">INDEX(Catalogo_Causas!$B$2:$B$10,MATCH(F1889,Catalogo_Causas!$A$2:$A$10,0))</f>
        <v>Falla mecánica</v>
      </c>
      <c r="H1889" s="6" t="str">
        <f aca="false">INDEX(Catalogo_Causas!$C$2:$C$10,MATCH(F1889,Catalogo_Causas!$A$2:$A$10,0))</f>
        <v>Operacional</v>
      </c>
      <c r="I1889" s="5" t="n">
        <v>15</v>
      </c>
      <c r="J1889" s="29" t="n">
        <f aca="false">I1889/60</f>
        <v>0.25</v>
      </c>
    </row>
    <row r="1890" customFormat="false" ht="15" hidden="false" customHeight="false" outlineLevel="0" collapsed="false">
      <c r="A1890" s="5" t="s">
        <v>2932</v>
      </c>
      <c r="B1890" s="9" t="n">
        <v>46174</v>
      </c>
      <c r="C1890" s="9" t="n">
        <v>46174</v>
      </c>
      <c r="D1890" s="5" t="s">
        <v>134</v>
      </c>
      <c r="E1890" s="5" t="s">
        <v>1054</v>
      </c>
      <c r="F1890" s="5" t="s">
        <v>1002</v>
      </c>
      <c r="G1890" s="6" t="str">
        <f aca="false">INDEX(Catalogo_Causas!$B$2:$B$10,MATCH(F1890,Catalogo_Causas!$A$2:$A$10,0))</f>
        <v>Falla mecánica</v>
      </c>
      <c r="H1890" s="6" t="str">
        <f aca="false">INDEX(Catalogo_Causas!$C$2:$C$10,MATCH(F1890,Catalogo_Causas!$A$2:$A$10,0))</f>
        <v>Operacional</v>
      </c>
      <c r="I1890" s="5" t="n">
        <v>94</v>
      </c>
      <c r="J1890" s="29" t="n">
        <f aca="false">I1890/60</f>
        <v>1.56666666666667</v>
      </c>
    </row>
    <row r="1891" customFormat="false" ht="15" hidden="false" customHeight="false" outlineLevel="0" collapsed="false">
      <c r="A1891" s="5" t="s">
        <v>2933</v>
      </c>
      <c r="B1891" s="9" t="n">
        <v>46174</v>
      </c>
      <c r="C1891" s="9" t="n">
        <v>46174</v>
      </c>
      <c r="D1891" s="5" t="s">
        <v>138</v>
      </c>
      <c r="E1891" s="5" t="s">
        <v>1056</v>
      </c>
      <c r="F1891" s="5" t="s">
        <v>1021</v>
      </c>
      <c r="G1891" s="6" t="str">
        <f aca="false">INDEX(Catalogo_Causas!$B$2:$B$10,MATCH(F1891,Catalogo_Causas!$A$2:$A$10,0))</f>
        <v>Falla de servicios (vapor/amoniaco/aire)</v>
      </c>
      <c r="H1891" s="6" t="str">
        <f aca="false">INDEX(Catalogo_Causas!$C$2:$C$10,MATCH(F1891,Catalogo_Causas!$A$2:$A$10,0))</f>
        <v>Servicios</v>
      </c>
      <c r="I1891" s="5" t="n">
        <v>113</v>
      </c>
      <c r="J1891" s="29" t="n">
        <f aca="false">I1891/60</f>
        <v>1.88333333333333</v>
      </c>
    </row>
    <row r="1892" customFormat="false" ht="15" hidden="false" customHeight="false" outlineLevel="0" collapsed="false">
      <c r="A1892" s="5" t="s">
        <v>2934</v>
      </c>
      <c r="B1892" s="9" t="n">
        <v>46174</v>
      </c>
      <c r="C1892" s="9" t="n">
        <v>46174</v>
      </c>
      <c r="D1892" s="5" t="s">
        <v>138</v>
      </c>
      <c r="E1892" s="5" t="s">
        <v>1056</v>
      </c>
      <c r="F1892" s="5" t="s">
        <v>1005</v>
      </c>
      <c r="G1892" s="6" t="str">
        <f aca="false">INDEX(Catalogo_Causas!$B$2:$B$10,MATCH(F1892,Catalogo_Causas!$A$2:$A$10,0))</f>
        <v>Falla eléctrica / control</v>
      </c>
      <c r="H1892" s="6" t="str">
        <f aca="false">INDEX(Catalogo_Causas!$C$2:$C$10,MATCH(F1892,Catalogo_Causas!$A$2:$A$10,0))</f>
        <v>Operacional</v>
      </c>
      <c r="I1892" s="5" t="n">
        <v>86</v>
      </c>
      <c r="J1892" s="29" t="n">
        <f aca="false">I1892/60</f>
        <v>1.43333333333333</v>
      </c>
    </row>
    <row r="1893" customFormat="false" ht="15" hidden="false" customHeight="false" outlineLevel="0" collapsed="false">
      <c r="A1893" s="5" t="s">
        <v>2935</v>
      </c>
      <c r="B1893" s="9" t="n">
        <v>46174</v>
      </c>
      <c r="C1893" s="9" t="n">
        <v>46174</v>
      </c>
      <c r="D1893" s="5" t="s">
        <v>142</v>
      </c>
      <c r="E1893" s="5" t="s">
        <v>1030</v>
      </c>
      <c r="F1893" s="5" t="s">
        <v>1007</v>
      </c>
      <c r="G1893" s="6" t="str">
        <f aca="false">INDEX(Catalogo_Causas!$B$2:$B$10,MATCH(F1893,Catalogo_Causas!$A$2:$A$10,0))</f>
        <v>Cambio de formato excedido</v>
      </c>
      <c r="H1893" s="6" t="str">
        <f aca="false">INDEX(Catalogo_Causas!$C$2:$C$10,MATCH(F1893,Catalogo_Causas!$A$2:$A$10,0))</f>
        <v>Operacional</v>
      </c>
      <c r="I1893" s="5" t="n">
        <v>85</v>
      </c>
      <c r="J1893" s="29" t="n">
        <f aca="false">I1893/60</f>
        <v>1.41666666666667</v>
      </c>
    </row>
    <row r="1894" customFormat="false" ht="15" hidden="false" customHeight="false" outlineLevel="0" collapsed="false">
      <c r="A1894" s="5" t="s">
        <v>2936</v>
      </c>
      <c r="B1894" s="9" t="n">
        <v>46174</v>
      </c>
      <c r="C1894" s="9" t="n">
        <v>46175</v>
      </c>
      <c r="D1894" s="5" t="s">
        <v>130</v>
      </c>
      <c r="E1894" s="5" t="s">
        <v>1045</v>
      </c>
      <c r="F1894" s="5" t="s">
        <v>1009</v>
      </c>
      <c r="G1894" s="6" t="str">
        <f aca="false">INDEX(Catalogo_Causas!$B$2:$B$10,MATCH(F1894,Catalogo_Causas!$A$2:$A$10,0))</f>
        <v>Falta de material de empaque</v>
      </c>
      <c r="H1894" s="6" t="str">
        <f aca="false">INDEX(Catalogo_Causas!$C$2:$C$10,MATCH(F1894,Catalogo_Causas!$A$2:$A$10,0))</f>
        <v>Material / suministro</v>
      </c>
      <c r="I1894" s="5" t="n">
        <v>32</v>
      </c>
      <c r="J1894" s="29" t="n">
        <f aca="false">I1894/60</f>
        <v>0.533333333333333</v>
      </c>
    </row>
    <row r="1895" customFormat="false" ht="15" hidden="false" customHeight="false" outlineLevel="0" collapsed="false">
      <c r="A1895" s="5" t="s">
        <v>2937</v>
      </c>
      <c r="B1895" s="9" t="n">
        <v>46174</v>
      </c>
      <c r="C1895" s="9" t="n">
        <v>46175</v>
      </c>
      <c r="D1895" s="5" t="s">
        <v>130</v>
      </c>
      <c r="E1895" s="5" t="s">
        <v>1030</v>
      </c>
      <c r="F1895" s="5" t="s">
        <v>1002</v>
      </c>
      <c r="G1895" s="6" t="str">
        <f aca="false">INDEX(Catalogo_Causas!$B$2:$B$10,MATCH(F1895,Catalogo_Causas!$A$2:$A$10,0))</f>
        <v>Falla mecánica</v>
      </c>
      <c r="H1895" s="6" t="str">
        <f aca="false">INDEX(Catalogo_Causas!$C$2:$C$10,MATCH(F1895,Catalogo_Causas!$A$2:$A$10,0))</f>
        <v>Operacional</v>
      </c>
      <c r="I1895" s="5" t="n">
        <v>43</v>
      </c>
      <c r="J1895" s="29" t="n">
        <f aca="false">I1895/60</f>
        <v>0.716666666666667</v>
      </c>
    </row>
    <row r="1896" customFormat="false" ht="15" hidden="false" customHeight="false" outlineLevel="0" collapsed="false">
      <c r="A1896" s="5" t="s">
        <v>2938</v>
      </c>
      <c r="B1896" s="9" t="n">
        <v>46174</v>
      </c>
      <c r="C1896" s="9" t="n">
        <v>46175</v>
      </c>
      <c r="D1896" s="5" t="s">
        <v>136</v>
      </c>
      <c r="E1896" s="5" t="s">
        <v>1101</v>
      </c>
      <c r="F1896" s="5" t="s">
        <v>1007</v>
      </c>
      <c r="G1896" s="6" t="str">
        <f aca="false">INDEX(Catalogo_Causas!$B$2:$B$10,MATCH(F1896,Catalogo_Causas!$A$2:$A$10,0))</f>
        <v>Cambio de formato excedido</v>
      </c>
      <c r="H1896" s="6" t="str">
        <f aca="false">INDEX(Catalogo_Causas!$C$2:$C$10,MATCH(F1896,Catalogo_Causas!$A$2:$A$10,0))</f>
        <v>Operacional</v>
      </c>
      <c r="I1896" s="5" t="n">
        <v>18</v>
      </c>
      <c r="J1896" s="29" t="n">
        <f aca="false">I1896/60</f>
        <v>0.3</v>
      </c>
    </row>
    <row r="1897" customFormat="false" ht="15" hidden="false" customHeight="false" outlineLevel="0" collapsed="false">
      <c r="A1897" s="5" t="s">
        <v>2939</v>
      </c>
      <c r="B1897" s="9" t="n">
        <v>46174</v>
      </c>
      <c r="C1897" s="9" t="n">
        <v>46176</v>
      </c>
      <c r="D1897" s="5" t="s">
        <v>142</v>
      </c>
      <c r="E1897" s="5" t="s">
        <v>1051</v>
      </c>
      <c r="F1897" s="5" t="s">
        <v>1005</v>
      </c>
      <c r="G1897" s="6" t="str">
        <f aca="false">INDEX(Catalogo_Causas!$B$2:$B$10,MATCH(F1897,Catalogo_Causas!$A$2:$A$10,0))</f>
        <v>Falla eléctrica / control</v>
      </c>
      <c r="H1897" s="6" t="str">
        <f aca="false">INDEX(Catalogo_Causas!$C$2:$C$10,MATCH(F1897,Catalogo_Causas!$A$2:$A$10,0))</f>
        <v>Operacional</v>
      </c>
      <c r="I1897" s="5" t="n">
        <v>106</v>
      </c>
      <c r="J1897" s="29" t="n">
        <f aca="false">I1897/60</f>
        <v>1.76666666666667</v>
      </c>
    </row>
    <row r="1898" customFormat="false" ht="15" hidden="false" customHeight="false" outlineLevel="0" collapsed="false">
      <c r="A1898" s="5" t="s">
        <v>2940</v>
      </c>
      <c r="B1898" s="9" t="n">
        <v>46174</v>
      </c>
      <c r="C1898" s="9" t="n">
        <v>46176</v>
      </c>
      <c r="D1898" s="5" t="s">
        <v>142</v>
      </c>
      <c r="E1898" s="5" t="s">
        <v>1051</v>
      </c>
      <c r="F1898" s="5" t="s">
        <v>1007</v>
      </c>
      <c r="G1898" s="6" t="str">
        <f aca="false">INDEX(Catalogo_Causas!$B$2:$B$10,MATCH(F1898,Catalogo_Causas!$A$2:$A$10,0))</f>
        <v>Cambio de formato excedido</v>
      </c>
      <c r="H1898" s="6" t="str">
        <f aca="false">INDEX(Catalogo_Causas!$C$2:$C$10,MATCH(F1898,Catalogo_Causas!$A$2:$A$10,0))</f>
        <v>Operacional</v>
      </c>
      <c r="I1898" s="5" t="n">
        <v>31</v>
      </c>
      <c r="J1898" s="29" t="n">
        <f aca="false">I1898/60</f>
        <v>0.516666666666667</v>
      </c>
    </row>
    <row r="1899" customFormat="false" ht="15" hidden="false" customHeight="false" outlineLevel="0" collapsed="false">
      <c r="A1899" s="5" t="s">
        <v>2941</v>
      </c>
      <c r="B1899" s="9" t="n">
        <v>46174</v>
      </c>
      <c r="C1899" s="9" t="n">
        <v>46176</v>
      </c>
      <c r="D1899" s="5" t="s">
        <v>142</v>
      </c>
      <c r="E1899" s="5" t="s">
        <v>1041</v>
      </c>
      <c r="F1899" s="5" t="s">
        <v>1009</v>
      </c>
      <c r="G1899" s="6" t="str">
        <f aca="false">INDEX(Catalogo_Causas!$B$2:$B$10,MATCH(F1899,Catalogo_Causas!$A$2:$A$10,0))</f>
        <v>Falta de material de empaque</v>
      </c>
      <c r="H1899" s="6" t="str">
        <f aca="false">INDEX(Catalogo_Causas!$C$2:$C$10,MATCH(F1899,Catalogo_Causas!$A$2:$A$10,0))</f>
        <v>Material / suministro</v>
      </c>
      <c r="I1899" s="5" t="n">
        <v>80</v>
      </c>
      <c r="J1899" s="29" t="n">
        <f aca="false">I1899/60</f>
        <v>1.33333333333333</v>
      </c>
    </row>
    <row r="1900" customFormat="false" ht="15" hidden="false" customHeight="false" outlineLevel="0" collapsed="false">
      <c r="A1900" s="5" t="s">
        <v>2942</v>
      </c>
      <c r="B1900" s="9" t="n">
        <v>46174</v>
      </c>
      <c r="C1900" s="9" t="n">
        <v>46176</v>
      </c>
      <c r="D1900" s="5" t="s">
        <v>142</v>
      </c>
      <c r="E1900" s="5" t="s">
        <v>1030</v>
      </c>
      <c r="F1900" s="5" t="s">
        <v>1005</v>
      </c>
      <c r="G1900" s="6" t="str">
        <f aca="false">INDEX(Catalogo_Causas!$B$2:$B$10,MATCH(F1900,Catalogo_Causas!$A$2:$A$10,0))</f>
        <v>Falla eléctrica / control</v>
      </c>
      <c r="H1900" s="6" t="str">
        <f aca="false">INDEX(Catalogo_Causas!$C$2:$C$10,MATCH(F1900,Catalogo_Causas!$A$2:$A$10,0))</f>
        <v>Operacional</v>
      </c>
      <c r="I1900" s="5" t="n">
        <v>34</v>
      </c>
      <c r="J1900" s="29" t="n">
        <f aca="false">I1900/60</f>
        <v>0.566666666666667</v>
      </c>
    </row>
    <row r="1901" customFormat="false" ht="15" hidden="false" customHeight="false" outlineLevel="0" collapsed="false">
      <c r="A1901" s="5" t="s">
        <v>2943</v>
      </c>
      <c r="B1901" s="9" t="n">
        <v>46174</v>
      </c>
      <c r="C1901" s="9" t="n">
        <v>46177</v>
      </c>
      <c r="D1901" s="5" t="s">
        <v>136</v>
      </c>
      <c r="E1901" s="5" t="s">
        <v>1032</v>
      </c>
      <c r="F1901" s="5" t="s">
        <v>1016</v>
      </c>
      <c r="G1901" s="6" t="str">
        <f aca="false">INDEX(Catalogo_Causas!$B$2:$B$10,MATCH(F1901,Catalogo_Causas!$A$2:$A$10,0))</f>
        <v>Limpieza no programada (CIP)</v>
      </c>
      <c r="H1901" s="6" t="str">
        <f aca="false">INDEX(Catalogo_Causas!$C$2:$C$10,MATCH(F1901,Catalogo_Causas!$A$2:$A$10,0))</f>
        <v>Calidad</v>
      </c>
      <c r="I1901" s="5" t="n">
        <v>31</v>
      </c>
      <c r="J1901" s="29" t="n">
        <f aca="false">I1901/60</f>
        <v>0.516666666666667</v>
      </c>
    </row>
    <row r="1902" customFormat="false" ht="15" hidden="false" customHeight="false" outlineLevel="0" collapsed="false">
      <c r="A1902" s="5" t="s">
        <v>2944</v>
      </c>
      <c r="B1902" s="9" t="n">
        <v>46174</v>
      </c>
      <c r="C1902" s="9" t="n">
        <v>46177</v>
      </c>
      <c r="D1902" s="5" t="s">
        <v>138</v>
      </c>
      <c r="E1902" s="5" t="s">
        <v>1034</v>
      </c>
      <c r="F1902" s="5" t="s">
        <v>1014</v>
      </c>
      <c r="G1902" s="6" t="str">
        <f aca="false">INDEX(Catalogo_Causas!$B$2:$B$10,MATCH(F1902,Catalogo_Causas!$A$2:$A$10,0))</f>
        <v>Retención de calidad</v>
      </c>
      <c r="H1902" s="6" t="str">
        <f aca="false">INDEX(Catalogo_Causas!$C$2:$C$10,MATCH(F1902,Catalogo_Causas!$A$2:$A$10,0))</f>
        <v>Calidad</v>
      </c>
      <c r="I1902" s="5" t="n">
        <v>72</v>
      </c>
      <c r="J1902" s="29" t="n">
        <f aca="false">I1902/60</f>
        <v>1.2</v>
      </c>
    </row>
    <row r="1903" customFormat="false" ht="15" hidden="false" customHeight="false" outlineLevel="0" collapsed="false">
      <c r="A1903" s="5" t="s">
        <v>2945</v>
      </c>
      <c r="B1903" s="9" t="n">
        <v>46174</v>
      </c>
      <c r="C1903" s="9" t="n">
        <v>46177</v>
      </c>
      <c r="D1903" s="5" t="s">
        <v>138</v>
      </c>
      <c r="E1903" s="5" t="s">
        <v>1034</v>
      </c>
      <c r="F1903" s="5" t="s">
        <v>1005</v>
      </c>
      <c r="G1903" s="6" t="str">
        <f aca="false">INDEX(Catalogo_Causas!$B$2:$B$10,MATCH(F1903,Catalogo_Causas!$A$2:$A$10,0))</f>
        <v>Falla eléctrica / control</v>
      </c>
      <c r="H1903" s="6" t="str">
        <f aca="false">INDEX(Catalogo_Causas!$C$2:$C$10,MATCH(F1903,Catalogo_Causas!$A$2:$A$10,0))</f>
        <v>Operacional</v>
      </c>
      <c r="I1903" s="5" t="n">
        <v>84</v>
      </c>
      <c r="J1903" s="29" t="n">
        <f aca="false">I1903/60</f>
        <v>1.4</v>
      </c>
    </row>
    <row r="1904" customFormat="false" ht="15" hidden="false" customHeight="false" outlineLevel="0" collapsed="false">
      <c r="A1904" s="5" t="s">
        <v>2946</v>
      </c>
      <c r="B1904" s="9" t="n">
        <v>46174</v>
      </c>
      <c r="C1904" s="9" t="n">
        <v>46177</v>
      </c>
      <c r="D1904" s="5" t="s">
        <v>144</v>
      </c>
      <c r="E1904" s="5" t="s">
        <v>1043</v>
      </c>
      <c r="F1904" s="5" t="s">
        <v>1007</v>
      </c>
      <c r="G1904" s="6" t="str">
        <f aca="false">INDEX(Catalogo_Causas!$B$2:$B$10,MATCH(F1904,Catalogo_Causas!$A$2:$A$10,0))</f>
        <v>Cambio de formato excedido</v>
      </c>
      <c r="H1904" s="6" t="str">
        <f aca="false">INDEX(Catalogo_Causas!$C$2:$C$10,MATCH(F1904,Catalogo_Causas!$A$2:$A$10,0))</f>
        <v>Operacional</v>
      </c>
      <c r="I1904" s="5" t="n">
        <v>40</v>
      </c>
      <c r="J1904" s="29" t="n">
        <f aca="false">I1904/60</f>
        <v>0.666666666666667</v>
      </c>
    </row>
    <row r="1905" customFormat="false" ht="15" hidden="false" customHeight="false" outlineLevel="0" collapsed="false">
      <c r="A1905" s="5" t="s">
        <v>2947</v>
      </c>
      <c r="B1905" s="9" t="n">
        <v>46174</v>
      </c>
      <c r="C1905" s="9" t="n">
        <v>46178</v>
      </c>
      <c r="D1905" s="5" t="s">
        <v>138</v>
      </c>
      <c r="E1905" s="5" t="s">
        <v>1034</v>
      </c>
      <c r="F1905" s="5" t="s">
        <v>1012</v>
      </c>
      <c r="G1905" s="6" t="str">
        <f aca="false">INDEX(Catalogo_Causas!$B$2:$B$10,MATCH(F1905,Catalogo_Causas!$A$2:$A$10,0))</f>
        <v>Falta de materia prima</v>
      </c>
      <c r="H1905" s="6" t="str">
        <f aca="false">INDEX(Catalogo_Causas!$C$2:$C$10,MATCH(F1905,Catalogo_Causas!$A$2:$A$10,0))</f>
        <v>Material / suministro</v>
      </c>
      <c r="I1905" s="5" t="n">
        <v>63</v>
      </c>
      <c r="J1905" s="29" t="n">
        <f aca="false">I1905/60</f>
        <v>1.05</v>
      </c>
    </row>
    <row r="1906" customFormat="false" ht="15" hidden="false" customHeight="false" outlineLevel="0" collapsed="false">
      <c r="A1906" s="5" t="s">
        <v>2948</v>
      </c>
      <c r="B1906" s="9" t="n">
        <v>46174</v>
      </c>
      <c r="C1906" s="9" t="n">
        <v>46178</v>
      </c>
      <c r="D1906" s="5" t="s">
        <v>142</v>
      </c>
      <c r="E1906" s="5" t="s">
        <v>1051</v>
      </c>
      <c r="F1906" s="5" t="s">
        <v>1007</v>
      </c>
      <c r="G1906" s="6" t="str">
        <f aca="false">INDEX(Catalogo_Causas!$B$2:$B$10,MATCH(F1906,Catalogo_Causas!$A$2:$A$10,0))</f>
        <v>Cambio de formato excedido</v>
      </c>
      <c r="H1906" s="6" t="str">
        <f aca="false">INDEX(Catalogo_Causas!$C$2:$C$10,MATCH(F1906,Catalogo_Causas!$A$2:$A$10,0))</f>
        <v>Operacional</v>
      </c>
      <c r="I1906" s="5" t="n">
        <v>133</v>
      </c>
      <c r="J1906" s="29" t="n">
        <f aca="false">I1906/60</f>
        <v>2.21666666666667</v>
      </c>
    </row>
    <row r="1907" customFormat="false" ht="15" hidden="false" customHeight="false" outlineLevel="0" collapsed="false">
      <c r="A1907" s="5" t="s">
        <v>2949</v>
      </c>
      <c r="B1907" s="9" t="n">
        <v>46174</v>
      </c>
      <c r="C1907" s="9" t="n">
        <v>46179</v>
      </c>
      <c r="D1907" s="5" t="s">
        <v>130</v>
      </c>
      <c r="E1907" s="5" t="s">
        <v>1078</v>
      </c>
      <c r="F1907" s="5" t="s">
        <v>1018</v>
      </c>
      <c r="G1907" s="6" t="str">
        <f aca="false">INDEX(Catalogo_Causas!$B$2:$B$10,MATCH(F1907,Catalogo_Causas!$A$2:$A$10,0))</f>
        <v>Falta de personal</v>
      </c>
      <c r="H1907" s="6" t="str">
        <f aca="false">INDEX(Catalogo_Causas!$C$2:$C$10,MATCH(F1907,Catalogo_Causas!$A$2:$A$10,0))</f>
        <v>Personal</v>
      </c>
      <c r="I1907" s="5" t="n">
        <v>71</v>
      </c>
      <c r="J1907" s="29" t="n">
        <f aca="false">I1907/60</f>
        <v>1.18333333333333</v>
      </c>
    </row>
    <row r="1908" customFormat="false" ht="15" hidden="false" customHeight="false" outlineLevel="0" collapsed="false">
      <c r="A1908" s="5" t="s">
        <v>2950</v>
      </c>
      <c r="B1908" s="9" t="n">
        <v>46174</v>
      </c>
      <c r="C1908" s="9" t="n">
        <v>46179</v>
      </c>
      <c r="D1908" s="5" t="s">
        <v>136</v>
      </c>
      <c r="E1908" s="5" t="s">
        <v>1101</v>
      </c>
      <c r="F1908" s="5" t="s">
        <v>1016</v>
      </c>
      <c r="G1908" s="6" t="str">
        <f aca="false">INDEX(Catalogo_Causas!$B$2:$B$10,MATCH(F1908,Catalogo_Causas!$A$2:$A$10,0))</f>
        <v>Limpieza no programada (CIP)</v>
      </c>
      <c r="H1908" s="6" t="str">
        <f aca="false">INDEX(Catalogo_Causas!$C$2:$C$10,MATCH(F1908,Catalogo_Causas!$A$2:$A$10,0))</f>
        <v>Calidad</v>
      </c>
      <c r="I1908" s="5" t="n">
        <v>12</v>
      </c>
      <c r="J1908" s="29" t="n">
        <f aca="false">I1908/60</f>
        <v>0.2</v>
      </c>
    </row>
    <row r="1909" customFormat="false" ht="15" hidden="false" customHeight="false" outlineLevel="0" collapsed="false">
      <c r="A1909" s="5" t="s">
        <v>2951</v>
      </c>
      <c r="B1909" s="9" t="n">
        <v>46174</v>
      </c>
      <c r="C1909" s="9" t="n">
        <v>46179</v>
      </c>
      <c r="D1909" s="5" t="s">
        <v>140</v>
      </c>
      <c r="E1909" s="5" t="s">
        <v>1032</v>
      </c>
      <c r="F1909" s="5" t="s">
        <v>1018</v>
      </c>
      <c r="G1909" s="6" t="str">
        <f aca="false">INDEX(Catalogo_Causas!$B$2:$B$10,MATCH(F1909,Catalogo_Causas!$A$2:$A$10,0))</f>
        <v>Falta de personal</v>
      </c>
      <c r="H1909" s="6" t="str">
        <f aca="false">INDEX(Catalogo_Causas!$C$2:$C$10,MATCH(F1909,Catalogo_Causas!$A$2:$A$10,0))</f>
        <v>Personal</v>
      </c>
      <c r="I1909" s="5" t="n">
        <v>48</v>
      </c>
      <c r="J1909" s="29" t="n">
        <f aca="false">I1909/60</f>
        <v>0.8</v>
      </c>
    </row>
    <row r="1910" customFormat="false" ht="15" hidden="false" customHeight="false" outlineLevel="0" collapsed="false">
      <c r="A1910" s="5" t="s">
        <v>2952</v>
      </c>
      <c r="B1910" s="9" t="n">
        <v>46181</v>
      </c>
      <c r="C1910" s="9" t="n">
        <v>46181</v>
      </c>
      <c r="D1910" s="5" t="s">
        <v>138</v>
      </c>
      <c r="E1910" s="5" t="s">
        <v>1034</v>
      </c>
      <c r="F1910" s="5" t="s">
        <v>1016</v>
      </c>
      <c r="G1910" s="6" t="str">
        <f aca="false">INDEX(Catalogo_Causas!$B$2:$B$10,MATCH(F1910,Catalogo_Causas!$A$2:$A$10,0))</f>
        <v>Limpieza no programada (CIP)</v>
      </c>
      <c r="H1910" s="6" t="str">
        <f aca="false">INDEX(Catalogo_Causas!$C$2:$C$10,MATCH(F1910,Catalogo_Causas!$A$2:$A$10,0))</f>
        <v>Calidad</v>
      </c>
      <c r="I1910" s="5" t="n">
        <v>23</v>
      </c>
      <c r="J1910" s="29" t="n">
        <f aca="false">I1910/60</f>
        <v>0.383333333333333</v>
      </c>
    </row>
    <row r="1911" customFormat="false" ht="15" hidden="false" customHeight="false" outlineLevel="0" collapsed="false">
      <c r="A1911" s="5" t="s">
        <v>2953</v>
      </c>
      <c r="B1911" s="9" t="n">
        <v>46181</v>
      </c>
      <c r="C1911" s="9" t="n">
        <v>46181</v>
      </c>
      <c r="D1911" s="5" t="s">
        <v>142</v>
      </c>
      <c r="E1911" s="5" t="s">
        <v>1030</v>
      </c>
      <c r="F1911" s="5" t="s">
        <v>1009</v>
      </c>
      <c r="G1911" s="6" t="str">
        <f aca="false">INDEX(Catalogo_Causas!$B$2:$B$10,MATCH(F1911,Catalogo_Causas!$A$2:$A$10,0))</f>
        <v>Falta de material de empaque</v>
      </c>
      <c r="H1911" s="6" t="str">
        <f aca="false">INDEX(Catalogo_Causas!$C$2:$C$10,MATCH(F1911,Catalogo_Causas!$A$2:$A$10,0))</f>
        <v>Material / suministro</v>
      </c>
      <c r="I1911" s="5" t="n">
        <v>110</v>
      </c>
      <c r="J1911" s="29" t="n">
        <f aca="false">I1911/60</f>
        <v>1.83333333333333</v>
      </c>
    </row>
    <row r="1912" customFormat="false" ht="15" hidden="false" customHeight="false" outlineLevel="0" collapsed="false">
      <c r="A1912" s="5" t="s">
        <v>2954</v>
      </c>
      <c r="B1912" s="9" t="n">
        <v>46181</v>
      </c>
      <c r="C1912" s="9" t="n">
        <v>46182</v>
      </c>
      <c r="D1912" s="5" t="s">
        <v>140</v>
      </c>
      <c r="E1912" s="5" t="s">
        <v>1045</v>
      </c>
      <c r="F1912" s="5" t="s">
        <v>1018</v>
      </c>
      <c r="G1912" s="6" t="str">
        <f aca="false">INDEX(Catalogo_Causas!$B$2:$B$10,MATCH(F1912,Catalogo_Causas!$A$2:$A$10,0))</f>
        <v>Falta de personal</v>
      </c>
      <c r="H1912" s="6" t="str">
        <f aca="false">INDEX(Catalogo_Causas!$C$2:$C$10,MATCH(F1912,Catalogo_Causas!$A$2:$A$10,0))</f>
        <v>Personal</v>
      </c>
      <c r="I1912" s="5" t="n">
        <v>51</v>
      </c>
      <c r="J1912" s="29" t="n">
        <f aca="false">I1912/60</f>
        <v>0.85</v>
      </c>
    </row>
    <row r="1913" customFormat="false" ht="15" hidden="false" customHeight="false" outlineLevel="0" collapsed="false">
      <c r="A1913" s="5" t="s">
        <v>2955</v>
      </c>
      <c r="B1913" s="9" t="n">
        <v>46181</v>
      </c>
      <c r="C1913" s="9" t="n">
        <v>46182</v>
      </c>
      <c r="D1913" s="5" t="s">
        <v>142</v>
      </c>
      <c r="E1913" s="5" t="s">
        <v>1051</v>
      </c>
      <c r="F1913" s="5" t="s">
        <v>1016</v>
      </c>
      <c r="G1913" s="6" t="str">
        <f aca="false">INDEX(Catalogo_Causas!$B$2:$B$10,MATCH(F1913,Catalogo_Causas!$A$2:$A$10,0))</f>
        <v>Limpieza no programada (CIP)</v>
      </c>
      <c r="H1913" s="6" t="str">
        <f aca="false">INDEX(Catalogo_Causas!$C$2:$C$10,MATCH(F1913,Catalogo_Causas!$A$2:$A$10,0))</f>
        <v>Calidad</v>
      </c>
      <c r="I1913" s="5" t="n">
        <v>36</v>
      </c>
      <c r="J1913" s="29" t="n">
        <f aca="false">I1913/60</f>
        <v>0.6</v>
      </c>
    </row>
    <row r="1914" customFormat="false" ht="15" hidden="false" customHeight="false" outlineLevel="0" collapsed="false">
      <c r="A1914" s="5" t="s">
        <v>2956</v>
      </c>
      <c r="B1914" s="9" t="n">
        <v>46181</v>
      </c>
      <c r="C1914" s="9" t="n">
        <v>46182</v>
      </c>
      <c r="D1914" s="5" t="s">
        <v>144</v>
      </c>
      <c r="E1914" s="5" t="s">
        <v>1043</v>
      </c>
      <c r="F1914" s="5" t="s">
        <v>1007</v>
      </c>
      <c r="G1914" s="6" t="str">
        <f aca="false">INDEX(Catalogo_Causas!$B$2:$B$10,MATCH(F1914,Catalogo_Causas!$A$2:$A$10,0))</f>
        <v>Cambio de formato excedido</v>
      </c>
      <c r="H1914" s="6" t="str">
        <f aca="false">INDEX(Catalogo_Causas!$C$2:$C$10,MATCH(F1914,Catalogo_Causas!$A$2:$A$10,0))</f>
        <v>Operacional</v>
      </c>
      <c r="I1914" s="5" t="n">
        <v>11</v>
      </c>
      <c r="J1914" s="29" t="n">
        <f aca="false">I1914/60</f>
        <v>0.183333333333333</v>
      </c>
    </row>
    <row r="1915" customFormat="false" ht="15" hidden="false" customHeight="false" outlineLevel="0" collapsed="false">
      <c r="A1915" s="5" t="s">
        <v>2957</v>
      </c>
      <c r="B1915" s="9" t="n">
        <v>46181</v>
      </c>
      <c r="C1915" s="9" t="n">
        <v>46183</v>
      </c>
      <c r="D1915" s="5" t="s">
        <v>134</v>
      </c>
      <c r="E1915" s="5" t="s">
        <v>1032</v>
      </c>
      <c r="F1915" s="5" t="s">
        <v>1005</v>
      </c>
      <c r="G1915" s="6" t="str">
        <f aca="false">INDEX(Catalogo_Causas!$B$2:$B$10,MATCH(F1915,Catalogo_Causas!$A$2:$A$10,0))</f>
        <v>Falla eléctrica / control</v>
      </c>
      <c r="H1915" s="6" t="str">
        <f aca="false">INDEX(Catalogo_Causas!$C$2:$C$10,MATCH(F1915,Catalogo_Causas!$A$2:$A$10,0))</f>
        <v>Operacional</v>
      </c>
      <c r="I1915" s="5" t="n">
        <v>112</v>
      </c>
      <c r="J1915" s="29" t="n">
        <f aca="false">I1915/60</f>
        <v>1.86666666666667</v>
      </c>
    </row>
    <row r="1916" customFormat="false" ht="15" hidden="false" customHeight="false" outlineLevel="0" collapsed="false">
      <c r="A1916" s="5" t="s">
        <v>2958</v>
      </c>
      <c r="B1916" s="9" t="n">
        <v>46181</v>
      </c>
      <c r="C1916" s="9" t="n">
        <v>46184</v>
      </c>
      <c r="D1916" s="5" t="s">
        <v>138</v>
      </c>
      <c r="E1916" s="5" t="s">
        <v>1034</v>
      </c>
      <c r="F1916" s="5" t="s">
        <v>1009</v>
      </c>
      <c r="G1916" s="6" t="str">
        <f aca="false">INDEX(Catalogo_Causas!$B$2:$B$10,MATCH(F1916,Catalogo_Causas!$A$2:$A$10,0))</f>
        <v>Falta de material de empaque</v>
      </c>
      <c r="H1916" s="6" t="str">
        <f aca="false">INDEX(Catalogo_Causas!$C$2:$C$10,MATCH(F1916,Catalogo_Causas!$A$2:$A$10,0))</f>
        <v>Material / suministro</v>
      </c>
      <c r="I1916" s="5" t="n">
        <v>89</v>
      </c>
      <c r="J1916" s="29" t="n">
        <f aca="false">I1916/60</f>
        <v>1.48333333333333</v>
      </c>
    </row>
    <row r="1917" customFormat="false" ht="15" hidden="false" customHeight="false" outlineLevel="0" collapsed="false">
      <c r="A1917" s="5" t="s">
        <v>2959</v>
      </c>
      <c r="B1917" s="9" t="n">
        <v>46181</v>
      </c>
      <c r="C1917" s="9" t="n">
        <v>46185</v>
      </c>
      <c r="D1917" s="5" t="s">
        <v>134</v>
      </c>
      <c r="E1917" s="5" t="s">
        <v>1030</v>
      </c>
      <c r="F1917" s="5" t="s">
        <v>1012</v>
      </c>
      <c r="G1917" s="6" t="str">
        <f aca="false">INDEX(Catalogo_Causas!$B$2:$B$10,MATCH(F1917,Catalogo_Causas!$A$2:$A$10,0))</f>
        <v>Falta de materia prima</v>
      </c>
      <c r="H1917" s="6" t="str">
        <f aca="false">INDEX(Catalogo_Causas!$C$2:$C$10,MATCH(F1917,Catalogo_Causas!$A$2:$A$10,0))</f>
        <v>Material / suministro</v>
      </c>
      <c r="I1917" s="5" t="n">
        <v>176</v>
      </c>
      <c r="J1917" s="29" t="n">
        <f aca="false">I1917/60</f>
        <v>2.93333333333333</v>
      </c>
    </row>
    <row r="1918" customFormat="false" ht="15" hidden="false" customHeight="false" outlineLevel="0" collapsed="false">
      <c r="A1918" s="5" t="s">
        <v>2960</v>
      </c>
      <c r="B1918" s="9" t="n">
        <v>46181</v>
      </c>
      <c r="C1918" s="9" t="n">
        <v>46185</v>
      </c>
      <c r="D1918" s="5" t="s">
        <v>136</v>
      </c>
      <c r="E1918" s="5" t="s">
        <v>1101</v>
      </c>
      <c r="F1918" s="5" t="s">
        <v>1002</v>
      </c>
      <c r="G1918" s="6" t="str">
        <f aca="false">INDEX(Catalogo_Causas!$B$2:$B$10,MATCH(F1918,Catalogo_Causas!$A$2:$A$10,0))</f>
        <v>Falla mecánica</v>
      </c>
      <c r="H1918" s="6" t="str">
        <f aca="false">INDEX(Catalogo_Causas!$C$2:$C$10,MATCH(F1918,Catalogo_Causas!$A$2:$A$10,0))</f>
        <v>Operacional</v>
      </c>
      <c r="I1918" s="5" t="n">
        <v>20</v>
      </c>
      <c r="J1918" s="29" t="n">
        <f aca="false">I1918/60</f>
        <v>0.333333333333333</v>
      </c>
    </row>
    <row r="1919" customFormat="false" ht="15" hidden="false" customHeight="false" outlineLevel="0" collapsed="false">
      <c r="A1919" s="5" t="s">
        <v>2961</v>
      </c>
      <c r="B1919" s="9" t="n">
        <v>46181</v>
      </c>
      <c r="C1919" s="9" t="n">
        <v>46185</v>
      </c>
      <c r="D1919" s="5" t="s">
        <v>142</v>
      </c>
      <c r="E1919" s="5" t="s">
        <v>1041</v>
      </c>
      <c r="F1919" s="5" t="s">
        <v>1018</v>
      </c>
      <c r="G1919" s="6" t="str">
        <f aca="false">INDEX(Catalogo_Causas!$B$2:$B$10,MATCH(F1919,Catalogo_Causas!$A$2:$A$10,0))</f>
        <v>Falta de personal</v>
      </c>
      <c r="H1919" s="6" t="str">
        <f aca="false">INDEX(Catalogo_Causas!$C$2:$C$10,MATCH(F1919,Catalogo_Causas!$A$2:$A$10,0))</f>
        <v>Personal</v>
      </c>
      <c r="I1919" s="5" t="n">
        <v>20</v>
      </c>
      <c r="J1919" s="29" t="n">
        <f aca="false">I1919/60</f>
        <v>0.333333333333333</v>
      </c>
    </row>
    <row r="1920" customFormat="false" ht="15" hidden="false" customHeight="false" outlineLevel="0" collapsed="false">
      <c r="A1920" s="5" t="s">
        <v>2962</v>
      </c>
      <c r="B1920" s="9" t="n">
        <v>46181</v>
      </c>
      <c r="C1920" s="9" t="n">
        <v>46186</v>
      </c>
      <c r="D1920" s="5" t="s">
        <v>142</v>
      </c>
      <c r="E1920" s="5" t="s">
        <v>1030</v>
      </c>
      <c r="F1920" s="5" t="s">
        <v>1016</v>
      </c>
      <c r="G1920" s="6" t="str">
        <f aca="false">INDEX(Catalogo_Causas!$B$2:$B$10,MATCH(F1920,Catalogo_Causas!$A$2:$A$10,0))</f>
        <v>Limpieza no programada (CIP)</v>
      </c>
      <c r="H1920" s="6" t="str">
        <f aca="false">INDEX(Catalogo_Causas!$C$2:$C$10,MATCH(F1920,Catalogo_Causas!$A$2:$A$10,0))</f>
        <v>Calidad</v>
      </c>
      <c r="I1920" s="5" t="n">
        <v>88</v>
      </c>
      <c r="J1920" s="29" t="n">
        <f aca="false">I1920/60</f>
        <v>1.46666666666667</v>
      </c>
    </row>
    <row r="1921" customFormat="false" ht="15" hidden="false" customHeight="false" outlineLevel="0" collapsed="false">
      <c r="A1921" s="5" t="s">
        <v>2963</v>
      </c>
      <c r="B1921" s="9" t="n">
        <v>46188</v>
      </c>
      <c r="C1921" s="9" t="n">
        <v>46188</v>
      </c>
      <c r="D1921" s="5" t="s">
        <v>134</v>
      </c>
      <c r="E1921" s="5" t="s">
        <v>1054</v>
      </c>
      <c r="F1921" s="5" t="s">
        <v>1007</v>
      </c>
      <c r="G1921" s="6" t="str">
        <f aca="false">INDEX(Catalogo_Causas!$B$2:$B$10,MATCH(F1921,Catalogo_Causas!$A$2:$A$10,0))</f>
        <v>Cambio de formato excedido</v>
      </c>
      <c r="H1921" s="6" t="str">
        <f aca="false">INDEX(Catalogo_Causas!$C$2:$C$10,MATCH(F1921,Catalogo_Causas!$A$2:$A$10,0))</f>
        <v>Operacional</v>
      </c>
      <c r="I1921" s="5" t="n">
        <v>66</v>
      </c>
      <c r="J1921" s="29" t="n">
        <f aca="false">I1921/60</f>
        <v>1.1</v>
      </c>
    </row>
    <row r="1922" customFormat="false" ht="15" hidden="false" customHeight="false" outlineLevel="0" collapsed="false">
      <c r="A1922" s="5" t="s">
        <v>2964</v>
      </c>
      <c r="B1922" s="9" t="n">
        <v>46188</v>
      </c>
      <c r="C1922" s="9" t="n">
        <v>46188</v>
      </c>
      <c r="D1922" s="5" t="s">
        <v>140</v>
      </c>
      <c r="E1922" s="5" t="s">
        <v>1032</v>
      </c>
      <c r="F1922" s="5" t="s">
        <v>1005</v>
      </c>
      <c r="G1922" s="6" t="str">
        <f aca="false">INDEX(Catalogo_Causas!$B$2:$B$10,MATCH(F1922,Catalogo_Causas!$A$2:$A$10,0))</f>
        <v>Falla eléctrica / control</v>
      </c>
      <c r="H1922" s="6" t="str">
        <f aca="false">INDEX(Catalogo_Causas!$C$2:$C$10,MATCH(F1922,Catalogo_Causas!$A$2:$A$10,0))</f>
        <v>Operacional</v>
      </c>
      <c r="I1922" s="5" t="n">
        <v>44</v>
      </c>
      <c r="J1922" s="29" t="n">
        <f aca="false">I1922/60</f>
        <v>0.733333333333333</v>
      </c>
    </row>
    <row r="1923" customFormat="false" ht="15" hidden="false" customHeight="false" outlineLevel="0" collapsed="false">
      <c r="A1923" s="5" t="s">
        <v>2965</v>
      </c>
      <c r="B1923" s="9" t="n">
        <v>46188</v>
      </c>
      <c r="C1923" s="9" t="n">
        <v>46188</v>
      </c>
      <c r="D1923" s="5" t="s">
        <v>142</v>
      </c>
      <c r="E1923" s="5" t="s">
        <v>1041</v>
      </c>
      <c r="F1923" s="5" t="s">
        <v>1018</v>
      </c>
      <c r="G1923" s="6" t="str">
        <f aca="false">INDEX(Catalogo_Causas!$B$2:$B$10,MATCH(F1923,Catalogo_Causas!$A$2:$A$10,0))</f>
        <v>Falta de personal</v>
      </c>
      <c r="H1923" s="6" t="str">
        <f aca="false">INDEX(Catalogo_Causas!$C$2:$C$10,MATCH(F1923,Catalogo_Causas!$A$2:$A$10,0))</f>
        <v>Personal</v>
      </c>
      <c r="I1923" s="5" t="n">
        <v>30</v>
      </c>
      <c r="J1923" s="29" t="n">
        <f aca="false">I1923/60</f>
        <v>0.5</v>
      </c>
    </row>
    <row r="1924" customFormat="false" ht="15" hidden="false" customHeight="false" outlineLevel="0" collapsed="false">
      <c r="A1924" s="5" t="s">
        <v>2966</v>
      </c>
      <c r="B1924" s="9" t="n">
        <v>46188</v>
      </c>
      <c r="C1924" s="9" t="n">
        <v>46189</v>
      </c>
      <c r="D1924" s="5" t="s">
        <v>130</v>
      </c>
      <c r="E1924" s="5" t="s">
        <v>1078</v>
      </c>
      <c r="F1924" s="5" t="s">
        <v>1009</v>
      </c>
      <c r="G1924" s="6" t="str">
        <f aca="false">INDEX(Catalogo_Causas!$B$2:$B$10,MATCH(F1924,Catalogo_Causas!$A$2:$A$10,0))</f>
        <v>Falta de material de empaque</v>
      </c>
      <c r="H1924" s="6" t="str">
        <f aca="false">INDEX(Catalogo_Causas!$C$2:$C$10,MATCH(F1924,Catalogo_Causas!$A$2:$A$10,0))</f>
        <v>Material / suministro</v>
      </c>
      <c r="I1924" s="5" t="n">
        <v>50</v>
      </c>
      <c r="J1924" s="29" t="n">
        <f aca="false">I1924/60</f>
        <v>0.833333333333333</v>
      </c>
    </row>
    <row r="1925" customFormat="false" ht="15" hidden="false" customHeight="false" outlineLevel="0" collapsed="false">
      <c r="A1925" s="5" t="s">
        <v>2967</v>
      </c>
      <c r="B1925" s="9" t="n">
        <v>46188</v>
      </c>
      <c r="C1925" s="9" t="n">
        <v>46189</v>
      </c>
      <c r="D1925" s="5" t="s">
        <v>142</v>
      </c>
      <c r="E1925" s="5" t="s">
        <v>1041</v>
      </c>
      <c r="F1925" s="5" t="s">
        <v>1002</v>
      </c>
      <c r="G1925" s="6" t="str">
        <f aca="false">INDEX(Catalogo_Causas!$B$2:$B$10,MATCH(F1925,Catalogo_Causas!$A$2:$A$10,0))</f>
        <v>Falla mecánica</v>
      </c>
      <c r="H1925" s="6" t="str">
        <f aca="false">INDEX(Catalogo_Causas!$C$2:$C$10,MATCH(F1925,Catalogo_Causas!$A$2:$A$10,0))</f>
        <v>Operacional</v>
      </c>
      <c r="I1925" s="5" t="n">
        <v>17</v>
      </c>
      <c r="J1925" s="29" t="n">
        <f aca="false">I1925/60</f>
        <v>0.283333333333333</v>
      </c>
    </row>
    <row r="1926" customFormat="false" ht="15" hidden="false" customHeight="false" outlineLevel="0" collapsed="false">
      <c r="A1926" s="5" t="s">
        <v>2968</v>
      </c>
      <c r="B1926" s="9" t="n">
        <v>46188</v>
      </c>
      <c r="C1926" s="9" t="n">
        <v>46189</v>
      </c>
      <c r="D1926" s="5" t="s">
        <v>142</v>
      </c>
      <c r="E1926" s="5" t="s">
        <v>1030</v>
      </c>
      <c r="F1926" s="5" t="s">
        <v>1005</v>
      </c>
      <c r="G1926" s="6" t="str">
        <f aca="false">INDEX(Catalogo_Causas!$B$2:$B$10,MATCH(F1926,Catalogo_Causas!$A$2:$A$10,0))</f>
        <v>Falla eléctrica / control</v>
      </c>
      <c r="H1926" s="6" t="str">
        <f aca="false">INDEX(Catalogo_Causas!$C$2:$C$10,MATCH(F1926,Catalogo_Causas!$A$2:$A$10,0))</f>
        <v>Operacional</v>
      </c>
      <c r="I1926" s="5" t="n">
        <v>163</v>
      </c>
      <c r="J1926" s="29" t="n">
        <f aca="false">I1926/60</f>
        <v>2.71666666666667</v>
      </c>
    </row>
    <row r="1927" customFormat="false" ht="15" hidden="false" customHeight="false" outlineLevel="0" collapsed="false">
      <c r="A1927" s="5" t="s">
        <v>2969</v>
      </c>
      <c r="B1927" s="9" t="n">
        <v>46188</v>
      </c>
      <c r="C1927" s="9" t="n">
        <v>46189</v>
      </c>
      <c r="D1927" s="5" t="s">
        <v>144</v>
      </c>
      <c r="E1927" s="5" t="s">
        <v>1032</v>
      </c>
      <c r="F1927" s="5" t="s">
        <v>1012</v>
      </c>
      <c r="G1927" s="6" t="str">
        <f aca="false">INDEX(Catalogo_Causas!$B$2:$B$10,MATCH(F1927,Catalogo_Causas!$A$2:$A$10,0))</f>
        <v>Falta de materia prima</v>
      </c>
      <c r="H1927" s="6" t="str">
        <f aca="false">INDEX(Catalogo_Causas!$C$2:$C$10,MATCH(F1927,Catalogo_Causas!$A$2:$A$10,0))</f>
        <v>Material / suministro</v>
      </c>
      <c r="I1927" s="5" t="n">
        <v>32</v>
      </c>
      <c r="J1927" s="29" t="n">
        <f aca="false">I1927/60</f>
        <v>0.533333333333333</v>
      </c>
    </row>
    <row r="1928" customFormat="false" ht="15" hidden="false" customHeight="false" outlineLevel="0" collapsed="false">
      <c r="A1928" s="5" t="s">
        <v>2970</v>
      </c>
      <c r="B1928" s="9" t="n">
        <v>46188</v>
      </c>
      <c r="C1928" s="9" t="n">
        <v>46190</v>
      </c>
      <c r="D1928" s="5" t="s">
        <v>142</v>
      </c>
      <c r="E1928" s="5" t="s">
        <v>1041</v>
      </c>
      <c r="F1928" s="5" t="s">
        <v>1002</v>
      </c>
      <c r="G1928" s="6" t="str">
        <f aca="false">INDEX(Catalogo_Causas!$B$2:$B$10,MATCH(F1928,Catalogo_Causas!$A$2:$A$10,0))</f>
        <v>Falla mecánica</v>
      </c>
      <c r="H1928" s="6" t="str">
        <f aca="false">INDEX(Catalogo_Causas!$C$2:$C$10,MATCH(F1928,Catalogo_Causas!$A$2:$A$10,0))</f>
        <v>Operacional</v>
      </c>
      <c r="I1928" s="5" t="n">
        <v>49</v>
      </c>
      <c r="J1928" s="29" t="n">
        <f aca="false">I1928/60</f>
        <v>0.816666666666667</v>
      </c>
    </row>
    <row r="1929" customFormat="false" ht="15" hidden="false" customHeight="false" outlineLevel="0" collapsed="false">
      <c r="A1929" s="5" t="s">
        <v>2971</v>
      </c>
      <c r="B1929" s="9" t="n">
        <v>46188</v>
      </c>
      <c r="C1929" s="9" t="n">
        <v>46190</v>
      </c>
      <c r="D1929" s="5" t="s">
        <v>142</v>
      </c>
      <c r="E1929" s="5" t="s">
        <v>1051</v>
      </c>
      <c r="F1929" s="5" t="s">
        <v>1009</v>
      </c>
      <c r="G1929" s="6" t="str">
        <f aca="false">INDEX(Catalogo_Causas!$B$2:$B$10,MATCH(F1929,Catalogo_Causas!$A$2:$A$10,0))</f>
        <v>Falta de material de empaque</v>
      </c>
      <c r="H1929" s="6" t="str">
        <f aca="false">INDEX(Catalogo_Causas!$C$2:$C$10,MATCH(F1929,Catalogo_Causas!$A$2:$A$10,0))</f>
        <v>Material / suministro</v>
      </c>
      <c r="I1929" s="5" t="n">
        <v>25</v>
      </c>
      <c r="J1929" s="29" t="n">
        <f aca="false">I1929/60</f>
        <v>0.416666666666667</v>
      </c>
    </row>
    <row r="1930" customFormat="false" ht="15" hidden="false" customHeight="false" outlineLevel="0" collapsed="false">
      <c r="A1930" s="5" t="s">
        <v>2972</v>
      </c>
      <c r="B1930" s="9" t="n">
        <v>46188</v>
      </c>
      <c r="C1930" s="9" t="n">
        <v>46191</v>
      </c>
      <c r="D1930" s="5" t="s">
        <v>136</v>
      </c>
      <c r="E1930" s="5" t="s">
        <v>1051</v>
      </c>
      <c r="F1930" s="5" t="s">
        <v>1002</v>
      </c>
      <c r="G1930" s="6" t="str">
        <f aca="false">INDEX(Catalogo_Causas!$B$2:$B$10,MATCH(F1930,Catalogo_Causas!$A$2:$A$10,0))</f>
        <v>Falla mecánica</v>
      </c>
      <c r="H1930" s="6" t="str">
        <f aca="false">INDEX(Catalogo_Causas!$C$2:$C$10,MATCH(F1930,Catalogo_Causas!$A$2:$A$10,0))</f>
        <v>Operacional</v>
      </c>
      <c r="I1930" s="5" t="n">
        <v>98</v>
      </c>
      <c r="J1930" s="29" t="n">
        <f aca="false">I1930/60</f>
        <v>1.63333333333333</v>
      </c>
    </row>
    <row r="1931" customFormat="false" ht="15" hidden="false" customHeight="false" outlineLevel="0" collapsed="false">
      <c r="A1931" s="5" t="s">
        <v>2973</v>
      </c>
      <c r="B1931" s="9" t="n">
        <v>46188</v>
      </c>
      <c r="C1931" s="9" t="n">
        <v>46192</v>
      </c>
      <c r="D1931" s="5" t="s">
        <v>134</v>
      </c>
      <c r="E1931" s="5" t="s">
        <v>1054</v>
      </c>
      <c r="F1931" s="5" t="s">
        <v>1016</v>
      </c>
      <c r="G1931" s="6" t="str">
        <f aca="false">INDEX(Catalogo_Causas!$B$2:$B$10,MATCH(F1931,Catalogo_Causas!$A$2:$A$10,0))</f>
        <v>Limpieza no programada (CIP)</v>
      </c>
      <c r="H1931" s="6" t="str">
        <f aca="false">INDEX(Catalogo_Causas!$C$2:$C$10,MATCH(F1931,Catalogo_Causas!$A$2:$A$10,0))</f>
        <v>Calidad</v>
      </c>
      <c r="I1931" s="5" t="n">
        <v>84</v>
      </c>
      <c r="J1931" s="29" t="n">
        <f aca="false">I1931/60</f>
        <v>1.4</v>
      </c>
    </row>
    <row r="1932" customFormat="false" ht="15" hidden="false" customHeight="false" outlineLevel="0" collapsed="false">
      <c r="A1932" s="5" t="s">
        <v>2974</v>
      </c>
      <c r="B1932" s="9" t="n">
        <v>46188</v>
      </c>
      <c r="C1932" s="9" t="n">
        <v>46192</v>
      </c>
      <c r="D1932" s="5" t="s">
        <v>136</v>
      </c>
      <c r="E1932" s="5" t="s">
        <v>1032</v>
      </c>
      <c r="F1932" s="5" t="s">
        <v>1009</v>
      </c>
      <c r="G1932" s="6" t="str">
        <f aca="false">INDEX(Catalogo_Causas!$B$2:$B$10,MATCH(F1932,Catalogo_Causas!$A$2:$A$10,0))</f>
        <v>Falta de material de empaque</v>
      </c>
      <c r="H1932" s="6" t="str">
        <f aca="false">INDEX(Catalogo_Causas!$C$2:$C$10,MATCH(F1932,Catalogo_Causas!$A$2:$A$10,0))</f>
        <v>Material / suministro</v>
      </c>
      <c r="I1932" s="5" t="n">
        <v>168</v>
      </c>
      <c r="J1932" s="29" t="n">
        <f aca="false">I1932/60</f>
        <v>2.8</v>
      </c>
    </row>
    <row r="1933" customFormat="false" ht="15" hidden="false" customHeight="false" outlineLevel="0" collapsed="false">
      <c r="A1933" s="5" t="s">
        <v>2975</v>
      </c>
      <c r="B1933" s="9" t="n">
        <v>46188</v>
      </c>
      <c r="C1933" s="9" t="n">
        <v>46193</v>
      </c>
      <c r="D1933" s="5" t="s">
        <v>134</v>
      </c>
      <c r="E1933" s="5" t="s">
        <v>1032</v>
      </c>
      <c r="F1933" s="5" t="s">
        <v>1016</v>
      </c>
      <c r="G1933" s="6" t="str">
        <f aca="false">INDEX(Catalogo_Causas!$B$2:$B$10,MATCH(F1933,Catalogo_Causas!$A$2:$A$10,0))</f>
        <v>Limpieza no programada (CIP)</v>
      </c>
      <c r="H1933" s="6" t="str">
        <f aca="false">INDEX(Catalogo_Causas!$C$2:$C$10,MATCH(F1933,Catalogo_Causas!$A$2:$A$10,0))</f>
        <v>Calidad</v>
      </c>
      <c r="I1933" s="5" t="n">
        <v>52</v>
      </c>
      <c r="J1933" s="29" t="n">
        <f aca="false">I1933/60</f>
        <v>0.866666666666667</v>
      </c>
    </row>
    <row r="1934" customFormat="false" ht="15" hidden="false" customHeight="false" outlineLevel="0" collapsed="false">
      <c r="A1934" s="5" t="s">
        <v>2976</v>
      </c>
      <c r="B1934" s="9" t="n">
        <v>46188</v>
      </c>
      <c r="C1934" s="9" t="n">
        <v>46193</v>
      </c>
      <c r="D1934" s="5" t="s">
        <v>134</v>
      </c>
      <c r="E1934" s="5" t="s">
        <v>1032</v>
      </c>
      <c r="F1934" s="5" t="s">
        <v>1002</v>
      </c>
      <c r="G1934" s="6" t="str">
        <f aca="false">INDEX(Catalogo_Causas!$B$2:$B$10,MATCH(F1934,Catalogo_Causas!$A$2:$A$10,0))</f>
        <v>Falla mecánica</v>
      </c>
      <c r="H1934" s="6" t="str">
        <f aca="false">INDEX(Catalogo_Causas!$C$2:$C$10,MATCH(F1934,Catalogo_Causas!$A$2:$A$10,0))</f>
        <v>Operacional</v>
      </c>
      <c r="I1934" s="5" t="n">
        <v>69</v>
      </c>
      <c r="J1934" s="29" t="n">
        <f aca="false">I1934/60</f>
        <v>1.15</v>
      </c>
    </row>
    <row r="1935" customFormat="false" ht="15" hidden="false" customHeight="false" outlineLevel="0" collapsed="false">
      <c r="A1935" s="5" t="s">
        <v>2977</v>
      </c>
      <c r="B1935" s="9" t="n">
        <v>46188</v>
      </c>
      <c r="C1935" s="9" t="n">
        <v>46193</v>
      </c>
      <c r="D1935" s="5" t="s">
        <v>142</v>
      </c>
      <c r="E1935" s="5" t="s">
        <v>1041</v>
      </c>
      <c r="F1935" s="5" t="s">
        <v>1007</v>
      </c>
      <c r="G1935" s="6" t="str">
        <f aca="false">INDEX(Catalogo_Causas!$B$2:$B$10,MATCH(F1935,Catalogo_Causas!$A$2:$A$10,0))</f>
        <v>Cambio de formato excedido</v>
      </c>
      <c r="H1935" s="6" t="str">
        <f aca="false">INDEX(Catalogo_Causas!$C$2:$C$10,MATCH(F1935,Catalogo_Causas!$A$2:$A$10,0))</f>
        <v>Operacional</v>
      </c>
      <c r="I1935" s="5" t="n">
        <v>17</v>
      </c>
      <c r="J1935" s="29" t="n">
        <f aca="false">I1935/60</f>
        <v>0.283333333333333</v>
      </c>
    </row>
    <row r="1936" customFormat="false" ht="15" hidden="false" customHeight="false" outlineLevel="0" collapsed="false">
      <c r="A1936" s="5" t="s">
        <v>2978</v>
      </c>
      <c r="B1936" s="9" t="n">
        <v>46195</v>
      </c>
      <c r="C1936" s="9" t="n">
        <v>46195</v>
      </c>
      <c r="D1936" s="5" t="s">
        <v>136</v>
      </c>
      <c r="E1936" s="5" t="s">
        <v>1101</v>
      </c>
      <c r="F1936" s="5" t="s">
        <v>1014</v>
      </c>
      <c r="G1936" s="6" t="str">
        <f aca="false">INDEX(Catalogo_Causas!$B$2:$B$10,MATCH(F1936,Catalogo_Causas!$A$2:$A$10,0))</f>
        <v>Retención de calidad</v>
      </c>
      <c r="H1936" s="6" t="str">
        <f aca="false">INDEX(Catalogo_Causas!$C$2:$C$10,MATCH(F1936,Catalogo_Causas!$A$2:$A$10,0))</f>
        <v>Calidad</v>
      </c>
      <c r="I1936" s="5" t="n">
        <v>43</v>
      </c>
      <c r="J1936" s="29" t="n">
        <f aca="false">I1936/60</f>
        <v>0.716666666666667</v>
      </c>
    </row>
    <row r="1937" customFormat="false" ht="15" hidden="false" customHeight="false" outlineLevel="0" collapsed="false">
      <c r="A1937" s="5" t="s">
        <v>2979</v>
      </c>
      <c r="B1937" s="9" t="n">
        <v>46195</v>
      </c>
      <c r="C1937" s="9" t="n">
        <v>46195</v>
      </c>
      <c r="D1937" s="5" t="s">
        <v>138</v>
      </c>
      <c r="E1937" s="5" t="s">
        <v>1034</v>
      </c>
      <c r="F1937" s="5" t="s">
        <v>1002</v>
      </c>
      <c r="G1937" s="6" t="str">
        <f aca="false">INDEX(Catalogo_Causas!$B$2:$B$10,MATCH(F1937,Catalogo_Causas!$A$2:$A$10,0))</f>
        <v>Falla mecánica</v>
      </c>
      <c r="H1937" s="6" t="str">
        <f aca="false">INDEX(Catalogo_Causas!$C$2:$C$10,MATCH(F1937,Catalogo_Causas!$A$2:$A$10,0))</f>
        <v>Operacional</v>
      </c>
      <c r="I1937" s="5" t="n">
        <v>27</v>
      </c>
      <c r="J1937" s="29" t="n">
        <f aca="false">I1937/60</f>
        <v>0.45</v>
      </c>
    </row>
    <row r="1938" customFormat="false" ht="15" hidden="false" customHeight="false" outlineLevel="0" collapsed="false">
      <c r="A1938" s="5" t="s">
        <v>2980</v>
      </c>
      <c r="B1938" s="9" t="n">
        <v>46195</v>
      </c>
      <c r="C1938" s="9" t="n">
        <v>46195</v>
      </c>
      <c r="D1938" s="5" t="s">
        <v>142</v>
      </c>
      <c r="E1938" s="5" t="s">
        <v>1041</v>
      </c>
      <c r="F1938" s="5" t="s">
        <v>1002</v>
      </c>
      <c r="G1938" s="6" t="str">
        <f aca="false">INDEX(Catalogo_Causas!$B$2:$B$10,MATCH(F1938,Catalogo_Causas!$A$2:$A$10,0))</f>
        <v>Falla mecánica</v>
      </c>
      <c r="H1938" s="6" t="str">
        <f aca="false">INDEX(Catalogo_Causas!$C$2:$C$10,MATCH(F1938,Catalogo_Causas!$A$2:$A$10,0))</f>
        <v>Operacional</v>
      </c>
      <c r="I1938" s="5" t="n">
        <v>96</v>
      </c>
      <c r="J1938" s="29" t="n">
        <f aca="false">I1938/60</f>
        <v>1.6</v>
      </c>
    </row>
    <row r="1939" customFormat="false" ht="15" hidden="false" customHeight="false" outlineLevel="0" collapsed="false">
      <c r="A1939" s="5" t="s">
        <v>2981</v>
      </c>
      <c r="B1939" s="9" t="n">
        <v>46195</v>
      </c>
      <c r="C1939" s="9" t="n">
        <v>46196</v>
      </c>
      <c r="D1939" s="5" t="s">
        <v>130</v>
      </c>
      <c r="E1939" s="5" t="s">
        <v>1030</v>
      </c>
      <c r="F1939" s="5" t="s">
        <v>1002</v>
      </c>
      <c r="G1939" s="6" t="str">
        <f aca="false">INDEX(Catalogo_Causas!$B$2:$B$10,MATCH(F1939,Catalogo_Causas!$A$2:$A$10,0))</f>
        <v>Falla mecánica</v>
      </c>
      <c r="H1939" s="6" t="str">
        <f aca="false">INDEX(Catalogo_Causas!$C$2:$C$10,MATCH(F1939,Catalogo_Causas!$A$2:$A$10,0))</f>
        <v>Operacional</v>
      </c>
      <c r="I1939" s="5" t="n">
        <v>182</v>
      </c>
      <c r="J1939" s="29" t="n">
        <f aca="false">I1939/60</f>
        <v>3.03333333333333</v>
      </c>
    </row>
    <row r="1940" customFormat="false" ht="15" hidden="false" customHeight="false" outlineLevel="0" collapsed="false">
      <c r="A1940" s="5" t="s">
        <v>2982</v>
      </c>
      <c r="B1940" s="9" t="n">
        <v>46195</v>
      </c>
      <c r="C1940" s="9" t="n">
        <v>46196</v>
      </c>
      <c r="D1940" s="5" t="s">
        <v>134</v>
      </c>
      <c r="E1940" s="5" t="s">
        <v>1032</v>
      </c>
      <c r="F1940" s="5" t="s">
        <v>1016</v>
      </c>
      <c r="G1940" s="6" t="str">
        <f aca="false">INDEX(Catalogo_Causas!$B$2:$B$10,MATCH(F1940,Catalogo_Causas!$A$2:$A$10,0))</f>
        <v>Limpieza no programada (CIP)</v>
      </c>
      <c r="H1940" s="6" t="str">
        <f aca="false">INDEX(Catalogo_Causas!$C$2:$C$10,MATCH(F1940,Catalogo_Causas!$A$2:$A$10,0))</f>
        <v>Calidad</v>
      </c>
      <c r="I1940" s="5" t="n">
        <v>70</v>
      </c>
      <c r="J1940" s="29" t="n">
        <f aca="false">I1940/60</f>
        <v>1.16666666666667</v>
      </c>
    </row>
    <row r="1941" customFormat="false" ht="15" hidden="false" customHeight="false" outlineLevel="0" collapsed="false">
      <c r="A1941" s="5" t="s">
        <v>2983</v>
      </c>
      <c r="B1941" s="9" t="n">
        <v>46195</v>
      </c>
      <c r="C1941" s="9" t="n">
        <v>46196</v>
      </c>
      <c r="D1941" s="5" t="s">
        <v>134</v>
      </c>
      <c r="E1941" s="5" t="s">
        <v>1032</v>
      </c>
      <c r="F1941" s="5" t="s">
        <v>1007</v>
      </c>
      <c r="G1941" s="6" t="str">
        <f aca="false">INDEX(Catalogo_Causas!$B$2:$B$10,MATCH(F1941,Catalogo_Causas!$A$2:$A$10,0))</f>
        <v>Cambio de formato excedido</v>
      </c>
      <c r="H1941" s="6" t="str">
        <f aca="false">INDEX(Catalogo_Causas!$C$2:$C$10,MATCH(F1941,Catalogo_Causas!$A$2:$A$10,0))</f>
        <v>Operacional</v>
      </c>
      <c r="I1941" s="5" t="n">
        <v>71</v>
      </c>
      <c r="J1941" s="29" t="n">
        <f aca="false">I1941/60</f>
        <v>1.18333333333333</v>
      </c>
    </row>
    <row r="1942" customFormat="false" ht="15" hidden="false" customHeight="false" outlineLevel="0" collapsed="false">
      <c r="A1942" s="5" t="s">
        <v>2984</v>
      </c>
      <c r="B1942" s="9" t="n">
        <v>46195</v>
      </c>
      <c r="C1942" s="9" t="n">
        <v>46196</v>
      </c>
      <c r="D1942" s="5" t="s">
        <v>140</v>
      </c>
      <c r="E1942" s="5" t="s">
        <v>1032</v>
      </c>
      <c r="F1942" s="5" t="s">
        <v>1016</v>
      </c>
      <c r="G1942" s="6" t="str">
        <f aca="false">INDEX(Catalogo_Causas!$B$2:$B$10,MATCH(F1942,Catalogo_Causas!$A$2:$A$10,0))</f>
        <v>Limpieza no programada (CIP)</v>
      </c>
      <c r="H1942" s="6" t="str">
        <f aca="false">INDEX(Catalogo_Causas!$C$2:$C$10,MATCH(F1942,Catalogo_Causas!$A$2:$A$10,0))</f>
        <v>Calidad</v>
      </c>
      <c r="I1942" s="5" t="n">
        <v>59</v>
      </c>
      <c r="J1942" s="29" t="n">
        <f aca="false">I1942/60</f>
        <v>0.983333333333333</v>
      </c>
    </row>
    <row r="1943" customFormat="false" ht="15" hidden="false" customHeight="false" outlineLevel="0" collapsed="false">
      <c r="A1943" s="5" t="s">
        <v>2985</v>
      </c>
      <c r="B1943" s="9" t="n">
        <v>46195</v>
      </c>
      <c r="C1943" s="9" t="n">
        <v>46197</v>
      </c>
      <c r="D1943" s="5" t="s">
        <v>132</v>
      </c>
      <c r="E1943" s="5" t="s">
        <v>1032</v>
      </c>
      <c r="F1943" s="5" t="s">
        <v>1005</v>
      </c>
      <c r="G1943" s="6" t="str">
        <f aca="false">INDEX(Catalogo_Causas!$B$2:$B$10,MATCH(F1943,Catalogo_Causas!$A$2:$A$10,0))</f>
        <v>Falla eléctrica / control</v>
      </c>
      <c r="H1943" s="6" t="str">
        <f aca="false">INDEX(Catalogo_Causas!$C$2:$C$10,MATCH(F1943,Catalogo_Causas!$A$2:$A$10,0))</f>
        <v>Operacional</v>
      </c>
      <c r="I1943" s="5" t="n">
        <v>33</v>
      </c>
      <c r="J1943" s="29" t="n">
        <f aca="false">I1943/60</f>
        <v>0.55</v>
      </c>
    </row>
    <row r="1944" customFormat="false" ht="15" hidden="false" customHeight="false" outlineLevel="0" collapsed="false">
      <c r="A1944" s="5" t="s">
        <v>2986</v>
      </c>
      <c r="B1944" s="9" t="n">
        <v>46195</v>
      </c>
      <c r="C1944" s="9" t="n">
        <v>46197</v>
      </c>
      <c r="D1944" s="5" t="s">
        <v>134</v>
      </c>
      <c r="E1944" s="5" t="s">
        <v>1054</v>
      </c>
      <c r="F1944" s="5" t="s">
        <v>1012</v>
      </c>
      <c r="G1944" s="6" t="str">
        <f aca="false">INDEX(Catalogo_Causas!$B$2:$B$10,MATCH(F1944,Catalogo_Causas!$A$2:$A$10,0))</f>
        <v>Falta de materia prima</v>
      </c>
      <c r="H1944" s="6" t="str">
        <f aca="false">INDEX(Catalogo_Causas!$C$2:$C$10,MATCH(F1944,Catalogo_Causas!$A$2:$A$10,0))</f>
        <v>Material / suministro</v>
      </c>
      <c r="I1944" s="5" t="n">
        <v>35</v>
      </c>
      <c r="J1944" s="29" t="n">
        <f aca="false">I1944/60</f>
        <v>0.583333333333333</v>
      </c>
    </row>
    <row r="1945" customFormat="false" ht="15" hidden="false" customHeight="false" outlineLevel="0" collapsed="false">
      <c r="A1945" s="5" t="s">
        <v>2987</v>
      </c>
      <c r="B1945" s="9" t="n">
        <v>46195</v>
      </c>
      <c r="C1945" s="9" t="n">
        <v>46197</v>
      </c>
      <c r="D1945" s="5" t="s">
        <v>134</v>
      </c>
      <c r="E1945" s="5" t="s">
        <v>1032</v>
      </c>
      <c r="F1945" s="5" t="s">
        <v>1002</v>
      </c>
      <c r="G1945" s="6" t="str">
        <f aca="false">INDEX(Catalogo_Causas!$B$2:$B$10,MATCH(F1945,Catalogo_Causas!$A$2:$A$10,0))</f>
        <v>Falla mecánica</v>
      </c>
      <c r="H1945" s="6" t="str">
        <f aca="false">INDEX(Catalogo_Causas!$C$2:$C$10,MATCH(F1945,Catalogo_Causas!$A$2:$A$10,0))</f>
        <v>Operacional</v>
      </c>
      <c r="I1945" s="5" t="n">
        <v>151</v>
      </c>
      <c r="J1945" s="29" t="n">
        <f aca="false">I1945/60</f>
        <v>2.51666666666667</v>
      </c>
    </row>
    <row r="1946" customFormat="false" ht="15" hidden="false" customHeight="false" outlineLevel="0" collapsed="false">
      <c r="A1946" s="5" t="s">
        <v>2988</v>
      </c>
      <c r="B1946" s="9" t="n">
        <v>46195</v>
      </c>
      <c r="C1946" s="9" t="n">
        <v>46197</v>
      </c>
      <c r="D1946" s="5" t="s">
        <v>136</v>
      </c>
      <c r="E1946" s="5" t="s">
        <v>1101</v>
      </c>
      <c r="F1946" s="5" t="s">
        <v>1002</v>
      </c>
      <c r="G1946" s="6" t="str">
        <f aca="false">INDEX(Catalogo_Causas!$B$2:$B$10,MATCH(F1946,Catalogo_Causas!$A$2:$A$10,0))</f>
        <v>Falla mecánica</v>
      </c>
      <c r="H1946" s="6" t="str">
        <f aca="false">INDEX(Catalogo_Causas!$C$2:$C$10,MATCH(F1946,Catalogo_Causas!$A$2:$A$10,0))</f>
        <v>Operacional</v>
      </c>
      <c r="I1946" s="5" t="n">
        <v>34</v>
      </c>
      <c r="J1946" s="29" t="n">
        <f aca="false">I1946/60</f>
        <v>0.566666666666667</v>
      </c>
    </row>
    <row r="1947" customFormat="false" ht="15" hidden="false" customHeight="false" outlineLevel="0" collapsed="false">
      <c r="A1947" s="5" t="s">
        <v>2989</v>
      </c>
      <c r="B1947" s="9" t="n">
        <v>46195</v>
      </c>
      <c r="C1947" s="9" t="n">
        <v>46197</v>
      </c>
      <c r="D1947" s="5" t="s">
        <v>138</v>
      </c>
      <c r="E1947" s="5" t="s">
        <v>1056</v>
      </c>
      <c r="F1947" s="5" t="s">
        <v>1002</v>
      </c>
      <c r="G1947" s="6" t="str">
        <f aca="false">INDEX(Catalogo_Causas!$B$2:$B$10,MATCH(F1947,Catalogo_Causas!$A$2:$A$10,0))</f>
        <v>Falla mecánica</v>
      </c>
      <c r="H1947" s="6" t="str">
        <f aca="false">INDEX(Catalogo_Causas!$C$2:$C$10,MATCH(F1947,Catalogo_Causas!$A$2:$A$10,0))</f>
        <v>Operacional</v>
      </c>
      <c r="I1947" s="5" t="n">
        <v>165</v>
      </c>
      <c r="J1947" s="29" t="n">
        <f aca="false">I1947/60</f>
        <v>2.75</v>
      </c>
    </row>
    <row r="1948" customFormat="false" ht="15" hidden="false" customHeight="false" outlineLevel="0" collapsed="false">
      <c r="A1948" s="5" t="s">
        <v>2990</v>
      </c>
      <c r="B1948" s="9" t="n">
        <v>46195</v>
      </c>
      <c r="C1948" s="9" t="n">
        <v>46197</v>
      </c>
      <c r="D1948" s="5" t="s">
        <v>142</v>
      </c>
      <c r="E1948" s="5" t="s">
        <v>1030</v>
      </c>
      <c r="F1948" s="5" t="s">
        <v>1002</v>
      </c>
      <c r="G1948" s="6" t="str">
        <f aca="false">INDEX(Catalogo_Causas!$B$2:$B$10,MATCH(F1948,Catalogo_Causas!$A$2:$A$10,0))</f>
        <v>Falla mecánica</v>
      </c>
      <c r="H1948" s="6" t="str">
        <f aca="false">INDEX(Catalogo_Causas!$C$2:$C$10,MATCH(F1948,Catalogo_Causas!$A$2:$A$10,0))</f>
        <v>Operacional</v>
      </c>
      <c r="I1948" s="5" t="n">
        <v>36</v>
      </c>
      <c r="J1948" s="29" t="n">
        <f aca="false">I1948/60</f>
        <v>0.6</v>
      </c>
    </row>
    <row r="1949" customFormat="false" ht="15" hidden="false" customHeight="false" outlineLevel="0" collapsed="false">
      <c r="A1949" s="5" t="s">
        <v>2991</v>
      </c>
      <c r="B1949" s="9" t="n">
        <v>46195</v>
      </c>
      <c r="C1949" s="9" t="n">
        <v>46198</v>
      </c>
      <c r="D1949" s="5" t="s">
        <v>134</v>
      </c>
      <c r="E1949" s="5" t="s">
        <v>1054</v>
      </c>
      <c r="F1949" s="5" t="s">
        <v>1002</v>
      </c>
      <c r="G1949" s="6" t="str">
        <f aca="false">INDEX(Catalogo_Causas!$B$2:$B$10,MATCH(F1949,Catalogo_Causas!$A$2:$A$10,0))</f>
        <v>Falla mecánica</v>
      </c>
      <c r="H1949" s="6" t="str">
        <f aca="false">INDEX(Catalogo_Causas!$C$2:$C$10,MATCH(F1949,Catalogo_Causas!$A$2:$A$10,0))</f>
        <v>Operacional</v>
      </c>
      <c r="I1949" s="5" t="n">
        <v>43</v>
      </c>
      <c r="J1949" s="29" t="n">
        <f aca="false">I1949/60</f>
        <v>0.716666666666667</v>
      </c>
    </row>
    <row r="1950" customFormat="false" ht="15" hidden="false" customHeight="false" outlineLevel="0" collapsed="false">
      <c r="A1950" s="5" t="s">
        <v>2992</v>
      </c>
      <c r="B1950" s="9" t="n">
        <v>46195</v>
      </c>
      <c r="C1950" s="9" t="n">
        <v>46198</v>
      </c>
      <c r="D1950" s="5" t="s">
        <v>134</v>
      </c>
      <c r="E1950" s="5" t="s">
        <v>1054</v>
      </c>
      <c r="F1950" s="5" t="s">
        <v>1005</v>
      </c>
      <c r="G1950" s="6" t="str">
        <f aca="false">INDEX(Catalogo_Causas!$B$2:$B$10,MATCH(F1950,Catalogo_Causas!$A$2:$A$10,0))</f>
        <v>Falla eléctrica / control</v>
      </c>
      <c r="H1950" s="6" t="str">
        <f aca="false">INDEX(Catalogo_Causas!$C$2:$C$10,MATCH(F1950,Catalogo_Causas!$A$2:$A$10,0))</f>
        <v>Operacional</v>
      </c>
      <c r="I1950" s="5" t="n">
        <v>49</v>
      </c>
      <c r="J1950" s="29" t="n">
        <f aca="false">I1950/60</f>
        <v>0.816666666666667</v>
      </c>
    </row>
    <row r="1951" customFormat="false" ht="15" hidden="false" customHeight="false" outlineLevel="0" collapsed="false">
      <c r="A1951" s="5" t="s">
        <v>2993</v>
      </c>
      <c r="B1951" s="9" t="n">
        <v>46195</v>
      </c>
      <c r="C1951" s="9" t="n">
        <v>46198</v>
      </c>
      <c r="D1951" s="5" t="s">
        <v>136</v>
      </c>
      <c r="E1951" s="5" t="s">
        <v>1051</v>
      </c>
      <c r="F1951" s="5" t="s">
        <v>1002</v>
      </c>
      <c r="G1951" s="6" t="str">
        <f aca="false">INDEX(Catalogo_Causas!$B$2:$B$10,MATCH(F1951,Catalogo_Causas!$A$2:$A$10,0))</f>
        <v>Falla mecánica</v>
      </c>
      <c r="H1951" s="6" t="str">
        <f aca="false">INDEX(Catalogo_Causas!$C$2:$C$10,MATCH(F1951,Catalogo_Causas!$A$2:$A$10,0))</f>
        <v>Operacional</v>
      </c>
      <c r="I1951" s="5" t="n">
        <v>67</v>
      </c>
      <c r="J1951" s="29" t="n">
        <f aca="false">I1951/60</f>
        <v>1.11666666666667</v>
      </c>
    </row>
    <row r="1952" customFormat="false" ht="15" hidden="false" customHeight="false" outlineLevel="0" collapsed="false">
      <c r="A1952" s="5" t="s">
        <v>2994</v>
      </c>
      <c r="B1952" s="9" t="n">
        <v>46195</v>
      </c>
      <c r="C1952" s="9" t="n">
        <v>46198</v>
      </c>
      <c r="D1952" s="5" t="s">
        <v>142</v>
      </c>
      <c r="E1952" s="5" t="s">
        <v>1041</v>
      </c>
      <c r="F1952" s="5" t="s">
        <v>1007</v>
      </c>
      <c r="G1952" s="6" t="str">
        <f aca="false">INDEX(Catalogo_Causas!$B$2:$B$10,MATCH(F1952,Catalogo_Causas!$A$2:$A$10,0))</f>
        <v>Cambio de formato excedido</v>
      </c>
      <c r="H1952" s="6" t="str">
        <f aca="false">INDEX(Catalogo_Causas!$C$2:$C$10,MATCH(F1952,Catalogo_Causas!$A$2:$A$10,0))</f>
        <v>Operacional</v>
      </c>
      <c r="I1952" s="5" t="n">
        <v>36</v>
      </c>
      <c r="J1952" s="29" t="n">
        <f aca="false">I1952/60</f>
        <v>0.6</v>
      </c>
    </row>
    <row r="1953" customFormat="false" ht="15" hidden="false" customHeight="false" outlineLevel="0" collapsed="false">
      <c r="A1953" s="5" t="s">
        <v>2995</v>
      </c>
      <c r="B1953" s="9" t="n">
        <v>46195</v>
      </c>
      <c r="C1953" s="9" t="n">
        <v>46198</v>
      </c>
      <c r="D1953" s="5" t="s">
        <v>142</v>
      </c>
      <c r="E1953" s="5" t="s">
        <v>1030</v>
      </c>
      <c r="F1953" s="5" t="s">
        <v>1005</v>
      </c>
      <c r="G1953" s="6" t="str">
        <f aca="false">INDEX(Catalogo_Causas!$B$2:$B$10,MATCH(F1953,Catalogo_Causas!$A$2:$A$10,0))</f>
        <v>Falla eléctrica / control</v>
      </c>
      <c r="H1953" s="6" t="str">
        <f aca="false">INDEX(Catalogo_Causas!$C$2:$C$10,MATCH(F1953,Catalogo_Causas!$A$2:$A$10,0))</f>
        <v>Operacional</v>
      </c>
      <c r="I1953" s="5" t="n">
        <v>25</v>
      </c>
      <c r="J1953" s="29" t="n">
        <f aca="false">I1953/60</f>
        <v>0.416666666666667</v>
      </c>
    </row>
    <row r="1954" customFormat="false" ht="15" hidden="false" customHeight="false" outlineLevel="0" collapsed="false">
      <c r="A1954" s="5" t="s">
        <v>2996</v>
      </c>
      <c r="B1954" s="9" t="n">
        <v>46195</v>
      </c>
      <c r="C1954" s="9" t="n">
        <v>46199</v>
      </c>
      <c r="D1954" s="5" t="s">
        <v>136</v>
      </c>
      <c r="E1954" s="5" t="s">
        <v>1101</v>
      </c>
      <c r="F1954" s="5" t="s">
        <v>1005</v>
      </c>
      <c r="G1954" s="6" t="str">
        <f aca="false">INDEX(Catalogo_Causas!$B$2:$B$10,MATCH(F1954,Catalogo_Causas!$A$2:$A$10,0))</f>
        <v>Falla eléctrica / control</v>
      </c>
      <c r="H1954" s="6" t="str">
        <f aca="false">INDEX(Catalogo_Causas!$C$2:$C$10,MATCH(F1954,Catalogo_Causas!$A$2:$A$10,0))</f>
        <v>Operacional</v>
      </c>
      <c r="I1954" s="5" t="n">
        <v>29</v>
      </c>
      <c r="J1954" s="29" t="n">
        <f aca="false">I1954/60</f>
        <v>0.483333333333333</v>
      </c>
    </row>
    <row r="1955" customFormat="false" ht="15" hidden="false" customHeight="false" outlineLevel="0" collapsed="false">
      <c r="A1955" s="5" t="s">
        <v>2997</v>
      </c>
      <c r="B1955" s="9" t="n">
        <v>46195</v>
      </c>
      <c r="C1955" s="9" t="n">
        <v>46199</v>
      </c>
      <c r="D1955" s="5" t="s">
        <v>144</v>
      </c>
      <c r="E1955" s="5" t="s">
        <v>1032</v>
      </c>
      <c r="F1955" s="5" t="s">
        <v>1018</v>
      </c>
      <c r="G1955" s="6" t="str">
        <f aca="false">INDEX(Catalogo_Causas!$B$2:$B$10,MATCH(F1955,Catalogo_Causas!$A$2:$A$10,0))</f>
        <v>Falta de personal</v>
      </c>
      <c r="H1955" s="6" t="str">
        <f aca="false">INDEX(Catalogo_Causas!$C$2:$C$10,MATCH(F1955,Catalogo_Causas!$A$2:$A$10,0))</f>
        <v>Personal</v>
      </c>
      <c r="I1955" s="5" t="n">
        <v>37</v>
      </c>
      <c r="J1955" s="29" t="n">
        <f aca="false">I1955/60</f>
        <v>0.616666666666667</v>
      </c>
    </row>
    <row r="1956" customFormat="false" ht="15" hidden="false" customHeight="false" outlineLevel="0" collapsed="false">
      <c r="A1956" s="5" t="s">
        <v>2998</v>
      </c>
      <c r="B1956" s="9" t="n">
        <v>46195</v>
      </c>
      <c r="C1956" s="9" t="n">
        <v>46200</v>
      </c>
      <c r="D1956" s="5" t="s">
        <v>130</v>
      </c>
      <c r="E1956" s="5" t="s">
        <v>1030</v>
      </c>
      <c r="F1956" s="5" t="s">
        <v>1007</v>
      </c>
      <c r="G1956" s="6" t="str">
        <f aca="false">INDEX(Catalogo_Causas!$B$2:$B$10,MATCH(F1956,Catalogo_Causas!$A$2:$A$10,0))</f>
        <v>Cambio de formato excedido</v>
      </c>
      <c r="H1956" s="6" t="str">
        <f aca="false">INDEX(Catalogo_Causas!$C$2:$C$10,MATCH(F1956,Catalogo_Causas!$A$2:$A$10,0))</f>
        <v>Operacional</v>
      </c>
      <c r="I1956" s="5" t="n">
        <v>18</v>
      </c>
      <c r="J1956" s="29" t="n">
        <f aca="false">I1956/60</f>
        <v>0.3</v>
      </c>
    </row>
    <row r="1957" customFormat="false" ht="15" hidden="false" customHeight="false" outlineLevel="0" collapsed="false">
      <c r="A1957" s="5" t="s">
        <v>2999</v>
      </c>
      <c r="B1957" s="9" t="n">
        <v>46195</v>
      </c>
      <c r="C1957" s="9" t="n">
        <v>46200</v>
      </c>
      <c r="D1957" s="5" t="s">
        <v>132</v>
      </c>
      <c r="E1957" s="5" t="s">
        <v>1032</v>
      </c>
      <c r="F1957" s="5" t="s">
        <v>1014</v>
      </c>
      <c r="G1957" s="6" t="str">
        <f aca="false">INDEX(Catalogo_Causas!$B$2:$B$10,MATCH(F1957,Catalogo_Causas!$A$2:$A$10,0))</f>
        <v>Retención de calidad</v>
      </c>
      <c r="H1957" s="6" t="str">
        <f aca="false">INDEX(Catalogo_Causas!$C$2:$C$10,MATCH(F1957,Catalogo_Causas!$A$2:$A$10,0))</f>
        <v>Calidad</v>
      </c>
      <c r="I1957" s="5" t="n">
        <v>76</v>
      </c>
      <c r="J1957" s="29" t="n">
        <f aca="false">I1957/60</f>
        <v>1.26666666666667</v>
      </c>
    </row>
    <row r="1958" customFormat="false" ht="15" hidden="false" customHeight="false" outlineLevel="0" collapsed="false">
      <c r="A1958" s="5" t="s">
        <v>3000</v>
      </c>
      <c r="B1958" s="9" t="n">
        <v>46195</v>
      </c>
      <c r="C1958" s="9" t="n">
        <v>46200</v>
      </c>
      <c r="D1958" s="5" t="s">
        <v>134</v>
      </c>
      <c r="E1958" s="5" t="s">
        <v>1030</v>
      </c>
      <c r="F1958" s="5" t="s">
        <v>1005</v>
      </c>
      <c r="G1958" s="6" t="str">
        <f aca="false">INDEX(Catalogo_Causas!$B$2:$B$10,MATCH(F1958,Catalogo_Causas!$A$2:$A$10,0))</f>
        <v>Falla eléctrica / control</v>
      </c>
      <c r="H1958" s="6" t="str">
        <f aca="false">INDEX(Catalogo_Causas!$C$2:$C$10,MATCH(F1958,Catalogo_Causas!$A$2:$A$10,0))</f>
        <v>Operacional</v>
      </c>
      <c r="I1958" s="5" t="n">
        <v>78</v>
      </c>
      <c r="J1958" s="29" t="n">
        <f aca="false">I1958/60</f>
        <v>1.3</v>
      </c>
    </row>
    <row r="1959" customFormat="false" ht="15" hidden="false" customHeight="false" outlineLevel="0" collapsed="false">
      <c r="A1959" s="5" t="s">
        <v>3001</v>
      </c>
      <c r="B1959" s="9" t="n">
        <v>46195</v>
      </c>
      <c r="C1959" s="9" t="n">
        <v>46200</v>
      </c>
      <c r="D1959" s="5" t="s">
        <v>136</v>
      </c>
      <c r="E1959" s="5" t="s">
        <v>1032</v>
      </c>
      <c r="F1959" s="5" t="s">
        <v>1002</v>
      </c>
      <c r="G1959" s="6" t="str">
        <f aca="false">INDEX(Catalogo_Causas!$B$2:$B$10,MATCH(F1959,Catalogo_Causas!$A$2:$A$10,0))</f>
        <v>Falla mecánica</v>
      </c>
      <c r="H1959" s="6" t="str">
        <f aca="false">INDEX(Catalogo_Causas!$C$2:$C$10,MATCH(F1959,Catalogo_Causas!$A$2:$A$10,0))</f>
        <v>Operacional</v>
      </c>
      <c r="I1959" s="5" t="n">
        <v>36</v>
      </c>
      <c r="J1959" s="29" t="n">
        <f aca="false">I1959/60</f>
        <v>0.6</v>
      </c>
    </row>
    <row r="1960" customFormat="false" ht="15" hidden="false" customHeight="false" outlineLevel="0" collapsed="false">
      <c r="A1960" s="5" t="s">
        <v>3002</v>
      </c>
      <c r="B1960" s="9" t="n">
        <v>46202</v>
      </c>
      <c r="C1960" s="9" t="n">
        <v>46202</v>
      </c>
      <c r="D1960" s="5" t="s">
        <v>130</v>
      </c>
      <c r="E1960" s="5" t="s">
        <v>1030</v>
      </c>
      <c r="F1960" s="5" t="s">
        <v>1007</v>
      </c>
      <c r="G1960" s="6" t="str">
        <f aca="false">INDEX(Catalogo_Causas!$B$2:$B$10,MATCH(F1960,Catalogo_Causas!$A$2:$A$10,0))</f>
        <v>Cambio de formato excedido</v>
      </c>
      <c r="H1960" s="6" t="str">
        <f aca="false">INDEX(Catalogo_Causas!$C$2:$C$10,MATCH(F1960,Catalogo_Causas!$A$2:$A$10,0))</f>
        <v>Operacional</v>
      </c>
      <c r="I1960" s="5" t="n">
        <v>12</v>
      </c>
      <c r="J1960" s="29" t="n">
        <f aca="false">I1960/60</f>
        <v>0.2</v>
      </c>
    </row>
    <row r="1961" customFormat="false" ht="15" hidden="false" customHeight="false" outlineLevel="0" collapsed="false">
      <c r="A1961" s="5" t="s">
        <v>3003</v>
      </c>
      <c r="B1961" s="9" t="n">
        <v>46202</v>
      </c>
      <c r="C1961" s="9" t="n">
        <v>46202</v>
      </c>
      <c r="D1961" s="5" t="s">
        <v>130</v>
      </c>
      <c r="E1961" s="5" t="s">
        <v>1078</v>
      </c>
      <c r="F1961" s="5" t="s">
        <v>1016</v>
      </c>
      <c r="G1961" s="6" t="str">
        <f aca="false">INDEX(Catalogo_Causas!$B$2:$B$10,MATCH(F1961,Catalogo_Causas!$A$2:$A$10,0))</f>
        <v>Limpieza no programada (CIP)</v>
      </c>
      <c r="H1961" s="6" t="str">
        <f aca="false">INDEX(Catalogo_Causas!$C$2:$C$10,MATCH(F1961,Catalogo_Causas!$A$2:$A$10,0))</f>
        <v>Calidad</v>
      </c>
      <c r="I1961" s="5" t="n">
        <v>115</v>
      </c>
      <c r="J1961" s="29" t="n">
        <f aca="false">I1961/60</f>
        <v>1.91666666666667</v>
      </c>
    </row>
    <row r="1962" customFormat="false" ht="15" hidden="false" customHeight="false" outlineLevel="0" collapsed="false">
      <c r="A1962" s="5" t="s">
        <v>3004</v>
      </c>
      <c r="B1962" s="9" t="n">
        <v>46202</v>
      </c>
      <c r="C1962" s="9" t="n">
        <v>46202</v>
      </c>
      <c r="D1962" s="5" t="s">
        <v>134</v>
      </c>
      <c r="E1962" s="5" t="s">
        <v>1030</v>
      </c>
      <c r="F1962" s="5" t="s">
        <v>1005</v>
      </c>
      <c r="G1962" s="6" t="str">
        <f aca="false">INDEX(Catalogo_Causas!$B$2:$B$10,MATCH(F1962,Catalogo_Causas!$A$2:$A$10,0))</f>
        <v>Falla eléctrica / control</v>
      </c>
      <c r="H1962" s="6" t="str">
        <f aca="false">INDEX(Catalogo_Causas!$C$2:$C$10,MATCH(F1962,Catalogo_Causas!$A$2:$A$10,0))</f>
        <v>Operacional</v>
      </c>
      <c r="I1962" s="5" t="n">
        <v>48</v>
      </c>
      <c r="J1962" s="29" t="n">
        <f aca="false">I1962/60</f>
        <v>0.8</v>
      </c>
    </row>
    <row r="1963" customFormat="false" ht="15" hidden="false" customHeight="false" outlineLevel="0" collapsed="false">
      <c r="A1963" s="5" t="s">
        <v>3005</v>
      </c>
      <c r="B1963" s="9" t="n">
        <v>46202</v>
      </c>
      <c r="C1963" s="9" t="n">
        <v>46202</v>
      </c>
      <c r="D1963" s="5" t="s">
        <v>138</v>
      </c>
      <c r="E1963" s="5" t="s">
        <v>1056</v>
      </c>
      <c r="F1963" s="5" t="s">
        <v>1021</v>
      </c>
      <c r="G1963" s="6" t="str">
        <f aca="false">INDEX(Catalogo_Causas!$B$2:$B$10,MATCH(F1963,Catalogo_Causas!$A$2:$A$10,0))</f>
        <v>Falla de servicios (vapor/amoniaco/aire)</v>
      </c>
      <c r="H1963" s="6" t="str">
        <f aca="false">INDEX(Catalogo_Causas!$C$2:$C$10,MATCH(F1963,Catalogo_Causas!$A$2:$A$10,0))</f>
        <v>Servicios</v>
      </c>
      <c r="I1963" s="5" t="n">
        <v>79</v>
      </c>
      <c r="J1963" s="29" t="n">
        <f aca="false">I1963/60</f>
        <v>1.31666666666667</v>
      </c>
    </row>
    <row r="1964" customFormat="false" ht="15" hidden="false" customHeight="false" outlineLevel="0" collapsed="false">
      <c r="A1964" s="5" t="s">
        <v>3006</v>
      </c>
      <c r="B1964" s="9" t="n">
        <v>46202</v>
      </c>
      <c r="C1964" s="9" t="n">
        <v>46203</v>
      </c>
      <c r="D1964" s="5" t="s">
        <v>132</v>
      </c>
      <c r="E1964" s="5" t="s">
        <v>1084</v>
      </c>
      <c r="F1964" s="5" t="s">
        <v>1002</v>
      </c>
      <c r="G1964" s="6" t="str">
        <f aca="false">INDEX(Catalogo_Causas!$B$2:$B$10,MATCH(F1964,Catalogo_Causas!$A$2:$A$10,0))</f>
        <v>Falla mecánica</v>
      </c>
      <c r="H1964" s="6" t="str">
        <f aca="false">INDEX(Catalogo_Causas!$C$2:$C$10,MATCH(F1964,Catalogo_Causas!$A$2:$A$10,0))</f>
        <v>Operacional</v>
      </c>
      <c r="I1964" s="5" t="n">
        <v>343</v>
      </c>
      <c r="J1964" s="29" t="n">
        <f aca="false">I1964/60</f>
        <v>5.71666666666667</v>
      </c>
    </row>
    <row r="1965" customFormat="false" ht="15" hidden="false" customHeight="false" outlineLevel="0" collapsed="false">
      <c r="A1965" s="5" t="s">
        <v>3007</v>
      </c>
      <c r="B1965" s="9" t="n">
        <v>46202</v>
      </c>
      <c r="C1965" s="9" t="n">
        <v>46203</v>
      </c>
      <c r="D1965" s="5" t="s">
        <v>136</v>
      </c>
      <c r="E1965" s="5" t="s">
        <v>1051</v>
      </c>
      <c r="F1965" s="5" t="s">
        <v>1002</v>
      </c>
      <c r="G1965" s="6" t="str">
        <f aca="false">INDEX(Catalogo_Causas!$B$2:$B$10,MATCH(F1965,Catalogo_Causas!$A$2:$A$10,0))</f>
        <v>Falla mecánica</v>
      </c>
      <c r="H1965" s="6" t="str">
        <f aca="false">INDEX(Catalogo_Causas!$C$2:$C$10,MATCH(F1965,Catalogo_Causas!$A$2:$A$10,0))</f>
        <v>Operacional</v>
      </c>
      <c r="I1965" s="5" t="n">
        <v>31</v>
      </c>
      <c r="J1965" s="29" t="n">
        <f aca="false">I1965/60</f>
        <v>0.516666666666667</v>
      </c>
    </row>
    <row r="1966" customFormat="false" ht="15" hidden="false" customHeight="false" outlineLevel="0" collapsed="false">
      <c r="A1966" s="5" t="s">
        <v>3008</v>
      </c>
      <c r="B1966" s="9" t="n">
        <v>46202</v>
      </c>
      <c r="C1966" s="9" t="n">
        <v>46203</v>
      </c>
      <c r="D1966" s="5" t="s">
        <v>138</v>
      </c>
      <c r="E1966" s="5" t="s">
        <v>1039</v>
      </c>
      <c r="F1966" s="5" t="s">
        <v>1002</v>
      </c>
      <c r="G1966" s="6" t="str">
        <f aca="false">INDEX(Catalogo_Causas!$B$2:$B$10,MATCH(F1966,Catalogo_Causas!$A$2:$A$10,0))</f>
        <v>Falla mecánica</v>
      </c>
      <c r="H1966" s="6" t="str">
        <f aca="false">INDEX(Catalogo_Causas!$C$2:$C$10,MATCH(F1966,Catalogo_Causas!$A$2:$A$10,0))</f>
        <v>Operacional</v>
      </c>
      <c r="I1966" s="5" t="n">
        <v>52</v>
      </c>
      <c r="J1966" s="29" t="n">
        <f aca="false">I1966/60</f>
        <v>0.866666666666667</v>
      </c>
    </row>
    <row r="1967" customFormat="false" ht="15" hidden="false" customHeight="false" outlineLevel="0" collapsed="false">
      <c r="A1967" s="5" t="s">
        <v>3009</v>
      </c>
      <c r="B1967" s="9" t="n">
        <v>46202</v>
      </c>
      <c r="C1967" s="9" t="n">
        <v>46204</v>
      </c>
      <c r="D1967" s="5" t="s">
        <v>138</v>
      </c>
      <c r="E1967" s="5" t="s">
        <v>1056</v>
      </c>
      <c r="F1967" s="5" t="s">
        <v>1007</v>
      </c>
      <c r="G1967" s="6" t="str">
        <f aca="false">INDEX(Catalogo_Causas!$B$2:$B$10,MATCH(F1967,Catalogo_Causas!$A$2:$A$10,0))</f>
        <v>Cambio de formato excedido</v>
      </c>
      <c r="H1967" s="6" t="str">
        <f aca="false">INDEX(Catalogo_Causas!$C$2:$C$10,MATCH(F1967,Catalogo_Causas!$A$2:$A$10,0))</f>
        <v>Operacional</v>
      </c>
      <c r="I1967" s="5" t="n">
        <v>28</v>
      </c>
      <c r="J1967" s="29" t="n">
        <f aca="false">I1967/60</f>
        <v>0.466666666666667</v>
      </c>
    </row>
    <row r="1968" customFormat="false" ht="15" hidden="false" customHeight="false" outlineLevel="0" collapsed="false">
      <c r="A1968" s="5" t="s">
        <v>3010</v>
      </c>
      <c r="B1968" s="9" t="n">
        <v>46202</v>
      </c>
      <c r="C1968" s="9" t="n">
        <v>46204</v>
      </c>
      <c r="D1968" s="5" t="s">
        <v>138</v>
      </c>
      <c r="E1968" s="5" t="s">
        <v>1039</v>
      </c>
      <c r="F1968" s="5" t="s">
        <v>1005</v>
      </c>
      <c r="G1968" s="6" t="str">
        <f aca="false">INDEX(Catalogo_Causas!$B$2:$B$10,MATCH(F1968,Catalogo_Causas!$A$2:$A$10,0))</f>
        <v>Falla eléctrica / control</v>
      </c>
      <c r="H1968" s="6" t="str">
        <f aca="false">INDEX(Catalogo_Causas!$C$2:$C$10,MATCH(F1968,Catalogo_Causas!$A$2:$A$10,0))</f>
        <v>Operacional</v>
      </c>
      <c r="I1968" s="5" t="n">
        <v>75</v>
      </c>
      <c r="J1968" s="29" t="n">
        <f aca="false">I1968/60</f>
        <v>1.25</v>
      </c>
    </row>
    <row r="1969" customFormat="false" ht="15" hidden="false" customHeight="false" outlineLevel="0" collapsed="false">
      <c r="A1969" s="5" t="s">
        <v>3011</v>
      </c>
      <c r="B1969" s="9" t="n">
        <v>46202</v>
      </c>
      <c r="C1969" s="9" t="n">
        <v>46204</v>
      </c>
      <c r="D1969" s="5" t="s">
        <v>138</v>
      </c>
      <c r="E1969" s="5" t="s">
        <v>1056</v>
      </c>
      <c r="F1969" s="5" t="s">
        <v>1002</v>
      </c>
      <c r="G1969" s="6" t="str">
        <f aca="false">INDEX(Catalogo_Causas!$B$2:$B$10,MATCH(F1969,Catalogo_Causas!$A$2:$A$10,0))</f>
        <v>Falla mecánica</v>
      </c>
      <c r="H1969" s="6" t="str">
        <f aca="false">INDEX(Catalogo_Causas!$C$2:$C$10,MATCH(F1969,Catalogo_Causas!$A$2:$A$10,0))</f>
        <v>Operacional</v>
      </c>
      <c r="I1969" s="5" t="n">
        <v>39</v>
      </c>
      <c r="J1969" s="29" t="n">
        <f aca="false">I1969/60</f>
        <v>0.65</v>
      </c>
    </row>
    <row r="1970" customFormat="false" ht="15" hidden="false" customHeight="false" outlineLevel="0" collapsed="false">
      <c r="A1970" s="5" t="s">
        <v>3012</v>
      </c>
      <c r="B1970" s="9" t="n">
        <v>46202</v>
      </c>
      <c r="C1970" s="9" t="n">
        <v>46204</v>
      </c>
      <c r="D1970" s="5" t="s">
        <v>142</v>
      </c>
      <c r="E1970" s="5" t="s">
        <v>1051</v>
      </c>
      <c r="F1970" s="5" t="s">
        <v>1002</v>
      </c>
      <c r="G1970" s="6" t="str">
        <f aca="false">INDEX(Catalogo_Causas!$B$2:$B$10,MATCH(F1970,Catalogo_Causas!$A$2:$A$10,0))</f>
        <v>Falla mecánica</v>
      </c>
      <c r="H1970" s="6" t="str">
        <f aca="false">INDEX(Catalogo_Causas!$C$2:$C$10,MATCH(F1970,Catalogo_Causas!$A$2:$A$10,0))</f>
        <v>Operacional</v>
      </c>
      <c r="I1970" s="5" t="n">
        <v>22</v>
      </c>
      <c r="J1970" s="29" t="n">
        <f aca="false">I1970/60</f>
        <v>0.366666666666667</v>
      </c>
    </row>
    <row r="1971" customFormat="false" ht="15" hidden="false" customHeight="false" outlineLevel="0" collapsed="false">
      <c r="A1971" s="5" t="s">
        <v>3013</v>
      </c>
      <c r="B1971" s="9" t="n">
        <v>46202</v>
      </c>
      <c r="C1971" s="9" t="n">
        <v>46206</v>
      </c>
      <c r="D1971" s="5" t="s">
        <v>132</v>
      </c>
      <c r="E1971" s="5" t="s">
        <v>1084</v>
      </c>
      <c r="F1971" s="5" t="s">
        <v>1002</v>
      </c>
      <c r="G1971" s="6" t="str">
        <f aca="false">INDEX(Catalogo_Causas!$B$2:$B$10,MATCH(F1971,Catalogo_Causas!$A$2:$A$10,0))</f>
        <v>Falla mecánica</v>
      </c>
      <c r="H1971" s="6" t="str">
        <f aca="false">INDEX(Catalogo_Causas!$C$2:$C$10,MATCH(F1971,Catalogo_Causas!$A$2:$A$10,0))</f>
        <v>Operacional</v>
      </c>
      <c r="I1971" s="5" t="n">
        <v>12</v>
      </c>
      <c r="J1971" s="29" t="n">
        <f aca="false">I1971/60</f>
        <v>0.2</v>
      </c>
    </row>
    <row r="1972" customFormat="false" ht="15" hidden="false" customHeight="false" outlineLevel="0" collapsed="false">
      <c r="A1972" s="5" t="s">
        <v>3014</v>
      </c>
      <c r="B1972" s="9" t="n">
        <v>46202</v>
      </c>
      <c r="C1972" s="9" t="n">
        <v>46206</v>
      </c>
      <c r="D1972" s="5" t="s">
        <v>142</v>
      </c>
      <c r="E1972" s="5" t="s">
        <v>1030</v>
      </c>
      <c r="F1972" s="5" t="s">
        <v>1014</v>
      </c>
      <c r="G1972" s="6" t="str">
        <f aca="false">INDEX(Catalogo_Causas!$B$2:$B$10,MATCH(F1972,Catalogo_Causas!$A$2:$A$10,0))</f>
        <v>Retención de calidad</v>
      </c>
      <c r="H1972" s="6" t="str">
        <f aca="false">INDEX(Catalogo_Causas!$C$2:$C$10,MATCH(F1972,Catalogo_Causas!$A$2:$A$10,0))</f>
        <v>Calidad</v>
      </c>
      <c r="I1972" s="5" t="n">
        <v>36</v>
      </c>
      <c r="J1972" s="29" t="n">
        <f aca="false">I1972/60</f>
        <v>0.6</v>
      </c>
    </row>
    <row r="1973" customFormat="false" ht="15" hidden="false" customHeight="false" outlineLevel="0" collapsed="false">
      <c r="A1973" s="5" t="s">
        <v>3015</v>
      </c>
      <c r="B1973" s="9" t="n">
        <v>46202</v>
      </c>
      <c r="C1973" s="9" t="n">
        <v>46207</v>
      </c>
      <c r="D1973" s="5" t="s">
        <v>134</v>
      </c>
      <c r="E1973" s="5" t="s">
        <v>1054</v>
      </c>
      <c r="F1973" s="5" t="s">
        <v>1002</v>
      </c>
      <c r="G1973" s="6" t="str">
        <f aca="false">INDEX(Catalogo_Causas!$B$2:$B$10,MATCH(F1973,Catalogo_Causas!$A$2:$A$10,0))</f>
        <v>Falla mecánica</v>
      </c>
      <c r="H1973" s="6" t="str">
        <f aca="false">INDEX(Catalogo_Causas!$C$2:$C$10,MATCH(F1973,Catalogo_Causas!$A$2:$A$10,0))</f>
        <v>Operacional</v>
      </c>
      <c r="I1973" s="5" t="n">
        <v>43</v>
      </c>
      <c r="J1973" s="29" t="n">
        <f aca="false">I1973/60</f>
        <v>0.716666666666667</v>
      </c>
    </row>
    <row r="1974" customFormat="false" ht="15" hidden="false" customHeight="false" outlineLevel="0" collapsed="false">
      <c r="A1974" s="5" t="s">
        <v>3016</v>
      </c>
      <c r="B1974" s="9" t="n">
        <v>46202</v>
      </c>
      <c r="C1974" s="9" t="n">
        <v>46207</v>
      </c>
      <c r="D1974" s="5" t="s">
        <v>138</v>
      </c>
      <c r="E1974" s="5" t="s">
        <v>1034</v>
      </c>
      <c r="F1974" s="5" t="s">
        <v>1021</v>
      </c>
      <c r="G1974" s="6" t="str">
        <f aca="false">INDEX(Catalogo_Causas!$B$2:$B$10,MATCH(F1974,Catalogo_Causas!$A$2:$A$10,0))</f>
        <v>Falla de servicios (vapor/amoniaco/aire)</v>
      </c>
      <c r="H1974" s="6" t="str">
        <f aca="false">INDEX(Catalogo_Causas!$C$2:$C$10,MATCH(F1974,Catalogo_Causas!$A$2:$A$10,0))</f>
        <v>Servicios</v>
      </c>
      <c r="I1974" s="5" t="n">
        <v>47</v>
      </c>
      <c r="J1974" s="29" t="n">
        <f aca="false">I1974/60</f>
        <v>0.783333333333333</v>
      </c>
    </row>
    <row r="1975" customFormat="false" ht="15" hidden="false" customHeight="false" outlineLevel="0" collapsed="false">
      <c r="A1975" s="5" t="s">
        <v>3017</v>
      </c>
      <c r="B1975" s="9" t="n">
        <v>46209</v>
      </c>
      <c r="C1975" s="9" t="n">
        <v>46209</v>
      </c>
      <c r="D1975" s="5" t="s">
        <v>134</v>
      </c>
      <c r="E1975" s="5" t="s">
        <v>1032</v>
      </c>
      <c r="F1975" s="5" t="s">
        <v>1005</v>
      </c>
      <c r="G1975" s="6" t="str">
        <f aca="false">INDEX(Catalogo_Causas!$B$2:$B$10,MATCH(F1975,Catalogo_Causas!$A$2:$A$10,0))</f>
        <v>Falla eléctrica / control</v>
      </c>
      <c r="H1975" s="6" t="str">
        <f aca="false">INDEX(Catalogo_Causas!$C$2:$C$10,MATCH(F1975,Catalogo_Causas!$A$2:$A$10,0))</f>
        <v>Operacional</v>
      </c>
      <c r="I1975" s="5" t="n">
        <v>136</v>
      </c>
      <c r="J1975" s="29" t="n">
        <f aca="false">I1975/60</f>
        <v>2.26666666666667</v>
      </c>
    </row>
    <row r="1976" customFormat="false" ht="15" hidden="false" customHeight="false" outlineLevel="0" collapsed="false">
      <c r="A1976" s="5" t="s">
        <v>3018</v>
      </c>
      <c r="B1976" s="9" t="n">
        <v>46209</v>
      </c>
      <c r="C1976" s="9" t="n">
        <v>46209</v>
      </c>
      <c r="D1976" s="5" t="s">
        <v>136</v>
      </c>
      <c r="E1976" s="5" t="s">
        <v>1101</v>
      </c>
      <c r="F1976" s="5" t="s">
        <v>1002</v>
      </c>
      <c r="G1976" s="6" t="str">
        <f aca="false">INDEX(Catalogo_Causas!$B$2:$B$10,MATCH(F1976,Catalogo_Causas!$A$2:$A$10,0))</f>
        <v>Falla mecánica</v>
      </c>
      <c r="H1976" s="6" t="str">
        <f aca="false">INDEX(Catalogo_Causas!$C$2:$C$10,MATCH(F1976,Catalogo_Causas!$A$2:$A$10,0))</f>
        <v>Operacional</v>
      </c>
      <c r="I1976" s="5" t="n">
        <v>24</v>
      </c>
      <c r="J1976" s="29" t="n">
        <f aca="false">I1976/60</f>
        <v>0.4</v>
      </c>
    </row>
    <row r="1977" customFormat="false" ht="15" hidden="false" customHeight="false" outlineLevel="0" collapsed="false">
      <c r="A1977" s="5" t="s">
        <v>3019</v>
      </c>
      <c r="B1977" s="9" t="n">
        <v>46209</v>
      </c>
      <c r="C1977" s="9" t="n">
        <v>46209</v>
      </c>
      <c r="D1977" s="5" t="s">
        <v>138</v>
      </c>
      <c r="E1977" s="5" t="s">
        <v>1039</v>
      </c>
      <c r="F1977" s="5" t="s">
        <v>1009</v>
      </c>
      <c r="G1977" s="6" t="str">
        <f aca="false">INDEX(Catalogo_Causas!$B$2:$B$10,MATCH(F1977,Catalogo_Causas!$A$2:$A$10,0))</f>
        <v>Falta de material de empaque</v>
      </c>
      <c r="H1977" s="6" t="str">
        <f aca="false">INDEX(Catalogo_Causas!$C$2:$C$10,MATCH(F1977,Catalogo_Causas!$A$2:$A$10,0))</f>
        <v>Material / suministro</v>
      </c>
      <c r="I1977" s="5" t="n">
        <v>17</v>
      </c>
      <c r="J1977" s="29" t="n">
        <f aca="false">I1977/60</f>
        <v>0.283333333333333</v>
      </c>
    </row>
    <row r="1978" customFormat="false" ht="15" hidden="false" customHeight="false" outlineLevel="0" collapsed="false">
      <c r="A1978" s="5" t="s">
        <v>3020</v>
      </c>
      <c r="B1978" s="9" t="n">
        <v>46209</v>
      </c>
      <c r="C1978" s="9" t="n">
        <v>46209</v>
      </c>
      <c r="D1978" s="5" t="s">
        <v>142</v>
      </c>
      <c r="E1978" s="5" t="s">
        <v>1041</v>
      </c>
      <c r="F1978" s="5" t="s">
        <v>1005</v>
      </c>
      <c r="G1978" s="6" t="str">
        <f aca="false">INDEX(Catalogo_Causas!$B$2:$B$10,MATCH(F1978,Catalogo_Causas!$A$2:$A$10,0))</f>
        <v>Falla eléctrica / control</v>
      </c>
      <c r="H1978" s="6" t="str">
        <f aca="false">INDEX(Catalogo_Causas!$C$2:$C$10,MATCH(F1978,Catalogo_Causas!$A$2:$A$10,0))</f>
        <v>Operacional</v>
      </c>
      <c r="I1978" s="5" t="n">
        <v>18</v>
      </c>
      <c r="J1978" s="29" t="n">
        <f aca="false">I1978/60</f>
        <v>0.3</v>
      </c>
    </row>
    <row r="1979" customFormat="false" ht="15" hidden="false" customHeight="false" outlineLevel="0" collapsed="false">
      <c r="A1979" s="5" t="s">
        <v>3021</v>
      </c>
      <c r="B1979" s="9" t="n">
        <v>46209</v>
      </c>
      <c r="C1979" s="9" t="n">
        <v>46210</v>
      </c>
      <c r="D1979" s="5" t="s">
        <v>134</v>
      </c>
      <c r="E1979" s="5" t="s">
        <v>1054</v>
      </c>
      <c r="F1979" s="5" t="s">
        <v>1009</v>
      </c>
      <c r="G1979" s="6" t="str">
        <f aca="false">INDEX(Catalogo_Causas!$B$2:$B$10,MATCH(F1979,Catalogo_Causas!$A$2:$A$10,0))</f>
        <v>Falta de material de empaque</v>
      </c>
      <c r="H1979" s="6" t="str">
        <f aca="false">INDEX(Catalogo_Causas!$C$2:$C$10,MATCH(F1979,Catalogo_Causas!$A$2:$A$10,0))</f>
        <v>Material / suministro</v>
      </c>
      <c r="I1979" s="5" t="n">
        <v>22</v>
      </c>
      <c r="J1979" s="29" t="n">
        <f aca="false">I1979/60</f>
        <v>0.366666666666667</v>
      </c>
    </row>
    <row r="1980" customFormat="false" ht="15" hidden="false" customHeight="false" outlineLevel="0" collapsed="false">
      <c r="A1980" s="5" t="s">
        <v>3022</v>
      </c>
      <c r="B1980" s="9" t="n">
        <v>46209</v>
      </c>
      <c r="C1980" s="9" t="n">
        <v>46210</v>
      </c>
      <c r="D1980" s="5" t="s">
        <v>142</v>
      </c>
      <c r="E1980" s="5" t="s">
        <v>1041</v>
      </c>
      <c r="F1980" s="5" t="s">
        <v>1021</v>
      </c>
      <c r="G1980" s="6" t="str">
        <f aca="false">INDEX(Catalogo_Causas!$B$2:$B$10,MATCH(F1980,Catalogo_Causas!$A$2:$A$10,0))</f>
        <v>Falla de servicios (vapor/amoniaco/aire)</v>
      </c>
      <c r="H1980" s="6" t="str">
        <f aca="false">INDEX(Catalogo_Causas!$C$2:$C$10,MATCH(F1980,Catalogo_Causas!$A$2:$A$10,0))</f>
        <v>Servicios</v>
      </c>
      <c r="I1980" s="5" t="n">
        <v>73</v>
      </c>
      <c r="J1980" s="29" t="n">
        <f aca="false">I1980/60</f>
        <v>1.21666666666667</v>
      </c>
    </row>
    <row r="1981" customFormat="false" ht="15" hidden="false" customHeight="false" outlineLevel="0" collapsed="false">
      <c r="A1981" s="5" t="s">
        <v>3023</v>
      </c>
      <c r="B1981" s="9" t="n">
        <v>46209</v>
      </c>
      <c r="C1981" s="9" t="n">
        <v>46210</v>
      </c>
      <c r="D1981" s="5" t="s">
        <v>144</v>
      </c>
      <c r="E1981" s="5" t="s">
        <v>1032</v>
      </c>
      <c r="F1981" s="5" t="s">
        <v>1016</v>
      </c>
      <c r="G1981" s="6" t="str">
        <f aca="false">INDEX(Catalogo_Causas!$B$2:$B$10,MATCH(F1981,Catalogo_Causas!$A$2:$A$10,0))</f>
        <v>Limpieza no programada (CIP)</v>
      </c>
      <c r="H1981" s="6" t="str">
        <f aca="false">INDEX(Catalogo_Causas!$C$2:$C$10,MATCH(F1981,Catalogo_Causas!$A$2:$A$10,0))</f>
        <v>Calidad</v>
      </c>
      <c r="I1981" s="5" t="n">
        <v>80</v>
      </c>
      <c r="J1981" s="29" t="n">
        <f aca="false">I1981/60</f>
        <v>1.33333333333333</v>
      </c>
    </row>
    <row r="1982" customFormat="false" ht="15" hidden="false" customHeight="false" outlineLevel="0" collapsed="false">
      <c r="A1982" s="5" t="s">
        <v>3024</v>
      </c>
      <c r="B1982" s="9" t="n">
        <v>46209</v>
      </c>
      <c r="C1982" s="9" t="n">
        <v>46211</v>
      </c>
      <c r="D1982" s="5" t="s">
        <v>132</v>
      </c>
      <c r="E1982" s="5" t="s">
        <v>1073</v>
      </c>
      <c r="F1982" s="5" t="s">
        <v>1002</v>
      </c>
      <c r="G1982" s="6" t="str">
        <f aca="false">INDEX(Catalogo_Causas!$B$2:$B$10,MATCH(F1982,Catalogo_Causas!$A$2:$A$10,0))</f>
        <v>Falla mecánica</v>
      </c>
      <c r="H1982" s="6" t="str">
        <f aca="false">INDEX(Catalogo_Causas!$C$2:$C$10,MATCH(F1982,Catalogo_Causas!$A$2:$A$10,0))</f>
        <v>Operacional</v>
      </c>
      <c r="I1982" s="5" t="n">
        <v>44</v>
      </c>
      <c r="J1982" s="29" t="n">
        <f aca="false">I1982/60</f>
        <v>0.733333333333333</v>
      </c>
    </row>
    <row r="1983" customFormat="false" ht="15" hidden="false" customHeight="false" outlineLevel="0" collapsed="false">
      <c r="A1983" s="5" t="s">
        <v>3025</v>
      </c>
      <c r="B1983" s="9" t="n">
        <v>46209</v>
      </c>
      <c r="C1983" s="9" t="n">
        <v>46211</v>
      </c>
      <c r="D1983" s="5" t="s">
        <v>134</v>
      </c>
      <c r="E1983" s="5" t="s">
        <v>1030</v>
      </c>
      <c r="F1983" s="5" t="s">
        <v>1002</v>
      </c>
      <c r="G1983" s="6" t="str">
        <f aca="false">INDEX(Catalogo_Causas!$B$2:$B$10,MATCH(F1983,Catalogo_Causas!$A$2:$A$10,0))</f>
        <v>Falla mecánica</v>
      </c>
      <c r="H1983" s="6" t="str">
        <f aca="false">INDEX(Catalogo_Causas!$C$2:$C$10,MATCH(F1983,Catalogo_Causas!$A$2:$A$10,0))</f>
        <v>Operacional</v>
      </c>
      <c r="I1983" s="5" t="n">
        <v>25</v>
      </c>
      <c r="J1983" s="29" t="n">
        <f aca="false">I1983/60</f>
        <v>0.416666666666667</v>
      </c>
    </row>
    <row r="1984" customFormat="false" ht="15" hidden="false" customHeight="false" outlineLevel="0" collapsed="false">
      <c r="A1984" s="5" t="s">
        <v>3026</v>
      </c>
      <c r="B1984" s="9" t="n">
        <v>46209</v>
      </c>
      <c r="C1984" s="9" t="n">
        <v>46211</v>
      </c>
      <c r="D1984" s="5" t="s">
        <v>136</v>
      </c>
      <c r="E1984" s="5" t="s">
        <v>1101</v>
      </c>
      <c r="F1984" s="5" t="s">
        <v>1002</v>
      </c>
      <c r="G1984" s="6" t="str">
        <f aca="false">INDEX(Catalogo_Causas!$B$2:$B$10,MATCH(F1984,Catalogo_Causas!$A$2:$A$10,0))</f>
        <v>Falla mecánica</v>
      </c>
      <c r="H1984" s="6" t="str">
        <f aca="false">INDEX(Catalogo_Causas!$C$2:$C$10,MATCH(F1984,Catalogo_Causas!$A$2:$A$10,0))</f>
        <v>Operacional</v>
      </c>
      <c r="I1984" s="5" t="n">
        <v>108</v>
      </c>
      <c r="J1984" s="29" t="n">
        <f aca="false">I1984/60</f>
        <v>1.8</v>
      </c>
    </row>
    <row r="1985" customFormat="false" ht="15" hidden="false" customHeight="false" outlineLevel="0" collapsed="false">
      <c r="A1985" s="5" t="s">
        <v>3027</v>
      </c>
      <c r="B1985" s="9" t="n">
        <v>46209</v>
      </c>
      <c r="C1985" s="9" t="n">
        <v>46211</v>
      </c>
      <c r="D1985" s="5" t="s">
        <v>138</v>
      </c>
      <c r="E1985" s="5" t="s">
        <v>1056</v>
      </c>
      <c r="F1985" s="5" t="s">
        <v>1007</v>
      </c>
      <c r="G1985" s="6" t="str">
        <f aca="false">INDEX(Catalogo_Causas!$B$2:$B$10,MATCH(F1985,Catalogo_Causas!$A$2:$A$10,0))</f>
        <v>Cambio de formato excedido</v>
      </c>
      <c r="H1985" s="6" t="str">
        <f aca="false">INDEX(Catalogo_Causas!$C$2:$C$10,MATCH(F1985,Catalogo_Causas!$A$2:$A$10,0))</f>
        <v>Operacional</v>
      </c>
      <c r="I1985" s="5" t="n">
        <v>24</v>
      </c>
      <c r="J1985" s="29" t="n">
        <f aca="false">I1985/60</f>
        <v>0.4</v>
      </c>
    </row>
    <row r="1986" customFormat="false" ht="15" hidden="false" customHeight="false" outlineLevel="0" collapsed="false">
      <c r="A1986" s="5" t="s">
        <v>3028</v>
      </c>
      <c r="B1986" s="9" t="n">
        <v>46209</v>
      </c>
      <c r="C1986" s="9" t="n">
        <v>46212</v>
      </c>
      <c r="D1986" s="5" t="s">
        <v>138</v>
      </c>
      <c r="E1986" s="5" t="s">
        <v>1056</v>
      </c>
      <c r="F1986" s="5" t="s">
        <v>1002</v>
      </c>
      <c r="G1986" s="6" t="str">
        <f aca="false">INDEX(Catalogo_Causas!$B$2:$B$10,MATCH(F1986,Catalogo_Causas!$A$2:$A$10,0))</f>
        <v>Falla mecánica</v>
      </c>
      <c r="H1986" s="6" t="str">
        <f aca="false">INDEX(Catalogo_Causas!$C$2:$C$10,MATCH(F1986,Catalogo_Causas!$A$2:$A$10,0))</f>
        <v>Operacional</v>
      </c>
      <c r="I1986" s="5" t="n">
        <v>72</v>
      </c>
      <c r="J1986" s="29" t="n">
        <f aca="false">I1986/60</f>
        <v>1.2</v>
      </c>
    </row>
    <row r="1987" customFormat="false" ht="15" hidden="false" customHeight="false" outlineLevel="0" collapsed="false">
      <c r="A1987" s="5" t="s">
        <v>3029</v>
      </c>
      <c r="B1987" s="9" t="n">
        <v>46209</v>
      </c>
      <c r="C1987" s="9" t="n">
        <v>46213</v>
      </c>
      <c r="D1987" s="5" t="s">
        <v>130</v>
      </c>
      <c r="E1987" s="5" t="s">
        <v>1045</v>
      </c>
      <c r="F1987" s="5" t="s">
        <v>1005</v>
      </c>
      <c r="G1987" s="6" t="str">
        <f aca="false">INDEX(Catalogo_Causas!$B$2:$B$10,MATCH(F1987,Catalogo_Causas!$A$2:$A$10,0))</f>
        <v>Falla eléctrica / control</v>
      </c>
      <c r="H1987" s="6" t="str">
        <f aca="false">INDEX(Catalogo_Causas!$C$2:$C$10,MATCH(F1987,Catalogo_Causas!$A$2:$A$10,0))</f>
        <v>Operacional</v>
      </c>
      <c r="I1987" s="5" t="n">
        <v>91</v>
      </c>
      <c r="J1987" s="29" t="n">
        <f aca="false">I1987/60</f>
        <v>1.51666666666667</v>
      </c>
    </row>
    <row r="1988" customFormat="false" ht="15" hidden="false" customHeight="false" outlineLevel="0" collapsed="false">
      <c r="A1988" s="5" t="s">
        <v>3030</v>
      </c>
      <c r="B1988" s="9" t="n">
        <v>46209</v>
      </c>
      <c r="C1988" s="9" t="n">
        <v>46213</v>
      </c>
      <c r="D1988" s="5" t="s">
        <v>130</v>
      </c>
      <c r="E1988" s="5" t="s">
        <v>1045</v>
      </c>
      <c r="F1988" s="5" t="s">
        <v>1016</v>
      </c>
      <c r="G1988" s="6" t="str">
        <f aca="false">INDEX(Catalogo_Causas!$B$2:$B$10,MATCH(F1988,Catalogo_Causas!$A$2:$A$10,0))</f>
        <v>Limpieza no programada (CIP)</v>
      </c>
      <c r="H1988" s="6" t="str">
        <f aca="false">INDEX(Catalogo_Causas!$C$2:$C$10,MATCH(F1988,Catalogo_Causas!$A$2:$A$10,0))</f>
        <v>Calidad</v>
      </c>
      <c r="I1988" s="5" t="n">
        <v>17</v>
      </c>
      <c r="J1988" s="29" t="n">
        <f aca="false">I1988/60</f>
        <v>0.283333333333333</v>
      </c>
    </row>
    <row r="1989" customFormat="false" ht="15" hidden="false" customHeight="false" outlineLevel="0" collapsed="false">
      <c r="A1989" s="5" t="s">
        <v>3031</v>
      </c>
      <c r="B1989" s="9" t="n">
        <v>46209</v>
      </c>
      <c r="C1989" s="9" t="n">
        <v>46213</v>
      </c>
      <c r="D1989" s="5" t="s">
        <v>130</v>
      </c>
      <c r="E1989" s="5" t="s">
        <v>1030</v>
      </c>
      <c r="F1989" s="5" t="s">
        <v>1005</v>
      </c>
      <c r="G1989" s="6" t="str">
        <f aca="false">INDEX(Catalogo_Causas!$B$2:$B$10,MATCH(F1989,Catalogo_Causas!$A$2:$A$10,0))</f>
        <v>Falla eléctrica / control</v>
      </c>
      <c r="H1989" s="6" t="str">
        <f aca="false">INDEX(Catalogo_Causas!$C$2:$C$10,MATCH(F1989,Catalogo_Causas!$A$2:$A$10,0))</f>
        <v>Operacional</v>
      </c>
      <c r="I1989" s="5" t="n">
        <v>71</v>
      </c>
      <c r="J1989" s="29" t="n">
        <f aca="false">I1989/60</f>
        <v>1.18333333333333</v>
      </c>
    </row>
    <row r="1990" customFormat="false" ht="15" hidden="false" customHeight="false" outlineLevel="0" collapsed="false">
      <c r="A1990" s="5" t="s">
        <v>3032</v>
      </c>
      <c r="B1990" s="9" t="n">
        <v>46209</v>
      </c>
      <c r="C1990" s="9" t="n">
        <v>46213</v>
      </c>
      <c r="D1990" s="5" t="s">
        <v>142</v>
      </c>
      <c r="E1990" s="5" t="s">
        <v>1030</v>
      </c>
      <c r="F1990" s="5" t="s">
        <v>1005</v>
      </c>
      <c r="G1990" s="6" t="str">
        <f aca="false">INDEX(Catalogo_Causas!$B$2:$B$10,MATCH(F1990,Catalogo_Causas!$A$2:$A$10,0))</f>
        <v>Falla eléctrica / control</v>
      </c>
      <c r="H1990" s="6" t="str">
        <f aca="false">INDEX(Catalogo_Causas!$C$2:$C$10,MATCH(F1990,Catalogo_Causas!$A$2:$A$10,0))</f>
        <v>Operacional</v>
      </c>
      <c r="I1990" s="5" t="n">
        <v>52</v>
      </c>
      <c r="J1990" s="29" t="n">
        <f aca="false">I1990/60</f>
        <v>0.866666666666667</v>
      </c>
    </row>
    <row r="1991" customFormat="false" ht="15" hidden="false" customHeight="false" outlineLevel="0" collapsed="false">
      <c r="A1991" s="5" t="s">
        <v>3033</v>
      </c>
      <c r="B1991" s="9" t="n">
        <v>46209</v>
      </c>
      <c r="C1991" s="9" t="n">
        <v>46213</v>
      </c>
      <c r="D1991" s="5" t="s">
        <v>142</v>
      </c>
      <c r="E1991" s="5" t="s">
        <v>1051</v>
      </c>
      <c r="F1991" s="5" t="s">
        <v>1007</v>
      </c>
      <c r="G1991" s="6" t="str">
        <f aca="false">INDEX(Catalogo_Causas!$B$2:$B$10,MATCH(F1991,Catalogo_Causas!$A$2:$A$10,0))</f>
        <v>Cambio de formato excedido</v>
      </c>
      <c r="H1991" s="6" t="str">
        <f aca="false">INDEX(Catalogo_Causas!$C$2:$C$10,MATCH(F1991,Catalogo_Causas!$A$2:$A$10,0))</f>
        <v>Operacional</v>
      </c>
      <c r="I1991" s="5" t="n">
        <v>49</v>
      </c>
      <c r="J1991" s="29" t="n">
        <f aca="false">I1991/60</f>
        <v>0.816666666666667</v>
      </c>
    </row>
    <row r="1992" customFormat="false" ht="15" hidden="false" customHeight="false" outlineLevel="0" collapsed="false">
      <c r="A1992" s="5" t="s">
        <v>3034</v>
      </c>
      <c r="B1992" s="9" t="n">
        <v>46209</v>
      </c>
      <c r="C1992" s="9" t="n">
        <v>46214</v>
      </c>
      <c r="D1992" s="5" t="s">
        <v>132</v>
      </c>
      <c r="E1992" s="5" t="s">
        <v>1032</v>
      </c>
      <c r="F1992" s="5" t="s">
        <v>1014</v>
      </c>
      <c r="G1992" s="6" t="str">
        <f aca="false">INDEX(Catalogo_Causas!$B$2:$B$10,MATCH(F1992,Catalogo_Causas!$A$2:$A$10,0))</f>
        <v>Retención de calidad</v>
      </c>
      <c r="H1992" s="6" t="str">
        <f aca="false">INDEX(Catalogo_Causas!$C$2:$C$10,MATCH(F1992,Catalogo_Causas!$A$2:$A$10,0))</f>
        <v>Calidad</v>
      </c>
      <c r="I1992" s="5" t="n">
        <v>24</v>
      </c>
      <c r="J1992" s="29" t="n">
        <f aca="false">I1992/60</f>
        <v>0.4</v>
      </c>
    </row>
    <row r="1993" customFormat="false" ht="15" hidden="false" customHeight="false" outlineLevel="0" collapsed="false">
      <c r="A1993" s="5" t="s">
        <v>3035</v>
      </c>
      <c r="B1993" s="9" t="n">
        <v>46209</v>
      </c>
      <c r="C1993" s="9" t="n">
        <v>46214</v>
      </c>
      <c r="D1993" s="5" t="s">
        <v>134</v>
      </c>
      <c r="E1993" s="5" t="s">
        <v>1054</v>
      </c>
      <c r="F1993" s="5" t="s">
        <v>1007</v>
      </c>
      <c r="G1993" s="6" t="str">
        <f aca="false">INDEX(Catalogo_Causas!$B$2:$B$10,MATCH(F1993,Catalogo_Causas!$A$2:$A$10,0))</f>
        <v>Cambio de formato excedido</v>
      </c>
      <c r="H1993" s="6" t="str">
        <f aca="false">INDEX(Catalogo_Causas!$C$2:$C$10,MATCH(F1993,Catalogo_Causas!$A$2:$A$10,0))</f>
        <v>Operacional</v>
      </c>
      <c r="I1993" s="5" t="n">
        <v>96</v>
      </c>
      <c r="J1993" s="29" t="n">
        <f aca="false">I1993/60</f>
        <v>1.6</v>
      </c>
    </row>
    <row r="1994" customFormat="false" ht="15" hidden="false" customHeight="false" outlineLevel="0" collapsed="false">
      <c r="A1994" s="5" t="s">
        <v>3036</v>
      </c>
      <c r="B1994" s="9" t="n">
        <v>46216</v>
      </c>
      <c r="C1994" s="9" t="n">
        <v>46216</v>
      </c>
      <c r="D1994" s="5" t="s">
        <v>130</v>
      </c>
      <c r="E1994" s="5" t="s">
        <v>1078</v>
      </c>
      <c r="F1994" s="5" t="s">
        <v>1016</v>
      </c>
      <c r="G1994" s="6" t="str">
        <f aca="false">INDEX(Catalogo_Causas!$B$2:$B$10,MATCH(F1994,Catalogo_Causas!$A$2:$A$10,0))</f>
        <v>Limpieza no programada (CIP)</v>
      </c>
      <c r="H1994" s="6" t="str">
        <f aca="false">INDEX(Catalogo_Causas!$C$2:$C$10,MATCH(F1994,Catalogo_Causas!$A$2:$A$10,0))</f>
        <v>Calidad</v>
      </c>
      <c r="I1994" s="5" t="n">
        <v>65</v>
      </c>
      <c r="J1994" s="29" t="n">
        <f aca="false">I1994/60</f>
        <v>1.08333333333333</v>
      </c>
    </row>
    <row r="1995" customFormat="false" ht="15" hidden="false" customHeight="false" outlineLevel="0" collapsed="false">
      <c r="A1995" s="5" t="s">
        <v>3037</v>
      </c>
      <c r="B1995" s="9" t="n">
        <v>46216</v>
      </c>
      <c r="C1995" s="9" t="n">
        <v>46216</v>
      </c>
      <c r="D1995" s="5" t="s">
        <v>138</v>
      </c>
      <c r="E1995" s="5" t="s">
        <v>1034</v>
      </c>
      <c r="F1995" s="5" t="s">
        <v>1016</v>
      </c>
      <c r="G1995" s="6" t="str">
        <f aca="false">INDEX(Catalogo_Causas!$B$2:$B$10,MATCH(F1995,Catalogo_Causas!$A$2:$A$10,0))</f>
        <v>Limpieza no programada (CIP)</v>
      </c>
      <c r="H1995" s="6" t="str">
        <f aca="false">INDEX(Catalogo_Causas!$C$2:$C$10,MATCH(F1995,Catalogo_Causas!$A$2:$A$10,0))</f>
        <v>Calidad</v>
      </c>
      <c r="I1995" s="5" t="n">
        <v>38</v>
      </c>
      <c r="J1995" s="29" t="n">
        <f aca="false">I1995/60</f>
        <v>0.633333333333333</v>
      </c>
    </row>
    <row r="1996" customFormat="false" ht="15" hidden="false" customHeight="false" outlineLevel="0" collapsed="false">
      <c r="A1996" s="5" t="s">
        <v>3038</v>
      </c>
      <c r="B1996" s="9" t="n">
        <v>46216</v>
      </c>
      <c r="C1996" s="9" t="n">
        <v>46216</v>
      </c>
      <c r="D1996" s="5" t="s">
        <v>138</v>
      </c>
      <c r="E1996" s="5" t="s">
        <v>1056</v>
      </c>
      <c r="F1996" s="5" t="s">
        <v>1014</v>
      </c>
      <c r="G1996" s="6" t="str">
        <f aca="false">INDEX(Catalogo_Causas!$B$2:$B$10,MATCH(F1996,Catalogo_Causas!$A$2:$A$10,0))</f>
        <v>Retención de calidad</v>
      </c>
      <c r="H1996" s="6" t="str">
        <f aca="false">INDEX(Catalogo_Causas!$C$2:$C$10,MATCH(F1996,Catalogo_Causas!$A$2:$A$10,0))</f>
        <v>Calidad</v>
      </c>
      <c r="I1996" s="5" t="n">
        <v>37</v>
      </c>
      <c r="J1996" s="29" t="n">
        <f aca="false">I1996/60</f>
        <v>0.616666666666667</v>
      </c>
    </row>
    <row r="1997" customFormat="false" ht="15" hidden="false" customHeight="false" outlineLevel="0" collapsed="false">
      <c r="A1997" s="5" t="s">
        <v>3039</v>
      </c>
      <c r="B1997" s="9" t="n">
        <v>46216</v>
      </c>
      <c r="C1997" s="9" t="n">
        <v>46216</v>
      </c>
      <c r="D1997" s="5" t="s">
        <v>144</v>
      </c>
      <c r="E1997" s="5" t="s">
        <v>1043</v>
      </c>
      <c r="F1997" s="5" t="s">
        <v>1002</v>
      </c>
      <c r="G1997" s="6" t="str">
        <f aca="false">INDEX(Catalogo_Causas!$B$2:$B$10,MATCH(F1997,Catalogo_Causas!$A$2:$A$10,0))</f>
        <v>Falla mecánica</v>
      </c>
      <c r="H1997" s="6" t="str">
        <f aca="false">INDEX(Catalogo_Causas!$C$2:$C$10,MATCH(F1997,Catalogo_Causas!$A$2:$A$10,0))</f>
        <v>Operacional</v>
      </c>
      <c r="I1997" s="5" t="n">
        <v>33</v>
      </c>
      <c r="J1997" s="29" t="n">
        <f aca="false">I1997/60</f>
        <v>0.55</v>
      </c>
    </row>
    <row r="1998" customFormat="false" ht="15" hidden="false" customHeight="false" outlineLevel="0" collapsed="false">
      <c r="A1998" s="5" t="s">
        <v>3040</v>
      </c>
      <c r="B1998" s="9" t="n">
        <v>46216</v>
      </c>
      <c r="C1998" s="9" t="n">
        <v>46217</v>
      </c>
      <c r="D1998" s="5" t="s">
        <v>130</v>
      </c>
      <c r="E1998" s="5" t="s">
        <v>1078</v>
      </c>
      <c r="F1998" s="5" t="s">
        <v>1009</v>
      </c>
      <c r="G1998" s="6" t="str">
        <f aca="false">INDEX(Catalogo_Causas!$B$2:$B$10,MATCH(F1998,Catalogo_Causas!$A$2:$A$10,0))</f>
        <v>Falta de material de empaque</v>
      </c>
      <c r="H1998" s="6" t="str">
        <f aca="false">INDEX(Catalogo_Causas!$C$2:$C$10,MATCH(F1998,Catalogo_Causas!$A$2:$A$10,0))</f>
        <v>Material / suministro</v>
      </c>
      <c r="I1998" s="5" t="n">
        <v>51</v>
      </c>
      <c r="J1998" s="29" t="n">
        <f aca="false">I1998/60</f>
        <v>0.85</v>
      </c>
    </row>
    <row r="1999" customFormat="false" ht="15" hidden="false" customHeight="false" outlineLevel="0" collapsed="false">
      <c r="A1999" s="5" t="s">
        <v>3041</v>
      </c>
      <c r="B1999" s="9" t="n">
        <v>46216</v>
      </c>
      <c r="C1999" s="9" t="n">
        <v>46217</v>
      </c>
      <c r="D1999" s="5" t="s">
        <v>136</v>
      </c>
      <c r="E1999" s="5" t="s">
        <v>1032</v>
      </c>
      <c r="F1999" s="5" t="s">
        <v>1002</v>
      </c>
      <c r="G1999" s="6" t="str">
        <f aca="false">INDEX(Catalogo_Causas!$B$2:$B$10,MATCH(F1999,Catalogo_Causas!$A$2:$A$10,0))</f>
        <v>Falla mecánica</v>
      </c>
      <c r="H1999" s="6" t="str">
        <f aca="false">INDEX(Catalogo_Causas!$C$2:$C$10,MATCH(F1999,Catalogo_Causas!$A$2:$A$10,0))</f>
        <v>Operacional</v>
      </c>
      <c r="I1999" s="5" t="n">
        <v>55</v>
      </c>
      <c r="J1999" s="29" t="n">
        <f aca="false">I1999/60</f>
        <v>0.916666666666667</v>
      </c>
    </row>
    <row r="2000" customFormat="false" ht="15" hidden="false" customHeight="false" outlineLevel="0" collapsed="false">
      <c r="A2000" s="5" t="s">
        <v>3042</v>
      </c>
      <c r="B2000" s="9" t="n">
        <v>46216</v>
      </c>
      <c r="C2000" s="9" t="n">
        <v>46217</v>
      </c>
      <c r="D2000" s="5" t="s">
        <v>142</v>
      </c>
      <c r="E2000" s="5" t="s">
        <v>1051</v>
      </c>
      <c r="F2000" s="5" t="s">
        <v>1012</v>
      </c>
      <c r="G2000" s="6" t="str">
        <f aca="false">INDEX(Catalogo_Causas!$B$2:$B$10,MATCH(F2000,Catalogo_Causas!$A$2:$A$10,0))</f>
        <v>Falta de materia prima</v>
      </c>
      <c r="H2000" s="6" t="str">
        <f aca="false">INDEX(Catalogo_Causas!$C$2:$C$10,MATCH(F2000,Catalogo_Causas!$A$2:$A$10,0))</f>
        <v>Material / suministro</v>
      </c>
      <c r="I2000" s="5" t="n">
        <v>98</v>
      </c>
      <c r="J2000" s="29" t="n">
        <f aca="false">I2000/60</f>
        <v>1.63333333333333</v>
      </c>
    </row>
    <row r="2001" customFormat="false" ht="15" hidden="false" customHeight="false" outlineLevel="0" collapsed="false">
      <c r="A2001" s="5" t="s">
        <v>3043</v>
      </c>
      <c r="B2001" s="9" t="n">
        <v>46216</v>
      </c>
      <c r="C2001" s="9" t="n">
        <v>46217</v>
      </c>
      <c r="D2001" s="5" t="s">
        <v>144</v>
      </c>
      <c r="E2001" s="5" t="s">
        <v>1043</v>
      </c>
      <c r="F2001" s="5" t="s">
        <v>1002</v>
      </c>
      <c r="G2001" s="6" t="str">
        <f aca="false">INDEX(Catalogo_Causas!$B$2:$B$10,MATCH(F2001,Catalogo_Causas!$A$2:$A$10,0))</f>
        <v>Falla mecánica</v>
      </c>
      <c r="H2001" s="6" t="str">
        <f aca="false">INDEX(Catalogo_Causas!$C$2:$C$10,MATCH(F2001,Catalogo_Causas!$A$2:$A$10,0))</f>
        <v>Operacional</v>
      </c>
      <c r="I2001" s="5" t="n">
        <v>150</v>
      </c>
      <c r="J2001" s="29" t="n">
        <f aca="false">I2001/60</f>
        <v>2.5</v>
      </c>
    </row>
    <row r="2002" customFormat="false" ht="15" hidden="false" customHeight="false" outlineLevel="0" collapsed="false">
      <c r="A2002" s="5" t="s">
        <v>3044</v>
      </c>
      <c r="B2002" s="9" t="n">
        <v>46216</v>
      </c>
      <c r="C2002" s="9" t="n">
        <v>46218</v>
      </c>
      <c r="D2002" s="5" t="s">
        <v>132</v>
      </c>
      <c r="E2002" s="5" t="s">
        <v>1084</v>
      </c>
      <c r="F2002" s="5" t="s">
        <v>1007</v>
      </c>
      <c r="G2002" s="6" t="str">
        <f aca="false">INDEX(Catalogo_Causas!$B$2:$B$10,MATCH(F2002,Catalogo_Causas!$A$2:$A$10,0))</f>
        <v>Cambio de formato excedido</v>
      </c>
      <c r="H2002" s="6" t="str">
        <f aca="false">INDEX(Catalogo_Causas!$C$2:$C$10,MATCH(F2002,Catalogo_Causas!$A$2:$A$10,0))</f>
        <v>Operacional</v>
      </c>
      <c r="I2002" s="5" t="n">
        <v>13</v>
      </c>
      <c r="J2002" s="29" t="n">
        <f aca="false">I2002/60</f>
        <v>0.216666666666667</v>
      </c>
    </row>
    <row r="2003" customFormat="false" ht="15" hidden="false" customHeight="false" outlineLevel="0" collapsed="false">
      <c r="A2003" s="5" t="s">
        <v>3045</v>
      </c>
      <c r="B2003" s="9" t="n">
        <v>46216</v>
      </c>
      <c r="C2003" s="9" t="n">
        <v>46218</v>
      </c>
      <c r="D2003" s="5" t="s">
        <v>132</v>
      </c>
      <c r="E2003" s="5" t="s">
        <v>1084</v>
      </c>
      <c r="F2003" s="5" t="s">
        <v>1005</v>
      </c>
      <c r="G2003" s="6" t="str">
        <f aca="false">INDEX(Catalogo_Causas!$B$2:$B$10,MATCH(F2003,Catalogo_Causas!$A$2:$A$10,0))</f>
        <v>Falla eléctrica / control</v>
      </c>
      <c r="H2003" s="6" t="str">
        <f aca="false">INDEX(Catalogo_Causas!$C$2:$C$10,MATCH(F2003,Catalogo_Causas!$A$2:$A$10,0))</f>
        <v>Operacional</v>
      </c>
      <c r="I2003" s="5" t="n">
        <v>41</v>
      </c>
      <c r="J2003" s="29" t="n">
        <f aca="false">I2003/60</f>
        <v>0.683333333333333</v>
      </c>
    </row>
    <row r="2004" customFormat="false" ht="15" hidden="false" customHeight="false" outlineLevel="0" collapsed="false">
      <c r="A2004" s="5" t="s">
        <v>3046</v>
      </c>
      <c r="B2004" s="9" t="n">
        <v>46216</v>
      </c>
      <c r="C2004" s="9" t="n">
        <v>46218</v>
      </c>
      <c r="D2004" s="5" t="s">
        <v>144</v>
      </c>
      <c r="E2004" s="5" t="s">
        <v>1043</v>
      </c>
      <c r="F2004" s="5" t="s">
        <v>1002</v>
      </c>
      <c r="G2004" s="6" t="str">
        <f aca="false">INDEX(Catalogo_Causas!$B$2:$B$10,MATCH(F2004,Catalogo_Causas!$A$2:$A$10,0))</f>
        <v>Falla mecánica</v>
      </c>
      <c r="H2004" s="6" t="str">
        <f aca="false">INDEX(Catalogo_Causas!$C$2:$C$10,MATCH(F2004,Catalogo_Causas!$A$2:$A$10,0))</f>
        <v>Operacional</v>
      </c>
      <c r="I2004" s="5" t="n">
        <v>78</v>
      </c>
      <c r="J2004" s="29" t="n">
        <f aca="false">I2004/60</f>
        <v>1.3</v>
      </c>
    </row>
    <row r="2005" customFormat="false" ht="15" hidden="false" customHeight="false" outlineLevel="0" collapsed="false">
      <c r="A2005" s="5" t="s">
        <v>3047</v>
      </c>
      <c r="B2005" s="9" t="n">
        <v>46216</v>
      </c>
      <c r="C2005" s="9" t="n">
        <v>46219</v>
      </c>
      <c r="D2005" s="5" t="s">
        <v>134</v>
      </c>
      <c r="E2005" s="5" t="s">
        <v>1030</v>
      </c>
      <c r="F2005" s="5" t="s">
        <v>1007</v>
      </c>
      <c r="G2005" s="6" t="str">
        <f aca="false">INDEX(Catalogo_Causas!$B$2:$B$10,MATCH(F2005,Catalogo_Causas!$A$2:$A$10,0))</f>
        <v>Cambio de formato excedido</v>
      </c>
      <c r="H2005" s="6" t="str">
        <f aca="false">INDEX(Catalogo_Causas!$C$2:$C$10,MATCH(F2005,Catalogo_Causas!$A$2:$A$10,0))</f>
        <v>Operacional</v>
      </c>
      <c r="I2005" s="5" t="n">
        <v>23</v>
      </c>
      <c r="J2005" s="29" t="n">
        <f aca="false">I2005/60</f>
        <v>0.383333333333333</v>
      </c>
    </row>
    <row r="2006" customFormat="false" ht="15" hidden="false" customHeight="false" outlineLevel="0" collapsed="false">
      <c r="A2006" s="5" t="s">
        <v>3048</v>
      </c>
      <c r="B2006" s="9" t="n">
        <v>46216</v>
      </c>
      <c r="C2006" s="9" t="n">
        <v>46219</v>
      </c>
      <c r="D2006" s="5" t="s">
        <v>138</v>
      </c>
      <c r="E2006" s="5" t="s">
        <v>1039</v>
      </c>
      <c r="F2006" s="5" t="s">
        <v>1007</v>
      </c>
      <c r="G2006" s="6" t="str">
        <f aca="false">INDEX(Catalogo_Causas!$B$2:$B$10,MATCH(F2006,Catalogo_Causas!$A$2:$A$10,0))</f>
        <v>Cambio de formato excedido</v>
      </c>
      <c r="H2006" s="6" t="str">
        <f aca="false">INDEX(Catalogo_Causas!$C$2:$C$10,MATCH(F2006,Catalogo_Causas!$A$2:$A$10,0))</f>
        <v>Operacional</v>
      </c>
      <c r="I2006" s="5" t="n">
        <v>71</v>
      </c>
      <c r="J2006" s="29" t="n">
        <f aca="false">I2006/60</f>
        <v>1.18333333333333</v>
      </c>
    </row>
    <row r="2007" customFormat="false" ht="15" hidden="false" customHeight="false" outlineLevel="0" collapsed="false">
      <c r="A2007" s="5" t="s">
        <v>3049</v>
      </c>
      <c r="B2007" s="9" t="n">
        <v>46216</v>
      </c>
      <c r="C2007" s="9" t="n">
        <v>46219</v>
      </c>
      <c r="D2007" s="5" t="s">
        <v>142</v>
      </c>
      <c r="E2007" s="5" t="s">
        <v>1030</v>
      </c>
      <c r="F2007" s="5" t="s">
        <v>1012</v>
      </c>
      <c r="G2007" s="6" t="str">
        <f aca="false">INDEX(Catalogo_Causas!$B$2:$B$10,MATCH(F2007,Catalogo_Causas!$A$2:$A$10,0))</f>
        <v>Falta de materia prima</v>
      </c>
      <c r="H2007" s="6" t="str">
        <f aca="false">INDEX(Catalogo_Causas!$C$2:$C$10,MATCH(F2007,Catalogo_Causas!$A$2:$A$10,0))</f>
        <v>Material / suministro</v>
      </c>
      <c r="I2007" s="5" t="n">
        <v>37</v>
      </c>
      <c r="J2007" s="29" t="n">
        <f aca="false">I2007/60</f>
        <v>0.616666666666667</v>
      </c>
    </row>
    <row r="2008" customFormat="false" ht="15" hidden="false" customHeight="false" outlineLevel="0" collapsed="false">
      <c r="A2008" s="5" t="s">
        <v>3050</v>
      </c>
      <c r="B2008" s="9" t="n">
        <v>46216</v>
      </c>
      <c r="C2008" s="9" t="n">
        <v>46220</v>
      </c>
      <c r="D2008" s="5" t="s">
        <v>130</v>
      </c>
      <c r="E2008" s="5" t="s">
        <v>1030</v>
      </c>
      <c r="F2008" s="5" t="s">
        <v>1005</v>
      </c>
      <c r="G2008" s="6" t="str">
        <f aca="false">INDEX(Catalogo_Causas!$B$2:$B$10,MATCH(F2008,Catalogo_Causas!$A$2:$A$10,0))</f>
        <v>Falla eléctrica / control</v>
      </c>
      <c r="H2008" s="6" t="str">
        <f aca="false">INDEX(Catalogo_Causas!$C$2:$C$10,MATCH(F2008,Catalogo_Causas!$A$2:$A$10,0))</f>
        <v>Operacional</v>
      </c>
      <c r="I2008" s="5" t="n">
        <v>62</v>
      </c>
      <c r="J2008" s="29" t="n">
        <f aca="false">I2008/60</f>
        <v>1.03333333333333</v>
      </c>
    </row>
    <row r="2009" customFormat="false" ht="15" hidden="false" customHeight="false" outlineLevel="0" collapsed="false">
      <c r="A2009" s="5" t="s">
        <v>3051</v>
      </c>
      <c r="B2009" s="9" t="n">
        <v>46216</v>
      </c>
      <c r="C2009" s="9" t="n">
        <v>46221</v>
      </c>
      <c r="D2009" s="5" t="s">
        <v>130</v>
      </c>
      <c r="E2009" s="5" t="s">
        <v>1045</v>
      </c>
      <c r="F2009" s="5" t="s">
        <v>1005</v>
      </c>
      <c r="G2009" s="6" t="str">
        <f aca="false">INDEX(Catalogo_Causas!$B$2:$B$10,MATCH(F2009,Catalogo_Causas!$A$2:$A$10,0))</f>
        <v>Falla eléctrica / control</v>
      </c>
      <c r="H2009" s="6" t="str">
        <f aca="false">INDEX(Catalogo_Causas!$C$2:$C$10,MATCH(F2009,Catalogo_Causas!$A$2:$A$10,0))</f>
        <v>Operacional</v>
      </c>
      <c r="I2009" s="5" t="n">
        <v>57</v>
      </c>
      <c r="J2009" s="29" t="n">
        <f aca="false">I2009/60</f>
        <v>0.95</v>
      </c>
    </row>
    <row r="2010" customFormat="false" ht="15" hidden="false" customHeight="false" outlineLevel="0" collapsed="false">
      <c r="A2010" s="5" t="s">
        <v>3052</v>
      </c>
      <c r="B2010" s="9" t="n">
        <v>46216</v>
      </c>
      <c r="C2010" s="9" t="n">
        <v>46221</v>
      </c>
      <c r="D2010" s="5" t="s">
        <v>132</v>
      </c>
      <c r="E2010" s="5" t="s">
        <v>1032</v>
      </c>
      <c r="F2010" s="5" t="s">
        <v>1002</v>
      </c>
      <c r="G2010" s="6" t="str">
        <f aca="false">INDEX(Catalogo_Causas!$B$2:$B$10,MATCH(F2010,Catalogo_Causas!$A$2:$A$10,0))</f>
        <v>Falla mecánica</v>
      </c>
      <c r="H2010" s="6" t="str">
        <f aca="false">INDEX(Catalogo_Causas!$C$2:$C$10,MATCH(F2010,Catalogo_Causas!$A$2:$A$10,0))</f>
        <v>Operacional</v>
      </c>
      <c r="I2010" s="5" t="n">
        <v>50</v>
      </c>
      <c r="J2010" s="29" t="n">
        <f aca="false">I2010/60</f>
        <v>0.833333333333333</v>
      </c>
    </row>
    <row r="2011" customFormat="false" ht="15" hidden="false" customHeight="false" outlineLevel="0" collapsed="false">
      <c r="A2011" s="5" t="s">
        <v>3053</v>
      </c>
      <c r="B2011" s="9" t="n">
        <v>46216</v>
      </c>
      <c r="C2011" s="9" t="n">
        <v>46221</v>
      </c>
      <c r="D2011" s="5" t="s">
        <v>142</v>
      </c>
      <c r="E2011" s="5" t="s">
        <v>1051</v>
      </c>
      <c r="F2011" s="5" t="s">
        <v>1018</v>
      </c>
      <c r="G2011" s="6" t="str">
        <f aca="false">INDEX(Catalogo_Causas!$B$2:$B$10,MATCH(F2011,Catalogo_Causas!$A$2:$A$10,0))</f>
        <v>Falta de personal</v>
      </c>
      <c r="H2011" s="6" t="str">
        <f aca="false">INDEX(Catalogo_Causas!$C$2:$C$10,MATCH(F2011,Catalogo_Causas!$A$2:$A$10,0))</f>
        <v>Personal</v>
      </c>
      <c r="I2011" s="5" t="n">
        <v>46</v>
      </c>
      <c r="J2011" s="29" t="n">
        <f aca="false">I2011/60</f>
        <v>0.766666666666667</v>
      </c>
    </row>
    <row r="2012" customFormat="false" ht="15" hidden="false" customHeight="false" outlineLevel="0" collapsed="false">
      <c r="A2012" s="5" t="s">
        <v>3054</v>
      </c>
      <c r="B2012" s="9" t="n">
        <v>46216</v>
      </c>
      <c r="C2012" s="9" t="n">
        <v>46221</v>
      </c>
      <c r="D2012" s="5" t="s">
        <v>142</v>
      </c>
      <c r="E2012" s="5" t="s">
        <v>1041</v>
      </c>
      <c r="F2012" s="5" t="s">
        <v>1002</v>
      </c>
      <c r="G2012" s="6" t="str">
        <f aca="false">INDEX(Catalogo_Causas!$B$2:$B$10,MATCH(F2012,Catalogo_Causas!$A$2:$A$10,0))</f>
        <v>Falla mecánica</v>
      </c>
      <c r="H2012" s="6" t="str">
        <f aca="false">INDEX(Catalogo_Causas!$C$2:$C$10,MATCH(F2012,Catalogo_Causas!$A$2:$A$10,0))</f>
        <v>Operacional</v>
      </c>
      <c r="I2012" s="5" t="n">
        <v>22</v>
      </c>
      <c r="J2012" s="29" t="n">
        <f aca="false">I2012/60</f>
        <v>0.366666666666667</v>
      </c>
    </row>
    <row r="2013" customFormat="false" ht="15" hidden="false" customHeight="false" outlineLevel="0" collapsed="false">
      <c r="A2013" s="5" t="s">
        <v>3055</v>
      </c>
      <c r="B2013" s="9" t="n">
        <v>46223</v>
      </c>
      <c r="C2013" s="9" t="n">
        <v>46223</v>
      </c>
      <c r="D2013" s="5" t="s">
        <v>142</v>
      </c>
      <c r="E2013" s="5" t="s">
        <v>1041</v>
      </c>
      <c r="F2013" s="5" t="s">
        <v>1012</v>
      </c>
      <c r="G2013" s="6" t="str">
        <f aca="false">INDEX(Catalogo_Causas!$B$2:$B$10,MATCH(F2013,Catalogo_Causas!$A$2:$A$10,0))</f>
        <v>Falta de materia prima</v>
      </c>
      <c r="H2013" s="6" t="str">
        <f aca="false">INDEX(Catalogo_Causas!$C$2:$C$10,MATCH(F2013,Catalogo_Causas!$A$2:$A$10,0))</f>
        <v>Material / suministro</v>
      </c>
      <c r="I2013" s="5" t="n">
        <v>24</v>
      </c>
      <c r="J2013" s="29" t="n">
        <f aca="false">I2013/60</f>
        <v>0.4</v>
      </c>
    </row>
    <row r="2014" customFormat="false" ht="15" hidden="false" customHeight="false" outlineLevel="0" collapsed="false">
      <c r="A2014" s="5" t="s">
        <v>3056</v>
      </c>
      <c r="B2014" s="9" t="n">
        <v>46223</v>
      </c>
      <c r="C2014" s="9" t="n">
        <v>46223</v>
      </c>
      <c r="D2014" s="5" t="s">
        <v>142</v>
      </c>
      <c r="E2014" s="5" t="s">
        <v>1051</v>
      </c>
      <c r="F2014" s="5" t="s">
        <v>1018</v>
      </c>
      <c r="G2014" s="6" t="str">
        <f aca="false">INDEX(Catalogo_Causas!$B$2:$B$10,MATCH(F2014,Catalogo_Causas!$A$2:$A$10,0))</f>
        <v>Falta de personal</v>
      </c>
      <c r="H2014" s="6" t="str">
        <f aca="false">INDEX(Catalogo_Causas!$C$2:$C$10,MATCH(F2014,Catalogo_Causas!$A$2:$A$10,0))</f>
        <v>Personal</v>
      </c>
      <c r="I2014" s="5" t="n">
        <v>46</v>
      </c>
      <c r="J2014" s="29" t="n">
        <f aca="false">I2014/60</f>
        <v>0.766666666666667</v>
      </c>
    </row>
    <row r="2015" customFormat="false" ht="15" hidden="false" customHeight="false" outlineLevel="0" collapsed="false">
      <c r="A2015" s="5" t="s">
        <v>3057</v>
      </c>
      <c r="B2015" s="9" t="n">
        <v>46223</v>
      </c>
      <c r="C2015" s="9" t="n">
        <v>46223</v>
      </c>
      <c r="D2015" s="5" t="s">
        <v>142</v>
      </c>
      <c r="E2015" s="5" t="s">
        <v>1030</v>
      </c>
      <c r="F2015" s="5" t="s">
        <v>1005</v>
      </c>
      <c r="G2015" s="6" t="str">
        <f aca="false">INDEX(Catalogo_Causas!$B$2:$B$10,MATCH(F2015,Catalogo_Causas!$A$2:$A$10,0))</f>
        <v>Falla eléctrica / control</v>
      </c>
      <c r="H2015" s="6" t="str">
        <f aca="false">INDEX(Catalogo_Causas!$C$2:$C$10,MATCH(F2015,Catalogo_Causas!$A$2:$A$10,0))</f>
        <v>Operacional</v>
      </c>
      <c r="I2015" s="5" t="n">
        <v>104</v>
      </c>
      <c r="J2015" s="29" t="n">
        <f aca="false">I2015/60</f>
        <v>1.73333333333333</v>
      </c>
    </row>
    <row r="2016" customFormat="false" ht="15" hidden="false" customHeight="false" outlineLevel="0" collapsed="false">
      <c r="A2016" s="5" t="s">
        <v>3058</v>
      </c>
      <c r="B2016" s="9" t="n">
        <v>46223</v>
      </c>
      <c r="C2016" s="9" t="n">
        <v>46223</v>
      </c>
      <c r="D2016" s="5" t="s">
        <v>144</v>
      </c>
      <c r="E2016" s="5" t="s">
        <v>1032</v>
      </c>
      <c r="F2016" s="5" t="s">
        <v>1016</v>
      </c>
      <c r="G2016" s="6" t="str">
        <f aca="false">INDEX(Catalogo_Causas!$B$2:$B$10,MATCH(F2016,Catalogo_Causas!$A$2:$A$10,0))</f>
        <v>Limpieza no programada (CIP)</v>
      </c>
      <c r="H2016" s="6" t="str">
        <f aca="false">INDEX(Catalogo_Causas!$C$2:$C$10,MATCH(F2016,Catalogo_Causas!$A$2:$A$10,0))</f>
        <v>Calidad</v>
      </c>
      <c r="I2016" s="5" t="n">
        <v>68</v>
      </c>
      <c r="J2016" s="29" t="n">
        <f aca="false">I2016/60</f>
        <v>1.13333333333333</v>
      </c>
    </row>
    <row r="2017" customFormat="false" ht="15" hidden="false" customHeight="false" outlineLevel="0" collapsed="false">
      <c r="A2017" s="5" t="s">
        <v>3059</v>
      </c>
      <c r="B2017" s="9" t="n">
        <v>46223</v>
      </c>
      <c r="C2017" s="9" t="n">
        <v>46224</v>
      </c>
      <c r="D2017" s="5" t="s">
        <v>130</v>
      </c>
      <c r="E2017" s="5" t="s">
        <v>1078</v>
      </c>
      <c r="F2017" s="5" t="s">
        <v>1005</v>
      </c>
      <c r="G2017" s="6" t="str">
        <f aca="false">INDEX(Catalogo_Causas!$B$2:$B$10,MATCH(F2017,Catalogo_Causas!$A$2:$A$10,0))</f>
        <v>Falla eléctrica / control</v>
      </c>
      <c r="H2017" s="6" t="str">
        <f aca="false">INDEX(Catalogo_Causas!$C$2:$C$10,MATCH(F2017,Catalogo_Causas!$A$2:$A$10,0))</f>
        <v>Operacional</v>
      </c>
      <c r="I2017" s="5" t="n">
        <v>61</v>
      </c>
      <c r="J2017" s="29" t="n">
        <f aca="false">I2017/60</f>
        <v>1.01666666666667</v>
      </c>
    </row>
    <row r="2018" customFormat="false" ht="15" hidden="false" customHeight="false" outlineLevel="0" collapsed="false">
      <c r="A2018" s="5" t="s">
        <v>3060</v>
      </c>
      <c r="B2018" s="9" t="n">
        <v>46223</v>
      </c>
      <c r="C2018" s="9" t="n">
        <v>46224</v>
      </c>
      <c r="D2018" s="5" t="s">
        <v>132</v>
      </c>
      <c r="E2018" s="5" t="s">
        <v>1032</v>
      </c>
      <c r="F2018" s="5" t="s">
        <v>1002</v>
      </c>
      <c r="G2018" s="6" t="str">
        <f aca="false">INDEX(Catalogo_Causas!$B$2:$B$10,MATCH(F2018,Catalogo_Causas!$A$2:$A$10,0))</f>
        <v>Falla mecánica</v>
      </c>
      <c r="H2018" s="6" t="str">
        <f aca="false">INDEX(Catalogo_Causas!$C$2:$C$10,MATCH(F2018,Catalogo_Causas!$A$2:$A$10,0))</f>
        <v>Operacional</v>
      </c>
      <c r="I2018" s="5" t="n">
        <v>65</v>
      </c>
      <c r="J2018" s="29" t="n">
        <f aca="false">I2018/60</f>
        <v>1.08333333333333</v>
      </c>
    </row>
    <row r="2019" customFormat="false" ht="15" hidden="false" customHeight="false" outlineLevel="0" collapsed="false">
      <c r="A2019" s="5" t="s">
        <v>3061</v>
      </c>
      <c r="B2019" s="9" t="n">
        <v>46223</v>
      </c>
      <c r="C2019" s="9" t="n">
        <v>46224</v>
      </c>
      <c r="D2019" s="5" t="s">
        <v>134</v>
      </c>
      <c r="E2019" s="5" t="s">
        <v>1030</v>
      </c>
      <c r="F2019" s="5" t="s">
        <v>1007</v>
      </c>
      <c r="G2019" s="6" t="str">
        <f aca="false">INDEX(Catalogo_Causas!$B$2:$B$10,MATCH(F2019,Catalogo_Causas!$A$2:$A$10,0))</f>
        <v>Cambio de formato excedido</v>
      </c>
      <c r="H2019" s="6" t="str">
        <f aca="false">INDEX(Catalogo_Causas!$C$2:$C$10,MATCH(F2019,Catalogo_Causas!$A$2:$A$10,0))</f>
        <v>Operacional</v>
      </c>
      <c r="I2019" s="5" t="n">
        <v>36</v>
      </c>
      <c r="J2019" s="29" t="n">
        <f aca="false">I2019/60</f>
        <v>0.6</v>
      </c>
    </row>
    <row r="2020" customFormat="false" ht="15" hidden="false" customHeight="false" outlineLevel="0" collapsed="false">
      <c r="A2020" s="5" t="s">
        <v>3062</v>
      </c>
      <c r="B2020" s="9" t="n">
        <v>46223</v>
      </c>
      <c r="C2020" s="9" t="n">
        <v>46224</v>
      </c>
      <c r="D2020" s="5" t="s">
        <v>134</v>
      </c>
      <c r="E2020" s="5" t="s">
        <v>1032</v>
      </c>
      <c r="F2020" s="5" t="s">
        <v>1012</v>
      </c>
      <c r="G2020" s="6" t="str">
        <f aca="false">INDEX(Catalogo_Causas!$B$2:$B$10,MATCH(F2020,Catalogo_Causas!$A$2:$A$10,0))</f>
        <v>Falta de materia prima</v>
      </c>
      <c r="H2020" s="6" t="str">
        <f aca="false">INDEX(Catalogo_Causas!$C$2:$C$10,MATCH(F2020,Catalogo_Causas!$A$2:$A$10,0))</f>
        <v>Material / suministro</v>
      </c>
      <c r="I2020" s="5" t="n">
        <v>41</v>
      </c>
      <c r="J2020" s="29" t="n">
        <f aca="false">I2020/60</f>
        <v>0.683333333333333</v>
      </c>
    </row>
    <row r="2021" customFormat="false" ht="15" hidden="false" customHeight="false" outlineLevel="0" collapsed="false">
      <c r="A2021" s="5" t="s">
        <v>3063</v>
      </c>
      <c r="B2021" s="9" t="n">
        <v>46223</v>
      </c>
      <c r="C2021" s="9" t="n">
        <v>46224</v>
      </c>
      <c r="D2021" s="5" t="s">
        <v>142</v>
      </c>
      <c r="E2021" s="5" t="s">
        <v>1030</v>
      </c>
      <c r="F2021" s="5" t="s">
        <v>1018</v>
      </c>
      <c r="G2021" s="6" t="str">
        <f aca="false">INDEX(Catalogo_Causas!$B$2:$B$10,MATCH(F2021,Catalogo_Causas!$A$2:$A$10,0))</f>
        <v>Falta de personal</v>
      </c>
      <c r="H2021" s="6" t="str">
        <f aca="false">INDEX(Catalogo_Causas!$C$2:$C$10,MATCH(F2021,Catalogo_Causas!$A$2:$A$10,0))</f>
        <v>Personal</v>
      </c>
      <c r="I2021" s="5" t="n">
        <v>40</v>
      </c>
      <c r="J2021" s="29" t="n">
        <f aca="false">I2021/60</f>
        <v>0.666666666666667</v>
      </c>
    </row>
    <row r="2022" customFormat="false" ht="15" hidden="false" customHeight="false" outlineLevel="0" collapsed="false">
      <c r="A2022" s="5" t="s">
        <v>3064</v>
      </c>
      <c r="B2022" s="9" t="n">
        <v>46223</v>
      </c>
      <c r="C2022" s="9" t="n">
        <v>46225</v>
      </c>
      <c r="D2022" s="5" t="s">
        <v>144</v>
      </c>
      <c r="E2022" s="5" t="s">
        <v>1032</v>
      </c>
      <c r="F2022" s="5" t="s">
        <v>1005</v>
      </c>
      <c r="G2022" s="6" t="str">
        <f aca="false">INDEX(Catalogo_Causas!$B$2:$B$10,MATCH(F2022,Catalogo_Causas!$A$2:$A$10,0))</f>
        <v>Falla eléctrica / control</v>
      </c>
      <c r="H2022" s="6" t="str">
        <f aca="false">INDEX(Catalogo_Causas!$C$2:$C$10,MATCH(F2022,Catalogo_Causas!$A$2:$A$10,0))</f>
        <v>Operacional</v>
      </c>
      <c r="I2022" s="5" t="n">
        <v>64</v>
      </c>
      <c r="J2022" s="29" t="n">
        <f aca="false">I2022/60</f>
        <v>1.06666666666667</v>
      </c>
    </row>
    <row r="2023" customFormat="false" ht="15" hidden="false" customHeight="false" outlineLevel="0" collapsed="false">
      <c r="A2023" s="5" t="s">
        <v>3065</v>
      </c>
      <c r="B2023" s="9" t="n">
        <v>46223</v>
      </c>
      <c r="C2023" s="9" t="n">
        <v>46226</v>
      </c>
      <c r="D2023" s="5" t="s">
        <v>130</v>
      </c>
      <c r="E2023" s="5" t="s">
        <v>1045</v>
      </c>
      <c r="F2023" s="5" t="s">
        <v>1009</v>
      </c>
      <c r="G2023" s="6" t="str">
        <f aca="false">INDEX(Catalogo_Causas!$B$2:$B$10,MATCH(F2023,Catalogo_Causas!$A$2:$A$10,0))</f>
        <v>Falta de material de empaque</v>
      </c>
      <c r="H2023" s="6" t="str">
        <f aca="false">INDEX(Catalogo_Causas!$C$2:$C$10,MATCH(F2023,Catalogo_Causas!$A$2:$A$10,0))</f>
        <v>Material / suministro</v>
      </c>
      <c r="I2023" s="5" t="n">
        <v>21</v>
      </c>
      <c r="J2023" s="29" t="n">
        <f aca="false">I2023/60</f>
        <v>0.35</v>
      </c>
    </row>
    <row r="2024" customFormat="false" ht="15" hidden="false" customHeight="false" outlineLevel="0" collapsed="false">
      <c r="A2024" s="5" t="s">
        <v>3066</v>
      </c>
      <c r="B2024" s="9" t="n">
        <v>46223</v>
      </c>
      <c r="C2024" s="9" t="n">
        <v>46226</v>
      </c>
      <c r="D2024" s="5" t="s">
        <v>138</v>
      </c>
      <c r="E2024" s="5" t="s">
        <v>1056</v>
      </c>
      <c r="F2024" s="5" t="s">
        <v>1005</v>
      </c>
      <c r="G2024" s="6" t="str">
        <f aca="false">INDEX(Catalogo_Causas!$B$2:$B$10,MATCH(F2024,Catalogo_Causas!$A$2:$A$10,0))</f>
        <v>Falla eléctrica / control</v>
      </c>
      <c r="H2024" s="6" t="str">
        <f aca="false">INDEX(Catalogo_Causas!$C$2:$C$10,MATCH(F2024,Catalogo_Causas!$A$2:$A$10,0))</f>
        <v>Operacional</v>
      </c>
      <c r="I2024" s="5" t="n">
        <v>54</v>
      </c>
      <c r="J2024" s="29" t="n">
        <f aca="false">I2024/60</f>
        <v>0.9</v>
      </c>
    </row>
    <row r="2025" customFormat="false" ht="15" hidden="false" customHeight="false" outlineLevel="0" collapsed="false">
      <c r="A2025" s="5" t="s">
        <v>3067</v>
      </c>
      <c r="B2025" s="9" t="n">
        <v>46223</v>
      </c>
      <c r="C2025" s="9" t="n">
        <v>46226</v>
      </c>
      <c r="D2025" s="5" t="s">
        <v>140</v>
      </c>
      <c r="E2025" s="5" t="s">
        <v>1045</v>
      </c>
      <c r="F2025" s="5" t="s">
        <v>1021</v>
      </c>
      <c r="G2025" s="6" t="str">
        <f aca="false">INDEX(Catalogo_Causas!$B$2:$B$10,MATCH(F2025,Catalogo_Causas!$A$2:$A$10,0))</f>
        <v>Falla de servicios (vapor/amoniaco/aire)</v>
      </c>
      <c r="H2025" s="6" t="str">
        <f aca="false">INDEX(Catalogo_Causas!$C$2:$C$10,MATCH(F2025,Catalogo_Causas!$A$2:$A$10,0))</f>
        <v>Servicios</v>
      </c>
      <c r="I2025" s="5" t="n">
        <v>99</v>
      </c>
      <c r="J2025" s="29" t="n">
        <f aca="false">I2025/60</f>
        <v>1.65</v>
      </c>
    </row>
    <row r="2026" customFormat="false" ht="15" hidden="false" customHeight="false" outlineLevel="0" collapsed="false">
      <c r="A2026" s="5" t="s">
        <v>3068</v>
      </c>
      <c r="B2026" s="9" t="n">
        <v>46223</v>
      </c>
      <c r="C2026" s="9" t="n">
        <v>46226</v>
      </c>
      <c r="D2026" s="5" t="s">
        <v>142</v>
      </c>
      <c r="E2026" s="5" t="s">
        <v>1041</v>
      </c>
      <c r="F2026" s="5" t="s">
        <v>1009</v>
      </c>
      <c r="G2026" s="6" t="str">
        <f aca="false">INDEX(Catalogo_Causas!$B$2:$B$10,MATCH(F2026,Catalogo_Causas!$A$2:$A$10,0))</f>
        <v>Falta de material de empaque</v>
      </c>
      <c r="H2026" s="6" t="str">
        <f aca="false">INDEX(Catalogo_Causas!$C$2:$C$10,MATCH(F2026,Catalogo_Causas!$A$2:$A$10,0))</f>
        <v>Material / suministro</v>
      </c>
      <c r="I2026" s="5" t="n">
        <v>71</v>
      </c>
      <c r="J2026" s="29" t="n">
        <f aca="false">I2026/60</f>
        <v>1.18333333333333</v>
      </c>
    </row>
    <row r="2027" customFormat="false" ht="15" hidden="false" customHeight="false" outlineLevel="0" collapsed="false">
      <c r="A2027" s="5" t="s">
        <v>3069</v>
      </c>
      <c r="B2027" s="9" t="n">
        <v>46223</v>
      </c>
      <c r="C2027" s="9" t="n">
        <v>46226</v>
      </c>
      <c r="D2027" s="5" t="s">
        <v>144</v>
      </c>
      <c r="E2027" s="5" t="s">
        <v>1030</v>
      </c>
      <c r="F2027" s="5" t="s">
        <v>1002</v>
      </c>
      <c r="G2027" s="6" t="str">
        <f aca="false">INDEX(Catalogo_Causas!$B$2:$B$10,MATCH(F2027,Catalogo_Causas!$A$2:$A$10,0))</f>
        <v>Falla mecánica</v>
      </c>
      <c r="H2027" s="6" t="str">
        <f aca="false">INDEX(Catalogo_Causas!$C$2:$C$10,MATCH(F2027,Catalogo_Causas!$A$2:$A$10,0))</f>
        <v>Operacional</v>
      </c>
      <c r="I2027" s="5" t="n">
        <v>172</v>
      </c>
      <c r="J2027" s="29" t="n">
        <f aca="false">I2027/60</f>
        <v>2.86666666666667</v>
      </c>
    </row>
    <row r="2028" customFormat="false" ht="15" hidden="false" customHeight="false" outlineLevel="0" collapsed="false">
      <c r="A2028" s="5" t="s">
        <v>3070</v>
      </c>
      <c r="B2028" s="9" t="n">
        <v>46223</v>
      </c>
      <c r="C2028" s="9" t="n">
        <v>46227</v>
      </c>
      <c r="D2028" s="5" t="s">
        <v>130</v>
      </c>
      <c r="E2028" s="5" t="s">
        <v>1045</v>
      </c>
      <c r="F2028" s="5" t="s">
        <v>1007</v>
      </c>
      <c r="G2028" s="6" t="str">
        <f aca="false">INDEX(Catalogo_Causas!$B$2:$B$10,MATCH(F2028,Catalogo_Causas!$A$2:$A$10,0))</f>
        <v>Cambio de formato excedido</v>
      </c>
      <c r="H2028" s="6" t="str">
        <f aca="false">INDEX(Catalogo_Causas!$C$2:$C$10,MATCH(F2028,Catalogo_Causas!$A$2:$A$10,0))</f>
        <v>Operacional</v>
      </c>
      <c r="I2028" s="5" t="n">
        <v>51</v>
      </c>
      <c r="J2028" s="29" t="n">
        <f aca="false">I2028/60</f>
        <v>0.85</v>
      </c>
    </row>
    <row r="2029" customFormat="false" ht="15" hidden="false" customHeight="false" outlineLevel="0" collapsed="false">
      <c r="A2029" s="5" t="s">
        <v>3071</v>
      </c>
      <c r="B2029" s="9" t="n">
        <v>46223</v>
      </c>
      <c r="C2029" s="9" t="n">
        <v>46227</v>
      </c>
      <c r="D2029" s="5" t="s">
        <v>140</v>
      </c>
      <c r="E2029" s="5" t="s">
        <v>1045</v>
      </c>
      <c r="F2029" s="5" t="s">
        <v>1007</v>
      </c>
      <c r="G2029" s="6" t="str">
        <f aca="false">INDEX(Catalogo_Causas!$B$2:$B$10,MATCH(F2029,Catalogo_Causas!$A$2:$A$10,0))</f>
        <v>Cambio de formato excedido</v>
      </c>
      <c r="H2029" s="6" t="str">
        <f aca="false">INDEX(Catalogo_Causas!$C$2:$C$10,MATCH(F2029,Catalogo_Causas!$A$2:$A$10,0))</f>
        <v>Operacional</v>
      </c>
      <c r="I2029" s="5" t="n">
        <v>64</v>
      </c>
      <c r="J2029" s="29" t="n">
        <f aca="false">I2029/60</f>
        <v>1.06666666666667</v>
      </c>
    </row>
    <row r="2030" customFormat="false" ht="15" hidden="false" customHeight="false" outlineLevel="0" collapsed="false">
      <c r="A2030" s="5" t="s">
        <v>3072</v>
      </c>
      <c r="B2030" s="9" t="n">
        <v>46223</v>
      </c>
      <c r="C2030" s="9" t="n">
        <v>46227</v>
      </c>
      <c r="D2030" s="5" t="s">
        <v>140</v>
      </c>
      <c r="E2030" s="5" t="s">
        <v>1045</v>
      </c>
      <c r="F2030" s="5" t="s">
        <v>1005</v>
      </c>
      <c r="G2030" s="6" t="str">
        <f aca="false">INDEX(Catalogo_Causas!$B$2:$B$10,MATCH(F2030,Catalogo_Causas!$A$2:$A$10,0))</f>
        <v>Falla eléctrica / control</v>
      </c>
      <c r="H2030" s="6" t="str">
        <f aca="false">INDEX(Catalogo_Causas!$C$2:$C$10,MATCH(F2030,Catalogo_Causas!$A$2:$A$10,0))</f>
        <v>Operacional</v>
      </c>
      <c r="I2030" s="5" t="n">
        <v>22</v>
      </c>
      <c r="J2030" s="29" t="n">
        <f aca="false">I2030/60</f>
        <v>0.366666666666667</v>
      </c>
    </row>
    <row r="2031" customFormat="false" ht="15" hidden="false" customHeight="false" outlineLevel="0" collapsed="false">
      <c r="A2031" s="5" t="s">
        <v>3073</v>
      </c>
      <c r="B2031" s="9" t="n">
        <v>46223</v>
      </c>
      <c r="C2031" s="9" t="n">
        <v>46227</v>
      </c>
      <c r="D2031" s="5" t="s">
        <v>142</v>
      </c>
      <c r="E2031" s="5" t="s">
        <v>1051</v>
      </c>
      <c r="F2031" s="5" t="s">
        <v>1007</v>
      </c>
      <c r="G2031" s="6" t="str">
        <f aca="false">INDEX(Catalogo_Causas!$B$2:$B$10,MATCH(F2031,Catalogo_Causas!$A$2:$A$10,0))</f>
        <v>Cambio de formato excedido</v>
      </c>
      <c r="H2031" s="6" t="str">
        <f aca="false">INDEX(Catalogo_Causas!$C$2:$C$10,MATCH(F2031,Catalogo_Causas!$A$2:$A$10,0))</f>
        <v>Operacional</v>
      </c>
      <c r="I2031" s="5" t="n">
        <v>28</v>
      </c>
      <c r="J2031" s="29" t="n">
        <f aca="false">I2031/60</f>
        <v>0.466666666666667</v>
      </c>
    </row>
    <row r="2032" customFormat="false" ht="15" hidden="false" customHeight="false" outlineLevel="0" collapsed="false">
      <c r="A2032" s="5" t="s">
        <v>3074</v>
      </c>
      <c r="B2032" s="9" t="n">
        <v>46223</v>
      </c>
      <c r="C2032" s="9" t="n">
        <v>46228</v>
      </c>
      <c r="D2032" s="5" t="s">
        <v>136</v>
      </c>
      <c r="E2032" s="5" t="s">
        <v>1032</v>
      </c>
      <c r="F2032" s="5" t="s">
        <v>1002</v>
      </c>
      <c r="G2032" s="6" t="str">
        <f aca="false">INDEX(Catalogo_Causas!$B$2:$B$10,MATCH(F2032,Catalogo_Causas!$A$2:$A$10,0))</f>
        <v>Falla mecánica</v>
      </c>
      <c r="H2032" s="6" t="str">
        <f aca="false">INDEX(Catalogo_Causas!$C$2:$C$10,MATCH(F2032,Catalogo_Causas!$A$2:$A$10,0))</f>
        <v>Operacional</v>
      </c>
      <c r="I2032" s="5" t="n">
        <v>41</v>
      </c>
      <c r="J2032" s="29" t="n">
        <f aca="false">I2032/60</f>
        <v>0.683333333333333</v>
      </c>
    </row>
    <row r="2033" customFormat="false" ht="15" hidden="false" customHeight="false" outlineLevel="0" collapsed="false">
      <c r="A2033" s="5" t="s">
        <v>3075</v>
      </c>
      <c r="B2033" s="9" t="n">
        <v>46230</v>
      </c>
      <c r="C2033" s="9" t="n">
        <v>46230</v>
      </c>
      <c r="D2033" s="5" t="s">
        <v>134</v>
      </c>
      <c r="E2033" s="5" t="s">
        <v>1032</v>
      </c>
      <c r="F2033" s="5" t="s">
        <v>1002</v>
      </c>
      <c r="G2033" s="6" t="str">
        <f aca="false">INDEX(Catalogo_Causas!$B$2:$B$10,MATCH(F2033,Catalogo_Causas!$A$2:$A$10,0))</f>
        <v>Falla mecánica</v>
      </c>
      <c r="H2033" s="6" t="str">
        <f aca="false">INDEX(Catalogo_Causas!$C$2:$C$10,MATCH(F2033,Catalogo_Causas!$A$2:$A$10,0))</f>
        <v>Operacional</v>
      </c>
      <c r="I2033" s="5" t="n">
        <v>29</v>
      </c>
      <c r="J2033" s="29" t="n">
        <f aca="false">I2033/60</f>
        <v>0.483333333333333</v>
      </c>
    </row>
    <row r="2034" customFormat="false" ht="15" hidden="false" customHeight="false" outlineLevel="0" collapsed="false">
      <c r="A2034" s="5" t="s">
        <v>3076</v>
      </c>
      <c r="B2034" s="9" t="n">
        <v>46230</v>
      </c>
      <c r="C2034" s="9" t="n">
        <v>46230</v>
      </c>
      <c r="D2034" s="5" t="s">
        <v>136</v>
      </c>
      <c r="E2034" s="5" t="s">
        <v>1032</v>
      </c>
      <c r="F2034" s="5" t="s">
        <v>1018</v>
      </c>
      <c r="G2034" s="6" t="str">
        <f aca="false">INDEX(Catalogo_Causas!$B$2:$B$10,MATCH(F2034,Catalogo_Causas!$A$2:$A$10,0))</f>
        <v>Falta de personal</v>
      </c>
      <c r="H2034" s="6" t="str">
        <f aca="false">INDEX(Catalogo_Causas!$C$2:$C$10,MATCH(F2034,Catalogo_Causas!$A$2:$A$10,0))</f>
        <v>Personal</v>
      </c>
      <c r="I2034" s="5" t="n">
        <v>37</v>
      </c>
      <c r="J2034" s="29" t="n">
        <f aca="false">I2034/60</f>
        <v>0.616666666666667</v>
      </c>
    </row>
    <row r="2035" customFormat="false" ht="15" hidden="false" customHeight="false" outlineLevel="0" collapsed="false">
      <c r="A2035" s="5" t="s">
        <v>3077</v>
      </c>
      <c r="B2035" s="9" t="n">
        <v>46230</v>
      </c>
      <c r="C2035" s="9" t="n">
        <v>46231</v>
      </c>
      <c r="D2035" s="5" t="s">
        <v>132</v>
      </c>
      <c r="E2035" s="5" t="s">
        <v>1032</v>
      </c>
      <c r="F2035" s="5" t="s">
        <v>1005</v>
      </c>
      <c r="G2035" s="6" t="str">
        <f aca="false">INDEX(Catalogo_Causas!$B$2:$B$10,MATCH(F2035,Catalogo_Causas!$A$2:$A$10,0))</f>
        <v>Falla eléctrica / control</v>
      </c>
      <c r="H2035" s="6" t="str">
        <f aca="false">INDEX(Catalogo_Causas!$C$2:$C$10,MATCH(F2035,Catalogo_Causas!$A$2:$A$10,0))</f>
        <v>Operacional</v>
      </c>
      <c r="I2035" s="5" t="n">
        <v>92</v>
      </c>
      <c r="J2035" s="29" t="n">
        <f aca="false">I2035/60</f>
        <v>1.53333333333333</v>
      </c>
    </row>
    <row r="2036" customFormat="false" ht="15" hidden="false" customHeight="false" outlineLevel="0" collapsed="false">
      <c r="A2036" s="5" t="s">
        <v>3078</v>
      </c>
      <c r="B2036" s="9" t="n">
        <v>46230</v>
      </c>
      <c r="C2036" s="9" t="n">
        <v>46232</v>
      </c>
      <c r="D2036" s="5" t="s">
        <v>132</v>
      </c>
      <c r="E2036" s="5" t="s">
        <v>1084</v>
      </c>
      <c r="F2036" s="5" t="s">
        <v>1002</v>
      </c>
      <c r="G2036" s="6" t="str">
        <f aca="false">INDEX(Catalogo_Causas!$B$2:$B$10,MATCH(F2036,Catalogo_Causas!$A$2:$A$10,0))</f>
        <v>Falla mecánica</v>
      </c>
      <c r="H2036" s="6" t="str">
        <f aca="false">INDEX(Catalogo_Causas!$C$2:$C$10,MATCH(F2036,Catalogo_Causas!$A$2:$A$10,0))</f>
        <v>Operacional</v>
      </c>
      <c r="I2036" s="5" t="n">
        <v>17</v>
      </c>
      <c r="J2036" s="29" t="n">
        <f aca="false">I2036/60</f>
        <v>0.283333333333333</v>
      </c>
    </row>
    <row r="2037" customFormat="false" ht="15" hidden="false" customHeight="false" outlineLevel="0" collapsed="false">
      <c r="A2037" s="5" t="s">
        <v>3079</v>
      </c>
      <c r="B2037" s="9" t="n">
        <v>46230</v>
      </c>
      <c r="C2037" s="9" t="n">
        <v>46232</v>
      </c>
      <c r="D2037" s="5" t="s">
        <v>136</v>
      </c>
      <c r="E2037" s="5" t="s">
        <v>1101</v>
      </c>
      <c r="F2037" s="5" t="s">
        <v>1018</v>
      </c>
      <c r="G2037" s="6" t="str">
        <f aca="false">INDEX(Catalogo_Causas!$B$2:$B$10,MATCH(F2037,Catalogo_Causas!$A$2:$A$10,0))</f>
        <v>Falta de personal</v>
      </c>
      <c r="H2037" s="6" t="str">
        <f aca="false">INDEX(Catalogo_Causas!$C$2:$C$10,MATCH(F2037,Catalogo_Causas!$A$2:$A$10,0))</f>
        <v>Personal</v>
      </c>
      <c r="I2037" s="5" t="n">
        <v>49</v>
      </c>
      <c r="J2037" s="29" t="n">
        <f aca="false">I2037/60</f>
        <v>0.816666666666667</v>
      </c>
    </row>
    <row r="2038" customFormat="false" ht="15" hidden="false" customHeight="false" outlineLevel="0" collapsed="false">
      <c r="A2038" s="5" t="s">
        <v>3080</v>
      </c>
      <c r="B2038" s="9" t="n">
        <v>46230</v>
      </c>
      <c r="C2038" s="9" t="n">
        <v>46232</v>
      </c>
      <c r="D2038" s="5" t="s">
        <v>138</v>
      </c>
      <c r="E2038" s="5" t="s">
        <v>1056</v>
      </c>
      <c r="F2038" s="5" t="s">
        <v>1014</v>
      </c>
      <c r="G2038" s="6" t="str">
        <f aca="false">INDEX(Catalogo_Causas!$B$2:$B$10,MATCH(F2038,Catalogo_Causas!$A$2:$A$10,0))</f>
        <v>Retención de calidad</v>
      </c>
      <c r="H2038" s="6" t="str">
        <f aca="false">INDEX(Catalogo_Causas!$C$2:$C$10,MATCH(F2038,Catalogo_Causas!$A$2:$A$10,0))</f>
        <v>Calidad</v>
      </c>
      <c r="I2038" s="5" t="n">
        <v>22</v>
      </c>
      <c r="J2038" s="29" t="n">
        <f aca="false">I2038/60</f>
        <v>0.366666666666667</v>
      </c>
    </row>
    <row r="2039" customFormat="false" ht="15" hidden="false" customHeight="false" outlineLevel="0" collapsed="false">
      <c r="A2039" s="5" t="s">
        <v>3081</v>
      </c>
      <c r="B2039" s="9" t="n">
        <v>46230</v>
      </c>
      <c r="C2039" s="9" t="n">
        <v>46232</v>
      </c>
      <c r="D2039" s="5" t="s">
        <v>140</v>
      </c>
      <c r="E2039" s="5" t="s">
        <v>1032</v>
      </c>
      <c r="F2039" s="5" t="s">
        <v>1009</v>
      </c>
      <c r="G2039" s="6" t="str">
        <f aca="false">INDEX(Catalogo_Causas!$B$2:$B$10,MATCH(F2039,Catalogo_Causas!$A$2:$A$10,0))</f>
        <v>Falta de material de empaque</v>
      </c>
      <c r="H2039" s="6" t="str">
        <f aca="false">INDEX(Catalogo_Causas!$C$2:$C$10,MATCH(F2039,Catalogo_Causas!$A$2:$A$10,0))</f>
        <v>Material / suministro</v>
      </c>
      <c r="I2039" s="5" t="n">
        <v>140</v>
      </c>
      <c r="J2039" s="29" t="n">
        <f aca="false">I2039/60</f>
        <v>2.33333333333333</v>
      </c>
    </row>
    <row r="2040" customFormat="false" ht="15" hidden="false" customHeight="false" outlineLevel="0" collapsed="false">
      <c r="A2040" s="5" t="s">
        <v>3082</v>
      </c>
      <c r="B2040" s="9" t="n">
        <v>46230</v>
      </c>
      <c r="C2040" s="9" t="n">
        <v>46232</v>
      </c>
      <c r="D2040" s="5" t="s">
        <v>140</v>
      </c>
      <c r="E2040" s="5" t="s">
        <v>1045</v>
      </c>
      <c r="F2040" s="5" t="s">
        <v>1016</v>
      </c>
      <c r="G2040" s="6" t="str">
        <f aca="false">INDEX(Catalogo_Causas!$B$2:$B$10,MATCH(F2040,Catalogo_Causas!$A$2:$A$10,0))</f>
        <v>Limpieza no programada (CIP)</v>
      </c>
      <c r="H2040" s="6" t="str">
        <f aca="false">INDEX(Catalogo_Causas!$C$2:$C$10,MATCH(F2040,Catalogo_Causas!$A$2:$A$10,0))</f>
        <v>Calidad</v>
      </c>
      <c r="I2040" s="5" t="n">
        <v>22</v>
      </c>
      <c r="J2040" s="29" t="n">
        <f aca="false">I2040/60</f>
        <v>0.366666666666667</v>
      </c>
    </row>
    <row r="2041" customFormat="false" ht="15" hidden="false" customHeight="false" outlineLevel="0" collapsed="false">
      <c r="A2041" s="5" t="s">
        <v>3083</v>
      </c>
      <c r="B2041" s="9" t="n">
        <v>46230</v>
      </c>
      <c r="C2041" s="9" t="n">
        <v>46232</v>
      </c>
      <c r="D2041" s="5" t="s">
        <v>144</v>
      </c>
      <c r="E2041" s="5" t="s">
        <v>1043</v>
      </c>
      <c r="F2041" s="5" t="s">
        <v>1005</v>
      </c>
      <c r="G2041" s="6" t="str">
        <f aca="false">INDEX(Catalogo_Causas!$B$2:$B$10,MATCH(F2041,Catalogo_Causas!$A$2:$A$10,0))</f>
        <v>Falla eléctrica / control</v>
      </c>
      <c r="H2041" s="6" t="str">
        <f aca="false">INDEX(Catalogo_Causas!$C$2:$C$10,MATCH(F2041,Catalogo_Causas!$A$2:$A$10,0))</f>
        <v>Operacional</v>
      </c>
      <c r="I2041" s="5" t="n">
        <v>31</v>
      </c>
      <c r="J2041" s="29" t="n">
        <f aca="false">I2041/60</f>
        <v>0.516666666666667</v>
      </c>
    </row>
    <row r="2042" customFormat="false" ht="15" hidden="false" customHeight="false" outlineLevel="0" collapsed="false">
      <c r="A2042" s="5" t="s">
        <v>3084</v>
      </c>
      <c r="B2042" s="9" t="n">
        <v>46230</v>
      </c>
      <c r="C2042" s="9" t="n">
        <v>46232</v>
      </c>
      <c r="D2042" s="5" t="s">
        <v>144</v>
      </c>
      <c r="E2042" s="5" t="s">
        <v>1032</v>
      </c>
      <c r="F2042" s="5" t="s">
        <v>1005</v>
      </c>
      <c r="G2042" s="6" t="str">
        <f aca="false">INDEX(Catalogo_Causas!$B$2:$B$10,MATCH(F2042,Catalogo_Causas!$A$2:$A$10,0))</f>
        <v>Falla eléctrica / control</v>
      </c>
      <c r="H2042" s="6" t="str">
        <f aca="false">INDEX(Catalogo_Causas!$C$2:$C$10,MATCH(F2042,Catalogo_Causas!$A$2:$A$10,0))</f>
        <v>Operacional</v>
      </c>
      <c r="I2042" s="5" t="n">
        <v>41</v>
      </c>
      <c r="J2042" s="29" t="n">
        <f aca="false">I2042/60</f>
        <v>0.683333333333333</v>
      </c>
    </row>
    <row r="2043" customFormat="false" ht="15" hidden="false" customHeight="false" outlineLevel="0" collapsed="false">
      <c r="A2043" s="5" t="s">
        <v>3085</v>
      </c>
      <c r="B2043" s="9" t="n">
        <v>46230</v>
      </c>
      <c r="C2043" s="9" t="n">
        <v>46233</v>
      </c>
      <c r="D2043" s="5" t="s">
        <v>136</v>
      </c>
      <c r="E2043" s="5" t="s">
        <v>1101</v>
      </c>
      <c r="F2043" s="5" t="s">
        <v>1005</v>
      </c>
      <c r="G2043" s="6" t="str">
        <f aca="false">INDEX(Catalogo_Causas!$B$2:$B$10,MATCH(F2043,Catalogo_Causas!$A$2:$A$10,0))</f>
        <v>Falla eléctrica / control</v>
      </c>
      <c r="H2043" s="6" t="str">
        <f aca="false">INDEX(Catalogo_Causas!$C$2:$C$10,MATCH(F2043,Catalogo_Causas!$A$2:$A$10,0))</f>
        <v>Operacional</v>
      </c>
      <c r="I2043" s="5" t="n">
        <v>55</v>
      </c>
      <c r="J2043" s="29" t="n">
        <f aca="false">I2043/60</f>
        <v>0.916666666666667</v>
      </c>
    </row>
    <row r="2044" customFormat="false" ht="15" hidden="false" customHeight="false" outlineLevel="0" collapsed="false">
      <c r="A2044" s="5" t="s">
        <v>3086</v>
      </c>
      <c r="B2044" s="9" t="n">
        <v>46230</v>
      </c>
      <c r="C2044" s="9" t="n">
        <v>46233</v>
      </c>
      <c r="D2044" s="5" t="s">
        <v>138</v>
      </c>
      <c r="E2044" s="5" t="s">
        <v>1034</v>
      </c>
      <c r="F2044" s="5" t="s">
        <v>1007</v>
      </c>
      <c r="G2044" s="6" t="str">
        <f aca="false">INDEX(Catalogo_Causas!$B$2:$B$10,MATCH(F2044,Catalogo_Causas!$A$2:$A$10,0))</f>
        <v>Cambio de formato excedido</v>
      </c>
      <c r="H2044" s="6" t="str">
        <f aca="false">INDEX(Catalogo_Causas!$C$2:$C$10,MATCH(F2044,Catalogo_Causas!$A$2:$A$10,0))</f>
        <v>Operacional</v>
      </c>
      <c r="I2044" s="5" t="n">
        <v>12</v>
      </c>
      <c r="J2044" s="29" t="n">
        <f aca="false">I2044/60</f>
        <v>0.2</v>
      </c>
    </row>
    <row r="2045" customFormat="false" ht="15" hidden="false" customHeight="false" outlineLevel="0" collapsed="false">
      <c r="A2045" s="5" t="s">
        <v>3087</v>
      </c>
      <c r="B2045" s="9" t="n">
        <v>46230</v>
      </c>
      <c r="C2045" s="9" t="n">
        <v>46233</v>
      </c>
      <c r="D2045" s="5" t="s">
        <v>144</v>
      </c>
      <c r="E2045" s="5" t="s">
        <v>1030</v>
      </c>
      <c r="F2045" s="5" t="s">
        <v>1005</v>
      </c>
      <c r="G2045" s="6" t="str">
        <f aca="false">INDEX(Catalogo_Causas!$B$2:$B$10,MATCH(F2045,Catalogo_Causas!$A$2:$A$10,0))</f>
        <v>Falla eléctrica / control</v>
      </c>
      <c r="H2045" s="6" t="str">
        <f aca="false">INDEX(Catalogo_Causas!$C$2:$C$10,MATCH(F2045,Catalogo_Causas!$A$2:$A$10,0))</f>
        <v>Operacional</v>
      </c>
      <c r="I2045" s="5" t="n">
        <v>24</v>
      </c>
      <c r="J2045" s="29" t="n">
        <f aca="false">I2045/60</f>
        <v>0.4</v>
      </c>
    </row>
    <row r="2046" customFormat="false" ht="15" hidden="false" customHeight="false" outlineLevel="0" collapsed="false">
      <c r="A2046" s="5" t="s">
        <v>3088</v>
      </c>
      <c r="B2046" s="9" t="n">
        <v>46230</v>
      </c>
      <c r="C2046" s="9" t="n">
        <v>46233</v>
      </c>
      <c r="D2046" s="5" t="s">
        <v>144</v>
      </c>
      <c r="E2046" s="5" t="s">
        <v>1032</v>
      </c>
      <c r="F2046" s="5" t="s">
        <v>1007</v>
      </c>
      <c r="G2046" s="6" t="str">
        <f aca="false">INDEX(Catalogo_Causas!$B$2:$B$10,MATCH(F2046,Catalogo_Causas!$A$2:$A$10,0))</f>
        <v>Cambio de formato excedido</v>
      </c>
      <c r="H2046" s="6" t="str">
        <f aca="false">INDEX(Catalogo_Causas!$C$2:$C$10,MATCH(F2046,Catalogo_Causas!$A$2:$A$10,0))</f>
        <v>Operacional</v>
      </c>
      <c r="I2046" s="5" t="n">
        <v>55</v>
      </c>
      <c r="J2046" s="29" t="n">
        <f aca="false">I2046/60</f>
        <v>0.916666666666667</v>
      </c>
    </row>
    <row r="2047" customFormat="false" ht="15" hidden="false" customHeight="false" outlineLevel="0" collapsed="false">
      <c r="A2047" s="5" t="s">
        <v>3089</v>
      </c>
      <c r="B2047" s="9" t="n">
        <v>46230</v>
      </c>
      <c r="C2047" s="9" t="n">
        <v>46234</v>
      </c>
      <c r="D2047" s="5" t="s">
        <v>140</v>
      </c>
      <c r="E2047" s="5" t="s">
        <v>1036</v>
      </c>
      <c r="F2047" s="5" t="s">
        <v>1016</v>
      </c>
      <c r="G2047" s="6" t="str">
        <f aca="false">INDEX(Catalogo_Causas!$B$2:$B$10,MATCH(F2047,Catalogo_Causas!$A$2:$A$10,0))</f>
        <v>Limpieza no programada (CIP)</v>
      </c>
      <c r="H2047" s="6" t="str">
        <f aca="false">INDEX(Catalogo_Causas!$C$2:$C$10,MATCH(F2047,Catalogo_Causas!$A$2:$A$10,0))</f>
        <v>Calidad</v>
      </c>
      <c r="I2047" s="5" t="n">
        <v>22</v>
      </c>
      <c r="J2047" s="29" t="n">
        <f aca="false">I2047/60</f>
        <v>0.366666666666667</v>
      </c>
    </row>
    <row r="2048" customFormat="false" ht="15" hidden="false" customHeight="false" outlineLevel="0" collapsed="false">
      <c r="A2048" s="5" t="s">
        <v>3090</v>
      </c>
      <c r="B2048" s="9" t="n">
        <v>46230</v>
      </c>
      <c r="C2048" s="9" t="n">
        <v>46234</v>
      </c>
      <c r="D2048" s="5" t="s">
        <v>140</v>
      </c>
      <c r="E2048" s="5" t="s">
        <v>1036</v>
      </c>
      <c r="F2048" s="5" t="s">
        <v>1002</v>
      </c>
      <c r="G2048" s="6" t="str">
        <f aca="false">INDEX(Catalogo_Causas!$B$2:$B$10,MATCH(F2048,Catalogo_Causas!$A$2:$A$10,0))</f>
        <v>Falla mecánica</v>
      </c>
      <c r="H2048" s="6" t="str">
        <f aca="false">INDEX(Catalogo_Causas!$C$2:$C$10,MATCH(F2048,Catalogo_Causas!$A$2:$A$10,0))</f>
        <v>Operacional</v>
      </c>
      <c r="I2048" s="5" t="n">
        <v>98</v>
      </c>
      <c r="J2048" s="29" t="n">
        <f aca="false">I2048/60</f>
        <v>1.63333333333333</v>
      </c>
    </row>
    <row r="2049" customFormat="false" ht="15" hidden="false" customHeight="false" outlineLevel="0" collapsed="false">
      <c r="A2049" s="5" t="s">
        <v>3091</v>
      </c>
      <c r="B2049" s="9" t="n">
        <v>46230</v>
      </c>
      <c r="C2049" s="9" t="n">
        <v>46235</v>
      </c>
      <c r="D2049" s="5" t="s">
        <v>132</v>
      </c>
      <c r="E2049" s="5" t="s">
        <v>1084</v>
      </c>
      <c r="F2049" s="5" t="s">
        <v>1007</v>
      </c>
      <c r="G2049" s="6" t="str">
        <f aca="false">INDEX(Catalogo_Causas!$B$2:$B$10,MATCH(F2049,Catalogo_Causas!$A$2:$A$10,0))</f>
        <v>Cambio de formato excedido</v>
      </c>
      <c r="H2049" s="6" t="str">
        <f aca="false">INDEX(Catalogo_Causas!$C$2:$C$10,MATCH(F2049,Catalogo_Causas!$A$2:$A$10,0))</f>
        <v>Operacional</v>
      </c>
      <c r="I2049" s="5" t="n">
        <v>81</v>
      </c>
      <c r="J2049" s="29" t="n">
        <f aca="false">I2049/60</f>
        <v>1.35</v>
      </c>
    </row>
    <row r="2050" customFormat="false" ht="15" hidden="false" customHeight="false" outlineLevel="0" collapsed="false">
      <c r="A2050" s="5" t="s">
        <v>3092</v>
      </c>
      <c r="B2050" s="9" t="n">
        <v>46230</v>
      </c>
      <c r="C2050" s="9" t="n">
        <v>46235</v>
      </c>
      <c r="D2050" s="5" t="s">
        <v>134</v>
      </c>
      <c r="E2050" s="5" t="s">
        <v>1054</v>
      </c>
      <c r="F2050" s="5" t="s">
        <v>1016</v>
      </c>
      <c r="G2050" s="6" t="str">
        <f aca="false">INDEX(Catalogo_Causas!$B$2:$B$10,MATCH(F2050,Catalogo_Causas!$A$2:$A$10,0))</f>
        <v>Limpieza no programada (CIP)</v>
      </c>
      <c r="H2050" s="6" t="str">
        <f aca="false">INDEX(Catalogo_Causas!$C$2:$C$10,MATCH(F2050,Catalogo_Causas!$A$2:$A$10,0))</f>
        <v>Calidad</v>
      </c>
      <c r="I2050" s="5" t="n">
        <v>37</v>
      </c>
      <c r="J2050" s="29" t="n">
        <f aca="false">I2050/60</f>
        <v>0.616666666666667</v>
      </c>
    </row>
    <row r="2051" customFormat="false" ht="15" hidden="false" customHeight="false" outlineLevel="0" collapsed="false">
      <c r="A2051" s="5" t="s">
        <v>3093</v>
      </c>
      <c r="B2051" s="9" t="n">
        <v>46230</v>
      </c>
      <c r="C2051" s="9" t="n">
        <v>46235</v>
      </c>
      <c r="D2051" s="5" t="s">
        <v>138</v>
      </c>
      <c r="E2051" s="5" t="s">
        <v>1034</v>
      </c>
      <c r="F2051" s="5" t="s">
        <v>1005</v>
      </c>
      <c r="G2051" s="6" t="str">
        <f aca="false">INDEX(Catalogo_Causas!$B$2:$B$10,MATCH(F2051,Catalogo_Causas!$A$2:$A$10,0))</f>
        <v>Falla eléctrica / control</v>
      </c>
      <c r="H2051" s="6" t="str">
        <f aca="false">INDEX(Catalogo_Causas!$C$2:$C$10,MATCH(F2051,Catalogo_Causas!$A$2:$A$10,0))</f>
        <v>Operacional</v>
      </c>
      <c r="I2051" s="5" t="n">
        <v>75</v>
      </c>
      <c r="J2051" s="29" t="n">
        <f aca="false">I2051/60</f>
        <v>1.25</v>
      </c>
    </row>
    <row r="2052" customFormat="false" ht="15" hidden="false" customHeight="false" outlineLevel="0" collapsed="false">
      <c r="A2052" s="5" t="s">
        <v>3094</v>
      </c>
      <c r="B2052" s="9" t="n">
        <v>46230</v>
      </c>
      <c r="C2052" s="9" t="n">
        <v>46235</v>
      </c>
      <c r="D2052" s="5" t="s">
        <v>138</v>
      </c>
      <c r="E2052" s="5" t="s">
        <v>1039</v>
      </c>
      <c r="F2052" s="5" t="s">
        <v>1005</v>
      </c>
      <c r="G2052" s="6" t="str">
        <f aca="false">INDEX(Catalogo_Causas!$B$2:$B$10,MATCH(F2052,Catalogo_Causas!$A$2:$A$10,0))</f>
        <v>Falla eléctrica / control</v>
      </c>
      <c r="H2052" s="6" t="str">
        <f aca="false">INDEX(Catalogo_Causas!$C$2:$C$10,MATCH(F2052,Catalogo_Causas!$A$2:$A$10,0))</f>
        <v>Operacional</v>
      </c>
      <c r="I2052" s="5" t="n">
        <v>38</v>
      </c>
      <c r="J2052" s="29" t="n">
        <f aca="false">I2052/60</f>
        <v>0.633333333333333</v>
      </c>
    </row>
    <row r="2053" customFormat="false" ht="15" hidden="false" customHeight="false" outlineLevel="0" collapsed="false">
      <c r="A2053" s="5" t="s">
        <v>3095</v>
      </c>
      <c r="B2053" s="9" t="n">
        <v>46230</v>
      </c>
      <c r="C2053" s="9" t="n">
        <v>46235</v>
      </c>
      <c r="D2053" s="5" t="s">
        <v>138</v>
      </c>
      <c r="E2053" s="5" t="s">
        <v>1034</v>
      </c>
      <c r="F2053" s="5" t="s">
        <v>1007</v>
      </c>
      <c r="G2053" s="6" t="str">
        <f aca="false">INDEX(Catalogo_Causas!$B$2:$B$10,MATCH(F2053,Catalogo_Causas!$A$2:$A$10,0))</f>
        <v>Cambio de formato excedido</v>
      </c>
      <c r="H2053" s="6" t="str">
        <f aca="false">INDEX(Catalogo_Causas!$C$2:$C$10,MATCH(F2053,Catalogo_Causas!$A$2:$A$10,0))</f>
        <v>Operacional</v>
      </c>
      <c r="I2053" s="5" t="n">
        <v>189</v>
      </c>
      <c r="J2053" s="29" t="n">
        <f aca="false">I2053/60</f>
        <v>3.15</v>
      </c>
    </row>
    <row r="2054" customFormat="false" ht="15" hidden="false" customHeight="false" outlineLevel="0" collapsed="false">
      <c r="A2054" s="5" t="s">
        <v>3096</v>
      </c>
      <c r="B2054" s="9" t="n">
        <v>46230</v>
      </c>
      <c r="C2054" s="9" t="n">
        <v>46235</v>
      </c>
      <c r="D2054" s="5" t="s">
        <v>138</v>
      </c>
      <c r="E2054" s="5" t="s">
        <v>1039</v>
      </c>
      <c r="F2054" s="5" t="s">
        <v>1002</v>
      </c>
      <c r="G2054" s="6" t="str">
        <f aca="false">INDEX(Catalogo_Causas!$B$2:$B$10,MATCH(F2054,Catalogo_Causas!$A$2:$A$10,0))</f>
        <v>Falla mecánica</v>
      </c>
      <c r="H2054" s="6" t="str">
        <f aca="false">INDEX(Catalogo_Causas!$C$2:$C$10,MATCH(F2054,Catalogo_Causas!$A$2:$A$10,0))</f>
        <v>Operacional</v>
      </c>
      <c r="I2054" s="5" t="n">
        <v>93</v>
      </c>
      <c r="J2054" s="29" t="n">
        <f aca="false">I2054/60</f>
        <v>1.55</v>
      </c>
    </row>
    <row r="2055" customFormat="false" ht="15" hidden="false" customHeight="false" outlineLevel="0" collapsed="false">
      <c r="A2055" s="5" t="s">
        <v>3097</v>
      </c>
      <c r="B2055" s="9" t="n">
        <v>46230</v>
      </c>
      <c r="C2055" s="9" t="n">
        <v>46235</v>
      </c>
      <c r="D2055" s="5" t="s">
        <v>140</v>
      </c>
      <c r="E2055" s="5" t="s">
        <v>1036</v>
      </c>
      <c r="F2055" s="5" t="s">
        <v>1002</v>
      </c>
      <c r="G2055" s="6" t="str">
        <f aca="false">INDEX(Catalogo_Causas!$B$2:$B$10,MATCH(F2055,Catalogo_Causas!$A$2:$A$10,0))</f>
        <v>Falla mecánica</v>
      </c>
      <c r="H2055" s="6" t="str">
        <f aca="false">INDEX(Catalogo_Causas!$C$2:$C$10,MATCH(F2055,Catalogo_Causas!$A$2:$A$10,0))</f>
        <v>Operacional</v>
      </c>
      <c r="I2055" s="5" t="n">
        <v>44</v>
      </c>
      <c r="J2055" s="29" t="n">
        <f aca="false">I2055/60</f>
        <v>0.733333333333333</v>
      </c>
    </row>
    <row r="2056" customFormat="false" ht="15" hidden="false" customHeight="false" outlineLevel="0" collapsed="false">
      <c r="A2056" s="5" t="s">
        <v>3098</v>
      </c>
      <c r="B2056" s="9" t="n">
        <v>46230</v>
      </c>
      <c r="C2056" s="9" t="n">
        <v>46235</v>
      </c>
      <c r="D2056" s="5" t="s">
        <v>142</v>
      </c>
      <c r="E2056" s="5" t="s">
        <v>1030</v>
      </c>
      <c r="F2056" s="5" t="s">
        <v>1016</v>
      </c>
      <c r="G2056" s="6" t="str">
        <f aca="false">INDEX(Catalogo_Causas!$B$2:$B$10,MATCH(F2056,Catalogo_Causas!$A$2:$A$10,0))</f>
        <v>Limpieza no programada (CIP)</v>
      </c>
      <c r="H2056" s="6" t="str">
        <f aca="false">INDEX(Catalogo_Causas!$C$2:$C$10,MATCH(F2056,Catalogo_Causas!$A$2:$A$10,0))</f>
        <v>Calidad</v>
      </c>
      <c r="I2056" s="5" t="n">
        <v>60</v>
      </c>
      <c r="J2056" s="29" t="n">
        <f aca="false">I2056/60</f>
        <v>1</v>
      </c>
    </row>
    <row r="2057" customFormat="false" ht="15" hidden="false" customHeight="false" outlineLevel="0" collapsed="false">
      <c r="A2057" s="5" t="s">
        <v>3099</v>
      </c>
      <c r="B2057" s="9" t="n">
        <v>46237</v>
      </c>
      <c r="C2057" s="9" t="n">
        <v>46237</v>
      </c>
      <c r="D2057" s="5" t="s">
        <v>140</v>
      </c>
      <c r="E2057" s="5" t="s">
        <v>1036</v>
      </c>
      <c r="F2057" s="5" t="s">
        <v>1016</v>
      </c>
      <c r="G2057" s="6" t="str">
        <f aca="false">INDEX(Catalogo_Causas!$B$2:$B$10,MATCH(F2057,Catalogo_Causas!$A$2:$A$10,0))</f>
        <v>Limpieza no programada (CIP)</v>
      </c>
      <c r="H2057" s="6" t="str">
        <f aca="false">INDEX(Catalogo_Causas!$C$2:$C$10,MATCH(F2057,Catalogo_Causas!$A$2:$A$10,0))</f>
        <v>Calidad</v>
      </c>
      <c r="I2057" s="5" t="n">
        <v>47</v>
      </c>
      <c r="J2057" s="29" t="n">
        <f aca="false">I2057/60</f>
        <v>0.783333333333333</v>
      </c>
    </row>
    <row r="2058" customFormat="false" ht="15" hidden="false" customHeight="false" outlineLevel="0" collapsed="false">
      <c r="A2058" s="5" t="s">
        <v>3100</v>
      </c>
      <c r="B2058" s="9" t="n">
        <v>46237</v>
      </c>
      <c r="C2058" s="9" t="n">
        <v>46238</v>
      </c>
      <c r="D2058" s="5" t="s">
        <v>134</v>
      </c>
      <c r="E2058" s="5" t="s">
        <v>1054</v>
      </c>
      <c r="F2058" s="5" t="s">
        <v>1002</v>
      </c>
      <c r="G2058" s="6" t="str">
        <f aca="false">INDEX(Catalogo_Causas!$B$2:$B$10,MATCH(F2058,Catalogo_Causas!$A$2:$A$10,0))</f>
        <v>Falla mecánica</v>
      </c>
      <c r="H2058" s="6" t="str">
        <f aca="false">INDEX(Catalogo_Causas!$C$2:$C$10,MATCH(F2058,Catalogo_Causas!$A$2:$A$10,0))</f>
        <v>Operacional</v>
      </c>
      <c r="I2058" s="5" t="n">
        <v>176</v>
      </c>
      <c r="J2058" s="29" t="n">
        <f aca="false">I2058/60</f>
        <v>2.93333333333333</v>
      </c>
    </row>
    <row r="2059" customFormat="false" ht="15" hidden="false" customHeight="false" outlineLevel="0" collapsed="false">
      <c r="A2059" s="5" t="s">
        <v>3101</v>
      </c>
      <c r="B2059" s="9" t="n">
        <v>46237</v>
      </c>
      <c r="C2059" s="9" t="n">
        <v>46238</v>
      </c>
      <c r="D2059" s="5" t="s">
        <v>136</v>
      </c>
      <c r="E2059" s="5" t="s">
        <v>1051</v>
      </c>
      <c r="F2059" s="5" t="s">
        <v>1002</v>
      </c>
      <c r="G2059" s="6" t="str">
        <f aca="false">INDEX(Catalogo_Causas!$B$2:$B$10,MATCH(F2059,Catalogo_Causas!$A$2:$A$10,0))</f>
        <v>Falla mecánica</v>
      </c>
      <c r="H2059" s="6" t="str">
        <f aca="false">INDEX(Catalogo_Causas!$C$2:$C$10,MATCH(F2059,Catalogo_Causas!$A$2:$A$10,0))</f>
        <v>Operacional</v>
      </c>
      <c r="I2059" s="5" t="n">
        <v>117</v>
      </c>
      <c r="J2059" s="29" t="n">
        <f aca="false">I2059/60</f>
        <v>1.95</v>
      </c>
    </row>
    <row r="2060" customFormat="false" ht="15" hidden="false" customHeight="false" outlineLevel="0" collapsed="false">
      <c r="A2060" s="5" t="s">
        <v>3102</v>
      </c>
      <c r="B2060" s="9" t="n">
        <v>46237</v>
      </c>
      <c r="C2060" s="9" t="n">
        <v>46238</v>
      </c>
      <c r="D2060" s="5" t="s">
        <v>136</v>
      </c>
      <c r="E2060" s="5" t="s">
        <v>1032</v>
      </c>
      <c r="F2060" s="5" t="s">
        <v>1002</v>
      </c>
      <c r="G2060" s="6" t="str">
        <f aca="false">INDEX(Catalogo_Causas!$B$2:$B$10,MATCH(F2060,Catalogo_Causas!$A$2:$A$10,0))</f>
        <v>Falla mecánica</v>
      </c>
      <c r="H2060" s="6" t="str">
        <f aca="false">INDEX(Catalogo_Causas!$C$2:$C$10,MATCH(F2060,Catalogo_Causas!$A$2:$A$10,0))</f>
        <v>Operacional</v>
      </c>
      <c r="I2060" s="5" t="n">
        <v>102</v>
      </c>
      <c r="J2060" s="29" t="n">
        <f aca="false">I2060/60</f>
        <v>1.7</v>
      </c>
    </row>
    <row r="2061" customFormat="false" ht="15" hidden="false" customHeight="false" outlineLevel="0" collapsed="false">
      <c r="A2061" s="5" t="s">
        <v>3103</v>
      </c>
      <c r="B2061" s="9" t="n">
        <v>46237</v>
      </c>
      <c r="C2061" s="9" t="n">
        <v>46238</v>
      </c>
      <c r="D2061" s="5" t="s">
        <v>140</v>
      </c>
      <c r="E2061" s="5" t="s">
        <v>1032</v>
      </c>
      <c r="F2061" s="5" t="s">
        <v>1002</v>
      </c>
      <c r="G2061" s="6" t="str">
        <f aca="false">INDEX(Catalogo_Causas!$B$2:$B$10,MATCH(F2061,Catalogo_Causas!$A$2:$A$10,0))</f>
        <v>Falla mecánica</v>
      </c>
      <c r="H2061" s="6" t="str">
        <f aca="false">INDEX(Catalogo_Causas!$C$2:$C$10,MATCH(F2061,Catalogo_Causas!$A$2:$A$10,0))</f>
        <v>Operacional</v>
      </c>
      <c r="I2061" s="5" t="n">
        <v>43</v>
      </c>
      <c r="J2061" s="29" t="n">
        <f aca="false">I2061/60</f>
        <v>0.716666666666667</v>
      </c>
    </row>
    <row r="2062" customFormat="false" ht="15" hidden="false" customHeight="false" outlineLevel="0" collapsed="false">
      <c r="A2062" s="5" t="s">
        <v>3104</v>
      </c>
      <c r="B2062" s="9" t="n">
        <v>46237</v>
      </c>
      <c r="C2062" s="9" t="n">
        <v>46239</v>
      </c>
      <c r="D2062" s="5" t="s">
        <v>130</v>
      </c>
      <c r="E2062" s="5" t="s">
        <v>1078</v>
      </c>
      <c r="F2062" s="5" t="s">
        <v>1018</v>
      </c>
      <c r="G2062" s="6" t="str">
        <f aca="false">INDEX(Catalogo_Causas!$B$2:$B$10,MATCH(F2062,Catalogo_Causas!$A$2:$A$10,0))</f>
        <v>Falta de personal</v>
      </c>
      <c r="H2062" s="6" t="str">
        <f aca="false">INDEX(Catalogo_Causas!$C$2:$C$10,MATCH(F2062,Catalogo_Causas!$A$2:$A$10,0))</f>
        <v>Personal</v>
      </c>
      <c r="I2062" s="5" t="n">
        <v>102</v>
      </c>
      <c r="J2062" s="29" t="n">
        <f aca="false">I2062/60</f>
        <v>1.7</v>
      </c>
    </row>
    <row r="2063" customFormat="false" ht="15" hidden="false" customHeight="false" outlineLevel="0" collapsed="false">
      <c r="A2063" s="5" t="s">
        <v>3105</v>
      </c>
      <c r="B2063" s="9" t="n">
        <v>46237</v>
      </c>
      <c r="C2063" s="9" t="n">
        <v>46239</v>
      </c>
      <c r="D2063" s="5" t="s">
        <v>132</v>
      </c>
      <c r="E2063" s="5" t="s">
        <v>1084</v>
      </c>
      <c r="F2063" s="5" t="s">
        <v>1007</v>
      </c>
      <c r="G2063" s="6" t="str">
        <f aca="false">INDEX(Catalogo_Causas!$B$2:$B$10,MATCH(F2063,Catalogo_Causas!$A$2:$A$10,0))</f>
        <v>Cambio de formato excedido</v>
      </c>
      <c r="H2063" s="6" t="str">
        <f aca="false">INDEX(Catalogo_Causas!$C$2:$C$10,MATCH(F2063,Catalogo_Causas!$A$2:$A$10,0))</f>
        <v>Operacional</v>
      </c>
      <c r="I2063" s="5" t="n">
        <v>363</v>
      </c>
      <c r="J2063" s="29" t="n">
        <f aca="false">I2063/60</f>
        <v>6.05</v>
      </c>
    </row>
    <row r="2064" customFormat="false" ht="15" hidden="false" customHeight="false" outlineLevel="0" collapsed="false">
      <c r="A2064" s="5" t="s">
        <v>3106</v>
      </c>
      <c r="B2064" s="9" t="n">
        <v>46237</v>
      </c>
      <c r="C2064" s="9" t="n">
        <v>46239</v>
      </c>
      <c r="D2064" s="5" t="s">
        <v>140</v>
      </c>
      <c r="E2064" s="5" t="s">
        <v>1036</v>
      </c>
      <c r="F2064" s="5" t="s">
        <v>1009</v>
      </c>
      <c r="G2064" s="6" t="str">
        <f aca="false">INDEX(Catalogo_Causas!$B$2:$B$10,MATCH(F2064,Catalogo_Causas!$A$2:$A$10,0))</f>
        <v>Falta de material de empaque</v>
      </c>
      <c r="H2064" s="6" t="str">
        <f aca="false">INDEX(Catalogo_Causas!$C$2:$C$10,MATCH(F2064,Catalogo_Causas!$A$2:$A$10,0))</f>
        <v>Material / suministro</v>
      </c>
      <c r="I2064" s="5" t="n">
        <v>82</v>
      </c>
      <c r="J2064" s="29" t="n">
        <f aca="false">I2064/60</f>
        <v>1.36666666666667</v>
      </c>
    </row>
    <row r="2065" customFormat="false" ht="15" hidden="false" customHeight="false" outlineLevel="0" collapsed="false">
      <c r="A2065" s="5" t="s">
        <v>3107</v>
      </c>
      <c r="B2065" s="9" t="n">
        <v>46237</v>
      </c>
      <c r="C2065" s="9" t="n">
        <v>46239</v>
      </c>
      <c r="D2065" s="5" t="s">
        <v>142</v>
      </c>
      <c r="E2065" s="5" t="s">
        <v>1041</v>
      </c>
      <c r="F2065" s="5" t="s">
        <v>1007</v>
      </c>
      <c r="G2065" s="6" t="str">
        <f aca="false">INDEX(Catalogo_Causas!$B$2:$B$10,MATCH(F2065,Catalogo_Causas!$A$2:$A$10,0))</f>
        <v>Cambio de formato excedido</v>
      </c>
      <c r="H2065" s="6" t="str">
        <f aca="false">INDEX(Catalogo_Causas!$C$2:$C$10,MATCH(F2065,Catalogo_Causas!$A$2:$A$10,0))</f>
        <v>Operacional</v>
      </c>
      <c r="I2065" s="5" t="n">
        <v>72</v>
      </c>
      <c r="J2065" s="29" t="n">
        <f aca="false">I2065/60</f>
        <v>1.2</v>
      </c>
    </row>
    <row r="2066" customFormat="false" ht="15" hidden="false" customHeight="false" outlineLevel="0" collapsed="false">
      <c r="A2066" s="5" t="s">
        <v>3108</v>
      </c>
      <c r="B2066" s="9" t="n">
        <v>46237</v>
      </c>
      <c r="C2066" s="9" t="n">
        <v>46240</v>
      </c>
      <c r="D2066" s="5" t="s">
        <v>132</v>
      </c>
      <c r="E2066" s="5" t="s">
        <v>1084</v>
      </c>
      <c r="F2066" s="5" t="s">
        <v>1002</v>
      </c>
      <c r="G2066" s="6" t="str">
        <f aca="false">INDEX(Catalogo_Causas!$B$2:$B$10,MATCH(F2066,Catalogo_Causas!$A$2:$A$10,0))</f>
        <v>Falla mecánica</v>
      </c>
      <c r="H2066" s="6" t="str">
        <f aca="false">INDEX(Catalogo_Causas!$C$2:$C$10,MATCH(F2066,Catalogo_Causas!$A$2:$A$10,0))</f>
        <v>Operacional</v>
      </c>
      <c r="I2066" s="5" t="n">
        <v>60</v>
      </c>
      <c r="J2066" s="29" t="n">
        <f aca="false">I2066/60</f>
        <v>1</v>
      </c>
    </row>
    <row r="2067" customFormat="false" ht="15" hidden="false" customHeight="false" outlineLevel="0" collapsed="false">
      <c r="A2067" s="5" t="s">
        <v>3109</v>
      </c>
      <c r="B2067" s="9" t="n">
        <v>46237</v>
      </c>
      <c r="C2067" s="9" t="n">
        <v>46240</v>
      </c>
      <c r="D2067" s="5" t="s">
        <v>134</v>
      </c>
      <c r="E2067" s="5" t="s">
        <v>1054</v>
      </c>
      <c r="F2067" s="5" t="s">
        <v>1002</v>
      </c>
      <c r="G2067" s="6" t="str">
        <f aca="false">INDEX(Catalogo_Causas!$B$2:$B$10,MATCH(F2067,Catalogo_Causas!$A$2:$A$10,0))</f>
        <v>Falla mecánica</v>
      </c>
      <c r="H2067" s="6" t="str">
        <f aca="false">INDEX(Catalogo_Causas!$C$2:$C$10,MATCH(F2067,Catalogo_Causas!$A$2:$A$10,0))</f>
        <v>Operacional</v>
      </c>
      <c r="I2067" s="5" t="n">
        <v>43</v>
      </c>
      <c r="J2067" s="29" t="n">
        <f aca="false">I2067/60</f>
        <v>0.716666666666667</v>
      </c>
    </row>
    <row r="2068" customFormat="false" ht="15" hidden="false" customHeight="false" outlineLevel="0" collapsed="false">
      <c r="A2068" s="5" t="s">
        <v>3110</v>
      </c>
      <c r="B2068" s="9" t="n">
        <v>46237</v>
      </c>
      <c r="C2068" s="9" t="n">
        <v>46240</v>
      </c>
      <c r="D2068" s="5" t="s">
        <v>134</v>
      </c>
      <c r="E2068" s="5" t="s">
        <v>1054</v>
      </c>
      <c r="F2068" s="5" t="s">
        <v>1007</v>
      </c>
      <c r="G2068" s="6" t="str">
        <f aca="false">INDEX(Catalogo_Causas!$B$2:$B$10,MATCH(F2068,Catalogo_Causas!$A$2:$A$10,0))</f>
        <v>Cambio de formato excedido</v>
      </c>
      <c r="H2068" s="6" t="str">
        <f aca="false">INDEX(Catalogo_Causas!$C$2:$C$10,MATCH(F2068,Catalogo_Causas!$A$2:$A$10,0))</f>
        <v>Operacional</v>
      </c>
      <c r="I2068" s="5" t="n">
        <v>60</v>
      </c>
      <c r="J2068" s="29" t="n">
        <f aca="false">I2068/60</f>
        <v>1</v>
      </c>
    </row>
    <row r="2069" customFormat="false" ht="15" hidden="false" customHeight="false" outlineLevel="0" collapsed="false">
      <c r="A2069" s="5" t="s">
        <v>3111</v>
      </c>
      <c r="B2069" s="9" t="n">
        <v>46237</v>
      </c>
      <c r="C2069" s="9" t="n">
        <v>46240</v>
      </c>
      <c r="D2069" s="5" t="s">
        <v>140</v>
      </c>
      <c r="E2069" s="5" t="s">
        <v>1045</v>
      </c>
      <c r="F2069" s="5" t="s">
        <v>1007</v>
      </c>
      <c r="G2069" s="6" t="str">
        <f aca="false">INDEX(Catalogo_Causas!$B$2:$B$10,MATCH(F2069,Catalogo_Causas!$A$2:$A$10,0))</f>
        <v>Cambio de formato excedido</v>
      </c>
      <c r="H2069" s="6" t="str">
        <f aca="false">INDEX(Catalogo_Causas!$C$2:$C$10,MATCH(F2069,Catalogo_Causas!$A$2:$A$10,0))</f>
        <v>Operacional</v>
      </c>
      <c r="I2069" s="5" t="n">
        <v>35</v>
      </c>
      <c r="J2069" s="29" t="n">
        <f aca="false">I2069/60</f>
        <v>0.583333333333333</v>
      </c>
    </row>
    <row r="2070" customFormat="false" ht="15" hidden="false" customHeight="false" outlineLevel="0" collapsed="false">
      <c r="A2070" s="5" t="s">
        <v>3112</v>
      </c>
      <c r="B2070" s="9" t="n">
        <v>46237</v>
      </c>
      <c r="C2070" s="9" t="n">
        <v>46240</v>
      </c>
      <c r="D2070" s="5" t="s">
        <v>142</v>
      </c>
      <c r="E2070" s="5" t="s">
        <v>1030</v>
      </c>
      <c r="F2070" s="5" t="s">
        <v>1009</v>
      </c>
      <c r="G2070" s="6" t="str">
        <f aca="false">INDEX(Catalogo_Causas!$B$2:$B$10,MATCH(F2070,Catalogo_Causas!$A$2:$A$10,0))</f>
        <v>Falta de material de empaque</v>
      </c>
      <c r="H2070" s="6" t="str">
        <f aca="false">INDEX(Catalogo_Causas!$C$2:$C$10,MATCH(F2070,Catalogo_Causas!$A$2:$A$10,0))</f>
        <v>Material / suministro</v>
      </c>
      <c r="I2070" s="5" t="n">
        <v>34</v>
      </c>
      <c r="J2070" s="29" t="n">
        <f aca="false">I2070/60</f>
        <v>0.566666666666667</v>
      </c>
    </row>
    <row r="2071" customFormat="false" ht="15" hidden="false" customHeight="false" outlineLevel="0" collapsed="false">
      <c r="A2071" s="5" t="s">
        <v>3113</v>
      </c>
      <c r="B2071" s="9" t="n">
        <v>46237</v>
      </c>
      <c r="C2071" s="9" t="n">
        <v>46241</v>
      </c>
      <c r="D2071" s="5" t="s">
        <v>132</v>
      </c>
      <c r="E2071" s="5" t="s">
        <v>1084</v>
      </c>
      <c r="F2071" s="5" t="s">
        <v>1012</v>
      </c>
      <c r="G2071" s="6" t="str">
        <f aca="false">INDEX(Catalogo_Causas!$B$2:$B$10,MATCH(F2071,Catalogo_Causas!$A$2:$A$10,0))</f>
        <v>Falta de materia prima</v>
      </c>
      <c r="H2071" s="6" t="str">
        <f aca="false">INDEX(Catalogo_Causas!$C$2:$C$10,MATCH(F2071,Catalogo_Causas!$A$2:$A$10,0))</f>
        <v>Material / suministro</v>
      </c>
      <c r="I2071" s="5" t="n">
        <v>30</v>
      </c>
      <c r="J2071" s="29" t="n">
        <f aca="false">I2071/60</f>
        <v>0.5</v>
      </c>
    </row>
    <row r="2072" customFormat="false" ht="15" hidden="false" customHeight="false" outlineLevel="0" collapsed="false">
      <c r="A2072" s="5" t="s">
        <v>3114</v>
      </c>
      <c r="B2072" s="9" t="n">
        <v>46237</v>
      </c>
      <c r="C2072" s="9" t="n">
        <v>46241</v>
      </c>
      <c r="D2072" s="5" t="s">
        <v>132</v>
      </c>
      <c r="E2072" s="5" t="s">
        <v>1032</v>
      </c>
      <c r="F2072" s="5" t="s">
        <v>1021</v>
      </c>
      <c r="G2072" s="6" t="str">
        <f aca="false">INDEX(Catalogo_Causas!$B$2:$B$10,MATCH(F2072,Catalogo_Causas!$A$2:$A$10,0))</f>
        <v>Falla de servicios (vapor/amoniaco/aire)</v>
      </c>
      <c r="H2072" s="6" t="str">
        <f aca="false">INDEX(Catalogo_Causas!$C$2:$C$10,MATCH(F2072,Catalogo_Causas!$A$2:$A$10,0))</f>
        <v>Servicios</v>
      </c>
      <c r="I2072" s="5" t="n">
        <v>43</v>
      </c>
      <c r="J2072" s="29" t="n">
        <f aca="false">I2072/60</f>
        <v>0.716666666666667</v>
      </c>
    </row>
    <row r="2073" customFormat="false" ht="15" hidden="false" customHeight="false" outlineLevel="0" collapsed="false">
      <c r="A2073" s="5" t="s">
        <v>3115</v>
      </c>
      <c r="B2073" s="9" t="n">
        <v>46237</v>
      </c>
      <c r="C2073" s="9" t="n">
        <v>46241</v>
      </c>
      <c r="D2073" s="5" t="s">
        <v>134</v>
      </c>
      <c r="E2073" s="5" t="s">
        <v>1032</v>
      </c>
      <c r="F2073" s="5" t="s">
        <v>1002</v>
      </c>
      <c r="G2073" s="6" t="str">
        <f aca="false">INDEX(Catalogo_Causas!$B$2:$B$10,MATCH(F2073,Catalogo_Causas!$A$2:$A$10,0))</f>
        <v>Falla mecánica</v>
      </c>
      <c r="H2073" s="6" t="str">
        <f aca="false">INDEX(Catalogo_Causas!$C$2:$C$10,MATCH(F2073,Catalogo_Causas!$A$2:$A$10,0))</f>
        <v>Operacional</v>
      </c>
      <c r="I2073" s="5" t="n">
        <v>40</v>
      </c>
      <c r="J2073" s="29" t="n">
        <f aca="false">I2073/60</f>
        <v>0.666666666666667</v>
      </c>
    </row>
    <row r="2074" customFormat="false" ht="15" hidden="false" customHeight="false" outlineLevel="0" collapsed="false">
      <c r="A2074" s="5" t="s">
        <v>3116</v>
      </c>
      <c r="B2074" s="9" t="n">
        <v>46237</v>
      </c>
      <c r="C2074" s="9" t="n">
        <v>46241</v>
      </c>
      <c r="D2074" s="5" t="s">
        <v>136</v>
      </c>
      <c r="E2074" s="5" t="s">
        <v>1101</v>
      </c>
      <c r="F2074" s="5" t="s">
        <v>1012</v>
      </c>
      <c r="G2074" s="6" t="str">
        <f aca="false">INDEX(Catalogo_Causas!$B$2:$B$10,MATCH(F2074,Catalogo_Causas!$A$2:$A$10,0))</f>
        <v>Falta de materia prima</v>
      </c>
      <c r="H2074" s="6" t="str">
        <f aca="false">INDEX(Catalogo_Causas!$C$2:$C$10,MATCH(F2074,Catalogo_Causas!$A$2:$A$10,0))</f>
        <v>Material / suministro</v>
      </c>
      <c r="I2074" s="5" t="n">
        <v>10</v>
      </c>
      <c r="J2074" s="29" t="n">
        <f aca="false">I2074/60</f>
        <v>0.166666666666667</v>
      </c>
    </row>
    <row r="2075" customFormat="false" ht="15" hidden="false" customHeight="false" outlineLevel="0" collapsed="false">
      <c r="A2075" s="5" t="s">
        <v>3117</v>
      </c>
      <c r="B2075" s="9" t="n">
        <v>46237</v>
      </c>
      <c r="C2075" s="9" t="n">
        <v>46242</v>
      </c>
      <c r="D2075" s="5" t="s">
        <v>136</v>
      </c>
      <c r="E2075" s="5" t="s">
        <v>1032</v>
      </c>
      <c r="F2075" s="5" t="s">
        <v>1005</v>
      </c>
      <c r="G2075" s="6" t="str">
        <f aca="false">INDEX(Catalogo_Causas!$B$2:$B$10,MATCH(F2075,Catalogo_Causas!$A$2:$A$10,0))</f>
        <v>Falla eléctrica / control</v>
      </c>
      <c r="H2075" s="6" t="str">
        <f aca="false">INDEX(Catalogo_Causas!$C$2:$C$10,MATCH(F2075,Catalogo_Causas!$A$2:$A$10,0))</f>
        <v>Operacional</v>
      </c>
      <c r="I2075" s="5" t="n">
        <v>27</v>
      </c>
      <c r="J2075" s="29" t="n">
        <f aca="false">I2075/60</f>
        <v>0.45</v>
      </c>
    </row>
    <row r="2076" customFormat="false" ht="15" hidden="false" customHeight="false" outlineLevel="0" collapsed="false">
      <c r="A2076" s="5" t="s">
        <v>3118</v>
      </c>
      <c r="B2076" s="9" t="n">
        <v>46237</v>
      </c>
      <c r="C2076" s="9" t="n">
        <v>46242</v>
      </c>
      <c r="D2076" s="5" t="s">
        <v>136</v>
      </c>
      <c r="E2076" s="5" t="s">
        <v>1051</v>
      </c>
      <c r="F2076" s="5" t="s">
        <v>1021</v>
      </c>
      <c r="G2076" s="6" t="str">
        <f aca="false">INDEX(Catalogo_Causas!$B$2:$B$10,MATCH(F2076,Catalogo_Causas!$A$2:$A$10,0))</f>
        <v>Falla de servicios (vapor/amoniaco/aire)</v>
      </c>
      <c r="H2076" s="6" t="str">
        <f aca="false">INDEX(Catalogo_Causas!$C$2:$C$10,MATCH(F2076,Catalogo_Causas!$A$2:$A$10,0))</f>
        <v>Servicios</v>
      </c>
      <c r="I2076" s="5" t="n">
        <v>101</v>
      </c>
      <c r="J2076" s="29" t="n">
        <f aca="false">I2076/60</f>
        <v>1.68333333333333</v>
      </c>
    </row>
    <row r="2077" customFormat="false" ht="15" hidden="false" customHeight="false" outlineLevel="0" collapsed="false">
      <c r="A2077" s="5" t="s">
        <v>3119</v>
      </c>
      <c r="B2077" s="9" t="n">
        <v>46237</v>
      </c>
      <c r="C2077" s="9" t="n">
        <v>46242</v>
      </c>
      <c r="D2077" s="5" t="s">
        <v>142</v>
      </c>
      <c r="E2077" s="5" t="s">
        <v>1041</v>
      </c>
      <c r="F2077" s="5" t="s">
        <v>1005</v>
      </c>
      <c r="G2077" s="6" t="str">
        <f aca="false">INDEX(Catalogo_Causas!$B$2:$B$10,MATCH(F2077,Catalogo_Causas!$A$2:$A$10,0))</f>
        <v>Falla eléctrica / control</v>
      </c>
      <c r="H2077" s="6" t="str">
        <f aca="false">INDEX(Catalogo_Causas!$C$2:$C$10,MATCH(F2077,Catalogo_Causas!$A$2:$A$10,0))</f>
        <v>Operacional</v>
      </c>
      <c r="I2077" s="5" t="n">
        <v>31</v>
      </c>
      <c r="J2077" s="29" t="n">
        <f aca="false">I2077/60</f>
        <v>0.516666666666667</v>
      </c>
    </row>
    <row r="2078" customFormat="false" ht="15" hidden="false" customHeight="false" outlineLevel="0" collapsed="false">
      <c r="A2078" s="5" t="s">
        <v>3120</v>
      </c>
      <c r="B2078" s="9" t="n">
        <v>46237</v>
      </c>
      <c r="C2078" s="9" t="n">
        <v>46242</v>
      </c>
      <c r="D2078" s="5" t="s">
        <v>142</v>
      </c>
      <c r="E2078" s="5" t="s">
        <v>1041</v>
      </c>
      <c r="F2078" s="5" t="s">
        <v>1002</v>
      </c>
      <c r="G2078" s="6" t="str">
        <f aca="false">INDEX(Catalogo_Causas!$B$2:$B$10,MATCH(F2078,Catalogo_Causas!$A$2:$A$10,0))</f>
        <v>Falla mecánica</v>
      </c>
      <c r="H2078" s="6" t="str">
        <f aca="false">INDEX(Catalogo_Causas!$C$2:$C$10,MATCH(F2078,Catalogo_Causas!$A$2:$A$10,0))</f>
        <v>Operacional</v>
      </c>
      <c r="I2078" s="5" t="n">
        <v>13</v>
      </c>
      <c r="J2078" s="29" t="n">
        <f aca="false">I2078/60</f>
        <v>0.216666666666667</v>
      </c>
    </row>
    <row r="2079" customFormat="false" ht="15" hidden="false" customHeight="false" outlineLevel="0" collapsed="false">
      <c r="A2079" s="5" t="s">
        <v>3121</v>
      </c>
      <c r="B2079" s="9" t="n">
        <v>46237</v>
      </c>
      <c r="C2079" s="9" t="n">
        <v>46242</v>
      </c>
      <c r="D2079" s="5" t="s">
        <v>142</v>
      </c>
      <c r="E2079" s="5" t="s">
        <v>1051</v>
      </c>
      <c r="F2079" s="5" t="s">
        <v>1021</v>
      </c>
      <c r="G2079" s="6" t="str">
        <f aca="false">INDEX(Catalogo_Causas!$B$2:$B$10,MATCH(F2079,Catalogo_Causas!$A$2:$A$10,0))</f>
        <v>Falla de servicios (vapor/amoniaco/aire)</v>
      </c>
      <c r="H2079" s="6" t="str">
        <f aca="false">INDEX(Catalogo_Causas!$C$2:$C$10,MATCH(F2079,Catalogo_Causas!$A$2:$A$10,0))</f>
        <v>Servicios</v>
      </c>
      <c r="I2079" s="5" t="n">
        <v>143</v>
      </c>
      <c r="J2079" s="29" t="n">
        <f aca="false">I2079/60</f>
        <v>2.38333333333333</v>
      </c>
    </row>
    <row r="2080" customFormat="false" ht="15" hidden="false" customHeight="false" outlineLevel="0" collapsed="false">
      <c r="A2080" s="5" t="s">
        <v>3122</v>
      </c>
      <c r="B2080" s="9" t="n">
        <v>46237</v>
      </c>
      <c r="C2080" s="9" t="n">
        <v>46242</v>
      </c>
      <c r="D2080" s="5" t="s">
        <v>144</v>
      </c>
      <c r="E2080" s="5" t="s">
        <v>1030</v>
      </c>
      <c r="F2080" s="5" t="s">
        <v>1002</v>
      </c>
      <c r="G2080" s="6" t="str">
        <f aca="false">INDEX(Catalogo_Causas!$B$2:$B$10,MATCH(F2080,Catalogo_Causas!$A$2:$A$10,0))</f>
        <v>Falla mecánica</v>
      </c>
      <c r="H2080" s="6" t="str">
        <f aca="false">INDEX(Catalogo_Causas!$C$2:$C$10,MATCH(F2080,Catalogo_Causas!$A$2:$A$10,0))</f>
        <v>Operacional</v>
      </c>
      <c r="I2080" s="5" t="n">
        <v>92</v>
      </c>
      <c r="J2080" s="29" t="n">
        <f aca="false">I2080/60</f>
        <v>1.53333333333333</v>
      </c>
    </row>
    <row r="2081" customFormat="false" ht="15" hidden="false" customHeight="false" outlineLevel="0" collapsed="false">
      <c r="A2081" s="5" t="s">
        <v>3123</v>
      </c>
      <c r="B2081" s="9" t="n">
        <v>46244</v>
      </c>
      <c r="C2081" s="9" t="n">
        <v>46244</v>
      </c>
      <c r="D2081" s="5" t="s">
        <v>136</v>
      </c>
      <c r="E2081" s="5" t="s">
        <v>1101</v>
      </c>
      <c r="F2081" s="5" t="s">
        <v>1021</v>
      </c>
      <c r="G2081" s="6" t="str">
        <f aca="false">INDEX(Catalogo_Causas!$B$2:$B$10,MATCH(F2081,Catalogo_Causas!$A$2:$A$10,0))</f>
        <v>Falla de servicios (vapor/amoniaco/aire)</v>
      </c>
      <c r="H2081" s="6" t="str">
        <f aca="false">INDEX(Catalogo_Causas!$C$2:$C$10,MATCH(F2081,Catalogo_Causas!$A$2:$A$10,0))</f>
        <v>Servicios</v>
      </c>
      <c r="I2081" s="5" t="n">
        <v>45</v>
      </c>
      <c r="J2081" s="29" t="n">
        <f aca="false">I2081/60</f>
        <v>0.75</v>
      </c>
    </row>
    <row r="2082" customFormat="false" ht="15" hidden="false" customHeight="false" outlineLevel="0" collapsed="false">
      <c r="A2082" s="5" t="s">
        <v>3124</v>
      </c>
      <c r="B2082" s="9" t="n">
        <v>46244</v>
      </c>
      <c r="C2082" s="9" t="n">
        <v>46244</v>
      </c>
      <c r="D2082" s="5" t="s">
        <v>136</v>
      </c>
      <c r="E2082" s="5" t="s">
        <v>1051</v>
      </c>
      <c r="F2082" s="5" t="s">
        <v>1021</v>
      </c>
      <c r="G2082" s="6" t="str">
        <f aca="false">INDEX(Catalogo_Causas!$B$2:$B$10,MATCH(F2082,Catalogo_Causas!$A$2:$A$10,0))</f>
        <v>Falla de servicios (vapor/amoniaco/aire)</v>
      </c>
      <c r="H2082" s="6" t="str">
        <f aca="false">INDEX(Catalogo_Causas!$C$2:$C$10,MATCH(F2082,Catalogo_Causas!$A$2:$A$10,0))</f>
        <v>Servicios</v>
      </c>
      <c r="I2082" s="5" t="n">
        <v>21</v>
      </c>
      <c r="J2082" s="29" t="n">
        <f aca="false">I2082/60</f>
        <v>0.35</v>
      </c>
    </row>
    <row r="2083" customFormat="false" ht="15" hidden="false" customHeight="false" outlineLevel="0" collapsed="false">
      <c r="A2083" s="5" t="s">
        <v>3125</v>
      </c>
      <c r="B2083" s="9" t="n">
        <v>46244</v>
      </c>
      <c r="C2083" s="9" t="n">
        <v>46244</v>
      </c>
      <c r="D2083" s="5" t="s">
        <v>136</v>
      </c>
      <c r="E2083" s="5" t="s">
        <v>1051</v>
      </c>
      <c r="F2083" s="5" t="s">
        <v>1002</v>
      </c>
      <c r="G2083" s="6" t="str">
        <f aca="false">INDEX(Catalogo_Causas!$B$2:$B$10,MATCH(F2083,Catalogo_Causas!$A$2:$A$10,0))</f>
        <v>Falla mecánica</v>
      </c>
      <c r="H2083" s="6" t="str">
        <f aca="false">INDEX(Catalogo_Causas!$C$2:$C$10,MATCH(F2083,Catalogo_Causas!$A$2:$A$10,0))</f>
        <v>Operacional</v>
      </c>
      <c r="I2083" s="5" t="n">
        <v>109</v>
      </c>
      <c r="J2083" s="29" t="n">
        <f aca="false">I2083/60</f>
        <v>1.81666666666667</v>
      </c>
    </row>
    <row r="2084" customFormat="false" ht="15" hidden="false" customHeight="false" outlineLevel="0" collapsed="false">
      <c r="A2084" s="5" t="s">
        <v>3126</v>
      </c>
      <c r="B2084" s="9" t="n">
        <v>46244</v>
      </c>
      <c r="C2084" s="9" t="n">
        <v>46244</v>
      </c>
      <c r="D2084" s="5" t="s">
        <v>136</v>
      </c>
      <c r="E2084" s="5" t="s">
        <v>1032</v>
      </c>
      <c r="F2084" s="5" t="s">
        <v>1014</v>
      </c>
      <c r="G2084" s="6" t="str">
        <f aca="false">INDEX(Catalogo_Causas!$B$2:$B$10,MATCH(F2084,Catalogo_Causas!$A$2:$A$10,0))</f>
        <v>Retención de calidad</v>
      </c>
      <c r="H2084" s="6" t="str">
        <f aca="false">INDEX(Catalogo_Causas!$C$2:$C$10,MATCH(F2084,Catalogo_Causas!$A$2:$A$10,0))</f>
        <v>Calidad</v>
      </c>
      <c r="I2084" s="5" t="n">
        <v>27</v>
      </c>
      <c r="J2084" s="29" t="n">
        <f aca="false">I2084/60</f>
        <v>0.45</v>
      </c>
    </row>
    <row r="2085" customFormat="false" ht="15" hidden="false" customHeight="false" outlineLevel="0" collapsed="false">
      <c r="A2085" s="5" t="s">
        <v>3127</v>
      </c>
      <c r="B2085" s="9" t="n">
        <v>46244</v>
      </c>
      <c r="C2085" s="9" t="n">
        <v>46245</v>
      </c>
      <c r="D2085" s="5" t="s">
        <v>138</v>
      </c>
      <c r="E2085" s="5" t="s">
        <v>1056</v>
      </c>
      <c r="F2085" s="5" t="s">
        <v>1002</v>
      </c>
      <c r="G2085" s="6" t="str">
        <f aca="false">INDEX(Catalogo_Causas!$B$2:$B$10,MATCH(F2085,Catalogo_Causas!$A$2:$A$10,0))</f>
        <v>Falla mecánica</v>
      </c>
      <c r="H2085" s="6" t="str">
        <f aca="false">INDEX(Catalogo_Causas!$C$2:$C$10,MATCH(F2085,Catalogo_Causas!$A$2:$A$10,0))</f>
        <v>Operacional</v>
      </c>
      <c r="I2085" s="5" t="n">
        <v>117</v>
      </c>
      <c r="J2085" s="29" t="n">
        <f aca="false">I2085/60</f>
        <v>1.95</v>
      </c>
    </row>
    <row r="2086" customFormat="false" ht="15" hidden="false" customHeight="false" outlineLevel="0" collapsed="false">
      <c r="A2086" s="5" t="s">
        <v>3128</v>
      </c>
      <c r="B2086" s="9" t="n">
        <v>46244</v>
      </c>
      <c r="C2086" s="9" t="n">
        <v>46245</v>
      </c>
      <c r="D2086" s="5" t="s">
        <v>140</v>
      </c>
      <c r="E2086" s="5" t="s">
        <v>1032</v>
      </c>
      <c r="F2086" s="5" t="s">
        <v>1007</v>
      </c>
      <c r="G2086" s="6" t="str">
        <f aca="false">INDEX(Catalogo_Causas!$B$2:$B$10,MATCH(F2086,Catalogo_Causas!$A$2:$A$10,0))</f>
        <v>Cambio de formato excedido</v>
      </c>
      <c r="H2086" s="6" t="str">
        <f aca="false">INDEX(Catalogo_Causas!$C$2:$C$10,MATCH(F2086,Catalogo_Causas!$A$2:$A$10,0))</f>
        <v>Operacional</v>
      </c>
      <c r="I2086" s="5" t="n">
        <v>14</v>
      </c>
      <c r="J2086" s="29" t="n">
        <f aca="false">I2086/60</f>
        <v>0.233333333333333</v>
      </c>
    </row>
    <row r="2087" customFormat="false" ht="15" hidden="false" customHeight="false" outlineLevel="0" collapsed="false">
      <c r="A2087" s="5" t="s">
        <v>3129</v>
      </c>
      <c r="B2087" s="9" t="n">
        <v>46244</v>
      </c>
      <c r="C2087" s="9" t="n">
        <v>46246</v>
      </c>
      <c r="D2087" s="5" t="s">
        <v>132</v>
      </c>
      <c r="E2087" s="5" t="s">
        <v>1032</v>
      </c>
      <c r="F2087" s="5" t="s">
        <v>1002</v>
      </c>
      <c r="G2087" s="6" t="str">
        <f aca="false">INDEX(Catalogo_Causas!$B$2:$B$10,MATCH(F2087,Catalogo_Causas!$A$2:$A$10,0))</f>
        <v>Falla mecánica</v>
      </c>
      <c r="H2087" s="6" t="str">
        <f aca="false">INDEX(Catalogo_Causas!$C$2:$C$10,MATCH(F2087,Catalogo_Causas!$A$2:$A$10,0))</f>
        <v>Operacional</v>
      </c>
      <c r="I2087" s="5" t="n">
        <v>51</v>
      </c>
      <c r="J2087" s="29" t="n">
        <f aca="false">I2087/60</f>
        <v>0.85</v>
      </c>
    </row>
    <row r="2088" customFormat="false" ht="15" hidden="false" customHeight="false" outlineLevel="0" collapsed="false">
      <c r="A2088" s="5" t="s">
        <v>3130</v>
      </c>
      <c r="B2088" s="9" t="n">
        <v>46244</v>
      </c>
      <c r="C2088" s="9" t="n">
        <v>46246</v>
      </c>
      <c r="D2088" s="5" t="s">
        <v>132</v>
      </c>
      <c r="E2088" s="5" t="s">
        <v>1032</v>
      </c>
      <c r="F2088" s="5" t="s">
        <v>1002</v>
      </c>
      <c r="G2088" s="6" t="str">
        <f aca="false">INDEX(Catalogo_Causas!$B$2:$B$10,MATCH(F2088,Catalogo_Causas!$A$2:$A$10,0))</f>
        <v>Falla mecánica</v>
      </c>
      <c r="H2088" s="6" t="str">
        <f aca="false">INDEX(Catalogo_Causas!$C$2:$C$10,MATCH(F2088,Catalogo_Causas!$A$2:$A$10,0))</f>
        <v>Operacional</v>
      </c>
      <c r="I2088" s="5" t="n">
        <v>25</v>
      </c>
      <c r="J2088" s="29" t="n">
        <f aca="false">I2088/60</f>
        <v>0.416666666666667</v>
      </c>
    </row>
    <row r="2089" customFormat="false" ht="15" hidden="false" customHeight="false" outlineLevel="0" collapsed="false">
      <c r="A2089" s="5" t="s">
        <v>3131</v>
      </c>
      <c r="B2089" s="9" t="n">
        <v>46244</v>
      </c>
      <c r="C2089" s="9" t="n">
        <v>46246</v>
      </c>
      <c r="D2089" s="5" t="s">
        <v>134</v>
      </c>
      <c r="E2089" s="5" t="s">
        <v>1030</v>
      </c>
      <c r="F2089" s="5" t="s">
        <v>1002</v>
      </c>
      <c r="G2089" s="6" t="str">
        <f aca="false">INDEX(Catalogo_Causas!$B$2:$B$10,MATCH(F2089,Catalogo_Causas!$A$2:$A$10,0))</f>
        <v>Falla mecánica</v>
      </c>
      <c r="H2089" s="6" t="str">
        <f aca="false">INDEX(Catalogo_Causas!$C$2:$C$10,MATCH(F2089,Catalogo_Causas!$A$2:$A$10,0))</f>
        <v>Operacional</v>
      </c>
      <c r="I2089" s="5" t="n">
        <v>10</v>
      </c>
      <c r="J2089" s="29" t="n">
        <f aca="false">I2089/60</f>
        <v>0.166666666666667</v>
      </c>
    </row>
    <row r="2090" customFormat="false" ht="15" hidden="false" customHeight="false" outlineLevel="0" collapsed="false">
      <c r="A2090" s="5" t="s">
        <v>3132</v>
      </c>
      <c r="B2090" s="9" t="n">
        <v>46244</v>
      </c>
      <c r="C2090" s="9" t="n">
        <v>46246</v>
      </c>
      <c r="D2090" s="5" t="s">
        <v>138</v>
      </c>
      <c r="E2090" s="5" t="s">
        <v>1034</v>
      </c>
      <c r="F2090" s="5" t="s">
        <v>1009</v>
      </c>
      <c r="G2090" s="6" t="str">
        <f aca="false">INDEX(Catalogo_Causas!$B$2:$B$10,MATCH(F2090,Catalogo_Causas!$A$2:$A$10,0))</f>
        <v>Falta de material de empaque</v>
      </c>
      <c r="H2090" s="6" t="str">
        <f aca="false">INDEX(Catalogo_Causas!$C$2:$C$10,MATCH(F2090,Catalogo_Causas!$A$2:$A$10,0))</f>
        <v>Material / suministro</v>
      </c>
      <c r="I2090" s="5" t="n">
        <v>25</v>
      </c>
      <c r="J2090" s="29" t="n">
        <f aca="false">I2090/60</f>
        <v>0.416666666666667</v>
      </c>
    </row>
    <row r="2091" customFormat="false" ht="15" hidden="false" customHeight="false" outlineLevel="0" collapsed="false">
      <c r="A2091" s="5" t="s">
        <v>3133</v>
      </c>
      <c r="B2091" s="9" t="n">
        <v>46244</v>
      </c>
      <c r="C2091" s="9" t="n">
        <v>46246</v>
      </c>
      <c r="D2091" s="5" t="s">
        <v>140</v>
      </c>
      <c r="E2091" s="5" t="s">
        <v>1045</v>
      </c>
      <c r="F2091" s="5" t="s">
        <v>1002</v>
      </c>
      <c r="G2091" s="6" t="str">
        <f aca="false">INDEX(Catalogo_Causas!$B$2:$B$10,MATCH(F2091,Catalogo_Causas!$A$2:$A$10,0))</f>
        <v>Falla mecánica</v>
      </c>
      <c r="H2091" s="6" t="str">
        <f aca="false">INDEX(Catalogo_Causas!$C$2:$C$10,MATCH(F2091,Catalogo_Causas!$A$2:$A$10,0))</f>
        <v>Operacional</v>
      </c>
      <c r="I2091" s="5" t="n">
        <v>38</v>
      </c>
      <c r="J2091" s="29" t="n">
        <f aca="false">I2091/60</f>
        <v>0.633333333333333</v>
      </c>
    </row>
    <row r="2092" customFormat="false" ht="15" hidden="false" customHeight="false" outlineLevel="0" collapsed="false">
      <c r="A2092" s="5" t="s">
        <v>3134</v>
      </c>
      <c r="B2092" s="9" t="n">
        <v>46244</v>
      </c>
      <c r="C2092" s="9" t="n">
        <v>46246</v>
      </c>
      <c r="D2092" s="5" t="s">
        <v>142</v>
      </c>
      <c r="E2092" s="5" t="s">
        <v>1041</v>
      </c>
      <c r="F2092" s="5" t="s">
        <v>1002</v>
      </c>
      <c r="G2092" s="6" t="str">
        <f aca="false">INDEX(Catalogo_Causas!$B$2:$B$10,MATCH(F2092,Catalogo_Causas!$A$2:$A$10,0))</f>
        <v>Falla mecánica</v>
      </c>
      <c r="H2092" s="6" t="str">
        <f aca="false">INDEX(Catalogo_Causas!$C$2:$C$10,MATCH(F2092,Catalogo_Causas!$A$2:$A$10,0))</f>
        <v>Operacional</v>
      </c>
      <c r="I2092" s="5" t="n">
        <v>35</v>
      </c>
      <c r="J2092" s="29" t="n">
        <f aca="false">I2092/60</f>
        <v>0.583333333333333</v>
      </c>
    </row>
    <row r="2093" customFormat="false" ht="15" hidden="false" customHeight="false" outlineLevel="0" collapsed="false">
      <c r="A2093" s="5" t="s">
        <v>3135</v>
      </c>
      <c r="B2093" s="9" t="n">
        <v>46244</v>
      </c>
      <c r="C2093" s="9" t="n">
        <v>46246</v>
      </c>
      <c r="D2093" s="5" t="s">
        <v>144</v>
      </c>
      <c r="E2093" s="5" t="s">
        <v>1032</v>
      </c>
      <c r="F2093" s="5" t="s">
        <v>1005</v>
      </c>
      <c r="G2093" s="6" t="str">
        <f aca="false">INDEX(Catalogo_Causas!$B$2:$B$10,MATCH(F2093,Catalogo_Causas!$A$2:$A$10,0))</f>
        <v>Falla eléctrica / control</v>
      </c>
      <c r="H2093" s="6" t="str">
        <f aca="false">INDEX(Catalogo_Causas!$C$2:$C$10,MATCH(F2093,Catalogo_Causas!$A$2:$A$10,0))</f>
        <v>Operacional</v>
      </c>
      <c r="I2093" s="5" t="n">
        <v>82</v>
      </c>
      <c r="J2093" s="29" t="n">
        <f aca="false">I2093/60</f>
        <v>1.36666666666667</v>
      </c>
    </row>
    <row r="2094" customFormat="false" ht="15" hidden="false" customHeight="false" outlineLevel="0" collapsed="false">
      <c r="A2094" s="5" t="s">
        <v>3136</v>
      </c>
      <c r="B2094" s="9" t="n">
        <v>46244</v>
      </c>
      <c r="C2094" s="9" t="n">
        <v>46247</v>
      </c>
      <c r="D2094" s="5" t="s">
        <v>130</v>
      </c>
      <c r="E2094" s="5" t="s">
        <v>1030</v>
      </c>
      <c r="F2094" s="5" t="s">
        <v>1005</v>
      </c>
      <c r="G2094" s="6" t="str">
        <f aca="false">INDEX(Catalogo_Causas!$B$2:$B$10,MATCH(F2094,Catalogo_Causas!$A$2:$A$10,0))</f>
        <v>Falla eléctrica / control</v>
      </c>
      <c r="H2094" s="6" t="str">
        <f aca="false">INDEX(Catalogo_Causas!$C$2:$C$10,MATCH(F2094,Catalogo_Causas!$A$2:$A$10,0))</f>
        <v>Operacional</v>
      </c>
      <c r="I2094" s="5" t="n">
        <v>121</v>
      </c>
      <c r="J2094" s="29" t="n">
        <f aca="false">I2094/60</f>
        <v>2.01666666666667</v>
      </c>
    </row>
    <row r="2095" customFormat="false" ht="15" hidden="false" customHeight="false" outlineLevel="0" collapsed="false">
      <c r="A2095" s="5" t="s">
        <v>3137</v>
      </c>
      <c r="B2095" s="9" t="n">
        <v>46244</v>
      </c>
      <c r="C2095" s="9" t="n">
        <v>46247</v>
      </c>
      <c r="D2095" s="5" t="s">
        <v>130</v>
      </c>
      <c r="E2095" s="5" t="s">
        <v>1078</v>
      </c>
      <c r="F2095" s="5" t="s">
        <v>1002</v>
      </c>
      <c r="G2095" s="6" t="str">
        <f aca="false">INDEX(Catalogo_Causas!$B$2:$B$10,MATCH(F2095,Catalogo_Causas!$A$2:$A$10,0))</f>
        <v>Falla mecánica</v>
      </c>
      <c r="H2095" s="6" t="str">
        <f aca="false">INDEX(Catalogo_Causas!$C$2:$C$10,MATCH(F2095,Catalogo_Causas!$A$2:$A$10,0))</f>
        <v>Operacional</v>
      </c>
      <c r="I2095" s="5" t="n">
        <v>33</v>
      </c>
      <c r="J2095" s="29" t="n">
        <f aca="false">I2095/60</f>
        <v>0.55</v>
      </c>
    </row>
    <row r="2096" customFormat="false" ht="15" hidden="false" customHeight="false" outlineLevel="0" collapsed="false">
      <c r="A2096" s="5" t="s">
        <v>3138</v>
      </c>
      <c r="B2096" s="9" t="n">
        <v>46244</v>
      </c>
      <c r="C2096" s="9" t="n">
        <v>46247</v>
      </c>
      <c r="D2096" s="5" t="s">
        <v>132</v>
      </c>
      <c r="E2096" s="5" t="s">
        <v>1084</v>
      </c>
      <c r="F2096" s="5" t="s">
        <v>1007</v>
      </c>
      <c r="G2096" s="6" t="str">
        <f aca="false">INDEX(Catalogo_Causas!$B$2:$B$10,MATCH(F2096,Catalogo_Causas!$A$2:$A$10,0))</f>
        <v>Cambio de formato excedido</v>
      </c>
      <c r="H2096" s="6" t="str">
        <f aca="false">INDEX(Catalogo_Causas!$C$2:$C$10,MATCH(F2096,Catalogo_Causas!$A$2:$A$10,0))</f>
        <v>Operacional</v>
      </c>
      <c r="I2096" s="5" t="n">
        <v>68</v>
      </c>
      <c r="J2096" s="29" t="n">
        <f aca="false">I2096/60</f>
        <v>1.13333333333333</v>
      </c>
    </row>
    <row r="2097" customFormat="false" ht="15" hidden="false" customHeight="false" outlineLevel="0" collapsed="false">
      <c r="A2097" s="5" t="s">
        <v>3139</v>
      </c>
      <c r="B2097" s="9" t="n">
        <v>46244</v>
      </c>
      <c r="C2097" s="9" t="n">
        <v>46247</v>
      </c>
      <c r="D2097" s="5" t="s">
        <v>134</v>
      </c>
      <c r="E2097" s="5" t="s">
        <v>1032</v>
      </c>
      <c r="F2097" s="5" t="s">
        <v>1018</v>
      </c>
      <c r="G2097" s="6" t="str">
        <f aca="false">INDEX(Catalogo_Causas!$B$2:$B$10,MATCH(F2097,Catalogo_Causas!$A$2:$A$10,0))</f>
        <v>Falta de personal</v>
      </c>
      <c r="H2097" s="6" t="str">
        <f aca="false">INDEX(Catalogo_Causas!$C$2:$C$10,MATCH(F2097,Catalogo_Causas!$A$2:$A$10,0))</f>
        <v>Personal</v>
      </c>
      <c r="I2097" s="5" t="n">
        <v>160</v>
      </c>
      <c r="J2097" s="29" t="n">
        <f aca="false">I2097/60</f>
        <v>2.66666666666667</v>
      </c>
    </row>
    <row r="2098" customFormat="false" ht="15" hidden="false" customHeight="false" outlineLevel="0" collapsed="false">
      <c r="A2098" s="5" t="s">
        <v>3140</v>
      </c>
      <c r="B2098" s="9" t="n">
        <v>46244</v>
      </c>
      <c r="C2098" s="9" t="n">
        <v>46247</v>
      </c>
      <c r="D2098" s="5" t="s">
        <v>136</v>
      </c>
      <c r="E2098" s="5" t="s">
        <v>1101</v>
      </c>
      <c r="F2098" s="5" t="s">
        <v>1005</v>
      </c>
      <c r="G2098" s="6" t="str">
        <f aca="false">INDEX(Catalogo_Causas!$B$2:$B$10,MATCH(F2098,Catalogo_Causas!$A$2:$A$10,0))</f>
        <v>Falla eléctrica / control</v>
      </c>
      <c r="H2098" s="6" t="str">
        <f aca="false">INDEX(Catalogo_Causas!$C$2:$C$10,MATCH(F2098,Catalogo_Causas!$A$2:$A$10,0))</f>
        <v>Operacional</v>
      </c>
      <c r="I2098" s="5" t="n">
        <v>26</v>
      </c>
      <c r="J2098" s="29" t="n">
        <f aca="false">I2098/60</f>
        <v>0.433333333333333</v>
      </c>
    </row>
    <row r="2099" customFormat="false" ht="15" hidden="false" customHeight="false" outlineLevel="0" collapsed="false">
      <c r="A2099" s="5" t="s">
        <v>3141</v>
      </c>
      <c r="B2099" s="9" t="n">
        <v>46244</v>
      </c>
      <c r="C2099" s="9" t="n">
        <v>46247</v>
      </c>
      <c r="D2099" s="5" t="s">
        <v>136</v>
      </c>
      <c r="E2099" s="5" t="s">
        <v>1051</v>
      </c>
      <c r="F2099" s="5" t="s">
        <v>1014</v>
      </c>
      <c r="G2099" s="6" t="str">
        <f aca="false">INDEX(Catalogo_Causas!$B$2:$B$10,MATCH(F2099,Catalogo_Causas!$A$2:$A$10,0))</f>
        <v>Retención de calidad</v>
      </c>
      <c r="H2099" s="6" t="str">
        <f aca="false">INDEX(Catalogo_Causas!$C$2:$C$10,MATCH(F2099,Catalogo_Causas!$A$2:$A$10,0))</f>
        <v>Calidad</v>
      </c>
      <c r="I2099" s="5" t="n">
        <v>103</v>
      </c>
      <c r="J2099" s="29" t="n">
        <f aca="false">I2099/60</f>
        <v>1.71666666666667</v>
      </c>
    </row>
    <row r="2100" customFormat="false" ht="15" hidden="false" customHeight="false" outlineLevel="0" collapsed="false">
      <c r="A2100" s="5" t="s">
        <v>3142</v>
      </c>
      <c r="B2100" s="9" t="n">
        <v>46244</v>
      </c>
      <c r="C2100" s="9" t="n">
        <v>46247</v>
      </c>
      <c r="D2100" s="5" t="s">
        <v>136</v>
      </c>
      <c r="E2100" s="5" t="s">
        <v>1032</v>
      </c>
      <c r="F2100" s="5" t="s">
        <v>1014</v>
      </c>
      <c r="G2100" s="6" t="str">
        <f aca="false">INDEX(Catalogo_Causas!$B$2:$B$10,MATCH(F2100,Catalogo_Causas!$A$2:$A$10,0))</f>
        <v>Retención de calidad</v>
      </c>
      <c r="H2100" s="6" t="str">
        <f aca="false">INDEX(Catalogo_Causas!$C$2:$C$10,MATCH(F2100,Catalogo_Causas!$A$2:$A$10,0))</f>
        <v>Calidad</v>
      </c>
      <c r="I2100" s="5" t="n">
        <v>30</v>
      </c>
      <c r="J2100" s="29" t="n">
        <f aca="false">I2100/60</f>
        <v>0.5</v>
      </c>
    </row>
    <row r="2101" customFormat="false" ht="15" hidden="false" customHeight="false" outlineLevel="0" collapsed="false">
      <c r="A2101" s="5" t="s">
        <v>3143</v>
      </c>
      <c r="B2101" s="9" t="n">
        <v>46244</v>
      </c>
      <c r="C2101" s="9" t="n">
        <v>46247</v>
      </c>
      <c r="D2101" s="5" t="s">
        <v>138</v>
      </c>
      <c r="E2101" s="5" t="s">
        <v>1039</v>
      </c>
      <c r="F2101" s="5" t="s">
        <v>1018</v>
      </c>
      <c r="G2101" s="6" t="str">
        <f aca="false">INDEX(Catalogo_Causas!$B$2:$B$10,MATCH(F2101,Catalogo_Causas!$A$2:$A$10,0))</f>
        <v>Falta de personal</v>
      </c>
      <c r="H2101" s="6" t="str">
        <f aca="false">INDEX(Catalogo_Causas!$C$2:$C$10,MATCH(F2101,Catalogo_Causas!$A$2:$A$10,0))</f>
        <v>Personal</v>
      </c>
      <c r="I2101" s="5" t="n">
        <v>75</v>
      </c>
      <c r="J2101" s="29" t="n">
        <f aca="false">I2101/60</f>
        <v>1.25</v>
      </c>
    </row>
    <row r="2102" customFormat="false" ht="15" hidden="false" customHeight="false" outlineLevel="0" collapsed="false">
      <c r="A2102" s="5" t="s">
        <v>3144</v>
      </c>
      <c r="B2102" s="9" t="n">
        <v>46244</v>
      </c>
      <c r="C2102" s="9" t="n">
        <v>46248</v>
      </c>
      <c r="D2102" s="5" t="s">
        <v>130</v>
      </c>
      <c r="E2102" s="5" t="s">
        <v>1078</v>
      </c>
      <c r="F2102" s="5" t="s">
        <v>1009</v>
      </c>
      <c r="G2102" s="6" t="str">
        <f aca="false">INDEX(Catalogo_Causas!$B$2:$B$10,MATCH(F2102,Catalogo_Causas!$A$2:$A$10,0))</f>
        <v>Falta de material de empaque</v>
      </c>
      <c r="H2102" s="6" t="str">
        <f aca="false">INDEX(Catalogo_Causas!$C$2:$C$10,MATCH(F2102,Catalogo_Causas!$A$2:$A$10,0))</f>
        <v>Material / suministro</v>
      </c>
      <c r="I2102" s="5" t="n">
        <v>156</v>
      </c>
      <c r="J2102" s="29" t="n">
        <f aca="false">I2102/60</f>
        <v>2.6</v>
      </c>
    </row>
    <row r="2103" customFormat="false" ht="15" hidden="false" customHeight="false" outlineLevel="0" collapsed="false">
      <c r="A2103" s="5" t="s">
        <v>3145</v>
      </c>
      <c r="B2103" s="9" t="n">
        <v>46244</v>
      </c>
      <c r="C2103" s="9" t="n">
        <v>46248</v>
      </c>
      <c r="D2103" s="5" t="s">
        <v>134</v>
      </c>
      <c r="E2103" s="5" t="s">
        <v>1032</v>
      </c>
      <c r="F2103" s="5" t="s">
        <v>1005</v>
      </c>
      <c r="G2103" s="6" t="str">
        <f aca="false">INDEX(Catalogo_Causas!$B$2:$B$10,MATCH(F2103,Catalogo_Causas!$A$2:$A$10,0))</f>
        <v>Falla eléctrica / control</v>
      </c>
      <c r="H2103" s="6" t="str">
        <f aca="false">INDEX(Catalogo_Causas!$C$2:$C$10,MATCH(F2103,Catalogo_Causas!$A$2:$A$10,0))</f>
        <v>Operacional</v>
      </c>
      <c r="I2103" s="5" t="n">
        <v>193</v>
      </c>
      <c r="J2103" s="29" t="n">
        <f aca="false">I2103/60</f>
        <v>3.21666666666667</v>
      </c>
    </row>
    <row r="2104" customFormat="false" ht="15" hidden="false" customHeight="false" outlineLevel="0" collapsed="false">
      <c r="A2104" s="5" t="s">
        <v>3146</v>
      </c>
      <c r="B2104" s="9" t="n">
        <v>46244</v>
      </c>
      <c r="C2104" s="9" t="n">
        <v>46248</v>
      </c>
      <c r="D2104" s="5" t="s">
        <v>138</v>
      </c>
      <c r="E2104" s="5" t="s">
        <v>1056</v>
      </c>
      <c r="F2104" s="5" t="s">
        <v>1005</v>
      </c>
      <c r="G2104" s="6" t="str">
        <f aca="false">INDEX(Catalogo_Causas!$B$2:$B$10,MATCH(F2104,Catalogo_Causas!$A$2:$A$10,0))</f>
        <v>Falla eléctrica / control</v>
      </c>
      <c r="H2104" s="6" t="str">
        <f aca="false">INDEX(Catalogo_Causas!$C$2:$C$10,MATCH(F2104,Catalogo_Causas!$A$2:$A$10,0))</f>
        <v>Operacional</v>
      </c>
      <c r="I2104" s="5" t="n">
        <v>49</v>
      </c>
      <c r="J2104" s="29" t="n">
        <f aca="false">I2104/60</f>
        <v>0.816666666666667</v>
      </c>
    </row>
    <row r="2105" customFormat="false" ht="15" hidden="false" customHeight="false" outlineLevel="0" collapsed="false">
      <c r="A2105" s="5" t="s">
        <v>3147</v>
      </c>
      <c r="B2105" s="9" t="n">
        <v>46244</v>
      </c>
      <c r="C2105" s="9" t="n">
        <v>46248</v>
      </c>
      <c r="D2105" s="5" t="s">
        <v>142</v>
      </c>
      <c r="E2105" s="5" t="s">
        <v>1041</v>
      </c>
      <c r="F2105" s="5" t="s">
        <v>1016</v>
      </c>
      <c r="G2105" s="6" t="str">
        <f aca="false">INDEX(Catalogo_Causas!$B$2:$B$10,MATCH(F2105,Catalogo_Causas!$A$2:$A$10,0))</f>
        <v>Limpieza no programada (CIP)</v>
      </c>
      <c r="H2105" s="6" t="str">
        <f aca="false">INDEX(Catalogo_Causas!$C$2:$C$10,MATCH(F2105,Catalogo_Causas!$A$2:$A$10,0))</f>
        <v>Calidad</v>
      </c>
      <c r="I2105" s="5" t="n">
        <v>105</v>
      </c>
      <c r="J2105" s="29" t="n">
        <f aca="false">I2105/60</f>
        <v>1.75</v>
      </c>
    </row>
    <row r="2106" customFormat="false" ht="15" hidden="false" customHeight="false" outlineLevel="0" collapsed="false">
      <c r="A2106" s="5" t="s">
        <v>3148</v>
      </c>
      <c r="B2106" s="9" t="n">
        <v>46244</v>
      </c>
      <c r="C2106" s="9" t="n">
        <v>46248</v>
      </c>
      <c r="D2106" s="5" t="s">
        <v>144</v>
      </c>
      <c r="E2106" s="5" t="s">
        <v>1030</v>
      </c>
      <c r="F2106" s="5" t="s">
        <v>1007</v>
      </c>
      <c r="G2106" s="6" t="str">
        <f aca="false">INDEX(Catalogo_Causas!$B$2:$B$10,MATCH(F2106,Catalogo_Causas!$A$2:$A$10,0))</f>
        <v>Cambio de formato excedido</v>
      </c>
      <c r="H2106" s="6" t="str">
        <f aca="false">INDEX(Catalogo_Causas!$C$2:$C$10,MATCH(F2106,Catalogo_Causas!$A$2:$A$10,0))</f>
        <v>Operacional</v>
      </c>
      <c r="I2106" s="5" t="n">
        <v>35</v>
      </c>
      <c r="J2106" s="29" t="n">
        <f aca="false">I2106/60</f>
        <v>0.583333333333333</v>
      </c>
    </row>
    <row r="2107" customFormat="false" ht="15" hidden="false" customHeight="false" outlineLevel="0" collapsed="false">
      <c r="A2107" s="5" t="s">
        <v>3149</v>
      </c>
      <c r="B2107" s="9" t="n">
        <v>46244</v>
      </c>
      <c r="C2107" s="9" t="n">
        <v>46249</v>
      </c>
      <c r="D2107" s="5" t="s">
        <v>132</v>
      </c>
      <c r="E2107" s="5" t="s">
        <v>1073</v>
      </c>
      <c r="F2107" s="5" t="s">
        <v>1007</v>
      </c>
      <c r="G2107" s="6" t="str">
        <f aca="false">INDEX(Catalogo_Causas!$B$2:$B$10,MATCH(F2107,Catalogo_Causas!$A$2:$A$10,0))</f>
        <v>Cambio de formato excedido</v>
      </c>
      <c r="H2107" s="6" t="str">
        <f aca="false">INDEX(Catalogo_Causas!$C$2:$C$10,MATCH(F2107,Catalogo_Causas!$A$2:$A$10,0))</f>
        <v>Operacional</v>
      </c>
      <c r="I2107" s="5" t="n">
        <v>27</v>
      </c>
      <c r="J2107" s="29" t="n">
        <f aca="false">I2107/60</f>
        <v>0.45</v>
      </c>
    </row>
    <row r="2108" customFormat="false" ht="15" hidden="false" customHeight="false" outlineLevel="0" collapsed="false">
      <c r="A2108" s="5" t="s">
        <v>3150</v>
      </c>
      <c r="B2108" s="9" t="n">
        <v>46244</v>
      </c>
      <c r="C2108" s="9" t="n">
        <v>46249</v>
      </c>
      <c r="D2108" s="5" t="s">
        <v>136</v>
      </c>
      <c r="E2108" s="5" t="s">
        <v>1032</v>
      </c>
      <c r="F2108" s="5" t="s">
        <v>1014</v>
      </c>
      <c r="G2108" s="6" t="str">
        <f aca="false">INDEX(Catalogo_Causas!$B$2:$B$10,MATCH(F2108,Catalogo_Causas!$A$2:$A$10,0))</f>
        <v>Retención de calidad</v>
      </c>
      <c r="H2108" s="6" t="str">
        <f aca="false">INDEX(Catalogo_Causas!$C$2:$C$10,MATCH(F2108,Catalogo_Causas!$A$2:$A$10,0))</f>
        <v>Calidad</v>
      </c>
      <c r="I2108" s="5" t="n">
        <v>216</v>
      </c>
      <c r="J2108" s="29" t="n">
        <f aca="false">I2108/60</f>
        <v>3.6</v>
      </c>
    </row>
    <row r="2109" customFormat="false" ht="15" hidden="false" customHeight="false" outlineLevel="0" collapsed="false">
      <c r="A2109" s="5" t="s">
        <v>3151</v>
      </c>
      <c r="B2109" s="9" t="n">
        <v>46244</v>
      </c>
      <c r="C2109" s="9" t="n">
        <v>46249</v>
      </c>
      <c r="D2109" s="5" t="s">
        <v>136</v>
      </c>
      <c r="E2109" s="5" t="s">
        <v>1051</v>
      </c>
      <c r="F2109" s="5" t="s">
        <v>1005</v>
      </c>
      <c r="G2109" s="6" t="str">
        <f aca="false">INDEX(Catalogo_Causas!$B$2:$B$10,MATCH(F2109,Catalogo_Causas!$A$2:$A$10,0))</f>
        <v>Falla eléctrica / control</v>
      </c>
      <c r="H2109" s="6" t="str">
        <f aca="false">INDEX(Catalogo_Causas!$C$2:$C$10,MATCH(F2109,Catalogo_Causas!$A$2:$A$10,0))</f>
        <v>Operacional</v>
      </c>
      <c r="I2109" s="5" t="n">
        <v>474</v>
      </c>
      <c r="J2109" s="29" t="n">
        <f aca="false">I2109/60</f>
        <v>7.9</v>
      </c>
    </row>
    <row r="2110" customFormat="false" ht="15" hidden="false" customHeight="false" outlineLevel="0" collapsed="false">
      <c r="A2110" s="5" t="s">
        <v>3152</v>
      </c>
      <c r="B2110" s="9" t="n">
        <v>46244</v>
      </c>
      <c r="C2110" s="9" t="n">
        <v>46249</v>
      </c>
      <c r="D2110" s="5" t="s">
        <v>144</v>
      </c>
      <c r="E2110" s="5" t="s">
        <v>1043</v>
      </c>
      <c r="F2110" s="5" t="s">
        <v>1014</v>
      </c>
      <c r="G2110" s="6" t="str">
        <f aca="false">INDEX(Catalogo_Causas!$B$2:$B$10,MATCH(F2110,Catalogo_Causas!$A$2:$A$10,0))</f>
        <v>Retención de calidad</v>
      </c>
      <c r="H2110" s="6" t="str">
        <f aca="false">INDEX(Catalogo_Causas!$C$2:$C$10,MATCH(F2110,Catalogo_Causas!$A$2:$A$10,0))</f>
        <v>Calidad</v>
      </c>
      <c r="I2110" s="5" t="n">
        <v>82</v>
      </c>
      <c r="J2110" s="29" t="n">
        <f aca="false">I2110/60</f>
        <v>1.36666666666667</v>
      </c>
    </row>
    <row r="2111" customFormat="false" ht="15" hidden="false" customHeight="false" outlineLevel="0" collapsed="false">
      <c r="A2111" s="5" t="s">
        <v>3153</v>
      </c>
      <c r="B2111" s="9" t="n">
        <v>46251</v>
      </c>
      <c r="C2111" s="9" t="n">
        <v>46251</v>
      </c>
      <c r="D2111" s="5" t="s">
        <v>134</v>
      </c>
      <c r="E2111" s="5" t="s">
        <v>1030</v>
      </c>
      <c r="F2111" s="5" t="s">
        <v>1005</v>
      </c>
      <c r="G2111" s="6" t="str">
        <f aca="false">INDEX(Catalogo_Causas!$B$2:$B$10,MATCH(F2111,Catalogo_Causas!$A$2:$A$10,0))</f>
        <v>Falla eléctrica / control</v>
      </c>
      <c r="H2111" s="6" t="str">
        <f aca="false">INDEX(Catalogo_Causas!$C$2:$C$10,MATCH(F2111,Catalogo_Causas!$A$2:$A$10,0))</f>
        <v>Operacional</v>
      </c>
      <c r="I2111" s="5" t="n">
        <v>19</v>
      </c>
      <c r="J2111" s="29" t="n">
        <f aca="false">I2111/60</f>
        <v>0.316666666666667</v>
      </c>
    </row>
    <row r="2112" customFormat="false" ht="15" hidden="false" customHeight="false" outlineLevel="0" collapsed="false">
      <c r="A2112" s="5" t="s">
        <v>3154</v>
      </c>
      <c r="B2112" s="9" t="n">
        <v>46251</v>
      </c>
      <c r="C2112" s="9" t="n">
        <v>46251</v>
      </c>
      <c r="D2112" s="5" t="s">
        <v>138</v>
      </c>
      <c r="E2112" s="5" t="s">
        <v>1039</v>
      </c>
      <c r="F2112" s="5" t="s">
        <v>1007</v>
      </c>
      <c r="G2112" s="6" t="str">
        <f aca="false">INDEX(Catalogo_Causas!$B$2:$B$10,MATCH(F2112,Catalogo_Causas!$A$2:$A$10,0))</f>
        <v>Cambio de formato excedido</v>
      </c>
      <c r="H2112" s="6" t="str">
        <f aca="false">INDEX(Catalogo_Causas!$C$2:$C$10,MATCH(F2112,Catalogo_Causas!$A$2:$A$10,0))</f>
        <v>Operacional</v>
      </c>
      <c r="I2112" s="5" t="n">
        <v>25</v>
      </c>
      <c r="J2112" s="29" t="n">
        <f aca="false">I2112/60</f>
        <v>0.416666666666667</v>
      </c>
    </row>
    <row r="2113" customFormat="false" ht="15" hidden="false" customHeight="false" outlineLevel="0" collapsed="false">
      <c r="A2113" s="5" t="s">
        <v>3155</v>
      </c>
      <c r="B2113" s="9" t="n">
        <v>46251</v>
      </c>
      <c r="C2113" s="9" t="n">
        <v>46251</v>
      </c>
      <c r="D2113" s="5" t="s">
        <v>144</v>
      </c>
      <c r="E2113" s="5" t="s">
        <v>1030</v>
      </c>
      <c r="F2113" s="5" t="s">
        <v>1021</v>
      </c>
      <c r="G2113" s="6" t="str">
        <f aca="false">INDEX(Catalogo_Causas!$B$2:$B$10,MATCH(F2113,Catalogo_Causas!$A$2:$A$10,0))</f>
        <v>Falla de servicios (vapor/amoniaco/aire)</v>
      </c>
      <c r="H2113" s="6" t="str">
        <f aca="false">INDEX(Catalogo_Causas!$C$2:$C$10,MATCH(F2113,Catalogo_Causas!$A$2:$A$10,0))</f>
        <v>Servicios</v>
      </c>
      <c r="I2113" s="5" t="n">
        <v>97</v>
      </c>
      <c r="J2113" s="29" t="n">
        <f aca="false">I2113/60</f>
        <v>1.61666666666667</v>
      </c>
    </row>
    <row r="2114" customFormat="false" ht="15" hidden="false" customHeight="false" outlineLevel="0" collapsed="false">
      <c r="A2114" s="5" t="s">
        <v>3156</v>
      </c>
      <c r="B2114" s="9" t="n">
        <v>46251</v>
      </c>
      <c r="C2114" s="9" t="n">
        <v>46252</v>
      </c>
      <c r="D2114" s="5" t="s">
        <v>134</v>
      </c>
      <c r="E2114" s="5" t="s">
        <v>1030</v>
      </c>
      <c r="F2114" s="5" t="s">
        <v>1018</v>
      </c>
      <c r="G2114" s="6" t="str">
        <f aca="false">INDEX(Catalogo_Causas!$B$2:$B$10,MATCH(F2114,Catalogo_Causas!$A$2:$A$10,0))</f>
        <v>Falta de personal</v>
      </c>
      <c r="H2114" s="6" t="str">
        <f aca="false">INDEX(Catalogo_Causas!$C$2:$C$10,MATCH(F2114,Catalogo_Causas!$A$2:$A$10,0))</f>
        <v>Personal</v>
      </c>
      <c r="I2114" s="5" t="n">
        <v>16</v>
      </c>
      <c r="J2114" s="29" t="n">
        <f aca="false">I2114/60</f>
        <v>0.266666666666667</v>
      </c>
    </row>
    <row r="2115" customFormat="false" ht="15" hidden="false" customHeight="false" outlineLevel="0" collapsed="false">
      <c r="A2115" s="5" t="s">
        <v>3157</v>
      </c>
      <c r="B2115" s="9" t="n">
        <v>46251</v>
      </c>
      <c r="C2115" s="9" t="n">
        <v>46253</v>
      </c>
      <c r="D2115" s="5" t="s">
        <v>138</v>
      </c>
      <c r="E2115" s="5" t="s">
        <v>1034</v>
      </c>
      <c r="F2115" s="5" t="s">
        <v>1018</v>
      </c>
      <c r="G2115" s="6" t="str">
        <f aca="false">INDEX(Catalogo_Causas!$B$2:$B$10,MATCH(F2115,Catalogo_Causas!$A$2:$A$10,0))</f>
        <v>Falta de personal</v>
      </c>
      <c r="H2115" s="6" t="str">
        <f aca="false">INDEX(Catalogo_Causas!$C$2:$C$10,MATCH(F2115,Catalogo_Causas!$A$2:$A$10,0))</f>
        <v>Personal</v>
      </c>
      <c r="I2115" s="5" t="n">
        <v>28</v>
      </c>
      <c r="J2115" s="29" t="n">
        <f aca="false">I2115/60</f>
        <v>0.466666666666667</v>
      </c>
    </row>
    <row r="2116" customFormat="false" ht="15" hidden="false" customHeight="false" outlineLevel="0" collapsed="false">
      <c r="A2116" s="5" t="s">
        <v>3158</v>
      </c>
      <c r="B2116" s="9" t="n">
        <v>46251</v>
      </c>
      <c r="C2116" s="9" t="n">
        <v>46253</v>
      </c>
      <c r="D2116" s="5" t="s">
        <v>144</v>
      </c>
      <c r="E2116" s="5" t="s">
        <v>1030</v>
      </c>
      <c r="F2116" s="5" t="s">
        <v>1014</v>
      </c>
      <c r="G2116" s="6" t="str">
        <f aca="false">INDEX(Catalogo_Causas!$B$2:$B$10,MATCH(F2116,Catalogo_Causas!$A$2:$A$10,0))</f>
        <v>Retención de calidad</v>
      </c>
      <c r="H2116" s="6" t="str">
        <f aca="false">INDEX(Catalogo_Causas!$C$2:$C$10,MATCH(F2116,Catalogo_Causas!$A$2:$A$10,0))</f>
        <v>Calidad</v>
      </c>
      <c r="I2116" s="5" t="n">
        <v>79</v>
      </c>
      <c r="J2116" s="29" t="n">
        <f aca="false">I2116/60</f>
        <v>1.31666666666667</v>
      </c>
    </row>
    <row r="2117" customFormat="false" ht="15" hidden="false" customHeight="false" outlineLevel="0" collapsed="false">
      <c r="A2117" s="5" t="s">
        <v>3159</v>
      </c>
      <c r="B2117" s="9" t="n">
        <v>46251</v>
      </c>
      <c r="C2117" s="9" t="n">
        <v>46254</v>
      </c>
      <c r="D2117" s="5" t="s">
        <v>134</v>
      </c>
      <c r="E2117" s="5" t="s">
        <v>1032</v>
      </c>
      <c r="F2117" s="5" t="s">
        <v>1007</v>
      </c>
      <c r="G2117" s="6" t="str">
        <f aca="false">INDEX(Catalogo_Causas!$B$2:$B$10,MATCH(F2117,Catalogo_Causas!$A$2:$A$10,0))</f>
        <v>Cambio de formato excedido</v>
      </c>
      <c r="H2117" s="6" t="str">
        <f aca="false">INDEX(Catalogo_Causas!$C$2:$C$10,MATCH(F2117,Catalogo_Causas!$A$2:$A$10,0))</f>
        <v>Operacional</v>
      </c>
      <c r="I2117" s="5" t="n">
        <v>29</v>
      </c>
      <c r="J2117" s="29" t="n">
        <f aca="false">I2117/60</f>
        <v>0.483333333333333</v>
      </c>
    </row>
    <row r="2118" customFormat="false" ht="15" hidden="false" customHeight="false" outlineLevel="0" collapsed="false">
      <c r="A2118" s="5" t="s">
        <v>3160</v>
      </c>
      <c r="B2118" s="9" t="n">
        <v>46251</v>
      </c>
      <c r="C2118" s="9" t="n">
        <v>46254</v>
      </c>
      <c r="D2118" s="5" t="s">
        <v>138</v>
      </c>
      <c r="E2118" s="5" t="s">
        <v>1039</v>
      </c>
      <c r="F2118" s="5" t="s">
        <v>1002</v>
      </c>
      <c r="G2118" s="6" t="str">
        <f aca="false">INDEX(Catalogo_Causas!$B$2:$B$10,MATCH(F2118,Catalogo_Causas!$A$2:$A$10,0))</f>
        <v>Falla mecánica</v>
      </c>
      <c r="H2118" s="6" t="str">
        <f aca="false">INDEX(Catalogo_Causas!$C$2:$C$10,MATCH(F2118,Catalogo_Causas!$A$2:$A$10,0))</f>
        <v>Operacional</v>
      </c>
      <c r="I2118" s="5" t="n">
        <v>21</v>
      </c>
      <c r="J2118" s="29" t="n">
        <f aca="false">I2118/60</f>
        <v>0.35</v>
      </c>
    </row>
    <row r="2119" customFormat="false" ht="15" hidden="false" customHeight="false" outlineLevel="0" collapsed="false">
      <c r="A2119" s="5" t="s">
        <v>3161</v>
      </c>
      <c r="B2119" s="9" t="n">
        <v>46251</v>
      </c>
      <c r="C2119" s="9" t="n">
        <v>46254</v>
      </c>
      <c r="D2119" s="5" t="s">
        <v>144</v>
      </c>
      <c r="E2119" s="5" t="s">
        <v>1030</v>
      </c>
      <c r="F2119" s="5" t="s">
        <v>1018</v>
      </c>
      <c r="G2119" s="6" t="str">
        <f aca="false">INDEX(Catalogo_Causas!$B$2:$B$10,MATCH(F2119,Catalogo_Causas!$A$2:$A$10,0))</f>
        <v>Falta de personal</v>
      </c>
      <c r="H2119" s="6" t="str">
        <f aca="false">INDEX(Catalogo_Causas!$C$2:$C$10,MATCH(F2119,Catalogo_Causas!$A$2:$A$10,0))</f>
        <v>Personal</v>
      </c>
      <c r="I2119" s="5" t="n">
        <v>42</v>
      </c>
      <c r="J2119" s="29" t="n">
        <f aca="false">I2119/60</f>
        <v>0.7</v>
      </c>
    </row>
    <row r="2120" customFormat="false" ht="15" hidden="false" customHeight="false" outlineLevel="0" collapsed="false">
      <c r="A2120" s="5" t="s">
        <v>3162</v>
      </c>
      <c r="B2120" s="9" t="n">
        <v>46251</v>
      </c>
      <c r="C2120" s="9" t="n">
        <v>46255</v>
      </c>
      <c r="D2120" s="5" t="s">
        <v>134</v>
      </c>
      <c r="E2120" s="5" t="s">
        <v>1030</v>
      </c>
      <c r="F2120" s="5" t="s">
        <v>1007</v>
      </c>
      <c r="G2120" s="6" t="str">
        <f aca="false">INDEX(Catalogo_Causas!$B$2:$B$10,MATCH(F2120,Catalogo_Causas!$A$2:$A$10,0))</f>
        <v>Cambio de formato excedido</v>
      </c>
      <c r="H2120" s="6" t="str">
        <f aca="false">INDEX(Catalogo_Causas!$C$2:$C$10,MATCH(F2120,Catalogo_Causas!$A$2:$A$10,0))</f>
        <v>Operacional</v>
      </c>
      <c r="I2120" s="5" t="n">
        <v>65</v>
      </c>
      <c r="J2120" s="29" t="n">
        <f aca="false">I2120/60</f>
        <v>1.08333333333333</v>
      </c>
    </row>
    <row r="2121" customFormat="false" ht="15" hidden="false" customHeight="false" outlineLevel="0" collapsed="false">
      <c r="A2121" s="5" t="s">
        <v>3163</v>
      </c>
      <c r="B2121" s="9" t="n">
        <v>46251</v>
      </c>
      <c r="C2121" s="9" t="n">
        <v>46255</v>
      </c>
      <c r="D2121" s="5" t="s">
        <v>136</v>
      </c>
      <c r="E2121" s="5" t="s">
        <v>1101</v>
      </c>
      <c r="F2121" s="5" t="s">
        <v>1007</v>
      </c>
      <c r="G2121" s="6" t="str">
        <f aca="false">INDEX(Catalogo_Causas!$B$2:$B$10,MATCH(F2121,Catalogo_Causas!$A$2:$A$10,0))</f>
        <v>Cambio de formato excedido</v>
      </c>
      <c r="H2121" s="6" t="str">
        <f aca="false">INDEX(Catalogo_Causas!$C$2:$C$10,MATCH(F2121,Catalogo_Causas!$A$2:$A$10,0))</f>
        <v>Operacional</v>
      </c>
      <c r="I2121" s="5" t="n">
        <v>26</v>
      </c>
      <c r="J2121" s="29" t="n">
        <f aca="false">I2121/60</f>
        <v>0.433333333333333</v>
      </c>
    </row>
    <row r="2122" customFormat="false" ht="15" hidden="false" customHeight="false" outlineLevel="0" collapsed="false">
      <c r="A2122" s="5" t="s">
        <v>3164</v>
      </c>
      <c r="B2122" s="9" t="n">
        <v>46251</v>
      </c>
      <c r="C2122" s="9" t="n">
        <v>46255</v>
      </c>
      <c r="D2122" s="5" t="s">
        <v>138</v>
      </c>
      <c r="E2122" s="5" t="s">
        <v>1034</v>
      </c>
      <c r="F2122" s="5" t="s">
        <v>1002</v>
      </c>
      <c r="G2122" s="6" t="str">
        <f aca="false">INDEX(Catalogo_Causas!$B$2:$B$10,MATCH(F2122,Catalogo_Causas!$A$2:$A$10,0))</f>
        <v>Falla mecánica</v>
      </c>
      <c r="H2122" s="6" t="str">
        <f aca="false">INDEX(Catalogo_Causas!$C$2:$C$10,MATCH(F2122,Catalogo_Causas!$A$2:$A$10,0))</f>
        <v>Operacional</v>
      </c>
      <c r="I2122" s="5" t="n">
        <v>102</v>
      </c>
      <c r="J2122" s="29" t="n">
        <f aca="false">I2122/60</f>
        <v>1.7</v>
      </c>
    </row>
    <row r="2123" customFormat="false" ht="15" hidden="false" customHeight="false" outlineLevel="0" collapsed="false">
      <c r="A2123" s="5" t="s">
        <v>3165</v>
      </c>
      <c r="B2123" s="9" t="n">
        <v>46251</v>
      </c>
      <c r="C2123" s="9" t="n">
        <v>46255</v>
      </c>
      <c r="D2123" s="5" t="s">
        <v>140</v>
      </c>
      <c r="E2123" s="5" t="s">
        <v>1045</v>
      </c>
      <c r="F2123" s="5" t="s">
        <v>1021</v>
      </c>
      <c r="G2123" s="6" t="str">
        <f aca="false">INDEX(Catalogo_Causas!$B$2:$B$10,MATCH(F2123,Catalogo_Causas!$A$2:$A$10,0))</f>
        <v>Falla de servicios (vapor/amoniaco/aire)</v>
      </c>
      <c r="H2123" s="6" t="str">
        <f aca="false">INDEX(Catalogo_Causas!$C$2:$C$10,MATCH(F2123,Catalogo_Causas!$A$2:$A$10,0))</f>
        <v>Servicios</v>
      </c>
      <c r="I2123" s="5" t="n">
        <v>36</v>
      </c>
      <c r="J2123" s="29" t="n">
        <f aca="false">I2123/60</f>
        <v>0.6</v>
      </c>
    </row>
    <row r="2124" customFormat="false" ht="15" hidden="false" customHeight="false" outlineLevel="0" collapsed="false">
      <c r="A2124" s="5" t="s">
        <v>3166</v>
      </c>
      <c r="B2124" s="9" t="n">
        <v>46251</v>
      </c>
      <c r="C2124" s="9" t="n">
        <v>46255</v>
      </c>
      <c r="D2124" s="5" t="s">
        <v>142</v>
      </c>
      <c r="E2124" s="5" t="s">
        <v>1030</v>
      </c>
      <c r="F2124" s="5" t="s">
        <v>1016</v>
      </c>
      <c r="G2124" s="6" t="str">
        <f aca="false">INDEX(Catalogo_Causas!$B$2:$B$10,MATCH(F2124,Catalogo_Causas!$A$2:$A$10,0))</f>
        <v>Limpieza no programada (CIP)</v>
      </c>
      <c r="H2124" s="6" t="str">
        <f aca="false">INDEX(Catalogo_Causas!$C$2:$C$10,MATCH(F2124,Catalogo_Causas!$A$2:$A$10,0))</f>
        <v>Calidad</v>
      </c>
      <c r="I2124" s="5" t="n">
        <v>90</v>
      </c>
      <c r="J2124" s="29" t="n">
        <f aca="false">I2124/60</f>
        <v>1.5</v>
      </c>
    </row>
    <row r="2125" customFormat="false" ht="15" hidden="false" customHeight="false" outlineLevel="0" collapsed="false">
      <c r="A2125" s="5" t="s">
        <v>3167</v>
      </c>
      <c r="B2125" s="9" t="n">
        <v>46251</v>
      </c>
      <c r="C2125" s="9" t="n">
        <v>46255</v>
      </c>
      <c r="D2125" s="5" t="s">
        <v>142</v>
      </c>
      <c r="E2125" s="5" t="s">
        <v>1051</v>
      </c>
      <c r="F2125" s="5" t="s">
        <v>1018</v>
      </c>
      <c r="G2125" s="6" t="str">
        <f aca="false">INDEX(Catalogo_Causas!$B$2:$B$10,MATCH(F2125,Catalogo_Causas!$A$2:$A$10,0))</f>
        <v>Falta de personal</v>
      </c>
      <c r="H2125" s="6" t="str">
        <f aca="false">INDEX(Catalogo_Causas!$C$2:$C$10,MATCH(F2125,Catalogo_Causas!$A$2:$A$10,0))</f>
        <v>Personal</v>
      </c>
      <c r="I2125" s="5" t="n">
        <v>153</v>
      </c>
      <c r="J2125" s="29" t="n">
        <f aca="false">I2125/60</f>
        <v>2.55</v>
      </c>
    </row>
    <row r="2126" customFormat="false" ht="15" hidden="false" customHeight="false" outlineLevel="0" collapsed="false">
      <c r="A2126" s="5" t="s">
        <v>3168</v>
      </c>
      <c r="B2126" s="9" t="n">
        <v>46251</v>
      </c>
      <c r="C2126" s="9" t="n">
        <v>46256</v>
      </c>
      <c r="D2126" s="5" t="s">
        <v>132</v>
      </c>
      <c r="E2126" s="5" t="s">
        <v>1084</v>
      </c>
      <c r="F2126" s="5" t="s">
        <v>1002</v>
      </c>
      <c r="G2126" s="6" t="str">
        <f aca="false">INDEX(Catalogo_Causas!$B$2:$B$10,MATCH(F2126,Catalogo_Causas!$A$2:$A$10,0))</f>
        <v>Falla mecánica</v>
      </c>
      <c r="H2126" s="6" t="str">
        <f aca="false">INDEX(Catalogo_Causas!$C$2:$C$10,MATCH(F2126,Catalogo_Causas!$A$2:$A$10,0))</f>
        <v>Operacional</v>
      </c>
      <c r="I2126" s="5" t="n">
        <v>86</v>
      </c>
      <c r="J2126" s="29" t="n">
        <f aca="false">I2126/60</f>
        <v>1.43333333333333</v>
      </c>
    </row>
    <row r="2127" customFormat="false" ht="15" hidden="false" customHeight="false" outlineLevel="0" collapsed="false">
      <c r="A2127" s="5" t="s">
        <v>3169</v>
      </c>
      <c r="B2127" s="9" t="n">
        <v>46251</v>
      </c>
      <c r="C2127" s="9" t="n">
        <v>46256</v>
      </c>
      <c r="D2127" s="5" t="s">
        <v>132</v>
      </c>
      <c r="E2127" s="5" t="s">
        <v>1084</v>
      </c>
      <c r="F2127" s="5" t="s">
        <v>1002</v>
      </c>
      <c r="G2127" s="6" t="str">
        <f aca="false">INDEX(Catalogo_Causas!$B$2:$B$10,MATCH(F2127,Catalogo_Causas!$A$2:$A$10,0))</f>
        <v>Falla mecánica</v>
      </c>
      <c r="H2127" s="6" t="str">
        <f aca="false">INDEX(Catalogo_Causas!$C$2:$C$10,MATCH(F2127,Catalogo_Causas!$A$2:$A$10,0))</f>
        <v>Operacional</v>
      </c>
      <c r="I2127" s="5" t="n">
        <v>71</v>
      </c>
      <c r="J2127" s="29" t="n">
        <f aca="false">I2127/60</f>
        <v>1.18333333333333</v>
      </c>
    </row>
    <row r="2128" customFormat="false" ht="15" hidden="false" customHeight="false" outlineLevel="0" collapsed="false">
      <c r="A2128" s="5" t="s">
        <v>3170</v>
      </c>
      <c r="B2128" s="9" t="n">
        <v>46251</v>
      </c>
      <c r="C2128" s="9" t="n">
        <v>46256</v>
      </c>
      <c r="D2128" s="5" t="s">
        <v>136</v>
      </c>
      <c r="E2128" s="5" t="s">
        <v>1101</v>
      </c>
      <c r="F2128" s="5" t="s">
        <v>1016</v>
      </c>
      <c r="G2128" s="6" t="str">
        <f aca="false">INDEX(Catalogo_Causas!$B$2:$B$10,MATCH(F2128,Catalogo_Causas!$A$2:$A$10,0))</f>
        <v>Limpieza no programada (CIP)</v>
      </c>
      <c r="H2128" s="6" t="str">
        <f aca="false">INDEX(Catalogo_Causas!$C$2:$C$10,MATCH(F2128,Catalogo_Causas!$A$2:$A$10,0))</f>
        <v>Calidad</v>
      </c>
      <c r="I2128" s="5" t="n">
        <v>63</v>
      </c>
      <c r="J2128" s="29" t="n">
        <f aca="false">I2128/60</f>
        <v>1.05</v>
      </c>
    </row>
    <row r="2129" customFormat="false" ht="15" hidden="false" customHeight="false" outlineLevel="0" collapsed="false">
      <c r="A2129" s="5" t="s">
        <v>3171</v>
      </c>
      <c r="B2129" s="9" t="n">
        <v>46251</v>
      </c>
      <c r="C2129" s="9" t="n">
        <v>46256</v>
      </c>
      <c r="D2129" s="5" t="s">
        <v>144</v>
      </c>
      <c r="E2129" s="5" t="s">
        <v>1030</v>
      </c>
      <c r="F2129" s="5" t="s">
        <v>1018</v>
      </c>
      <c r="G2129" s="6" t="str">
        <f aca="false">INDEX(Catalogo_Causas!$B$2:$B$10,MATCH(F2129,Catalogo_Causas!$A$2:$A$10,0))</f>
        <v>Falta de personal</v>
      </c>
      <c r="H2129" s="6" t="str">
        <f aca="false">INDEX(Catalogo_Causas!$C$2:$C$10,MATCH(F2129,Catalogo_Causas!$A$2:$A$10,0))</f>
        <v>Personal</v>
      </c>
      <c r="I2129" s="5" t="n">
        <v>48</v>
      </c>
      <c r="J2129" s="29" t="n">
        <f aca="false">I2129/60</f>
        <v>0.8</v>
      </c>
    </row>
    <row r="2130" customFormat="false" ht="15" hidden="false" customHeight="false" outlineLevel="0" collapsed="false">
      <c r="A2130" s="5" t="s">
        <v>3172</v>
      </c>
      <c r="B2130" s="9" t="n">
        <v>46258</v>
      </c>
      <c r="C2130" s="9" t="n">
        <v>46258</v>
      </c>
      <c r="D2130" s="5" t="s">
        <v>132</v>
      </c>
      <c r="E2130" s="5" t="s">
        <v>1084</v>
      </c>
      <c r="F2130" s="5" t="s">
        <v>1009</v>
      </c>
      <c r="G2130" s="6" t="str">
        <f aca="false">INDEX(Catalogo_Causas!$B$2:$B$10,MATCH(F2130,Catalogo_Causas!$A$2:$A$10,0))</f>
        <v>Falta de material de empaque</v>
      </c>
      <c r="H2130" s="6" t="str">
        <f aca="false">INDEX(Catalogo_Causas!$C$2:$C$10,MATCH(F2130,Catalogo_Causas!$A$2:$A$10,0))</f>
        <v>Material / suministro</v>
      </c>
      <c r="I2130" s="5" t="n">
        <v>64</v>
      </c>
      <c r="J2130" s="29" t="n">
        <f aca="false">I2130/60</f>
        <v>1.06666666666667</v>
      </c>
    </row>
    <row r="2131" customFormat="false" ht="15" hidden="false" customHeight="false" outlineLevel="0" collapsed="false">
      <c r="A2131" s="5" t="s">
        <v>3173</v>
      </c>
      <c r="B2131" s="9" t="n">
        <v>46258</v>
      </c>
      <c r="C2131" s="9" t="n">
        <v>46259</v>
      </c>
      <c r="D2131" s="5" t="s">
        <v>134</v>
      </c>
      <c r="E2131" s="5" t="s">
        <v>1030</v>
      </c>
      <c r="F2131" s="5" t="s">
        <v>1002</v>
      </c>
      <c r="G2131" s="6" t="str">
        <f aca="false">INDEX(Catalogo_Causas!$B$2:$B$10,MATCH(F2131,Catalogo_Causas!$A$2:$A$10,0))</f>
        <v>Falla mecánica</v>
      </c>
      <c r="H2131" s="6" t="str">
        <f aca="false">INDEX(Catalogo_Causas!$C$2:$C$10,MATCH(F2131,Catalogo_Causas!$A$2:$A$10,0))</f>
        <v>Operacional</v>
      </c>
      <c r="I2131" s="5" t="n">
        <v>22</v>
      </c>
      <c r="J2131" s="29" t="n">
        <f aca="false">I2131/60</f>
        <v>0.366666666666667</v>
      </c>
    </row>
    <row r="2132" customFormat="false" ht="15" hidden="false" customHeight="false" outlineLevel="0" collapsed="false">
      <c r="A2132" s="5" t="s">
        <v>3174</v>
      </c>
      <c r="B2132" s="9" t="n">
        <v>46258</v>
      </c>
      <c r="C2132" s="9" t="n">
        <v>46259</v>
      </c>
      <c r="D2132" s="5" t="s">
        <v>142</v>
      </c>
      <c r="E2132" s="5" t="s">
        <v>1051</v>
      </c>
      <c r="F2132" s="5" t="s">
        <v>1002</v>
      </c>
      <c r="G2132" s="6" t="str">
        <f aca="false">INDEX(Catalogo_Causas!$B$2:$B$10,MATCH(F2132,Catalogo_Causas!$A$2:$A$10,0))</f>
        <v>Falla mecánica</v>
      </c>
      <c r="H2132" s="6" t="str">
        <f aca="false">INDEX(Catalogo_Causas!$C$2:$C$10,MATCH(F2132,Catalogo_Causas!$A$2:$A$10,0))</f>
        <v>Operacional</v>
      </c>
      <c r="I2132" s="5" t="n">
        <v>68</v>
      </c>
      <c r="J2132" s="29" t="n">
        <f aca="false">I2132/60</f>
        <v>1.13333333333333</v>
      </c>
    </row>
    <row r="2133" customFormat="false" ht="15" hidden="false" customHeight="false" outlineLevel="0" collapsed="false">
      <c r="A2133" s="5" t="s">
        <v>3175</v>
      </c>
      <c r="B2133" s="9" t="n">
        <v>46258</v>
      </c>
      <c r="C2133" s="9" t="n">
        <v>46260</v>
      </c>
      <c r="D2133" s="5" t="s">
        <v>132</v>
      </c>
      <c r="E2133" s="5" t="s">
        <v>1084</v>
      </c>
      <c r="F2133" s="5" t="s">
        <v>1005</v>
      </c>
      <c r="G2133" s="6" t="str">
        <f aca="false">INDEX(Catalogo_Causas!$B$2:$B$10,MATCH(F2133,Catalogo_Causas!$A$2:$A$10,0))</f>
        <v>Falla eléctrica / control</v>
      </c>
      <c r="H2133" s="6" t="str">
        <f aca="false">INDEX(Catalogo_Causas!$C$2:$C$10,MATCH(F2133,Catalogo_Causas!$A$2:$A$10,0))</f>
        <v>Operacional</v>
      </c>
      <c r="I2133" s="5" t="n">
        <v>230</v>
      </c>
      <c r="J2133" s="29" t="n">
        <f aca="false">I2133/60</f>
        <v>3.83333333333333</v>
      </c>
    </row>
    <row r="2134" customFormat="false" ht="15" hidden="false" customHeight="false" outlineLevel="0" collapsed="false">
      <c r="A2134" s="5" t="s">
        <v>3176</v>
      </c>
      <c r="B2134" s="9" t="n">
        <v>46258</v>
      </c>
      <c r="C2134" s="9" t="n">
        <v>46260</v>
      </c>
      <c r="D2134" s="5" t="s">
        <v>142</v>
      </c>
      <c r="E2134" s="5" t="s">
        <v>1051</v>
      </c>
      <c r="F2134" s="5" t="s">
        <v>1009</v>
      </c>
      <c r="G2134" s="6" t="str">
        <f aca="false">INDEX(Catalogo_Causas!$B$2:$B$10,MATCH(F2134,Catalogo_Causas!$A$2:$A$10,0))</f>
        <v>Falta de material de empaque</v>
      </c>
      <c r="H2134" s="6" t="str">
        <f aca="false">INDEX(Catalogo_Causas!$C$2:$C$10,MATCH(F2134,Catalogo_Causas!$A$2:$A$10,0))</f>
        <v>Material / suministro</v>
      </c>
      <c r="I2134" s="5" t="n">
        <v>17</v>
      </c>
      <c r="J2134" s="29" t="n">
        <f aca="false">I2134/60</f>
        <v>0.283333333333333</v>
      </c>
    </row>
    <row r="2135" customFormat="false" ht="15" hidden="false" customHeight="false" outlineLevel="0" collapsed="false">
      <c r="A2135" s="5" t="s">
        <v>3177</v>
      </c>
      <c r="B2135" s="9" t="n">
        <v>46258</v>
      </c>
      <c r="C2135" s="9" t="n">
        <v>46260</v>
      </c>
      <c r="D2135" s="5" t="s">
        <v>142</v>
      </c>
      <c r="E2135" s="5" t="s">
        <v>1030</v>
      </c>
      <c r="F2135" s="5" t="s">
        <v>1016</v>
      </c>
      <c r="G2135" s="6" t="str">
        <f aca="false">INDEX(Catalogo_Causas!$B$2:$B$10,MATCH(F2135,Catalogo_Causas!$A$2:$A$10,0))</f>
        <v>Limpieza no programada (CIP)</v>
      </c>
      <c r="H2135" s="6" t="str">
        <f aca="false">INDEX(Catalogo_Causas!$C$2:$C$10,MATCH(F2135,Catalogo_Causas!$A$2:$A$10,0))</f>
        <v>Calidad</v>
      </c>
      <c r="I2135" s="5" t="n">
        <v>149</v>
      </c>
      <c r="J2135" s="29" t="n">
        <f aca="false">I2135/60</f>
        <v>2.48333333333333</v>
      </c>
    </row>
    <row r="2136" customFormat="false" ht="15" hidden="false" customHeight="false" outlineLevel="0" collapsed="false">
      <c r="A2136" s="5" t="s">
        <v>3178</v>
      </c>
      <c r="B2136" s="9" t="n">
        <v>46258</v>
      </c>
      <c r="C2136" s="9" t="n">
        <v>46261</v>
      </c>
      <c r="D2136" s="5" t="s">
        <v>134</v>
      </c>
      <c r="E2136" s="5" t="s">
        <v>1054</v>
      </c>
      <c r="F2136" s="5" t="s">
        <v>1002</v>
      </c>
      <c r="G2136" s="6" t="str">
        <f aca="false">INDEX(Catalogo_Causas!$B$2:$B$10,MATCH(F2136,Catalogo_Causas!$A$2:$A$10,0))</f>
        <v>Falla mecánica</v>
      </c>
      <c r="H2136" s="6" t="str">
        <f aca="false">INDEX(Catalogo_Causas!$C$2:$C$10,MATCH(F2136,Catalogo_Causas!$A$2:$A$10,0))</f>
        <v>Operacional</v>
      </c>
      <c r="I2136" s="5" t="n">
        <v>37</v>
      </c>
      <c r="J2136" s="29" t="n">
        <f aca="false">I2136/60</f>
        <v>0.616666666666667</v>
      </c>
    </row>
    <row r="2137" customFormat="false" ht="15" hidden="false" customHeight="false" outlineLevel="0" collapsed="false">
      <c r="A2137" s="5" t="s">
        <v>3179</v>
      </c>
      <c r="B2137" s="9" t="n">
        <v>46258</v>
      </c>
      <c r="C2137" s="9" t="n">
        <v>46261</v>
      </c>
      <c r="D2137" s="5" t="s">
        <v>136</v>
      </c>
      <c r="E2137" s="5" t="s">
        <v>1101</v>
      </c>
      <c r="F2137" s="5" t="s">
        <v>1002</v>
      </c>
      <c r="G2137" s="6" t="str">
        <f aca="false">INDEX(Catalogo_Causas!$B$2:$B$10,MATCH(F2137,Catalogo_Causas!$A$2:$A$10,0))</f>
        <v>Falla mecánica</v>
      </c>
      <c r="H2137" s="6" t="str">
        <f aca="false">INDEX(Catalogo_Causas!$C$2:$C$10,MATCH(F2137,Catalogo_Causas!$A$2:$A$10,0))</f>
        <v>Operacional</v>
      </c>
      <c r="I2137" s="5" t="n">
        <v>43</v>
      </c>
      <c r="J2137" s="29" t="n">
        <f aca="false">I2137/60</f>
        <v>0.716666666666667</v>
      </c>
    </row>
    <row r="2138" customFormat="false" ht="15" hidden="false" customHeight="false" outlineLevel="0" collapsed="false">
      <c r="A2138" s="5" t="s">
        <v>3180</v>
      </c>
      <c r="B2138" s="9" t="n">
        <v>46258</v>
      </c>
      <c r="C2138" s="9" t="n">
        <v>46261</v>
      </c>
      <c r="D2138" s="5" t="s">
        <v>138</v>
      </c>
      <c r="E2138" s="5" t="s">
        <v>1034</v>
      </c>
      <c r="F2138" s="5" t="s">
        <v>1021</v>
      </c>
      <c r="G2138" s="6" t="str">
        <f aca="false">INDEX(Catalogo_Causas!$B$2:$B$10,MATCH(F2138,Catalogo_Causas!$A$2:$A$10,0))</f>
        <v>Falla de servicios (vapor/amoniaco/aire)</v>
      </c>
      <c r="H2138" s="6" t="str">
        <f aca="false">INDEX(Catalogo_Causas!$C$2:$C$10,MATCH(F2138,Catalogo_Causas!$A$2:$A$10,0))</f>
        <v>Servicios</v>
      </c>
      <c r="I2138" s="5" t="n">
        <v>107</v>
      </c>
      <c r="J2138" s="29" t="n">
        <f aca="false">I2138/60</f>
        <v>1.78333333333333</v>
      </c>
    </row>
    <row r="2139" customFormat="false" ht="15" hidden="false" customHeight="false" outlineLevel="0" collapsed="false">
      <c r="A2139" s="5" t="s">
        <v>3181</v>
      </c>
      <c r="B2139" s="9" t="n">
        <v>46258</v>
      </c>
      <c r="C2139" s="9" t="n">
        <v>46261</v>
      </c>
      <c r="D2139" s="5" t="s">
        <v>142</v>
      </c>
      <c r="E2139" s="5" t="s">
        <v>1051</v>
      </c>
      <c r="F2139" s="5" t="s">
        <v>1007</v>
      </c>
      <c r="G2139" s="6" t="str">
        <f aca="false">INDEX(Catalogo_Causas!$B$2:$B$10,MATCH(F2139,Catalogo_Causas!$A$2:$A$10,0))</f>
        <v>Cambio de formato excedido</v>
      </c>
      <c r="H2139" s="6" t="str">
        <f aca="false">INDEX(Catalogo_Causas!$C$2:$C$10,MATCH(F2139,Catalogo_Causas!$A$2:$A$10,0))</f>
        <v>Operacional</v>
      </c>
      <c r="I2139" s="5" t="n">
        <v>43</v>
      </c>
      <c r="J2139" s="29" t="n">
        <f aca="false">I2139/60</f>
        <v>0.716666666666667</v>
      </c>
    </row>
    <row r="2140" customFormat="false" ht="15" hidden="false" customHeight="false" outlineLevel="0" collapsed="false">
      <c r="A2140" s="5" t="s">
        <v>3182</v>
      </c>
      <c r="B2140" s="9" t="n">
        <v>46258</v>
      </c>
      <c r="C2140" s="9" t="n">
        <v>46262</v>
      </c>
      <c r="D2140" s="5" t="s">
        <v>140</v>
      </c>
      <c r="E2140" s="5" t="s">
        <v>1045</v>
      </c>
      <c r="F2140" s="5" t="s">
        <v>1002</v>
      </c>
      <c r="G2140" s="6" t="str">
        <f aca="false">INDEX(Catalogo_Causas!$B$2:$B$10,MATCH(F2140,Catalogo_Causas!$A$2:$A$10,0))</f>
        <v>Falla mecánica</v>
      </c>
      <c r="H2140" s="6" t="str">
        <f aca="false">INDEX(Catalogo_Causas!$C$2:$C$10,MATCH(F2140,Catalogo_Causas!$A$2:$A$10,0))</f>
        <v>Operacional</v>
      </c>
      <c r="I2140" s="5" t="n">
        <v>71</v>
      </c>
      <c r="J2140" s="29" t="n">
        <f aca="false">I2140/60</f>
        <v>1.18333333333333</v>
      </c>
    </row>
    <row r="2141" customFormat="false" ht="15" hidden="false" customHeight="false" outlineLevel="0" collapsed="false">
      <c r="A2141" s="5" t="s">
        <v>3183</v>
      </c>
      <c r="B2141" s="9" t="n">
        <v>46258</v>
      </c>
      <c r="C2141" s="9" t="n">
        <v>46263</v>
      </c>
      <c r="D2141" s="5" t="s">
        <v>132</v>
      </c>
      <c r="E2141" s="5" t="s">
        <v>1073</v>
      </c>
      <c r="F2141" s="5" t="s">
        <v>1007</v>
      </c>
      <c r="G2141" s="6" t="str">
        <f aca="false">INDEX(Catalogo_Causas!$B$2:$B$10,MATCH(F2141,Catalogo_Causas!$A$2:$A$10,0))</f>
        <v>Cambio de formato excedido</v>
      </c>
      <c r="H2141" s="6" t="str">
        <f aca="false">INDEX(Catalogo_Causas!$C$2:$C$10,MATCH(F2141,Catalogo_Causas!$A$2:$A$10,0))</f>
        <v>Operacional</v>
      </c>
      <c r="I2141" s="5" t="n">
        <v>21</v>
      </c>
      <c r="J2141" s="29" t="n">
        <f aca="false">I2141/60</f>
        <v>0.35</v>
      </c>
    </row>
    <row r="2142" customFormat="false" ht="15" hidden="false" customHeight="false" outlineLevel="0" collapsed="false">
      <c r="A2142" s="5" t="s">
        <v>3184</v>
      </c>
      <c r="B2142" s="9" t="n">
        <v>46258</v>
      </c>
      <c r="C2142" s="9" t="n">
        <v>46263</v>
      </c>
      <c r="D2142" s="5" t="s">
        <v>138</v>
      </c>
      <c r="E2142" s="5" t="s">
        <v>1039</v>
      </c>
      <c r="F2142" s="5" t="s">
        <v>1002</v>
      </c>
      <c r="G2142" s="6" t="str">
        <f aca="false">INDEX(Catalogo_Causas!$B$2:$B$10,MATCH(F2142,Catalogo_Causas!$A$2:$A$10,0))</f>
        <v>Falla mecánica</v>
      </c>
      <c r="H2142" s="6" t="str">
        <f aca="false">INDEX(Catalogo_Causas!$C$2:$C$10,MATCH(F2142,Catalogo_Causas!$A$2:$A$10,0))</f>
        <v>Operacional</v>
      </c>
      <c r="I2142" s="5" t="n">
        <v>10</v>
      </c>
      <c r="J2142" s="29" t="n">
        <f aca="false">I2142/60</f>
        <v>0.166666666666667</v>
      </c>
    </row>
    <row r="2143" customFormat="false" ht="15" hidden="false" customHeight="false" outlineLevel="0" collapsed="false">
      <c r="A2143" s="5" t="s">
        <v>3185</v>
      </c>
      <c r="B2143" s="9" t="n">
        <v>46265</v>
      </c>
      <c r="C2143" s="9" t="n">
        <v>46265</v>
      </c>
      <c r="D2143" s="5" t="s">
        <v>130</v>
      </c>
      <c r="E2143" s="5" t="s">
        <v>1045</v>
      </c>
      <c r="F2143" s="5" t="s">
        <v>1007</v>
      </c>
      <c r="G2143" s="6" t="str">
        <f aca="false">INDEX(Catalogo_Causas!$B$2:$B$10,MATCH(F2143,Catalogo_Causas!$A$2:$A$10,0))</f>
        <v>Cambio de formato excedido</v>
      </c>
      <c r="H2143" s="6" t="str">
        <f aca="false">INDEX(Catalogo_Causas!$C$2:$C$10,MATCH(F2143,Catalogo_Causas!$A$2:$A$10,0))</f>
        <v>Operacional</v>
      </c>
      <c r="I2143" s="5" t="n">
        <v>56</v>
      </c>
      <c r="J2143" s="29" t="n">
        <f aca="false">I2143/60</f>
        <v>0.933333333333333</v>
      </c>
    </row>
    <row r="2144" customFormat="false" ht="15" hidden="false" customHeight="false" outlineLevel="0" collapsed="false">
      <c r="A2144" s="5" t="s">
        <v>3186</v>
      </c>
      <c r="B2144" s="9" t="n">
        <v>46265</v>
      </c>
      <c r="C2144" s="9" t="n">
        <v>46265</v>
      </c>
      <c r="D2144" s="5" t="s">
        <v>142</v>
      </c>
      <c r="E2144" s="5" t="s">
        <v>1041</v>
      </c>
      <c r="F2144" s="5" t="s">
        <v>1002</v>
      </c>
      <c r="G2144" s="6" t="str">
        <f aca="false">INDEX(Catalogo_Causas!$B$2:$B$10,MATCH(F2144,Catalogo_Causas!$A$2:$A$10,0))</f>
        <v>Falla mecánica</v>
      </c>
      <c r="H2144" s="6" t="str">
        <f aca="false">INDEX(Catalogo_Causas!$C$2:$C$10,MATCH(F2144,Catalogo_Causas!$A$2:$A$10,0))</f>
        <v>Operacional</v>
      </c>
      <c r="I2144" s="5" t="n">
        <v>42</v>
      </c>
      <c r="J2144" s="29" t="n">
        <f aca="false">I2144/60</f>
        <v>0.7</v>
      </c>
    </row>
    <row r="2145" customFormat="false" ht="15" hidden="false" customHeight="false" outlineLevel="0" collapsed="false">
      <c r="A2145" s="5" t="s">
        <v>3187</v>
      </c>
      <c r="B2145" s="9" t="n">
        <v>46265</v>
      </c>
      <c r="C2145" s="9" t="n">
        <v>46266</v>
      </c>
      <c r="D2145" s="5" t="s">
        <v>138</v>
      </c>
      <c r="E2145" s="5" t="s">
        <v>1034</v>
      </c>
      <c r="F2145" s="5" t="s">
        <v>1002</v>
      </c>
      <c r="G2145" s="6" t="str">
        <f aca="false">INDEX(Catalogo_Causas!$B$2:$B$10,MATCH(F2145,Catalogo_Causas!$A$2:$A$10,0))</f>
        <v>Falla mecánica</v>
      </c>
      <c r="H2145" s="6" t="str">
        <f aca="false">INDEX(Catalogo_Causas!$C$2:$C$10,MATCH(F2145,Catalogo_Causas!$A$2:$A$10,0))</f>
        <v>Operacional</v>
      </c>
      <c r="I2145" s="5" t="n">
        <v>117</v>
      </c>
      <c r="J2145" s="29" t="n">
        <f aca="false">I2145/60</f>
        <v>1.95</v>
      </c>
    </row>
    <row r="2146" customFormat="false" ht="15" hidden="false" customHeight="false" outlineLevel="0" collapsed="false">
      <c r="A2146" s="5" t="s">
        <v>3188</v>
      </c>
      <c r="B2146" s="9" t="n">
        <v>46265</v>
      </c>
      <c r="C2146" s="9" t="n">
        <v>46266</v>
      </c>
      <c r="D2146" s="5" t="s">
        <v>142</v>
      </c>
      <c r="E2146" s="5" t="s">
        <v>1051</v>
      </c>
      <c r="F2146" s="5" t="s">
        <v>1005</v>
      </c>
      <c r="G2146" s="6" t="str">
        <f aca="false">INDEX(Catalogo_Causas!$B$2:$B$10,MATCH(F2146,Catalogo_Causas!$A$2:$A$10,0))</f>
        <v>Falla eléctrica / control</v>
      </c>
      <c r="H2146" s="6" t="str">
        <f aca="false">INDEX(Catalogo_Causas!$C$2:$C$10,MATCH(F2146,Catalogo_Causas!$A$2:$A$10,0))</f>
        <v>Operacional</v>
      </c>
      <c r="I2146" s="5" t="n">
        <v>66</v>
      </c>
      <c r="J2146" s="29" t="n">
        <f aca="false">I2146/60</f>
        <v>1.1</v>
      </c>
    </row>
    <row r="2147" customFormat="false" ht="15" hidden="false" customHeight="false" outlineLevel="0" collapsed="false">
      <c r="A2147" s="5" t="s">
        <v>3189</v>
      </c>
      <c r="B2147" s="9" t="n">
        <v>46265</v>
      </c>
      <c r="C2147" s="9" t="n">
        <v>46266</v>
      </c>
      <c r="D2147" s="5" t="s">
        <v>144</v>
      </c>
      <c r="E2147" s="5" t="s">
        <v>1032</v>
      </c>
      <c r="F2147" s="5" t="s">
        <v>1002</v>
      </c>
      <c r="G2147" s="6" t="str">
        <f aca="false">INDEX(Catalogo_Causas!$B$2:$B$10,MATCH(F2147,Catalogo_Causas!$A$2:$A$10,0))</f>
        <v>Falla mecánica</v>
      </c>
      <c r="H2147" s="6" t="str">
        <f aca="false">INDEX(Catalogo_Causas!$C$2:$C$10,MATCH(F2147,Catalogo_Causas!$A$2:$A$10,0))</f>
        <v>Operacional</v>
      </c>
      <c r="I2147" s="5" t="n">
        <v>45</v>
      </c>
      <c r="J2147" s="29" t="n">
        <f aca="false">I2147/60</f>
        <v>0.75</v>
      </c>
    </row>
    <row r="2148" customFormat="false" ht="15" hidden="false" customHeight="false" outlineLevel="0" collapsed="false">
      <c r="A2148" s="5" t="s">
        <v>3190</v>
      </c>
      <c r="B2148" s="9" t="n">
        <v>46265</v>
      </c>
      <c r="C2148" s="9" t="n">
        <v>46266</v>
      </c>
      <c r="D2148" s="5" t="s">
        <v>144</v>
      </c>
      <c r="E2148" s="5" t="s">
        <v>1032</v>
      </c>
      <c r="F2148" s="5" t="s">
        <v>1002</v>
      </c>
      <c r="G2148" s="6" t="str">
        <f aca="false">INDEX(Catalogo_Causas!$B$2:$B$10,MATCH(F2148,Catalogo_Causas!$A$2:$A$10,0))</f>
        <v>Falla mecánica</v>
      </c>
      <c r="H2148" s="6" t="str">
        <f aca="false">INDEX(Catalogo_Causas!$C$2:$C$10,MATCH(F2148,Catalogo_Causas!$A$2:$A$10,0))</f>
        <v>Operacional</v>
      </c>
      <c r="I2148" s="5" t="n">
        <v>171</v>
      </c>
      <c r="J2148" s="29" t="n">
        <f aca="false">I2148/60</f>
        <v>2.85</v>
      </c>
    </row>
    <row r="2149" customFormat="false" ht="15" hidden="false" customHeight="false" outlineLevel="0" collapsed="false">
      <c r="A2149" s="5" t="s">
        <v>3191</v>
      </c>
      <c r="B2149" s="9" t="n">
        <v>46265</v>
      </c>
      <c r="C2149" s="9" t="n">
        <v>46267</v>
      </c>
      <c r="D2149" s="5" t="s">
        <v>132</v>
      </c>
      <c r="E2149" s="5" t="s">
        <v>1032</v>
      </c>
      <c r="F2149" s="5" t="s">
        <v>1005</v>
      </c>
      <c r="G2149" s="6" t="str">
        <f aca="false">INDEX(Catalogo_Causas!$B$2:$B$10,MATCH(F2149,Catalogo_Causas!$A$2:$A$10,0))</f>
        <v>Falla eléctrica / control</v>
      </c>
      <c r="H2149" s="6" t="str">
        <f aca="false">INDEX(Catalogo_Causas!$C$2:$C$10,MATCH(F2149,Catalogo_Causas!$A$2:$A$10,0))</f>
        <v>Operacional</v>
      </c>
      <c r="I2149" s="5" t="n">
        <v>124</v>
      </c>
      <c r="J2149" s="29" t="n">
        <f aca="false">I2149/60</f>
        <v>2.06666666666667</v>
      </c>
    </row>
    <row r="2150" customFormat="false" ht="15" hidden="false" customHeight="false" outlineLevel="0" collapsed="false">
      <c r="A2150" s="5" t="s">
        <v>3192</v>
      </c>
      <c r="B2150" s="9" t="n">
        <v>46265</v>
      </c>
      <c r="C2150" s="9" t="n">
        <v>46267</v>
      </c>
      <c r="D2150" s="5" t="s">
        <v>138</v>
      </c>
      <c r="E2150" s="5" t="s">
        <v>1034</v>
      </c>
      <c r="F2150" s="5" t="s">
        <v>1002</v>
      </c>
      <c r="G2150" s="6" t="str">
        <f aca="false">INDEX(Catalogo_Causas!$B$2:$B$10,MATCH(F2150,Catalogo_Causas!$A$2:$A$10,0))</f>
        <v>Falla mecánica</v>
      </c>
      <c r="H2150" s="6" t="str">
        <f aca="false">INDEX(Catalogo_Causas!$C$2:$C$10,MATCH(F2150,Catalogo_Causas!$A$2:$A$10,0))</f>
        <v>Operacional</v>
      </c>
      <c r="I2150" s="5" t="n">
        <v>67</v>
      </c>
      <c r="J2150" s="29" t="n">
        <f aca="false">I2150/60</f>
        <v>1.11666666666667</v>
      </c>
    </row>
    <row r="2151" customFormat="false" ht="15" hidden="false" customHeight="false" outlineLevel="0" collapsed="false">
      <c r="A2151" s="5" t="s">
        <v>3193</v>
      </c>
      <c r="B2151" s="9" t="n">
        <v>46265</v>
      </c>
      <c r="C2151" s="9" t="n">
        <v>46267</v>
      </c>
      <c r="D2151" s="5" t="s">
        <v>142</v>
      </c>
      <c r="E2151" s="5" t="s">
        <v>1041</v>
      </c>
      <c r="F2151" s="5" t="s">
        <v>1012</v>
      </c>
      <c r="G2151" s="6" t="str">
        <f aca="false">INDEX(Catalogo_Causas!$B$2:$B$10,MATCH(F2151,Catalogo_Causas!$A$2:$A$10,0))</f>
        <v>Falta de materia prima</v>
      </c>
      <c r="H2151" s="6" t="str">
        <f aca="false">INDEX(Catalogo_Causas!$C$2:$C$10,MATCH(F2151,Catalogo_Causas!$A$2:$A$10,0))</f>
        <v>Material / suministro</v>
      </c>
      <c r="I2151" s="5" t="n">
        <v>97</v>
      </c>
      <c r="J2151" s="29" t="n">
        <f aca="false">I2151/60</f>
        <v>1.61666666666667</v>
      </c>
    </row>
    <row r="2152" customFormat="false" ht="15" hidden="false" customHeight="false" outlineLevel="0" collapsed="false">
      <c r="A2152" s="5" t="s">
        <v>3194</v>
      </c>
      <c r="B2152" s="9" t="n">
        <v>46265</v>
      </c>
      <c r="C2152" s="9" t="n">
        <v>46267</v>
      </c>
      <c r="D2152" s="5" t="s">
        <v>144</v>
      </c>
      <c r="E2152" s="5" t="s">
        <v>1030</v>
      </c>
      <c r="F2152" s="5" t="s">
        <v>1002</v>
      </c>
      <c r="G2152" s="6" t="str">
        <f aca="false">INDEX(Catalogo_Causas!$B$2:$B$10,MATCH(F2152,Catalogo_Causas!$A$2:$A$10,0))</f>
        <v>Falla mecánica</v>
      </c>
      <c r="H2152" s="6" t="str">
        <f aca="false">INDEX(Catalogo_Causas!$C$2:$C$10,MATCH(F2152,Catalogo_Causas!$A$2:$A$10,0))</f>
        <v>Operacional</v>
      </c>
      <c r="I2152" s="5" t="n">
        <v>28</v>
      </c>
      <c r="J2152" s="29" t="n">
        <f aca="false">I2152/60</f>
        <v>0.466666666666667</v>
      </c>
    </row>
    <row r="2153" customFormat="false" ht="15" hidden="false" customHeight="false" outlineLevel="0" collapsed="false">
      <c r="A2153" s="5" t="s">
        <v>3195</v>
      </c>
      <c r="B2153" s="9" t="n">
        <v>46265</v>
      </c>
      <c r="C2153" s="9" t="n">
        <v>46268</v>
      </c>
      <c r="D2153" s="5" t="s">
        <v>138</v>
      </c>
      <c r="E2153" s="5" t="s">
        <v>1039</v>
      </c>
      <c r="F2153" s="5" t="s">
        <v>1005</v>
      </c>
      <c r="G2153" s="6" t="str">
        <f aca="false">INDEX(Catalogo_Causas!$B$2:$B$10,MATCH(F2153,Catalogo_Causas!$A$2:$A$10,0))</f>
        <v>Falla eléctrica / control</v>
      </c>
      <c r="H2153" s="6" t="str">
        <f aca="false">INDEX(Catalogo_Causas!$C$2:$C$10,MATCH(F2153,Catalogo_Causas!$A$2:$A$10,0))</f>
        <v>Operacional</v>
      </c>
      <c r="I2153" s="5" t="n">
        <v>18</v>
      </c>
      <c r="J2153" s="29" t="n">
        <f aca="false">I2153/60</f>
        <v>0.3</v>
      </c>
    </row>
    <row r="2154" customFormat="false" ht="15" hidden="false" customHeight="false" outlineLevel="0" collapsed="false">
      <c r="A2154" s="5" t="s">
        <v>3196</v>
      </c>
      <c r="B2154" s="9" t="n">
        <v>46265</v>
      </c>
      <c r="C2154" s="9" t="n">
        <v>46268</v>
      </c>
      <c r="D2154" s="5" t="s">
        <v>138</v>
      </c>
      <c r="E2154" s="5" t="s">
        <v>1034</v>
      </c>
      <c r="F2154" s="5" t="s">
        <v>1012</v>
      </c>
      <c r="G2154" s="6" t="str">
        <f aca="false">INDEX(Catalogo_Causas!$B$2:$B$10,MATCH(F2154,Catalogo_Causas!$A$2:$A$10,0))</f>
        <v>Falta de materia prima</v>
      </c>
      <c r="H2154" s="6" t="str">
        <f aca="false">INDEX(Catalogo_Causas!$C$2:$C$10,MATCH(F2154,Catalogo_Causas!$A$2:$A$10,0))</f>
        <v>Material / suministro</v>
      </c>
      <c r="I2154" s="5" t="n">
        <v>116</v>
      </c>
      <c r="J2154" s="29" t="n">
        <f aca="false">I2154/60</f>
        <v>1.93333333333333</v>
      </c>
    </row>
    <row r="2155" customFormat="false" ht="15" hidden="false" customHeight="false" outlineLevel="0" collapsed="false">
      <c r="A2155" s="5" t="s">
        <v>3197</v>
      </c>
      <c r="B2155" s="9" t="n">
        <v>46265</v>
      </c>
      <c r="C2155" s="9" t="n">
        <v>46268</v>
      </c>
      <c r="D2155" s="5" t="s">
        <v>140</v>
      </c>
      <c r="E2155" s="5" t="s">
        <v>1032</v>
      </c>
      <c r="F2155" s="5" t="s">
        <v>1016</v>
      </c>
      <c r="G2155" s="6" t="str">
        <f aca="false">INDEX(Catalogo_Causas!$B$2:$B$10,MATCH(F2155,Catalogo_Causas!$A$2:$A$10,0))</f>
        <v>Limpieza no programada (CIP)</v>
      </c>
      <c r="H2155" s="6" t="str">
        <f aca="false">INDEX(Catalogo_Causas!$C$2:$C$10,MATCH(F2155,Catalogo_Causas!$A$2:$A$10,0))</f>
        <v>Calidad</v>
      </c>
      <c r="I2155" s="5" t="n">
        <v>39</v>
      </c>
      <c r="J2155" s="29" t="n">
        <f aca="false">I2155/60</f>
        <v>0.65</v>
      </c>
    </row>
    <row r="2156" customFormat="false" ht="15" hidden="false" customHeight="false" outlineLevel="0" collapsed="false">
      <c r="A2156" s="5" t="s">
        <v>3198</v>
      </c>
      <c r="B2156" s="9" t="n">
        <v>46265</v>
      </c>
      <c r="C2156" s="9" t="n">
        <v>46268</v>
      </c>
      <c r="D2156" s="5" t="s">
        <v>142</v>
      </c>
      <c r="E2156" s="5" t="s">
        <v>1051</v>
      </c>
      <c r="F2156" s="5" t="s">
        <v>1016</v>
      </c>
      <c r="G2156" s="6" t="str">
        <f aca="false">INDEX(Catalogo_Causas!$B$2:$B$10,MATCH(F2156,Catalogo_Causas!$A$2:$A$10,0))</f>
        <v>Limpieza no programada (CIP)</v>
      </c>
      <c r="H2156" s="6" t="str">
        <f aca="false">INDEX(Catalogo_Causas!$C$2:$C$10,MATCH(F2156,Catalogo_Causas!$A$2:$A$10,0))</f>
        <v>Calidad</v>
      </c>
      <c r="I2156" s="5" t="n">
        <v>27</v>
      </c>
      <c r="J2156" s="29" t="n">
        <f aca="false">I2156/60</f>
        <v>0.45</v>
      </c>
    </row>
    <row r="2157" customFormat="false" ht="15" hidden="false" customHeight="false" outlineLevel="0" collapsed="false">
      <c r="A2157" s="5" t="s">
        <v>3199</v>
      </c>
      <c r="B2157" s="9" t="n">
        <v>46265</v>
      </c>
      <c r="C2157" s="9" t="n">
        <v>46269</v>
      </c>
      <c r="D2157" s="5" t="s">
        <v>130</v>
      </c>
      <c r="E2157" s="5" t="s">
        <v>1078</v>
      </c>
      <c r="F2157" s="5" t="s">
        <v>1009</v>
      </c>
      <c r="G2157" s="6" t="str">
        <f aca="false">INDEX(Catalogo_Causas!$B$2:$B$10,MATCH(F2157,Catalogo_Causas!$A$2:$A$10,0))</f>
        <v>Falta de material de empaque</v>
      </c>
      <c r="H2157" s="6" t="str">
        <f aca="false">INDEX(Catalogo_Causas!$C$2:$C$10,MATCH(F2157,Catalogo_Causas!$A$2:$A$10,0))</f>
        <v>Material / suministro</v>
      </c>
      <c r="I2157" s="5" t="n">
        <v>116</v>
      </c>
      <c r="J2157" s="29" t="n">
        <f aca="false">I2157/60</f>
        <v>1.93333333333333</v>
      </c>
    </row>
    <row r="2158" customFormat="false" ht="15" hidden="false" customHeight="false" outlineLevel="0" collapsed="false">
      <c r="A2158" s="5" t="s">
        <v>3200</v>
      </c>
      <c r="B2158" s="9" t="n">
        <v>46265</v>
      </c>
      <c r="C2158" s="9" t="n">
        <v>46269</v>
      </c>
      <c r="D2158" s="5" t="s">
        <v>142</v>
      </c>
      <c r="E2158" s="5" t="s">
        <v>1051</v>
      </c>
      <c r="F2158" s="5" t="s">
        <v>1016</v>
      </c>
      <c r="G2158" s="6" t="str">
        <f aca="false">INDEX(Catalogo_Causas!$B$2:$B$10,MATCH(F2158,Catalogo_Causas!$A$2:$A$10,0))</f>
        <v>Limpieza no programada (CIP)</v>
      </c>
      <c r="H2158" s="6" t="str">
        <f aca="false">INDEX(Catalogo_Causas!$C$2:$C$10,MATCH(F2158,Catalogo_Causas!$A$2:$A$10,0))</f>
        <v>Calidad</v>
      </c>
      <c r="I2158" s="5" t="n">
        <v>97</v>
      </c>
      <c r="J2158" s="29" t="n">
        <f aca="false">I2158/60</f>
        <v>1.61666666666667</v>
      </c>
    </row>
    <row r="2159" customFormat="false" ht="15" hidden="false" customHeight="false" outlineLevel="0" collapsed="false">
      <c r="A2159" s="5" t="s">
        <v>3201</v>
      </c>
      <c r="B2159" s="9" t="n">
        <v>46265</v>
      </c>
      <c r="C2159" s="9" t="n">
        <v>46269</v>
      </c>
      <c r="D2159" s="5" t="s">
        <v>142</v>
      </c>
      <c r="E2159" s="5" t="s">
        <v>1030</v>
      </c>
      <c r="F2159" s="5" t="s">
        <v>1016</v>
      </c>
      <c r="G2159" s="6" t="str">
        <f aca="false">INDEX(Catalogo_Causas!$B$2:$B$10,MATCH(F2159,Catalogo_Causas!$A$2:$A$10,0))</f>
        <v>Limpieza no programada (CIP)</v>
      </c>
      <c r="H2159" s="6" t="str">
        <f aca="false">INDEX(Catalogo_Causas!$C$2:$C$10,MATCH(F2159,Catalogo_Causas!$A$2:$A$10,0))</f>
        <v>Calidad</v>
      </c>
      <c r="I2159" s="5" t="n">
        <v>240</v>
      </c>
      <c r="J2159" s="29" t="n">
        <f aca="false">I2159/60</f>
        <v>4</v>
      </c>
    </row>
    <row r="2160" customFormat="false" ht="15" hidden="false" customHeight="false" outlineLevel="0" collapsed="false">
      <c r="A2160" s="5" t="s">
        <v>3202</v>
      </c>
      <c r="B2160" s="9" t="n">
        <v>46265</v>
      </c>
      <c r="C2160" s="9" t="n">
        <v>46270</v>
      </c>
      <c r="D2160" s="5" t="s">
        <v>130</v>
      </c>
      <c r="E2160" s="5" t="s">
        <v>1045</v>
      </c>
      <c r="F2160" s="5" t="s">
        <v>1009</v>
      </c>
      <c r="G2160" s="6" t="str">
        <f aca="false">INDEX(Catalogo_Causas!$B$2:$B$10,MATCH(F2160,Catalogo_Causas!$A$2:$A$10,0))</f>
        <v>Falta de material de empaque</v>
      </c>
      <c r="H2160" s="6" t="str">
        <f aca="false">INDEX(Catalogo_Causas!$C$2:$C$10,MATCH(F2160,Catalogo_Causas!$A$2:$A$10,0))</f>
        <v>Material / suministro</v>
      </c>
      <c r="I2160" s="5" t="n">
        <v>49</v>
      </c>
      <c r="J2160" s="29" t="n">
        <f aca="false">I2160/60</f>
        <v>0.816666666666667</v>
      </c>
    </row>
    <row r="2161" customFormat="false" ht="15" hidden="false" customHeight="false" outlineLevel="0" collapsed="false">
      <c r="A2161" s="5" t="s">
        <v>3203</v>
      </c>
      <c r="B2161" s="9" t="n">
        <v>46265</v>
      </c>
      <c r="C2161" s="9" t="n">
        <v>46270</v>
      </c>
      <c r="D2161" s="5" t="s">
        <v>134</v>
      </c>
      <c r="E2161" s="5" t="s">
        <v>1054</v>
      </c>
      <c r="F2161" s="5" t="s">
        <v>1007</v>
      </c>
      <c r="G2161" s="6" t="str">
        <f aca="false">INDEX(Catalogo_Causas!$B$2:$B$10,MATCH(F2161,Catalogo_Causas!$A$2:$A$10,0))</f>
        <v>Cambio de formato excedido</v>
      </c>
      <c r="H2161" s="6" t="str">
        <f aca="false">INDEX(Catalogo_Causas!$C$2:$C$10,MATCH(F2161,Catalogo_Causas!$A$2:$A$10,0))</f>
        <v>Operacional</v>
      </c>
      <c r="I2161" s="5" t="n">
        <v>56</v>
      </c>
      <c r="J2161" s="29" t="n">
        <f aca="false">I2161/60</f>
        <v>0.933333333333333</v>
      </c>
    </row>
    <row r="2162" customFormat="false" ht="15" hidden="false" customHeight="false" outlineLevel="0" collapsed="false">
      <c r="A2162" s="5" t="s">
        <v>3204</v>
      </c>
      <c r="B2162" s="9" t="n">
        <v>46265</v>
      </c>
      <c r="C2162" s="9" t="n">
        <v>46270</v>
      </c>
      <c r="D2162" s="5" t="s">
        <v>136</v>
      </c>
      <c r="E2162" s="5" t="s">
        <v>1051</v>
      </c>
      <c r="F2162" s="5" t="s">
        <v>1002</v>
      </c>
      <c r="G2162" s="6" t="str">
        <f aca="false">INDEX(Catalogo_Causas!$B$2:$B$10,MATCH(F2162,Catalogo_Causas!$A$2:$A$10,0))</f>
        <v>Falla mecánica</v>
      </c>
      <c r="H2162" s="6" t="str">
        <f aca="false">INDEX(Catalogo_Causas!$C$2:$C$10,MATCH(F2162,Catalogo_Causas!$A$2:$A$10,0))</f>
        <v>Operacional</v>
      </c>
      <c r="I2162" s="5" t="n">
        <v>40</v>
      </c>
      <c r="J2162" s="29" t="n">
        <f aca="false">I2162/60</f>
        <v>0.666666666666667</v>
      </c>
    </row>
    <row r="2163" customFormat="false" ht="15" hidden="false" customHeight="false" outlineLevel="0" collapsed="false">
      <c r="A2163" s="5" t="s">
        <v>3205</v>
      </c>
      <c r="B2163" s="9" t="n">
        <v>46265</v>
      </c>
      <c r="C2163" s="9" t="n">
        <v>46270</v>
      </c>
      <c r="D2163" s="5" t="s">
        <v>138</v>
      </c>
      <c r="E2163" s="5" t="s">
        <v>1056</v>
      </c>
      <c r="F2163" s="5" t="s">
        <v>1007</v>
      </c>
      <c r="G2163" s="6" t="str">
        <f aca="false">INDEX(Catalogo_Causas!$B$2:$B$10,MATCH(F2163,Catalogo_Causas!$A$2:$A$10,0))</f>
        <v>Cambio de formato excedido</v>
      </c>
      <c r="H2163" s="6" t="str">
        <f aca="false">INDEX(Catalogo_Causas!$C$2:$C$10,MATCH(F2163,Catalogo_Causas!$A$2:$A$10,0))</f>
        <v>Operacional</v>
      </c>
      <c r="I2163" s="5" t="n">
        <v>69</v>
      </c>
      <c r="J2163" s="29" t="n">
        <f aca="false">I2163/60</f>
        <v>1.15</v>
      </c>
    </row>
    <row r="2164" customFormat="false" ht="15" hidden="false" customHeight="false" outlineLevel="0" collapsed="false">
      <c r="A2164" s="5" t="s">
        <v>3206</v>
      </c>
      <c r="B2164" s="9" t="n">
        <v>46265</v>
      </c>
      <c r="C2164" s="9" t="n">
        <v>46270</v>
      </c>
      <c r="D2164" s="5" t="s">
        <v>140</v>
      </c>
      <c r="E2164" s="5" t="s">
        <v>1045</v>
      </c>
      <c r="F2164" s="5" t="s">
        <v>1012</v>
      </c>
      <c r="G2164" s="6" t="str">
        <f aca="false">INDEX(Catalogo_Causas!$B$2:$B$10,MATCH(F2164,Catalogo_Causas!$A$2:$A$10,0))</f>
        <v>Falta de materia prima</v>
      </c>
      <c r="H2164" s="6" t="str">
        <f aca="false">INDEX(Catalogo_Causas!$C$2:$C$10,MATCH(F2164,Catalogo_Causas!$A$2:$A$10,0))</f>
        <v>Material / suministro</v>
      </c>
      <c r="I2164" s="5" t="n">
        <v>96</v>
      </c>
      <c r="J2164" s="29" t="n">
        <f aca="false">I2164/60</f>
        <v>1.6</v>
      </c>
    </row>
    <row r="2165" customFormat="false" ht="15" hidden="false" customHeight="false" outlineLevel="0" collapsed="false">
      <c r="A2165" s="5" t="s">
        <v>3207</v>
      </c>
      <c r="B2165" s="9" t="n">
        <v>46265</v>
      </c>
      <c r="C2165" s="9" t="n">
        <v>46270</v>
      </c>
      <c r="D2165" s="5" t="s">
        <v>140</v>
      </c>
      <c r="E2165" s="5" t="s">
        <v>1036</v>
      </c>
      <c r="F2165" s="5" t="s">
        <v>1002</v>
      </c>
      <c r="G2165" s="6" t="str">
        <f aca="false">INDEX(Catalogo_Causas!$B$2:$B$10,MATCH(F2165,Catalogo_Causas!$A$2:$A$10,0))</f>
        <v>Falla mecánica</v>
      </c>
      <c r="H2165" s="6" t="str">
        <f aca="false">INDEX(Catalogo_Causas!$C$2:$C$10,MATCH(F2165,Catalogo_Causas!$A$2:$A$10,0))</f>
        <v>Operacional</v>
      </c>
      <c r="I2165" s="5" t="n">
        <v>64</v>
      </c>
      <c r="J2165" s="29" t="n">
        <f aca="false">I2165/60</f>
        <v>1.06666666666667</v>
      </c>
    </row>
    <row r="2166" customFormat="false" ht="15" hidden="false" customHeight="false" outlineLevel="0" collapsed="false">
      <c r="A2166" s="5" t="s">
        <v>3208</v>
      </c>
      <c r="B2166" s="9" t="n">
        <v>46265</v>
      </c>
      <c r="C2166" s="9" t="n">
        <v>46270</v>
      </c>
      <c r="D2166" s="5" t="s">
        <v>144</v>
      </c>
      <c r="E2166" s="5" t="s">
        <v>1043</v>
      </c>
      <c r="F2166" s="5" t="s">
        <v>1002</v>
      </c>
      <c r="G2166" s="6" t="str">
        <f aca="false">INDEX(Catalogo_Causas!$B$2:$B$10,MATCH(F2166,Catalogo_Causas!$A$2:$A$10,0))</f>
        <v>Falla mecánica</v>
      </c>
      <c r="H2166" s="6" t="str">
        <f aca="false">INDEX(Catalogo_Causas!$C$2:$C$10,MATCH(F2166,Catalogo_Causas!$A$2:$A$10,0))</f>
        <v>Operacional</v>
      </c>
      <c r="I2166" s="5" t="n">
        <v>20</v>
      </c>
      <c r="J2166" s="29" t="n">
        <f aca="false">I2166/60</f>
        <v>0.333333333333333</v>
      </c>
    </row>
    <row r="2167" customFormat="false" ht="15" hidden="false" customHeight="false" outlineLevel="0" collapsed="false">
      <c r="A2167" s="5" t="s">
        <v>3209</v>
      </c>
      <c r="B2167" s="9" t="n">
        <v>46272</v>
      </c>
      <c r="C2167" s="9" t="n">
        <v>46272</v>
      </c>
      <c r="D2167" s="5" t="s">
        <v>144</v>
      </c>
      <c r="E2167" s="5" t="s">
        <v>1043</v>
      </c>
      <c r="F2167" s="5" t="s">
        <v>1002</v>
      </c>
      <c r="G2167" s="6" t="str">
        <f aca="false">INDEX(Catalogo_Causas!$B$2:$B$10,MATCH(F2167,Catalogo_Causas!$A$2:$A$10,0))</f>
        <v>Falla mecánica</v>
      </c>
      <c r="H2167" s="6" t="str">
        <f aca="false">INDEX(Catalogo_Causas!$C$2:$C$10,MATCH(F2167,Catalogo_Causas!$A$2:$A$10,0))</f>
        <v>Operacional</v>
      </c>
      <c r="I2167" s="5" t="n">
        <v>24</v>
      </c>
      <c r="J2167" s="29" t="n">
        <f aca="false">I2167/60</f>
        <v>0.4</v>
      </c>
    </row>
    <row r="2168" customFormat="false" ht="15" hidden="false" customHeight="false" outlineLevel="0" collapsed="false">
      <c r="A2168" s="5" t="s">
        <v>3210</v>
      </c>
      <c r="B2168" s="9" t="n">
        <v>46272</v>
      </c>
      <c r="C2168" s="9" t="n">
        <v>46273</v>
      </c>
      <c r="D2168" s="5" t="s">
        <v>130</v>
      </c>
      <c r="E2168" s="5" t="s">
        <v>1030</v>
      </c>
      <c r="F2168" s="5" t="s">
        <v>1009</v>
      </c>
      <c r="G2168" s="6" t="str">
        <f aca="false">INDEX(Catalogo_Causas!$B$2:$B$10,MATCH(F2168,Catalogo_Causas!$A$2:$A$10,0))</f>
        <v>Falta de material de empaque</v>
      </c>
      <c r="H2168" s="6" t="str">
        <f aca="false">INDEX(Catalogo_Causas!$C$2:$C$10,MATCH(F2168,Catalogo_Causas!$A$2:$A$10,0))</f>
        <v>Material / suministro</v>
      </c>
      <c r="I2168" s="5" t="n">
        <v>38</v>
      </c>
      <c r="J2168" s="29" t="n">
        <f aca="false">I2168/60</f>
        <v>0.633333333333333</v>
      </c>
    </row>
    <row r="2169" customFormat="false" ht="15" hidden="false" customHeight="false" outlineLevel="0" collapsed="false">
      <c r="A2169" s="5" t="s">
        <v>3211</v>
      </c>
      <c r="B2169" s="9" t="n">
        <v>46272</v>
      </c>
      <c r="C2169" s="9" t="n">
        <v>46273</v>
      </c>
      <c r="D2169" s="5" t="s">
        <v>138</v>
      </c>
      <c r="E2169" s="5" t="s">
        <v>1034</v>
      </c>
      <c r="F2169" s="5" t="s">
        <v>1002</v>
      </c>
      <c r="G2169" s="6" t="str">
        <f aca="false">INDEX(Catalogo_Causas!$B$2:$B$10,MATCH(F2169,Catalogo_Causas!$A$2:$A$10,0))</f>
        <v>Falla mecánica</v>
      </c>
      <c r="H2169" s="6" t="str">
        <f aca="false">INDEX(Catalogo_Causas!$C$2:$C$10,MATCH(F2169,Catalogo_Causas!$A$2:$A$10,0))</f>
        <v>Operacional</v>
      </c>
      <c r="I2169" s="5" t="n">
        <v>53</v>
      </c>
      <c r="J2169" s="29" t="n">
        <f aca="false">I2169/60</f>
        <v>0.883333333333333</v>
      </c>
    </row>
    <row r="2170" customFormat="false" ht="15" hidden="false" customHeight="false" outlineLevel="0" collapsed="false">
      <c r="A2170" s="5" t="s">
        <v>3212</v>
      </c>
      <c r="B2170" s="9" t="n">
        <v>46272</v>
      </c>
      <c r="C2170" s="9" t="n">
        <v>46273</v>
      </c>
      <c r="D2170" s="5" t="s">
        <v>142</v>
      </c>
      <c r="E2170" s="5" t="s">
        <v>1041</v>
      </c>
      <c r="F2170" s="5" t="s">
        <v>1002</v>
      </c>
      <c r="G2170" s="6" t="str">
        <f aca="false">INDEX(Catalogo_Causas!$B$2:$B$10,MATCH(F2170,Catalogo_Causas!$A$2:$A$10,0))</f>
        <v>Falla mecánica</v>
      </c>
      <c r="H2170" s="6" t="str">
        <f aca="false">INDEX(Catalogo_Causas!$C$2:$C$10,MATCH(F2170,Catalogo_Causas!$A$2:$A$10,0))</f>
        <v>Operacional</v>
      </c>
      <c r="I2170" s="5" t="n">
        <v>22</v>
      </c>
      <c r="J2170" s="29" t="n">
        <f aca="false">I2170/60</f>
        <v>0.366666666666667</v>
      </c>
    </row>
    <row r="2171" customFormat="false" ht="15" hidden="false" customHeight="false" outlineLevel="0" collapsed="false">
      <c r="A2171" s="5" t="s">
        <v>3213</v>
      </c>
      <c r="B2171" s="9" t="n">
        <v>46272</v>
      </c>
      <c r="C2171" s="9" t="n">
        <v>46274</v>
      </c>
      <c r="D2171" s="5" t="s">
        <v>130</v>
      </c>
      <c r="E2171" s="5" t="s">
        <v>1030</v>
      </c>
      <c r="F2171" s="5" t="s">
        <v>1018</v>
      </c>
      <c r="G2171" s="6" t="str">
        <f aca="false">INDEX(Catalogo_Causas!$B$2:$B$10,MATCH(F2171,Catalogo_Causas!$A$2:$A$10,0))</f>
        <v>Falta de personal</v>
      </c>
      <c r="H2171" s="6" t="str">
        <f aca="false">INDEX(Catalogo_Causas!$C$2:$C$10,MATCH(F2171,Catalogo_Causas!$A$2:$A$10,0))</f>
        <v>Personal</v>
      </c>
      <c r="I2171" s="5" t="n">
        <v>39</v>
      </c>
      <c r="J2171" s="29" t="n">
        <f aca="false">I2171/60</f>
        <v>0.65</v>
      </c>
    </row>
    <row r="2172" customFormat="false" ht="15" hidden="false" customHeight="false" outlineLevel="0" collapsed="false">
      <c r="A2172" s="5" t="s">
        <v>3214</v>
      </c>
      <c r="B2172" s="9" t="n">
        <v>46272</v>
      </c>
      <c r="C2172" s="9" t="n">
        <v>46274</v>
      </c>
      <c r="D2172" s="5" t="s">
        <v>138</v>
      </c>
      <c r="E2172" s="5" t="s">
        <v>1039</v>
      </c>
      <c r="F2172" s="5" t="s">
        <v>1016</v>
      </c>
      <c r="G2172" s="6" t="str">
        <f aca="false">INDEX(Catalogo_Causas!$B$2:$B$10,MATCH(F2172,Catalogo_Causas!$A$2:$A$10,0))</f>
        <v>Limpieza no programada (CIP)</v>
      </c>
      <c r="H2172" s="6" t="str">
        <f aca="false">INDEX(Catalogo_Causas!$C$2:$C$10,MATCH(F2172,Catalogo_Causas!$A$2:$A$10,0))</f>
        <v>Calidad</v>
      </c>
      <c r="I2172" s="5" t="n">
        <v>18</v>
      </c>
      <c r="J2172" s="29" t="n">
        <f aca="false">I2172/60</f>
        <v>0.3</v>
      </c>
    </row>
    <row r="2173" customFormat="false" ht="15" hidden="false" customHeight="false" outlineLevel="0" collapsed="false">
      <c r="A2173" s="5" t="s">
        <v>3215</v>
      </c>
      <c r="B2173" s="9" t="n">
        <v>46272</v>
      </c>
      <c r="C2173" s="9" t="n">
        <v>46275</v>
      </c>
      <c r="D2173" s="5" t="s">
        <v>136</v>
      </c>
      <c r="E2173" s="5" t="s">
        <v>1032</v>
      </c>
      <c r="F2173" s="5" t="s">
        <v>1021</v>
      </c>
      <c r="G2173" s="6" t="str">
        <f aca="false">INDEX(Catalogo_Causas!$B$2:$B$10,MATCH(F2173,Catalogo_Causas!$A$2:$A$10,0))</f>
        <v>Falla de servicios (vapor/amoniaco/aire)</v>
      </c>
      <c r="H2173" s="6" t="str">
        <f aca="false">INDEX(Catalogo_Causas!$C$2:$C$10,MATCH(F2173,Catalogo_Causas!$A$2:$A$10,0))</f>
        <v>Servicios</v>
      </c>
      <c r="I2173" s="5" t="n">
        <v>96</v>
      </c>
      <c r="J2173" s="29" t="n">
        <f aca="false">I2173/60</f>
        <v>1.6</v>
      </c>
    </row>
    <row r="2174" customFormat="false" ht="15" hidden="false" customHeight="false" outlineLevel="0" collapsed="false">
      <c r="A2174" s="5" t="s">
        <v>3216</v>
      </c>
      <c r="B2174" s="9" t="n">
        <v>46272</v>
      </c>
      <c r="C2174" s="9" t="n">
        <v>46275</v>
      </c>
      <c r="D2174" s="5" t="s">
        <v>138</v>
      </c>
      <c r="E2174" s="5" t="s">
        <v>1034</v>
      </c>
      <c r="F2174" s="5" t="s">
        <v>1005</v>
      </c>
      <c r="G2174" s="6" t="str">
        <f aca="false">INDEX(Catalogo_Causas!$B$2:$B$10,MATCH(F2174,Catalogo_Causas!$A$2:$A$10,0))</f>
        <v>Falla eléctrica / control</v>
      </c>
      <c r="H2174" s="6" t="str">
        <f aca="false">INDEX(Catalogo_Causas!$C$2:$C$10,MATCH(F2174,Catalogo_Causas!$A$2:$A$10,0))</f>
        <v>Operacional</v>
      </c>
      <c r="I2174" s="5" t="n">
        <v>28</v>
      </c>
      <c r="J2174" s="29" t="n">
        <f aca="false">I2174/60</f>
        <v>0.466666666666667</v>
      </c>
    </row>
    <row r="2175" customFormat="false" ht="15" hidden="false" customHeight="false" outlineLevel="0" collapsed="false">
      <c r="A2175" s="5" t="s">
        <v>3217</v>
      </c>
      <c r="B2175" s="9" t="n">
        <v>46272</v>
      </c>
      <c r="C2175" s="9" t="n">
        <v>46275</v>
      </c>
      <c r="D2175" s="5" t="s">
        <v>138</v>
      </c>
      <c r="E2175" s="5" t="s">
        <v>1034</v>
      </c>
      <c r="F2175" s="5" t="s">
        <v>1021</v>
      </c>
      <c r="G2175" s="6" t="str">
        <f aca="false">INDEX(Catalogo_Causas!$B$2:$B$10,MATCH(F2175,Catalogo_Causas!$A$2:$A$10,0))</f>
        <v>Falla de servicios (vapor/amoniaco/aire)</v>
      </c>
      <c r="H2175" s="6" t="str">
        <f aca="false">INDEX(Catalogo_Causas!$C$2:$C$10,MATCH(F2175,Catalogo_Causas!$A$2:$A$10,0))</f>
        <v>Servicios</v>
      </c>
      <c r="I2175" s="5" t="n">
        <v>34</v>
      </c>
      <c r="J2175" s="29" t="n">
        <f aca="false">I2175/60</f>
        <v>0.566666666666667</v>
      </c>
    </row>
    <row r="2176" customFormat="false" ht="15" hidden="false" customHeight="false" outlineLevel="0" collapsed="false">
      <c r="A2176" s="5" t="s">
        <v>3218</v>
      </c>
      <c r="B2176" s="9" t="n">
        <v>46272</v>
      </c>
      <c r="C2176" s="9" t="n">
        <v>46275</v>
      </c>
      <c r="D2176" s="5" t="s">
        <v>142</v>
      </c>
      <c r="E2176" s="5" t="s">
        <v>1041</v>
      </c>
      <c r="F2176" s="5" t="s">
        <v>1009</v>
      </c>
      <c r="G2176" s="6" t="str">
        <f aca="false">INDEX(Catalogo_Causas!$B$2:$B$10,MATCH(F2176,Catalogo_Causas!$A$2:$A$10,0))</f>
        <v>Falta de material de empaque</v>
      </c>
      <c r="H2176" s="6" t="str">
        <f aca="false">INDEX(Catalogo_Causas!$C$2:$C$10,MATCH(F2176,Catalogo_Causas!$A$2:$A$10,0))</f>
        <v>Material / suministro</v>
      </c>
      <c r="I2176" s="5" t="n">
        <v>124</v>
      </c>
      <c r="J2176" s="29" t="n">
        <f aca="false">I2176/60</f>
        <v>2.06666666666667</v>
      </c>
    </row>
    <row r="2177" customFormat="false" ht="15" hidden="false" customHeight="false" outlineLevel="0" collapsed="false">
      <c r="A2177" s="5" t="s">
        <v>3219</v>
      </c>
      <c r="B2177" s="9" t="n">
        <v>46272</v>
      </c>
      <c r="C2177" s="9" t="n">
        <v>46276</v>
      </c>
      <c r="D2177" s="5" t="s">
        <v>132</v>
      </c>
      <c r="E2177" s="5" t="s">
        <v>1032</v>
      </c>
      <c r="F2177" s="5" t="s">
        <v>1005</v>
      </c>
      <c r="G2177" s="6" t="str">
        <f aca="false">INDEX(Catalogo_Causas!$B$2:$B$10,MATCH(F2177,Catalogo_Causas!$A$2:$A$10,0))</f>
        <v>Falla eléctrica / control</v>
      </c>
      <c r="H2177" s="6" t="str">
        <f aca="false">INDEX(Catalogo_Causas!$C$2:$C$10,MATCH(F2177,Catalogo_Causas!$A$2:$A$10,0))</f>
        <v>Operacional</v>
      </c>
      <c r="I2177" s="5" t="n">
        <v>79</v>
      </c>
      <c r="J2177" s="29" t="n">
        <f aca="false">I2177/60</f>
        <v>1.31666666666667</v>
      </c>
    </row>
    <row r="2178" customFormat="false" ht="15" hidden="false" customHeight="false" outlineLevel="0" collapsed="false">
      <c r="A2178" s="5" t="s">
        <v>3220</v>
      </c>
      <c r="B2178" s="9" t="n">
        <v>46272</v>
      </c>
      <c r="C2178" s="9" t="n">
        <v>46276</v>
      </c>
      <c r="D2178" s="5" t="s">
        <v>138</v>
      </c>
      <c r="E2178" s="5" t="s">
        <v>1056</v>
      </c>
      <c r="F2178" s="5" t="s">
        <v>1002</v>
      </c>
      <c r="G2178" s="6" t="str">
        <f aca="false">INDEX(Catalogo_Causas!$B$2:$B$10,MATCH(F2178,Catalogo_Causas!$A$2:$A$10,0))</f>
        <v>Falla mecánica</v>
      </c>
      <c r="H2178" s="6" t="str">
        <f aca="false">INDEX(Catalogo_Causas!$C$2:$C$10,MATCH(F2178,Catalogo_Causas!$A$2:$A$10,0))</f>
        <v>Operacional</v>
      </c>
      <c r="I2178" s="5" t="n">
        <v>17</v>
      </c>
      <c r="J2178" s="29" t="n">
        <f aca="false">I2178/60</f>
        <v>0.283333333333333</v>
      </c>
    </row>
    <row r="2179" customFormat="false" ht="15" hidden="false" customHeight="false" outlineLevel="0" collapsed="false">
      <c r="A2179" s="5" t="s">
        <v>3221</v>
      </c>
      <c r="B2179" s="9" t="n">
        <v>46272</v>
      </c>
      <c r="C2179" s="9" t="n">
        <v>46276</v>
      </c>
      <c r="D2179" s="5" t="s">
        <v>142</v>
      </c>
      <c r="E2179" s="5" t="s">
        <v>1030</v>
      </c>
      <c r="F2179" s="5" t="s">
        <v>1009</v>
      </c>
      <c r="G2179" s="6" t="str">
        <f aca="false">INDEX(Catalogo_Causas!$B$2:$B$10,MATCH(F2179,Catalogo_Causas!$A$2:$A$10,0))</f>
        <v>Falta de material de empaque</v>
      </c>
      <c r="H2179" s="6" t="str">
        <f aca="false">INDEX(Catalogo_Causas!$C$2:$C$10,MATCH(F2179,Catalogo_Causas!$A$2:$A$10,0))</f>
        <v>Material / suministro</v>
      </c>
      <c r="I2179" s="5" t="n">
        <v>62</v>
      </c>
      <c r="J2179" s="29" t="n">
        <f aca="false">I2179/60</f>
        <v>1.03333333333333</v>
      </c>
    </row>
    <row r="2180" customFormat="false" ht="15" hidden="false" customHeight="false" outlineLevel="0" collapsed="false">
      <c r="A2180" s="5" t="s">
        <v>3222</v>
      </c>
      <c r="B2180" s="9" t="n">
        <v>46272</v>
      </c>
      <c r="C2180" s="9" t="n">
        <v>46276</v>
      </c>
      <c r="D2180" s="5" t="s">
        <v>142</v>
      </c>
      <c r="E2180" s="5" t="s">
        <v>1051</v>
      </c>
      <c r="F2180" s="5" t="s">
        <v>1014</v>
      </c>
      <c r="G2180" s="6" t="str">
        <f aca="false">INDEX(Catalogo_Causas!$B$2:$B$10,MATCH(F2180,Catalogo_Causas!$A$2:$A$10,0))</f>
        <v>Retención de calidad</v>
      </c>
      <c r="H2180" s="6" t="str">
        <f aca="false">INDEX(Catalogo_Causas!$C$2:$C$10,MATCH(F2180,Catalogo_Causas!$A$2:$A$10,0))</f>
        <v>Calidad</v>
      </c>
      <c r="I2180" s="5" t="n">
        <v>121</v>
      </c>
      <c r="J2180" s="29" t="n">
        <f aca="false">I2180/60</f>
        <v>2.01666666666667</v>
      </c>
    </row>
    <row r="2181" customFormat="false" ht="15" hidden="false" customHeight="false" outlineLevel="0" collapsed="false">
      <c r="A2181" s="5" t="s">
        <v>3223</v>
      </c>
      <c r="B2181" s="9" t="n">
        <v>46272</v>
      </c>
      <c r="C2181" s="9" t="n">
        <v>46277</v>
      </c>
      <c r="D2181" s="5" t="s">
        <v>136</v>
      </c>
      <c r="E2181" s="5" t="s">
        <v>1032</v>
      </c>
      <c r="F2181" s="5" t="s">
        <v>1014</v>
      </c>
      <c r="G2181" s="6" t="str">
        <f aca="false">INDEX(Catalogo_Causas!$B$2:$B$10,MATCH(F2181,Catalogo_Causas!$A$2:$A$10,0))</f>
        <v>Retención de calidad</v>
      </c>
      <c r="H2181" s="6" t="str">
        <f aca="false">INDEX(Catalogo_Causas!$C$2:$C$10,MATCH(F2181,Catalogo_Causas!$A$2:$A$10,0))</f>
        <v>Calidad</v>
      </c>
      <c r="I2181" s="5" t="n">
        <v>32</v>
      </c>
      <c r="J2181" s="29" t="n">
        <f aca="false">I2181/60</f>
        <v>0.533333333333333</v>
      </c>
    </row>
    <row r="2182" customFormat="false" ht="15" hidden="false" customHeight="false" outlineLevel="0" collapsed="false">
      <c r="A2182" s="5" t="s">
        <v>3224</v>
      </c>
      <c r="B2182" s="9" t="n">
        <v>46272</v>
      </c>
      <c r="C2182" s="9" t="n">
        <v>46277</v>
      </c>
      <c r="D2182" s="5" t="s">
        <v>138</v>
      </c>
      <c r="E2182" s="5" t="s">
        <v>1039</v>
      </c>
      <c r="F2182" s="5" t="s">
        <v>1002</v>
      </c>
      <c r="G2182" s="6" t="str">
        <f aca="false">INDEX(Catalogo_Causas!$B$2:$B$10,MATCH(F2182,Catalogo_Causas!$A$2:$A$10,0))</f>
        <v>Falla mecánica</v>
      </c>
      <c r="H2182" s="6" t="str">
        <f aca="false">INDEX(Catalogo_Causas!$C$2:$C$10,MATCH(F2182,Catalogo_Causas!$A$2:$A$10,0))</f>
        <v>Operacional</v>
      </c>
      <c r="I2182" s="5" t="n">
        <v>25</v>
      </c>
      <c r="J2182" s="29" t="n">
        <f aca="false">I2182/60</f>
        <v>0.416666666666667</v>
      </c>
    </row>
    <row r="2183" customFormat="false" ht="15" hidden="false" customHeight="false" outlineLevel="0" collapsed="false">
      <c r="A2183" s="5" t="s">
        <v>3225</v>
      </c>
      <c r="B2183" s="9" t="n">
        <v>46272</v>
      </c>
      <c r="C2183" s="9" t="n">
        <v>46277</v>
      </c>
      <c r="D2183" s="5" t="s">
        <v>142</v>
      </c>
      <c r="E2183" s="5" t="s">
        <v>1051</v>
      </c>
      <c r="F2183" s="5" t="s">
        <v>1002</v>
      </c>
      <c r="G2183" s="6" t="str">
        <f aca="false">INDEX(Catalogo_Causas!$B$2:$B$10,MATCH(F2183,Catalogo_Causas!$A$2:$A$10,0))</f>
        <v>Falla mecánica</v>
      </c>
      <c r="H2183" s="6" t="str">
        <f aca="false">INDEX(Catalogo_Causas!$C$2:$C$10,MATCH(F2183,Catalogo_Causas!$A$2:$A$10,0))</f>
        <v>Operacional</v>
      </c>
      <c r="I2183" s="5" t="n">
        <v>90</v>
      </c>
      <c r="J2183" s="29" t="n">
        <f aca="false">I2183/60</f>
        <v>1.5</v>
      </c>
    </row>
    <row r="2184" customFormat="false" ht="15" hidden="false" customHeight="false" outlineLevel="0" collapsed="false">
      <c r="A2184" s="5" t="s">
        <v>3226</v>
      </c>
      <c r="B2184" s="9" t="n">
        <v>46272</v>
      </c>
      <c r="C2184" s="9" t="n">
        <v>46277</v>
      </c>
      <c r="D2184" s="5" t="s">
        <v>142</v>
      </c>
      <c r="E2184" s="5" t="s">
        <v>1051</v>
      </c>
      <c r="F2184" s="5" t="s">
        <v>1005</v>
      </c>
      <c r="G2184" s="6" t="str">
        <f aca="false">INDEX(Catalogo_Causas!$B$2:$B$10,MATCH(F2184,Catalogo_Causas!$A$2:$A$10,0))</f>
        <v>Falla eléctrica / control</v>
      </c>
      <c r="H2184" s="6" t="str">
        <f aca="false">INDEX(Catalogo_Causas!$C$2:$C$10,MATCH(F2184,Catalogo_Causas!$A$2:$A$10,0))</f>
        <v>Operacional</v>
      </c>
      <c r="I2184" s="5" t="n">
        <v>106</v>
      </c>
      <c r="J2184" s="29" t="n">
        <f aca="false">I2184/60</f>
        <v>1.76666666666667</v>
      </c>
    </row>
    <row r="2185" customFormat="false" ht="15" hidden="false" customHeight="false" outlineLevel="0" collapsed="false">
      <c r="A2185" s="5" t="s">
        <v>3227</v>
      </c>
      <c r="B2185" s="9" t="n">
        <v>46272</v>
      </c>
      <c r="C2185" s="9" t="n">
        <v>46277</v>
      </c>
      <c r="D2185" s="5" t="s">
        <v>142</v>
      </c>
      <c r="E2185" s="5" t="s">
        <v>1051</v>
      </c>
      <c r="F2185" s="5" t="s">
        <v>1005</v>
      </c>
      <c r="G2185" s="6" t="str">
        <f aca="false">INDEX(Catalogo_Causas!$B$2:$B$10,MATCH(F2185,Catalogo_Causas!$A$2:$A$10,0))</f>
        <v>Falla eléctrica / control</v>
      </c>
      <c r="H2185" s="6" t="str">
        <f aca="false">INDEX(Catalogo_Causas!$C$2:$C$10,MATCH(F2185,Catalogo_Causas!$A$2:$A$10,0))</f>
        <v>Operacional</v>
      </c>
      <c r="I2185" s="5" t="n">
        <v>54</v>
      </c>
      <c r="J2185" s="29" t="n">
        <f aca="false">I2185/60</f>
        <v>0.9</v>
      </c>
    </row>
    <row r="2186" customFormat="false" ht="15" hidden="false" customHeight="false" outlineLevel="0" collapsed="false">
      <c r="A2186" s="5" t="s">
        <v>3228</v>
      </c>
      <c r="B2186" s="9" t="n">
        <v>46272</v>
      </c>
      <c r="C2186" s="9" t="n">
        <v>46277</v>
      </c>
      <c r="D2186" s="5" t="s">
        <v>144</v>
      </c>
      <c r="E2186" s="5" t="s">
        <v>1030</v>
      </c>
      <c r="F2186" s="5" t="s">
        <v>1007</v>
      </c>
      <c r="G2186" s="6" t="str">
        <f aca="false">INDEX(Catalogo_Causas!$B$2:$B$10,MATCH(F2186,Catalogo_Causas!$A$2:$A$10,0))</f>
        <v>Cambio de formato excedido</v>
      </c>
      <c r="H2186" s="6" t="str">
        <f aca="false">INDEX(Catalogo_Causas!$C$2:$C$10,MATCH(F2186,Catalogo_Causas!$A$2:$A$10,0))</f>
        <v>Operacional</v>
      </c>
      <c r="I2186" s="5" t="n">
        <v>41</v>
      </c>
      <c r="J2186" s="29" t="n">
        <f aca="false">I2186/60</f>
        <v>0.683333333333333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1"/>
  </cols>
  <sheetData>
    <row r="1" customFormat="false" ht="42" hidden="false" customHeight="true" outlineLevel="0" collapsed="false">
      <c r="A1" s="8" t="s">
        <v>100</v>
      </c>
      <c r="B1" s="8" t="s">
        <v>130</v>
      </c>
      <c r="C1" s="8" t="s">
        <v>132</v>
      </c>
      <c r="D1" s="8" t="s">
        <v>134</v>
      </c>
      <c r="E1" s="8" t="s">
        <v>136</v>
      </c>
      <c r="F1" s="8" t="s">
        <v>138</v>
      </c>
      <c r="G1" s="8" t="s">
        <v>140</v>
      </c>
      <c r="H1" s="8" t="s">
        <v>142</v>
      </c>
      <c r="I1" s="8" t="s">
        <v>144</v>
      </c>
    </row>
    <row r="2" customFormat="false" ht="15" hidden="false" customHeight="false" outlineLevel="0" collapsed="false">
      <c r="A2" s="9" t="n">
        <v>45551</v>
      </c>
      <c r="B2" s="30" t="n">
        <f aca="false">SUMIFS(Produccion_Semanal!$AR$2:$AR$833,Produccion_Semanal!$E$2:$E$833,B$1,Produccion_Semanal!$B$2:$B$833,$A2)</f>
        <v>0.0044330566552901</v>
      </c>
      <c r="C2" s="30" t="n">
        <f aca="false">SUMIFS(Produccion_Semanal!$AR$2:$AR$833,Produccion_Semanal!$E$2:$E$833,C$1,Produccion_Semanal!$B$2:$B$833,$A2)</f>
        <v>0.00474826353535354</v>
      </c>
      <c r="D2" s="30" t="n">
        <f aca="false">SUMIFS(Produccion_Semanal!$AR$2:$AR$833,Produccion_Semanal!$E$2:$E$833,D$1,Produccion_Semanal!$B$2:$B$833,$A2)</f>
        <v>0.00568575341968912</v>
      </c>
      <c r="E2" s="30" t="n">
        <f aca="false">SUMIFS(Produccion_Semanal!$AR$2:$AR$833,Produccion_Semanal!$E$2:$E$833,E$1,Produccion_Semanal!$B$2:$B$833,$A2)</f>
        <v>0.00361746070588235</v>
      </c>
      <c r="F2" s="30" t="n">
        <f aca="false">SUMIFS(Produccion_Semanal!$AR$2:$AR$833,Produccion_Semanal!$E$2:$E$833,F$1,Produccion_Semanal!$B$2:$B$833,$A2)</f>
        <v>0.00287747240963855</v>
      </c>
      <c r="G2" s="30" t="n">
        <f aca="false">SUMIFS(Produccion_Semanal!$AR$2:$AR$833,Produccion_Semanal!$E$2:$E$833,G$1,Produccion_Semanal!$B$2:$B$833,$A2)</f>
        <v>0.00608470067857143</v>
      </c>
      <c r="H2" s="30" t="n">
        <f aca="false">SUMIFS(Produccion_Semanal!$AR$2:$AR$833,Produccion_Semanal!$E$2:$E$833,H$1,Produccion_Semanal!$B$2:$B$833,$A2)</f>
        <v>0.00782236477987421</v>
      </c>
      <c r="I2" s="30" t="n">
        <f aca="false">SUMIFS(Produccion_Semanal!$AR$2:$AR$833,Produccion_Semanal!$E$2:$E$833,I$1,Produccion_Semanal!$B$2:$B$833,$A2)</f>
        <v>0.00481935390977444</v>
      </c>
    </row>
    <row r="3" customFormat="false" ht="15" hidden="false" customHeight="false" outlineLevel="0" collapsed="false">
      <c r="A3" s="9" t="n">
        <v>45558</v>
      </c>
      <c r="B3" s="30" t="n">
        <f aca="false">SUMIFS(Produccion_Semanal!$AR$2:$AR$833,Produccion_Semanal!$E$2:$E$833,B$1,Produccion_Semanal!$B$2:$B$833,$A3)</f>
        <v>0.00583517552901024</v>
      </c>
      <c r="C3" s="30" t="n">
        <f aca="false">SUMIFS(Produccion_Semanal!$AR$2:$AR$833,Produccion_Semanal!$E$2:$E$833,C$1,Produccion_Semanal!$B$2:$B$833,$A3)</f>
        <v>0.00407029060606061</v>
      </c>
      <c r="D3" s="30" t="n">
        <f aca="false">SUMIFS(Produccion_Semanal!$AR$2:$AR$833,Produccion_Semanal!$E$2:$E$833,D$1,Produccion_Semanal!$B$2:$B$833,$A3)</f>
        <v>0.00706180155440414</v>
      </c>
      <c r="E3" s="30" t="n">
        <f aca="false">SUMIFS(Produccion_Semanal!$AR$2:$AR$833,Produccion_Semanal!$E$2:$E$833,E$1,Produccion_Semanal!$B$2:$B$833,$A3)</f>
        <v>0.00586293935294118</v>
      </c>
      <c r="F3" s="30" t="n">
        <f aca="false">SUMIFS(Produccion_Semanal!$AR$2:$AR$833,Produccion_Semanal!$E$2:$E$833,F$1,Produccion_Semanal!$B$2:$B$833,$A3)</f>
        <v>0.00287681373493976</v>
      </c>
      <c r="G3" s="30" t="n">
        <f aca="false">SUMIFS(Produccion_Semanal!$AR$2:$AR$833,Produccion_Semanal!$E$2:$E$833,G$1,Produccion_Semanal!$B$2:$B$833,$A3)</f>
        <v>0.00633107589285714</v>
      </c>
      <c r="H3" s="30" t="n">
        <f aca="false">SUMIFS(Produccion_Semanal!$AR$2:$AR$833,Produccion_Semanal!$E$2:$E$833,H$1,Produccion_Semanal!$B$2:$B$833,$A3)</f>
        <v>0.00637133018867924</v>
      </c>
      <c r="I3" s="30" t="n">
        <f aca="false">SUMIFS(Produccion_Semanal!$AR$2:$AR$833,Produccion_Semanal!$E$2:$E$833,I$1,Produccion_Semanal!$B$2:$B$833,$A3)</f>
        <v>0.00719553669172932</v>
      </c>
    </row>
    <row r="4" customFormat="false" ht="15" hidden="false" customHeight="false" outlineLevel="0" collapsed="false">
      <c r="A4" s="9" t="n">
        <v>45565</v>
      </c>
      <c r="B4" s="30" t="n">
        <f aca="false">SUMIFS(Produccion_Semanal!$AR$2:$AR$833,Produccion_Semanal!$E$2:$E$833,B$1,Produccion_Semanal!$B$2:$B$833,$A4)</f>
        <v>0.00529428303754266</v>
      </c>
      <c r="C4" s="30" t="n">
        <f aca="false">SUMIFS(Produccion_Semanal!$AR$2:$AR$833,Produccion_Semanal!$E$2:$E$833,C$1,Produccion_Semanal!$B$2:$B$833,$A4)</f>
        <v>0.00456369569023569</v>
      </c>
      <c r="D4" s="30" t="n">
        <f aca="false">SUMIFS(Produccion_Semanal!$AR$2:$AR$833,Produccion_Semanal!$E$2:$E$833,D$1,Produccion_Semanal!$B$2:$B$833,$A4)</f>
        <v>0.00675279797927461</v>
      </c>
      <c r="E4" s="30" t="n">
        <f aca="false">SUMIFS(Produccion_Semanal!$AR$2:$AR$833,Produccion_Semanal!$E$2:$E$833,E$1,Produccion_Semanal!$B$2:$B$833,$A4)</f>
        <v>0.00442530388235294</v>
      </c>
      <c r="F4" s="30" t="n">
        <f aca="false">SUMIFS(Produccion_Semanal!$AR$2:$AR$833,Produccion_Semanal!$E$2:$E$833,F$1,Produccion_Semanal!$B$2:$B$833,$A4)</f>
        <v>0.00518086325301205</v>
      </c>
      <c r="G4" s="30" t="n">
        <f aca="false">SUMIFS(Produccion_Semanal!$AR$2:$AR$833,Produccion_Semanal!$E$2:$E$833,G$1,Produccion_Semanal!$B$2:$B$833,$A4)</f>
        <v>0.00493119714285714</v>
      </c>
      <c r="H4" s="30" t="n">
        <f aca="false">SUMIFS(Produccion_Semanal!$AR$2:$AR$833,Produccion_Semanal!$E$2:$E$833,H$1,Produccion_Semanal!$B$2:$B$833,$A4)</f>
        <v>0.00885845459119497</v>
      </c>
      <c r="I4" s="30" t="n">
        <f aca="false">SUMIFS(Produccion_Semanal!$AR$2:$AR$833,Produccion_Semanal!$E$2:$E$833,I$1,Produccion_Semanal!$B$2:$B$833,$A4)</f>
        <v>0.00861546857142857</v>
      </c>
    </row>
    <row r="5" customFormat="false" ht="15" hidden="false" customHeight="false" outlineLevel="0" collapsed="false">
      <c r="A5" s="9" t="n">
        <v>45572</v>
      </c>
      <c r="B5" s="30" t="n">
        <f aca="false">SUMIFS(Produccion_Semanal!$AR$2:$AR$833,Produccion_Semanal!$E$2:$E$833,B$1,Produccion_Semanal!$B$2:$B$833,$A5)</f>
        <v>0.00553259846416382</v>
      </c>
      <c r="C5" s="30" t="n">
        <f aca="false">SUMIFS(Produccion_Semanal!$AR$2:$AR$833,Produccion_Semanal!$E$2:$E$833,C$1,Produccion_Semanal!$B$2:$B$833,$A5)</f>
        <v>0.00470983070707071</v>
      </c>
      <c r="D5" s="30" t="n">
        <f aca="false">SUMIFS(Produccion_Semanal!$AR$2:$AR$833,Produccion_Semanal!$E$2:$E$833,D$1,Produccion_Semanal!$B$2:$B$833,$A5)</f>
        <v>0.00712359015544042</v>
      </c>
      <c r="E5" s="30" t="n">
        <f aca="false">SUMIFS(Produccion_Semanal!$AR$2:$AR$833,Produccion_Semanal!$E$2:$E$833,E$1,Produccion_Semanal!$B$2:$B$833,$A5)</f>
        <v>0.00356663811764706</v>
      </c>
      <c r="F5" s="30" t="n">
        <f aca="false">SUMIFS(Produccion_Semanal!$AR$2:$AR$833,Produccion_Semanal!$E$2:$E$833,F$1,Produccion_Semanal!$B$2:$B$833,$A5)</f>
        <v>0.00397905090361446</v>
      </c>
      <c r="G5" s="30" t="n">
        <f aca="false">SUMIFS(Produccion_Semanal!$AR$2:$AR$833,Produccion_Semanal!$E$2:$E$833,G$1,Produccion_Semanal!$B$2:$B$833,$A5)</f>
        <v>0.0055437445</v>
      </c>
      <c r="H5" s="30" t="n">
        <f aca="false">SUMIFS(Produccion_Semanal!$AR$2:$AR$833,Produccion_Semanal!$E$2:$E$833,H$1,Produccion_Semanal!$B$2:$B$833,$A5)</f>
        <v>0.00795810691823899</v>
      </c>
      <c r="I5" s="30" t="n">
        <f aca="false">SUMIFS(Produccion_Semanal!$AR$2:$AR$833,Produccion_Semanal!$E$2:$E$833,I$1,Produccion_Semanal!$B$2:$B$833,$A5)</f>
        <v>0.00744747676691729</v>
      </c>
    </row>
    <row r="6" customFormat="false" ht="15" hidden="false" customHeight="false" outlineLevel="0" collapsed="false">
      <c r="A6" s="9" t="n">
        <v>45579</v>
      </c>
      <c r="B6" s="30" t="n">
        <f aca="false">SUMIFS(Produccion_Semanal!$AR$2:$AR$833,Produccion_Semanal!$E$2:$E$833,B$1,Produccion_Semanal!$B$2:$B$833,$A6)</f>
        <v>0.00541067119453925</v>
      </c>
      <c r="C6" s="30" t="n">
        <f aca="false">SUMIFS(Produccion_Semanal!$AR$2:$AR$833,Produccion_Semanal!$E$2:$E$833,C$1,Produccion_Semanal!$B$2:$B$833,$A6)</f>
        <v>0.00386916131313131</v>
      </c>
      <c r="D6" s="30" t="n">
        <f aca="false">SUMIFS(Produccion_Semanal!$AR$2:$AR$833,Produccion_Semanal!$E$2:$E$833,D$1,Produccion_Semanal!$B$2:$B$833,$A6)</f>
        <v>0.00726248176165803</v>
      </c>
      <c r="E6" s="30" t="n">
        <f aca="false">SUMIFS(Produccion_Semanal!$AR$2:$AR$833,Produccion_Semanal!$E$2:$E$833,E$1,Produccion_Semanal!$B$2:$B$833,$A6)</f>
        <v>0.00475455411764706</v>
      </c>
      <c r="F6" s="30" t="n">
        <f aca="false">SUMIFS(Produccion_Semanal!$AR$2:$AR$833,Produccion_Semanal!$E$2:$E$833,F$1,Produccion_Semanal!$B$2:$B$833,$A6)</f>
        <v>0.00324017548192771</v>
      </c>
      <c r="G6" s="30" t="n">
        <f aca="false">SUMIFS(Produccion_Semanal!$AR$2:$AR$833,Produccion_Semanal!$E$2:$E$833,G$1,Produccion_Semanal!$B$2:$B$833,$A6)</f>
        <v>0.00585715860714286</v>
      </c>
      <c r="H6" s="30" t="n">
        <f aca="false">SUMIFS(Produccion_Semanal!$AR$2:$AR$833,Produccion_Semanal!$E$2:$E$833,H$1,Produccion_Semanal!$B$2:$B$833,$A6)</f>
        <v>0.00734620352201258</v>
      </c>
      <c r="I6" s="30" t="n">
        <f aca="false">SUMIFS(Produccion_Semanal!$AR$2:$AR$833,Produccion_Semanal!$E$2:$E$833,I$1,Produccion_Semanal!$B$2:$B$833,$A6)</f>
        <v>0.00675010451127819</v>
      </c>
    </row>
    <row r="7" customFormat="false" ht="15" hidden="false" customHeight="false" outlineLevel="0" collapsed="false">
      <c r="A7" s="9" t="n">
        <v>45586</v>
      </c>
      <c r="B7" s="30" t="n">
        <f aca="false">SUMIFS(Produccion_Semanal!$AR$2:$AR$833,Produccion_Semanal!$E$2:$E$833,B$1,Produccion_Semanal!$B$2:$B$833,$A7)</f>
        <v>0.00614622805460751</v>
      </c>
      <c r="C7" s="30" t="n">
        <f aca="false">SUMIFS(Produccion_Semanal!$AR$2:$AR$833,Produccion_Semanal!$E$2:$E$833,C$1,Produccion_Semanal!$B$2:$B$833,$A7)</f>
        <v>0.00468012067340067</v>
      </c>
      <c r="D7" s="30" t="n">
        <f aca="false">SUMIFS(Produccion_Semanal!$AR$2:$AR$833,Produccion_Semanal!$E$2:$E$833,D$1,Produccion_Semanal!$B$2:$B$833,$A7)</f>
        <v>0.00487775844559586</v>
      </c>
      <c r="E7" s="30" t="n">
        <f aca="false">SUMIFS(Produccion_Semanal!$AR$2:$AR$833,Produccion_Semanal!$E$2:$E$833,E$1,Produccion_Semanal!$B$2:$B$833,$A7)</f>
        <v>0.00361499911764706</v>
      </c>
      <c r="F7" s="30" t="n">
        <f aca="false">SUMIFS(Produccion_Semanal!$AR$2:$AR$833,Produccion_Semanal!$E$2:$E$833,F$1,Produccion_Semanal!$B$2:$B$833,$A7)</f>
        <v>0.00281333222891567</v>
      </c>
      <c r="G7" s="30" t="n">
        <f aca="false">SUMIFS(Produccion_Semanal!$AR$2:$AR$833,Produccion_Semanal!$E$2:$E$833,G$1,Produccion_Semanal!$B$2:$B$833,$A7)</f>
        <v>0.00573736285714286</v>
      </c>
      <c r="H7" s="30" t="n">
        <f aca="false">SUMIFS(Produccion_Semanal!$AR$2:$AR$833,Produccion_Semanal!$E$2:$E$833,H$1,Produccion_Semanal!$B$2:$B$833,$A7)</f>
        <v>0.00679261320754717</v>
      </c>
      <c r="I7" s="30" t="n">
        <f aca="false">SUMIFS(Produccion_Semanal!$AR$2:$AR$833,Produccion_Semanal!$E$2:$E$833,I$1,Produccion_Semanal!$B$2:$B$833,$A7)</f>
        <v>0.00618011939849624</v>
      </c>
    </row>
    <row r="8" customFormat="false" ht="15" hidden="false" customHeight="false" outlineLevel="0" collapsed="false">
      <c r="A8" s="9" t="n">
        <v>45593</v>
      </c>
      <c r="B8" s="30" t="n">
        <f aca="false">SUMIFS(Produccion_Semanal!$AR$2:$AR$833,Produccion_Semanal!$E$2:$E$833,B$1,Produccion_Semanal!$B$2:$B$833,$A8)</f>
        <v>0.00482179836177474</v>
      </c>
      <c r="C8" s="30" t="n">
        <f aca="false">SUMIFS(Produccion_Semanal!$AR$2:$AR$833,Produccion_Semanal!$E$2:$E$833,C$1,Produccion_Semanal!$B$2:$B$833,$A8)</f>
        <v>0.00445723218855219</v>
      </c>
      <c r="D8" s="30" t="n">
        <f aca="false">SUMIFS(Produccion_Semanal!$AR$2:$AR$833,Produccion_Semanal!$E$2:$E$833,D$1,Produccion_Semanal!$B$2:$B$833,$A8)</f>
        <v>0.00562828430051814</v>
      </c>
      <c r="E8" s="30" t="n">
        <f aca="false">SUMIFS(Produccion_Semanal!$AR$2:$AR$833,Produccion_Semanal!$E$2:$E$833,E$1,Produccion_Semanal!$B$2:$B$833,$A8)</f>
        <v>0.00616071017647059</v>
      </c>
      <c r="F8" s="30" t="n">
        <f aca="false">SUMIFS(Produccion_Semanal!$AR$2:$AR$833,Produccion_Semanal!$E$2:$E$833,F$1,Produccion_Semanal!$B$2:$B$833,$A8)</f>
        <v>0.00338230855421687</v>
      </c>
      <c r="G8" s="30" t="n">
        <f aca="false">SUMIFS(Produccion_Semanal!$AR$2:$AR$833,Produccion_Semanal!$E$2:$E$833,G$1,Produccion_Semanal!$B$2:$B$833,$A8)</f>
        <v>0.00580603114285714</v>
      </c>
      <c r="H8" s="30" t="n">
        <f aca="false">SUMIFS(Produccion_Semanal!$AR$2:$AR$833,Produccion_Semanal!$E$2:$E$833,H$1,Produccion_Semanal!$B$2:$B$833,$A8)</f>
        <v>0.00749987295597484</v>
      </c>
      <c r="I8" s="30" t="n">
        <f aca="false">SUMIFS(Produccion_Semanal!$AR$2:$AR$833,Produccion_Semanal!$E$2:$E$833,I$1,Produccion_Semanal!$B$2:$B$833,$A8)</f>
        <v>0.00682568112781955</v>
      </c>
    </row>
    <row r="9" customFormat="false" ht="15" hidden="false" customHeight="false" outlineLevel="0" collapsed="false">
      <c r="A9" s="9" t="n">
        <v>45600</v>
      </c>
      <c r="B9" s="30" t="n">
        <f aca="false">SUMIFS(Produccion_Semanal!$AR$2:$AR$833,Produccion_Semanal!$E$2:$E$833,B$1,Produccion_Semanal!$B$2:$B$833,$A9)</f>
        <v>0.00504423911262799</v>
      </c>
      <c r="C9" s="30" t="n">
        <f aca="false">SUMIFS(Produccion_Semanal!$AR$2:$AR$833,Produccion_Semanal!$E$2:$E$833,C$1,Produccion_Semanal!$B$2:$B$833,$A9)</f>
        <v>0.00419480552188552</v>
      </c>
      <c r="D9" s="30" t="n">
        <f aca="false">SUMIFS(Produccion_Semanal!$AR$2:$AR$833,Produccion_Semanal!$E$2:$E$833,D$1,Produccion_Semanal!$B$2:$B$833,$A9)</f>
        <v>0.00645502393782384</v>
      </c>
      <c r="E9" s="30" t="n">
        <f aca="false">SUMIFS(Produccion_Semanal!$AR$2:$AR$833,Produccion_Semanal!$E$2:$E$833,E$1,Produccion_Semanal!$B$2:$B$833,$A9)</f>
        <v>0.00547149152941176</v>
      </c>
      <c r="F9" s="30" t="n">
        <f aca="false">SUMIFS(Produccion_Semanal!$AR$2:$AR$833,Produccion_Semanal!$E$2:$E$833,F$1,Produccion_Semanal!$B$2:$B$833,$A9)</f>
        <v>0.00379235831325301</v>
      </c>
      <c r="G9" s="30" t="n">
        <f aca="false">SUMIFS(Produccion_Semanal!$AR$2:$AR$833,Produccion_Semanal!$E$2:$E$833,G$1,Produccion_Semanal!$B$2:$B$833,$A9)</f>
        <v>0.00696442732142857</v>
      </c>
      <c r="H9" s="30" t="n">
        <f aca="false">SUMIFS(Produccion_Semanal!$AR$2:$AR$833,Produccion_Semanal!$E$2:$E$833,H$1,Produccion_Semanal!$B$2:$B$833,$A9)</f>
        <v>0.00351044729559748</v>
      </c>
      <c r="I9" s="30" t="n">
        <f aca="false">SUMIFS(Produccion_Semanal!$AR$2:$AR$833,Produccion_Semanal!$E$2:$E$833,I$1,Produccion_Semanal!$B$2:$B$833,$A9)</f>
        <v>0.00607775586466165</v>
      </c>
    </row>
    <row r="10" customFormat="false" ht="15" hidden="false" customHeight="false" outlineLevel="0" collapsed="false">
      <c r="A10" s="9" t="n">
        <v>45607</v>
      </c>
      <c r="B10" s="30" t="n">
        <f aca="false">SUMIFS(Produccion_Semanal!$AR$2:$AR$833,Produccion_Semanal!$E$2:$E$833,B$1,Produccion_Semanal!$B$2:$B$833,$A10)</f>
        <v>0.00563654218430034</v>
      </c>
      <c r="C10" s="30" t="n">
        <f aca="false">SUMIFS(Produccion_Semanal!$AR$2:$AR$833,Produccion_Semanal!$E$2:$E$833,C$1,Produccion_Semanal!$B$2:$B$833,$A10)</f>
        <v>0.00477021818181818</v>
      </c>
      <c r="D10" s="30" t="n">
        <f aca="false">SUMIFS(Produccion_Semanal!$AR$2:$AR$833,Produccion_Semanal!$E$2:$E$833,D$1,Produccion_Semanal!$B$2:$B$833,$A10)</f>
        <v>0.00828266383419689</v>
      </c>
      <c r="E10" s="30" t="n">
        <f aca="false">SUMIFS(Produccion_Semanal!$AR$2:$AR$833,Produccion_Semanal!$E$2:$E$833,E$1,Produccion_Semanal!$B$2:$B$833,$A10)</f>
        <v>0.00468501170588235</v>
      </c>
      <c r="F10" s="30" t="n">
        <f aca="false">SUMIFS(Produccion_Semanal!$AR$2:$AR$833,Produccion_Semanal!$E$2:$E$833,F$1,Produccion_Semanal!$B$2:$B$833,$A10)</f>
        <v>0.00379336891566265</v>
      </c>
      <c r="G10" s="30" t="n">
        <f aca="false">SUMIFS(Produccion_Semanal!$AR$2:$AR$833,Produccion_Semanal!$E$2:$E$833,G$1,Produccion_Semanal!$B$2:$B$833,$A10)</f>
        <v>0.00591067610714286</v>
      </c>
      <c r="H10" s="30" t="n">
        <f aca="false">SUMIFS(Produccion_Semanal!$AR$2:$AR$833,Produccion_Semanal!$E$2:$E$833,H$1,Produccion_Semanal!$B$2:$B$833,$A10)</f>
        <v>0.00507531471698113</v>
      </c>
      <c r="I10" s="30" t="n">
        <f aca="false">SUMIFS(Produccion_Semanal!$AR$2:$AR$833,Produccion_Semanal!$E$2:$E$833,I$1,Produccion_Semanal!$B$2:$B$833,$A10)</f>
        <v>0.00512943744360902</v>
      </c>
    </row>
    <row r="11" customFormat="false" ht="15" hidden="false" customHeight="false" outlineLevel="0" collapsed="false">
      <c r="A11" s="9" t="n">
        <v>45614</v>
      </c>
      <c r="B11" s="30" t="n">
        <f aca="false">SUMIFS(Produccion_Semanal!$AR$2:$AR$833,Produccion_Semanal!$E$2:$E$833,B$1,Produccion_Semanal!$B$2:$B$833,$A11)</f>
        <v>0.00497459730375427</v>
      </c>
      <c r="C11" s="30" t="n">
        <f aca="false">SUMIFS(Produccion_Semanal!$AR$2:$AR$833,Produccion_Semanal!$E$2:$E$833,C$1,Produccion_Semanal!$B$2:$B$833,$A11)</f>
        <v>0.00452491717171717</v>
      </c>
      <c r="D11" s="30" t="n">
        <f aca="false">SUMIFS(Produccion_Semanal!$AR$2:$AR$833,Produccion_Semanal!$E$2:$E$833,D$1,Produccion_Semanal!$B$2:$B$833,$A11)</f>
        <v>0.00740238880829016</v>
      </c>
      <c r="E11" s="30" t="n">
        <f aca="false">SUMIFS(Produccion_Semanal!$AR$2:$AR$833,Produccion_Semanal!$E$2:$E$833,E$1,Produccion_Semanal!$B$2:$B$833,$A11)</f>
        <v>0.00366435370588235</v>
      </c>
      <c r="F11" s="30" t="n">
        <f aca="false">SUMIFS(Produccion_Semanal!$AR$2:$AR$833,Produccion_Semanal!$E$2:$E$833,F$1,Produccion_Semanal!$B$2:$B$833,$A11)</f>
        <v>0.00385046578313253</v>
      </c>
      <c r="G11" s="30" t="n">
        <f aca="false">SUMIFS(Produccion_Semanal!$AR$2:$AR$833,Produccion_Semanal!$E$2:$E$833,G$1,Produccion_Semanal!$B$2:$B$833,$A11)</f>
        <v>0.00632751110714286</v>
      </c>
      <c r="H11" s="30" t="n">
        <f aca="false">SUMIFS(Produccion_Semanal!$AR$2:$AR$833,Produccion_Semanal!$E$2:$E$833,H$1,Produccion_Semanal!$B$2:$B$833,$A11)</f>
        <v>0.00756971358490566</v>
      </c>
      <c r="I11" s="30" t="n">
        <f aca="false">SUMIFS(Produccion_Semanal!$AR$2:$AR$833,Produccion_Semanal!$E$2:$E$833,I$1,Produccion_Semanal!$B$2:$B$833,$A11)</f>
        <v>0.00543760443609023</v>
      </c>
    </row>
    <row r="12" customFormat="false" ht="15" hidden="false" customHeight="false" outlineLevel="0" collapsed="false">
      <c r="A12" s="9" t="n">
        <v>45621</v>
      </c>
      <c r="B12" s="30" t="n">
        <f aca="false">SUMIFS(Produccion_Semanal!$AR$2:$AR$833,Produccion_Semanal!$E$2:$E$833,B$1,Produccion_Semanal!$B$2:$B$833,$A12)</f>
        <v>0.00552895757679181</v>
      </c>
      <c r="C12" s="30" t="n">
        <f aca="false">SUMIFS(Produccion_Semanal!$AR$2:$AR$833,Produccion_Semanal!$E$2:$E$833,C$1,Produccion_Semanal!$B$2:$B$833,$A12)</f>
        <v>0.0041285230976431</v>
      </c>
      <c r="D12" s="30" t="n">
        <f aca="false">SUMIFS(Produccion_Semanal!$AR$2:$AR$833,Produccion_Semanal!$E$2:$E$833,D$1,Produccion_Semanal!$B$2:$B$833,$A12)</f>
        <v>0.00462580321243523</v>
      </c>
      <c r="E12" s="30" t="n">
        <f aca="false">SUMIFS(Produccion_Semanal!$AR$2:$AR$833,Produccion_Semanal!$E$2:$E$833,E$1,Produccion_Semanal!$B$2:$B$833,$A12)</f>
        <v>0.00426562435294118</v>
      </c>
      <c r="F12" s="30" t="n">
        <f aca="false">SUMIFS(Produccion_Semanal!$AR$2:$AR$833,Produccion_Semanal!$E$2:$E$833,F$1,Produccion_Semanal!$B$2:$B$833,$A12)</f>
        <v>0.00396852975903615</v>
      </c>
      <c r="G12" s="30" t="n">
        <f aca="false">SUMIFS(Produccion_Semanal!$AR$2:$AR$833,Produccion_Semanal!$E$2:$E$833,G$1,Produccion_Semanal!$B$2:$B$833,$A12)</f>
        <v>0.00471446257142857</v>
      </c>
      <c r="H12" s="30" t="n">
        <f aca="false">SUMIFS(Produccion_Semanal!$AR$2:$AR$833,Produccion_Semanal!$E$2:$E$833,H$1,Produccion_Semanal!$B$2:$B$833,$A12)</f>
        <v>0.00863641031446541</v>
      </c>
      <c r="I12" s="30" t="n">
        <f aca="false">SUMIFS(Produccion_Semanal!$AR$2:$AR$833,Produccion_Semanal!$E$2:$E$833,I$1,Produccion_Semanal!$B$2:$B$833,$A12)</f>
        <v>0.00687692503759398</v>
      </c>
    </row>
    <row r="13" customFormat="false" ht="15" hidden="false" customHeight="false" outlineLevel="0" collapsed="false">
      <c r="A13" s="9" t="n">
        <v>45628</v>
      </c>
      <c r="B13" s="30" t="n">
        <f aca="false">SUMIFS(Produccion_Semanal!$AR$2:$AR$833,Produccion_Semanal!$E$2:$E$833,B$1,Produccion_Semanal!$B$2:$B$833,$A13)</f>
        <v>0.00465508324232082</v>
      </c>
      <c r="C13" s="30" t="n">
        <f aca="false">SUMIFS(Produccion_Semanal!$AR$2:$AR$833,Produccion_Semanal!$E$2:$E$833,C$1,Produccion_Semanal!$B$2:$B$833,$A13)</f>
        <v>0.0033310663973064</v>
      </c>
      <c r="D13" s="30" t="n">
        <f aca="false">SUMIFS(Produccion_Semanal!$AR$2:$AR$833,Produccion_Semanal!$E$2:$E$833,D$1,Produccion_Semanal!$B$2:$B$833,$A13)</f>
        <v>0.00729247849740933</v>
      </c>
      <c r="E13" s="30" t="n">
        <f aca="false">SUMIFS(Produccion_Semanal!$AR$2:$AR$833,Produccion_Semanal!$E$2:$E$833,E$1,Produccion_Semanal!$B$2:$B$833,$A13)</f>
        <v>0.00503585858823529</v>
      </c>
      <c r="F13" s="30" t="n">
        <f aca="false">SUMIFS(Produccion_Semanal!$AR$2:$AR$833,Produccion_Semanal!$E$2:$E$833,F$1,Produccion_Semanal!$B$2:$B$833,$A13)</f>
        <v>0.00343759620481928</v>
      </c>
      <c r="G13" s="30" t="n">
        <f aca="false">SUMIFS(Produccion_Semanal!$AR$2:$AR$833,Produccion_Semanal!$E$2:$E$833,G$1,Produccion_Semanal!$B$2:$B$833,$A13)</f>
        <v>0.00547130017857143</v>
      </c>
      <c r="H13" s="30" t="n">
        <f aca="false">SUMIFS(Produccion_Semanal!$AR$2:$AR$833,Produccion_Semanal!$E$2:$E$833,H$1,Produccion_Semanal!$B$2:$B$833,$A13)</f>
        <v>0.00935543509433962</v>
      </c>
      <c r="I13" s="30" t="n">
        <f aca="false">SUMIFS(Produccion_Semanal!$AR$2:$AR$833,Produccion_Semanal!$E$2:$E$833,I$1,Produccion_Semanal!$B$2:$B$833,$A13)</f>
        <v>0.00720127571428571</v>
      </c>
    </row>
    <row r="14" customFormat="false" ht="15" hidden="false" customHeight="false" outlineLevel="0" collapsed="false">
      <c r="A14" s="9" t="n">
        <v>45635</v>
      </c>
      <c r="B14" s="30" t="n">
        <f aca="false">SUMIFS(Produccion_Semanal!$AR$2:$AR$833,Produccion_Semanal!$E$2:$E$833,B$1,Produccion_Semanal!$B$2:$B$833,$A14)</f>
        <v>0.00468494682593857</v>
      </c>
      <c r="C14" s="30" t="n">
        <f aca="false">SUMIFS(Produccion_Semanal!$AR$2:$AR$833,Produccion_Semanal!$E$2:$E$833,C$1,Produccion_Semanal!$B$2:$B$833,$A14)</f>
        <v>0.00391639178451178</v>
      </c>
      <c r="D14" s="30" t="n">
        <f aca="false">SUMIFS(Produccion_Semanal!$AR$2:$AR$833,Produccion_Semanal!$E$2:$E$833,D$1,Produccion_Semanal!$B$2:$B$833,$A14)</f>
        <v>0.00528836507772021</v>
      </c>
      <c r="E14" s="30" t="n">
        <f aca="false">SUMIFS(Produccion_Semanal!$AR$2:$AR$833,Produccion_Semanal!$E$2:$E$833,E$1,Produccion_Semanal!$B$2:$B$833,$A14)</f>
        <v>0.00404658982352941</v>
      </c>
      <c r="F14" s="30" t="n">
        <f aca="false">SUMIFS(Produccion_Semanal!$AR$2:$AR$833,Produccion_Semanal!$E$2:$E$833,F$1,Produccion_Semanal!$B$2:$B$833,$A14)</f>
        <v>0.00350872024096386</v>
      </c>
      <c r="G14" s="30" t="n">
        <f aca="false">SUMIFS(Produccion_Semanal!$AR$2:$AR$833,Produccion_Semanal!$E$2:$E$833,G$1,Produccion_Semanal!$B$2:$B$833,$A14)</f>
        <v>0.00545829067857143</v>
      </c>
      <c r="H14" s="30" t="n">
        <f aca="false">SUMIFS(Produccion_Semanal!$AR$2:$AR$833,Produccion_Semanal!$E$2:$E$833,H$1,Produccion_Semanal!$B$2:$B$833,$A14)</f>
        <v>0.00874038830188679</v>
      </c>
      <c r="I14" s="30" t="n">
        <f aca="false">SUMIFS(Produccion_Semanal!$AR$2:$AR$833,Produccion_Semanal!$E$2:$E$833,I$1,Produccion_Semanal!$B$2:$B$833,$A14)</f>
        <v>0.00724976488721805</v>
      </c>
    </row>
    <row r="15" customFormat="false" ht="15" hidden="false" customHeight="false" outlineLevel="0" collapsed="false">
      <c r="A15" s="9" t="n">
        <v>45642</v>
      </c>
      <c r="B15" s="30" t="n">
        <f aca="false">SUMIFS(Produccion_Semanal!$AR$2:$AR$833,Produccion_Semanal!$E$2:$E$833,B$1,Produccion_Semanal!$B$2:$B$833,$A15)</f>
        <v>0.00538505802047782</v>
      </c>
      <c r="C15" s="30" t="n">
        <f aca="false">SUMIFS(Produccion_Semanal!$AR$2:$AR$833,Produccion_Semanal!$E$2:$E$833,C$1,Produccion_Semanal!$B$2:$B$833,$A15)</f>
        <v>0.0037447572053872</v>
      </c>
      <c r="D15" s="30" t="n">
        <f aca="false">SUMIFS(Produccion_Semanal!$AR$2:$AR$833,Produccion_Semanal!$E$2:$E$833,D$1,Produccion_Semanal!$B$2:$B$833,$A15)</f>
        <v>0.00516738792746114</v>
      </c>
      <c r="E15" s="30" t="n">
        <f aca="false">SUMIFS(Produccion_Semanal!$AR$2:$AR$833,Produccion_Semanal!$E$2:$E$833,E$1,Produccion_Semanal!$B$2:$B$833,$A15)</f>
        <v>0.00495186747058824</v>
      </c>
      <c r="F15" s="30" t="n">
        <f aca="false">SUMIFS(Produccion_Semanal!$AR$2:$AR$833,Produccion_Semanal!$E$2:$E$833,F$1,Produccion_Semanal!$B$2:$B$833,$A15)</f>
        <v>0.00279611162650602</v>
      </c>
      <c r="G15" s="30" t="n">
        <f aca="false">SUMIFS(Produccion_Semanal!$AR$2:$AR$833,Produccion_Semanal!$E$2:$E$833,G$1,Produccion_Semanal!$B$2:$B$833,$A15)</f>
        <v>0.00531558153571429</v>
      </c>
      <c r="H15" s="30" t="n">
        <f aca="false">SUMIFS(Produccion_Semanal!$AR$2:$AR$833,Produccion_Semanal!$E$2:$E$833,H$1,Produccion_Semanal!$B$2:$B$833,$A15)</f>
        <v>0.00858486993710692</v>
      </c>
      <c r="I15" s="30" t="n">
        <f aca="false">SUMIFS(Produccion_Semanal!$AR$2:$AR$833,Produccion_Semanal!$E$2:$E$833,I$1,Produccion_Semanal!$B$2:$B$833,$A15)</f>
        <v>0.00724445586466165</v>
      </c>
    </row>
    <row r="16" customFormat="false" ht="15" hidden="false" customHeight="false" outlineLevel="0" collapsed="false">
      <c r="A16" s="9" t="n">
        <v>45649</v>
      </c>
      <c r="B16" s="30" t="n">
        <f aca="false">SUMIFS(Produccion_Semanal!$AR$2:$AR$833,Produccion_Semanal!$E$2:$E$833,B$1,Produccion_Semanal!$B$2:$B$833,$A16)</f>
        <v>0.00300482416382252</v>
      </c>
      <c r="C16" s="30" t="n">
        <f aca="false">SUMIFS(Produccion_Semanal!$AR$2:$AR$833,Produccion_Semanal!$E$2:$E$833,C$1,Produccion_Semanal!$B$2:$B$833,$A16)</f>
        <v>0.00362395127946128</v>
      </c>
      <c r="D16" s="30" t="n">
        <f aca="false">SUMIFS(Produccion_Semanal!$AR$2:$AR$833,Produccion_Semanal!$E$2:$E$833,D$1,Produccion_Semanal!$B$2:$B$833,$A16)</f>
        <v>0.00424683492227979</v>
      </c>
      <c r="E16" s="30" t="n">
        <f aca="false">SUMIFS(Produccion_Semanal!$AR$2:$AR$833,Produccion_Semanal!$E$2:$E$833,E$1,Produccion_Semanal!$B$2:$B$833,$A16)</f>
        <v>0.00257699788235294</v>
      </c>
      <c r="F16" s="30" t="n">
        <f aca="false">SUMIFS(Produccion_Semanal!$AR$2:$AR$833,Produccion_Semanal!$E$2:$E$833,F$1,Produccion_Semanal!$B$2:$B$833,$A16)</f>
        <v>0.00291348313253012</v>
      </c>
      <c r="G16" s="30" t="n">
        <f aca="false">SUMIFS(Produccion_Semanal!$AR$2:$AR$833,Produccion_Semanal!$E$2:$E$833,G$1,Produccion_Semanal!$B$2:$B$833,$A16)</f>
        <v>0.00477068110714286</v>
      </c>
      <c r="H16" s="30" t="n">
        <f aca="false">SUMIFS(Produccion_Semanal!$AR$2:$AR$833,Produccion_Semanal!$E$2:$E$833,H$1,Produccion_Semanal!$B$2:$B$833,$A16)</f>
        <v>0.00416186188679245</v>
      </c>
      <c r="I16" s="30" t="n">
        <f aca="false">SUMIFS(Produccion_Semanal!$AR$2:$AR$833,Produccion_Semanal!$E$2:$E$833,I$1,Produccion_Semanal!$B$2:$B$833,$A16)</f>
        <v>0.00491838977443609</v>
      </c>
    </row>
    <row r="17" customFormat="false" ht="15" hidden="false" customHeight="false" outlineLevel="0" collapsed="false">
      <c r="A17" s="9" t="n">
        <v>45656</v>
      </c>
      <c r="B17" s="30" t="n">
        <f aca="false">SUMIFS(Produccion_Semanal!$AR$2:$AR$833,Produccion_Semanal!$E$2:$E$833,B$1,Produccion_Semanal!$B$2:$B$833,$A17)</f>
        <v>0.00379233354948806</v>
      </c>
      <c r="C17" s="30" t="n">
        <f aca="false">SUMIFS(Produccion_Semanal!$AR$2:$AR$833,Produccion_Semanal!$E$2:$E$833,C$1,Produccion_Semanal!$B$2:$B$833,$A17)</f>
        <v>0.00356273191919192</v>
      </c>
      <c r="D17" s="30" t="n">
        <f aca="false">SUMIFS(Produccion_Semanal!$AR$2:$AR$833,Produccion_Semanal!$E$2:$E$833,D$1,Produccion_Semanal!$B$2:$B$833,$A17)</f>
        <v>0.00454284699481865</v>
      </c>
      <c r="E17" s="30" t="n">
        <f aca="false">SUMIFS(Produccion_Semanal!$AR$2:$AR$833,Produccion_Semanal!$E$2:$E$833,E$1,Produccion_Semanal!$B$2:$B$833,$A17)</f>
        <v>0.00334897647058824</v>
      </c>
      <c r="F17" s="30" t="n">
        <f aca="false">SUMIFS(Produccion_Semanal!$AR$2:$AR$833,Produccion_Semanal!$E$2:$E$833,F$1,Produccion_Semanal!$B$2:$B$833,$A17)</f>
        <v>0.00317102469879518</v>
      </c>
      <c r="G17" s="30" t="n">
        <f aca="false">SUMIFS(Produccion_Semanal!$AR$2:$AR$833,Produccion_Semanal!$E$2:$E$833,G$1,Produccion_Semanal!$B$2:$B$833,$A17)</f>
        <v>0.00512458946428572</v>
      </c>
      <c r="H17" s="30" t="n">
        <f aca="false">SUMIFS(Produccion_Semanal!$AR$2:$AR$833,Produccion_Semanal!$E$2:$E$833,H$1,Produccion_Semanal!$B$2:$B$833,$A17)</f>
        <v>0.00391889031446541</v>
      </c>
      <c r="I17" s="30" t="n">
        <f aca="false">SUMIFS(Produccion_Semanal!$AR$2:$AR$833,Produccion_Semanal!$E$2:$E$833,I$1,Produccion_Semanal!$B$2:$B$833,$A17)</f>
        <v>0.00601035135338346</v>
      </c>
    </row>
    <row r="18" customFormat="false" ht="15" hidden="false" customHeight="false" outlineLevel="0" collapsed="false">
      <c r="A18" s="9" t="n">
        <v>45663</v>
      </c>
      <c r="B18" s="30" t="n">
        <f aca="false">SUMIFS(Produccion_Semanal!$AR$2:$AR$833,Produccion_Semanal!$E$2:$E$833,B$1,Produccion_Semanal!$B$2:$B$833,$A18)</f>
        <v>0.00477002453924914</v>
      </c>
      <c r="C18" s="30" t="n">
        <f aca="false">SUMIFS(Produccion_Semanal!$AR$2:$AR$833,Produccion_Semanal!$E$2:$E$833,C$1,Produccion_Semanal!$B$2:$B$833,$A18)</f>
        <v>0.00466869501683502</v>
      </c>
      <c r="D18" s="30" t="n">
        <f aca="false">SUMIFS(Produccion_Semanal!$AR$2:$AR$833,Produccion_Semanal!$E$2:$E$833,D$1,Produccion_Semanal!$B$2:$B$833,$A18)</f>
        <v>0.00712995316062176</v>
      </c>
      <c r="E18" s="30" t="n">
        <f aca="false">SUMIFS(Produccion_Semanal!$AR$2:$AR$833,Produccion_Semanal!$E$2:$E$833,E$1,Produccion_Semanal!$B$2:$B$833,$A18)</f>
        <v>0.00382558211764706</v>
      </c>
      <c r="F18" s="30" t="n">
        <f aca="false">SUMIFS(Produccion_Semanal!$AR$2:$AR$833,Produccion_Semanal!$E$2:$E$833,F$1,Produccion_Semanal!$B$2:$B$833,$A18)</f>
        <v>0.00270153307228916</v>
      </c>
      <c r="G18" s="30" t="n">
        <f aca="false">SUMIFS(Produccion_Semanal!$AR$2:$AR$833,Produccion_Semanal!$E$2:$E$833,G$1,Produccion_Semanal!$B$2:$B$833,$A18)</f>
        <v>0.00546606335714286</v>
      </c>
      <c r="H18" s="30" t="n">
        <f aca="false">SUMIFS(Produccion_Semanal!$AR$2:$AR$833,Produccion_Semanal!$E$2:$E$833,H$1,Produccion_Semanal!$B$2:$B$833,$A18)</f>
        <v>0.00785277320754717</v>
      </c>
      <c r="I18" s="30" t="n">
        <f aca="false">SUMIFS(Produccion_Semanal!$AR$2:$AR$833,Produccion_Semanal!$E$2:$E$833,I$1,Produccion_Semanal!$B$2:$B$833,$A18)</f>
        <v>0.00425033977443609</v>
      </c>
    </row>
    <row r="19" customFormat="false" ht="15" hidden="false" customHeight="false" outlineLevel="0" collapsed="false">
      <c r="A19" s="9" t="n">
        <v>45670</v>
      </c>
      <c r="B19" s="30" t="n">
        <f aca="false">SUMIFS(Produccion_Semanal!$AR$2:$AR$833,Produccion_Semanal!$E$2:$E$833,B$1,Produccion_Semanal!$B$2:$B$833,$A19)</f>
        <v>0.00520750153583618</v>
      </c>
      <c r="C19" s="30" t="n">
        <f aca="false">SUMIFS(Produccion_Semanal!$AR$2:$AR$833,Produccion_Semanal!$E$2:$E$833,C$1,Produccion_Semanal!$B$2:$B$833,$A19)</f>
        <v>0.00402782239057239</v>
      </c>
      <c r="D19" s="30" t="n">
        <f aca="false">SUMIFS(Produccion_Semanal!$AR$2:$AR$833,Produccion_Semanal!$E$2:$E$833,D$1,Produccion_Semanal!$B$2:$B$833,$A19)</f>
        <v>0.00619379269430052</v>
      </c>
      <c r="E19" s="30" t="n">
        <f aca="false">SUMIFS(Produccion_Semanal!$AR$2:$AR$833,Produccion_Semanal!$E$2:$E$833,E$1,Produccion_Semanal!$B$2:$B$833,$A19)</f>
        <v>0.00392817541176471</v>
      </c>
      <c r="F19" s="30" t="n">
        <f aca="false">SUMIFS(Produccion_Semanal!$AR$2:$AR$833,Produccion_Semanal!$E$2:$E$833,F$1,Produccion_Semanal!$B$2:$B$833,$A19)</f>
        <v>0.00450151096385542</v>
      </c>
      <c r="G19" s="30" t="n">
        <f aca="false">SUMIFS(Produccion_Semanal!$AR$2:$AR$833,Produccion_Semanal!$E$2:$E$833,G$1,Produccion_Semanal!$B$2:$B$833,$A19)</f>
        <v>0.00514988821428572</v>
      </c>
      <c r="H19" s="30" t="n">
        <f aca="false">SUMIFS(Produccion_Semanal!$AR$2:$AR$833,Produccion_Semanal!$E$2:$E$833,H$1,Produccion_Semanal!$B$2:$B$833,$A19)</f>
        <v>0.00560695962264151</v>
      </c>
      <c r="I19" s="30" t="n">
        <f aca="false">SUMIFS(Produccion_Semanal!$AR$2:$AR$833,Produccion_Semanal!$E$2:$E$833,I$1,Produccion_Semanal!$B$2:$B$833,$A19)</f>
        <v>0.00590182458646617</v>
      </c>
    </row>
    <row r="20" customFormat="false" ht="15" hidden="false" customHeight="false" outlineLevel="0" collapsed="false">
      <c r="A20" s="9" t="n">
        <v>45677</v>
      </c>
      <c r="B20" s="30" t="n">
        <f aca="false">SUMIFS(Produccion_Semanal!$AR$2:$AR$833,Produccion_Semanal!$E$2:$E$833,B$1,Produccion_Semanal!$B$2:$B$833,$A20)</f>
        <v>0.00566132409556314</v>
      </c>
      <c r="C20" s="30" t="n">
        <f aca="false">SUMIFS(Produccion_Semanal!$AR$2:$AR$833,Produccion_Semanal!$E$2:$E$833,C$1,Produccion_Semanal!$B$2:$B$833,$A20)</f>
        <v>0.00413879434343434</v>
      </c>
      <c r="D20" s="30" t="n">
        <f aca="false">SUMIFS(Produccion_Semanal!$AR$2:$AR$833,Produccion_Semanal!$E$2:$E$833,D$1,Produccion_Semanal!$B$2:$B$833,$A20)</f>
        <v>0.00751705559585492</v>
      </c>
      <c r="E20" s="30" t="n">
        <f aca="false">SUMIFS(Produccion_Semanal!$AR$2:$AR$833,Produccion_Semanal!$E$2:$E$833,E$1,Produccion_Semanal!$B$2:$B$833,$A20)</f>
        <v>0.00435337535294118</v>
      </c>
      <c r="F20" s="30" t="n">
        <f aca="false">SUMIFS(Produccion_Semanal!$AR$2:$AR$833,Produccion_Semanal!$E$2:$E$833,F$1,Produccion_Semanal!$B$2:$B$833,$A20)</f>
        <v>0.00426150939759036</v>
      </c>
      <c r="G20" s="30" t="n">
        <f aca="false">SUMIFS(Produccion_Semanal!$AR$2:$AR$833,Produccion_Semanal!$E$2:$E$833,G$1,Produccion_Semanal!$B$2:$B$833,$A20)</f>
        <v>0.0055112005</v>
      </c>
      <c r="H20" s="30" t="n">
        <f aca="false">SUMIFS(Produccion_Semanal!$AR$2:$AR$833,Produccion_Semanal!$E$2:$E$833,H$1,Produccion_Semanal!$B$2:$B$833,$A20)</f>
        <v>0.00558220377358491</v>
      </c>
      <c r="I20" s="30" t="n">
        <f aca="false">SUMIFS(Produccion_Semanal!$AR$2:$AR$833,Produccion_Semanal!$E$2:$E$833,I$1,Produccion_Semanal!$B$2:$B$833,$A20)</f>
        <v>0.00826893729323308</v>
      </c>
    </row>
    <row r="21" customFormat="false" ht="15" hidden="false" customHeight="false" outlineLevel="0" collapsed="false">
      <c r="A21" s="9" t="n">
        <v>45684</v>
      </c>
      <c r="B21" s="30" t="n">
        <f aca="false">SUMIFS(Produccion_Semanal!$AR$2:$AR$833,Produccion_Semanal!$E$2:$E$833,B$1,Produccion_Semanal!$B$2:$B$833,$A21)</f>
        <v>0.00591663870307167</v>
      </c>
      <c r="C21" s="30" t="n">
        <f aca="false">SUMIFS(Produccion_Semanal!$AR$2:$AR$833,Produccion_Semanal!$E$2:$E$833,C$1,Produccion_Semanal!$B$2:$B$833,$A21)</f>
        <v>0.00412307033670034</v>
      </c>
      <c r="D21" s="30" t="n">
        <f aca="false">SUMIFS(Produccion_Semanal!$AR$2:$AR$833,Produccion_Semanal!$E$2:$E$833,D$1,Produccion_Semanal!$B$2:$B$833,$A21)</f>
        <v>0.00664125031088083</v>
      </c>
      <c r="E21" s="30" t="n">
        <f aca="false">SUMIFS(Produccion_Semanal!$AR$2:$AR$833,Produccion_Semanal!$E$2:$E$833,E$1,Produccion_Semanal!$B$2:$B$833,$A21)</f>
        <v>0.00351189435294118</v>
      </c>
      <c r="F21" s="30" t="n">
        <f aca="false">SUMIFS(Produccion_Semanal!$AR$2:$AR$833,Produccion_Semanal!$E$2:$E$833,F$1,Produccion_Semanal!$B$2:$B$833,$A21)</f>
        <v>0.00328834759036145</v>
      </c>
      <c r="G21" s="30" t="n">
        <f aca="false">SUMIFS(Produccion_Semanal!$AR$2:$AR$833,Produccion_Semanal!$E$2:$E$833,G$1,Produccion_Semanal!$B$2:$B$833,$A21)</f>
        <v>0.00515180428571429</v>
      </c>
      <c r="H21" s="30" t="n">
        <f aca="false">SUMIFS(Produccion_Semanal!$AR$2:$AR$833,Produccion_Semanal!$E$2:$E$833,H$1,Produccion_Semanal!$B$2:$B$833,$A21)</f>
        <v>0.00570173421383648</v>
      </c>
      <c r="I21" s="30" t="n">
        <f aca="false">SUMIFS(Produccion_Semanal!$AR$2:$AR$833,Produccion_Semanal!$E$2:$E$833,I$1,Produccion_Semanal!$B$2:$B$833,$A21)</f>
        <v>0.00603871308270677</v>
      </c>
    </row>
    <row r="22" customFormat="false" ht="15" hidden="false" customHeight="false" outlineLevel="0" collapsed="false">
      <c r="A22" s="9" t="n">
        <v>45691</v>
      </c>
      <c r="B22" s="30" t="n">
        <f aca="false">SUMIFS(Produccion_Semanal!$AR$2:$AR$833,Produccion_Semanal!$E$2:$E$833,B$1,Produccion_Semanal!$B$2:$B$833,$A22)</f>
        <v>0.00474073682593857</v>
      </c>
      <c r="C22" s="30" t="n">
        <f aca="false">SUMIFS(Produccion_Semanal!$AR$2:$AR$833,Produccion_Semanal!$E$2:$E$833,C$1,Produccion_Semanal!$B$2:$B$833,$A22)</f>
        <v>0.00381604986531986</v>
      </c>
      <c r="D22" s="30" t="n">
        <f aca="false">SUMIFS(Produccion_Semanal!$AR$2:$AR$833,Produccion_Semanal!$E$2:$E$833,D$1,Produccion_Semanal!$B$2:$B$833,$A22)</f>
        <v>0.00758950051813471</v>
      </c>
      <c r="E22" s="30" t="n">
        <f aca="false">SUMIFS(Produccion_Semanal!$AR$2:$AR$833,Produccion_Semanal!$E$2:$E$833,E$1,Produccion_Semanal!$B$2:$B$833,$A22)</f>
        <v>0.00468189976470588</v>
      </c>
      <c r="F22" s="30" t="n">
        <f aca="false">SUMIFS(Produccion_Semanal!$AR$2:$AR$833,Produccion_Semanal!$E$2:$E$833,F$1,Produccion_Semanal!$B$2:$B$833,$A22)</f>
        <v>0.00340945536144578</v>
      </c>
      <c r="G22" s="30" t="n">
        <f aca="false">SUMIFS(Produccion_Semanal!$AR$2:$AR$833,Produccion_Semanal!$E$2:$E$833,G$1,Produccion_Semanal!$B$2:$B$833,$A22)</f>
        <v>0.00501991442857143</v>
      </c>
      <c r="H22" s="30" t="n">
        <f aca="false">SUMIFS(Produccion_Semanal!$AR$2:$AR$833,Produccion_Semanal!$E$2:$E$833,H$1,Produccion_Semanal!$B$2:$B$833,$A22)</f>
        <v>0.00969835484276729</v>
      </c>
      <c r="I22" s="30" t="n">
        <f aca="false">SUMIFS(Produccion_Semanal!$AR$2:$AR$833,Produccion_Semanal!$E$2:$E$833,I$1,Produccion_Semanal!$B$2:$B$833,$A22)</f>
        <v>0.00684416684210526</v>
      </c>
    </row>
    <row r="23" customFormat="false" ht="15" hidden="false" customHeight="false" outlineLevel="0" collapsed="false">
      <c r="A23" s="9" t="n">
        <v>45698</v>
      </c>
      <c r="B23" s="30" t="n">
        <f aca="false">SUMIFS(Produccion_Semanal!$AR$2:$AR$833,Produccion_Semanal!$E$2:$E$833,B$1,Produccion_Semanal!$B$2:$B$833,$A23)</f>
        <v>0.00580886737201365</v>
      </c>
      <c r="C23" s="30" t="n">
        <f aca="false">SUMIFS(Produccion_Semanal!$AR$2:$AR$833,Produccion_Semanal!$E$2:$E$833,C$1,Produccion_Semanal!$B$2:$B$833,$A23)</f>
        <v>0.00440849861952862</v>
      </c>
      <c r="D23" s="30" t="n">
        <f aca="false">SUMIFS(Produccion_Semanal!$AR$2:$AR$833,Produccion_Semanal!$E$2:$E$833,D$1,Produccion_Semanal!$B$2:$B$833,$A23)</f>
        <v>0.00630410689119171</v>
      </c>
      <c r="E23" s="30" t="n">
        <f aca="false">SUMIFS(Produccion_Semanal!$AR$2:$AR$833,Produccion_Semanal!$E$2:$E$833,E$1,Produccion_Semanal!$B$2:$B$833,$A23)</f>
        <v>0.00592929088235294</v>
      </c>
      <c r="F23" s="30" t="n">
        <f aca="false">SUMIFS(Produccion_Semanal!$AR$2:$AR$833,Produccion_Semanal!$E$2:$E$833,F$1,Produccion_Semanal!$B$2:$B$833,$A23)</f>
        <v>0.00378046084337349</v>
      </c>
      <c r="G23" s="30" t="n">
        <f aca="false">SUMIFS(Produccion_Semanal!$AR$2:$AR$833,Produccion_Semanal!$E$2:$E$833,G$1,Produccion_Semanal!$B$2:$B$833,$A23)</f>
        <v>0.00586735189285714</v>
      </c>
      <c r="H23" s="30" t="n">
        <f aca="false">SUMIFS(Produccion_Semanal!$AR$2:$AR$833,Produccion_Semanal!$E$2:$E$833,H$1,Produccion_Semanal!$B$2:$B$833,$A23)</f>
        <v>0.00633613408805032</v>
      </c>
      <c r="I23" s="30" t="n">
        <f aca="false">SUMIFS(Produccion_Semanal!$AR$2:$AR$833,Produccion_Semanal!$E$2:$E$833,I$1,Produccion_Semanal!$B$2:$B$833,$A23)</f>
        <v>0.00770389684210526</v>
      </c>
    </row>
    <row r="24" customFormat="false" ht="15" hidden="false" customHeight="false" outlineLevel="0" collapsed="false">
      <c r="A24" s="9" t="n">
        <v>45705</v>
      </c>
      <c r="B24" s="30" t="n">
        <f aca="false">SUMIFS(Produccion_Semanal!$AR$2:$AR$833,Produccion_Semanal!$E$2:$E$833,B$1,Produccion_Semanal!$B$2:$B$833,$A24)</f>
        <v>0.00510350296928328</v>
      </c>
      <c r="C24" s="30" t="n">
        <f aca="false">SUMIFS(Produccion_Semanal!$AR$2:$AR$833,Produccion_Semanal!$E$2:$E$833,C$1,Produccion_Semanal!$B$2:$B$833,$A24)</f>
        <v>0.00343524457912458</v>
      </c>
      <c r="D24" s="30" t="n">
        <f aca="false">SUMIFS(Produccion_Semanal!$AR$2:$AR$833,Produccion_Semanal!$E$2:$E$833,D$1,Produccion_Semanal!$B$2:$B$833,$A24)</f>
        <v>0.00722694300518135</v>
      </c>
      <c r="E24" s="30" t="n">
        <f aca="false">SUMIFS(Produccion_Semanal!$AR$2:$AR$833,Produccion_Semanal!$E$2:$E$833,E$1,Produccion_Semanal!$B$2:$B$833,$A24)</f>
        <v>0.00276339023529412</v>
      </c>
      <c r="F24" s="30" t="n">
        <f aca="false">SUMIFS(Produccion_Semanal!$AR$2:$AR$833,Produccion_Semanal!$E$2:$E$833,F$1,Produccion_Semanal!$B$2:$B$833,$A24)</f>
        <v>0.00341787885542169</v>
      </c>
      <c r="G24" s="30" t="n">
        <f aca="false">SUMIFS(Produccion_Semanal!$AR$2:$AR$833,Produccion_Semanal!$E$2:$E$833,G$1,Produccion_Semanal!$B$2:$B$833,$A24)</f>
        <v>0.00575550575</v>
      </c>
      <c r="H24" s="30" t="n">
        <f aca="false">SUMIFS(Produccion_Semanal!$AR$2:$AR$833,Produccion_Semanal!$E$2:$E$833,H$1,Produccion_Semanal!$B$2:$B$833,$A24)</f>
        <v>0.00970283509433962</v>
      </c>
      <c r="I24" s="30" t="n">
        <f aca="false">SUMIFS(Produccion_Semanal!$AR$2:$AR$833,Produccion_Semanal!$E$2:$E$833,I$1,Produccion_Semanal!$B$2:$B$833,$A24)</f>
        <v>0.00660469556390978</v>
      </c>
    </row>
    <row r="25" customFormat="false" ht="15" hidden="false" customHeight="false" outlineLevel="0" collapsed="false">
      <c r="A25" s="9" t="n">
        <v>45712</v>
      </c>
      <c r="B25" s="30" t="n">
        <f aca="false">SUMIFS(Produccion_Semanal!$AR$2:$AR$833,Produccion_Semanal!$E$2:$E$833,B$1,Produccion_Semanal!$B$2:$B$833,$A25)</f>
        <v>0.00524741696245734</v>
      </c>
      <c r="C25" s="30" t="n">
        <f aca="false">SUMIFS(Produccion_Semanal!$AR$2:$AR$833,Produccion_Semanal!$E$2:$E$833,C$1,Produccion_Semanal!$B$2:$B$833,$A25)</f>
        <v>0.00408650616161616</v>
      </c>
      <c r="D25" s="30" t="n">
        <f aca="false">SUMIFS(Produccion_Semanal!$AR$2:$AR$833,Produccion_Semanal!$E$2:$E$833,D$1,Produccion_Semanal!$B$2:$B$833,$A25)</f>
        <v>0.00729040689119171</v>
      </c>
      <c r="E25" s="30" t="n">
        <f aca="false">SUMIFS(Produccion_Semanal!$AR$2:$AR$833,Produccion_Semanal!$E$2:$E$833,E$1,Produccion_Semanal!$B$2:$B$833,$A25)</f>
        <v>0.0035309364117647</v>
      </c>
      <c r="F25" s="30" t="n">
        <f aca="false">SUMIFS(Produccion_Semanal!$AR$2:$AR$833,Produccion_Semanal!$E$2:$E$833,F$1,Produccion_Semanal!$B$2:$B$833,$A25)</f>
        <v>0.00333680469879518</v>
      </c>
      <c r="G25" s="30" t="n">
        <f aca="false">SUMIFS(Produccion_Semanal!$AR$2:$AR$833,Produccion_Semanal!$E$2:$E$833,G$1,Produccion_Semanal!$B$2:$B$833,$A25)</f>
        <v>0.00503529967857143</v>
      </c>
      <c r="H25" s="30" t="n">
        <f aca="false">SUMIFS(Produccion_Semanal!$AR$2:$AR$833,Produccion_Semanal!$E$2:$E$833,H$1,Produccion_Semanal!$B$2:$B$833,$A25)</f>
        <v>0.00919865132075472</v>
      </c>
      <c r="I25" s="30" t="n">
        <f aca="false">SUMIFS(Produccion_Semanal!$AR$2:$AR$833,Produccion_Semanal!$E$2:$E$833,I$1,Produccion_Semanal!$B$2:$B$833,$A25)</f>
        <v>0.0062962437593985</v>
      </c>
    </row>
    <row r="26" customFormat="false" ht="15" hidden="false" customHeight="false" outlineLevel="0" collapsed="false">
      <c r="A26" s="9" t="n">
        <v>45719</v>
      </c>
      <c r="B26" s="30" t="n">
        <f aca="false">SUMIFS(Produccion_Semanal!$AR$2:$AR$833,Produccion_Semanal!$E$2:$E$833,B$1,Produccion_Semanal!$B$2:$B$833,$A26)</f>
        <v>0.00512612109215017</v>
      </c>
      <c r="C26" s="30" t="n">
        <f aca="false">SUMIFS(Produccion_Semanal!$AR$2:$AR$833,Produccion_Semanal!$E$2:$E$833,C$1,Produccion_Semanal!$B$2:$B$833,$A26)</f>
        <v>0.00355218575757576</v>
      </c>
      <c r="D26" s="30" t="n">
        <f aca="false">SUMIFS(Produccion_Semanal!$AR$2:$AR$833,Produccion_Semanal!$E$2:$E$833,D$1,Produccion_Semanal!$B$2:$B$833,$A26)</f>
        <v>0.00603939134715026</v>
      </c>
      <c r="E26" s="30" t="n">
        <f aca="false">SUMIFS(Produccion_Semanal!$AR$2:$AR$833,Produccion_Semanal!$E$2:$E$833,E$1,Produccion_Semanal!$B$2:$B$833,$A26)</f>
        <v>0.00496900788235294</v>
      </c>
      <c r="F26" s="30" t="n">
        <f aca="false">SUMIFS(Produccion_Semanal!$AR$2:$AR$833,Produccion_Semanal!$E$2:$E$833,F$1,Produccion_Semanal!$B$2:$B$833,$A26)</f>
        <v>0.00320127692771084</v>
      </c>
      <c r="G26" s="30" t="n">
        <f aca="false">SUMIFS(Produccion_Semanal!$AR$2:$AR$833,Produccion_Semanal!$E$2:$E$833,G$1,Produccion_Semanal!$B$2:$B$833,$A26)</f>
        <v>0.00535629760714286</v>
      </c>
      <c r="H26" s="30" t="n">
        <f aca="false">SUMIFS(Produccion_Semanal!$AR$2:$AR$833,Produccion_Semanal!$E$2:$E$833,H$1,Produccion_Semanal!$B$2:$B$833,$A26)</f>
        <v>0.00865748981132075</v>
      </c>
      <c r="I26" s="30" t="n">
        <f aca="false">SUMIFS(Produccion_Semanal!$AR$2:$AR$833,Produccion_Semanal!$E$2:$E$833,I$1,Produccion_Semanal!$B$2:$B$833,$A26)</f>
        <v>0.00666864383458647</v>
      </c>
    </row>
    <row r="27" customFormat="false" ht="15" hidden="false" customHeight="false" outlineLevel="0" collapsed="false">
      <c r="A27" s="9" t="n">
        <v>45726</v>
      </c>
      <c r="B27" s="30" t="n">
        <f aca="false">SUMIFS(Produccion_Semanal!$AR$2:$AR$833,Produccion_Semanal!$E$2:$E$833,B$1,Produccion_Semanal!$B$2:$B$833,$A27)</f>
        <v>0.00496354686006826</v>
      </c>
      <c r="C27" s="30" t="n">
        <f aca="false">SUMIFS(Produccion_Semanal!$AR$2:$AR$833,Produccion_Semanal!$E$2:$E$833,C$1,Produccion_Semanal!$B$2:$B$833,$A27)</f>
        <v>0.0037861936026936</v>
      </c>
      <c r="D27" s="30" t="n">
        <f aca="false">SUMIFS(Produccion_Semanal!$AR$2:$AR$833,Produccion_Semanal!$E$2:$E$833,D$1,Produccion_Semanal!$B$2:$B$833,$A27)</f>
        <v>0.00706215393782384</v>
      </c>
      <c r="E27" s="30" t="n">
        <f aca="false">SUMIFS(Produccion_Semanal!$AR$2:$AR$833,Produccion_Semanal!$E$2:$E$833,E$1,Produccion_Semanal!$B$2:$B$833,$A27)</f>
        <v>0.0051350535882353</v>
      </c>
      <c r="F27" s="30" t="n">
        <f aca="false">SUMIFS(Produccion_Semanal!$AR$2:$AR$833,Produccion_Semanal!$E$2:$E$833,F$1,Produccion_Semanal!$B$2:$B$833,$A27)</f>
        <v>0.0030167643373494</v>
      </c>
      <c r="G27" s="30" t="n">
        <f aca="false">SUMIFS(Produccion_Semanal!$AR$2:$AR$833,Produccion_Semanal!$E$2:$E$833,G$1,Produccion_Semanal!$B$2:$B$833,$A27)</f>
        <v>0.00654953178571429</v>
      </c>
      <c r="H27" s="30" t="n">
        <f aca="false">SUMIFS(Produccion_Semanal!$AR$2:$AR$833,Produccion_Semanal!$E$2:$E$833,H$1,Produccion_Semanal!$B$2:$B$833,$A27)</f>
        <v>0.00650616289308176</v>
      </c>
      <c r="I27" s="30" t="n">
        <f aca="false">SUMIFS(Produccion_Semanal!$AR$2:$AR$833,Produccion_Semanal!$E$2:$E$833,I$1,Produccion_Semanal!$B$2:$B$833,$A27)</f>
        <v>0.00607057466165414</v>
      </c>
    </row>
    <row r="28" customFormat="false" ht="15" hidden="false" customHeight="false" outlineLevel="0" collapsed="false">
      <c r="A28" s="9" t="n">
        <v>45733</v>
      </c>
      <c r="B28" s="30" t="n">
        <f aca="false">SUMIFS(Produccion_Semanal!$AR$2:$AR$833,Produccion_Semanal!$E$2:$E$833,B$1,Produccion_Semanal!$B$2:$B$833,$A28)</f>
        <v>0.00545196389078498</v>
      </c>
      <c r="C28" s="30" t="n">
        <f aca="false">SUMIFS(Produccion_Semanal!$AR$2:$AR$833,Produccion_Semanal!$E$2:$E$833,C$1,Produccion_Semanal!$B$2:$B$833,$A28)</f>
        <v>0.00355384094276094</v>
      </c>
      <c r="D28" s="30" t="n">
        <f aca="false">SUMIFS(Produccion_Semanal!$AR$2:$AR$833,Produccion_Semanal!$E$2:$E$833,D$1,Produccion_Semanal!$B$2:$B$833,$A28)</f>
        <v>0.00606183067357513</v>
      </c>
      <c r="E28" s="30" t="n">
        <f aca="false">SUMIFS(Produccion_Semanal!$AR$2:$AR$833,Produccion_Semanal!$E$2:$E$833,E$1,Produccion_Semanal!$B$2:$B$833,$A28)</f>
        <v>0.00481041347058823</v>
      </c>
      <c r="F28" s="30" t="n">
        <f aca="false">SUMIFS(Produccion_Semanal!$AR$2:$AR$833,Produccion_Semanal!$E$2:$E$833,F$1,Produccion_Semanal!$B$2:$B$833,$A28)</f>
        <v>0.00283257277108434</v>
      </c>
      <c r="G28" s="30" t="n">
        <f aca="false">SUMIFS(Produccion_Semanal!$AR$2:$AR$833,Produccion_Semanal!$E$2:$E$833,G$1,Produccion_Semanal!$B$2:$B$833,$A28)</f>
        <v>0.00586394521428572</v>
      </c>
      <c r="H28" s="30" t="n">
        <f aca="false">SUMIFS(Produccion_Semanal!$AR$2:$AR$833,Produccion_Semanal!$E$2:$E$833,H$1,Produccion_Semanal!$B$2:$B$833,$A28)</f>
        <v>0.00608450301886792</v>
      </c>
      <c r="I28" s="30" t="n">
        <f aca="false">SUMIFS(Produccion_Semanal!$AR$2:$AR$833,Produccion_Semanal!$E$2:$E$833,I$1,Produccion_Semanal!$B$2:$B$833,$A28)</f>
        <v>0.00706728744360902</v>
      </c>
    </row>
    <row r="29" customFormat="false" ht="15" hidden="false" customHeight="false" outlineLevel="0" collapsed="false">
      <c r="A29" s="9" t="n">
        <v>45740</v>
      </c>
      <c r="B29" s="30" t="n">
        <f aca="false">SUMIFS(Produccion_Semanal!$AR$2:$AR$833,Produccion_Semanal!$E$2:$E$833,B$1,Produccion_Semanal!$B$2:$B$833,$A29)</f>
        <v>0.0050042728327645</v>
      </c>
      <c r="C29" s="30" t="n">
        <f aca="false">SUMIFS(Produccion_Semanal!$AR$2:$AR$833,Produccion_Semanal!$E$2:$E$833,C$1,Produccion_Semanal!$B$2:$B$833,$A29)</f>
        <v>0.00445384818181818</v>
      </c>
      <c r="D29" s="30" t="n">
        <f aca="false">SUMIFS(Produccion_Semanal!$AR$2:$AR$833,Produccion_Semanal!$E$2:$E$833,D$1,Produccion_Semanal!$B$2:$B$833,$A29)</f>
        <v>0.00717506041450777</v>
      </c>
      <c r="E29" s="30" t="n">
        <f aca="false">SUMIFS(Produccion_Semanal!$AR$2:$AR$833,Produccion_Semanal!$E$2:$E$833,E$1,Produccion_Semanal!$B$2:$B$833,$A29)</f>
        <v>0.00390710788235294</v>
      </c>
      <c r="F29" s="30" t="n">
        <f aca="false">SUMIFS(Produccion_Semanal!$AR$2:$AR$833,Produccion_Semanal!$E$2:$E$833,F$1,Produccion_Semanal!$B$2:$B$833,$A29)</f>
        <v>0.00348552006024096</v>
      </c>
      <c r="G29" s="30" t="n">
        <f aca="false">SUMIFS(Produccion_Semanal!$AR$2:$AR$833,Produccion_Semanal!$E$2:$E$833,G$1,Produccion_Semanal!$B$2:$B$833,$A29)</f>
        <v>0.00489740439285714</v>
      </c>
      <c r="H29" s="30" t="n">
        <f aca="false">SUMIFS(Produccion_Semanal!$AR$2:$AR$833,Produccion_Semanal!$E$2:$E$833,H$1,Produccion_Semanal!$B$2:$B$833,$A29)</f>
        <v>0.00768785924528302</v>
      </c>
      <c r="I29" s="30" t="n">
        <f aca="false">SUMIFS(Produccion_Semanal!$AR$2:$AR$833,Produccion_Semanal!$E$2:$E$833,I$1,Produccion_Semanal!$B$2:$B$833,$A29)</f>
        <v>0.00745861473684211</v>
      </c>
    </row>
    <row r="30" customFormat="false" ht="15" hidden="false" customHeight="false" outlineLevel="0" collapsed="false">
      <c r="A30" s="9" t="n">
        <v>45747</v>
      </c>
      <c r="B30" s="30" t="n">
        <f aca="false">SUMIFS(Produccion_Semanal!$AR$2:$AR$833,Produccion_Semanal!$E$2:$E$833,B$1,Produccion_Semanal!$B$2:$B$833,$A30)</f>
        <v>0.00653100771331058</v>
      </c>
      <c r="C30" s="30" t="n">
        <f aca="false">SUMIFS(Produccion_Semanal!$AR$2:$AR$833,Produccion_Semanal!$E$2:$E$833,C$1,Produccion_Semanal!$B$2:$B$833,$A30)</f>
        <v>0.00407178242424242</v>
      </c>
      <c r="D30" s="30" t="n">
        <f aca="false">SUMIFS(Produccion_Semanal!$AR$2:$AR$833,Produccion_Semanal!$E$2:$E$833,D$1,Produccion_Semanal!$B$2:$B$833,$A30)</f>
        <v>0.00714911119170985</v>
      </c>
      <c r="E30" s="30" t="n">
        <f aca="false">SUMIFS(Produccion_Semanal!$AR$2:$AR$833,Produccion_Semanal!$E$2:$E$833,E$1,Produccion_Semanal!$B$2:$B$833,$A30)</f>
        <v>0.00635059305882353</v>
      </c>
      <c r="F30" s="30" t="n">
        <f aca="false">SUMIFS(Produccion_Semanal!$AR$2:$AR$833,Produccion_Semanal!$E$2:$E$833,F$1,Produccion_Semanal!$B$2:$B$833,$A30)</f>
        <v>0.0040053671686747</v>
      </c>
      <c r="G30" s="30" t="n">
        <f aca="false">SUMIFS(Produccion_Semanal!$AR$2:$AR$833,Produccion_Semanal!$E$2:$E$833,G$1,Produccion_Semanal!$B$2:$B$833,$A30)</f>
        <v>0.00630006178571429</v>
      </c>
      <c r="H30" s="30" t="n">
        <f aca="false">SUMIFS(Produccion_Semanal!$AR$2:$AR$833,Produccion_Semanal!$E$2:$E$833,H$1,Produccion_Semanal!$B$2:$B$833,$A30)</f>
        <v>0.00896541773584906</v>
      </c>
      <c r="I30" s="30" t="n">
        <f aca="false">SUMIFS(Produccion_Semanal!$AR$2:$AR$833,Produccion_Semanal!$E$2:$E$833,I$1,Produccion_Semanal!$B$2:$B$833,$A30)</f>
        <v>0.00630000255639098</v>
      </c>
    </row>
    <row r="31" customFormat="false" ht="15" hidden="false" customHeight="false" outlineLevel="0" collapsed="false">
      <c r="A31" s="9" t="n">
        <v>45754</v>
      </c>
      <c r="B31" s="30" t="n">
        <f aca="false">SUMIFS(Produccion_Semanal!$AR$2:$AR$833,Produccion_Semanal!$E$2:$E$833,B$1,Produccion_Semanal!$B$2:$B$833,$A31)</f>
        <v>0.00517602839590444</v>
      </c>
      <c r="C31" s="30" t="n">
        <f aca="false">SUMIFS(Produccion_Semanal!$AR$2:$AR$833,Produccion_Semanal!$E$2:$E$833,C$1,Produccion_Semanal!$B$2:$B$833,$A31)</f>
        <v>0.00393862454545454</v>
      </c>
      <c r="D31" s="30" t="n">
        <f aca="false">SUMIFS(Produccion_Semanal!$AR$2:$AR$833,Produccion_Semanal!$E$2:$E$833,D$1,Produccion_Semanal!$B$2:$B$833,$A31)</f>
        <v>0.00768367497409326</v>
      </c>
      <c r="E31" s="30" t="n">
        <f aca="false">SUMIFS(Produccion_Semanal!$AR$2:$AR$833,Produccion_Semanal!$E$2:$E$833,E$1,Produccion_Semanal!$B$2:$B$833,$A31)</f>
        <v>0.00637934247058824</v>
      </c>
      <c r="F31" s="30" t="n">
        <f aca="false">SUMIFS(Produccion_Semanal!$AR$2:$AR$833,Produccion_Semanal!$E$2:$E$833,F$1,Produccion_Semanal!$B$2:$B$833,$A31)</f>
        <v>0.00388377475903614</v>
      </c>
      <c r="G31" s="30" t="n">
        <f aca="false">SUMIFS(Produccion_Semanal!$AR$2:$AR$833,Produccion_Semanal!$E$2:$E$833,G$1,Produccion_Semanal!$B$2:$B$833,$A31)</f>
        <v>0.00621479792857143</v>
      </c>
      <c r="H31" s="30" t="n">
        <f aca="false">SUMIFS(Produccion_Semanal!$AR$2:$AR$833,Produccion_Semanal!$E$2:$E$833,H$1,Produccion_Semanal!$B$2:$B$833,$A31)</f>
        <v>0.00766422905660377</v>
      </c>
      <c r="I31" s="30" t="n">
        <f aca="false">SUMIFS(Produccion_Semanal!$AR$2:$AR$833,Produccion_Semanal!$E$2:$E$833,I$1,Produccion_Semanal!$B$2:$B$833,$A31)</f>
        <v>0.00637566368421053</v>
      </c>
    </row>
    <row r="32" customFormat="false" ht="15" hidden="false" customHeight="false" outlineLevel="0" collapsed="false">
      <c r="A32" s="9" t="n">
        <v>45761</v>
      </c>
      <c r="B32" s="30" t="n">
        <f aca="false">SUMIFS(Produccion_Semanal!$AR$2:$AR$833,Produccion_Semanal!$E$2:$E$833,B$1,Produccion_Semanal!$B$2:$B$833,$A32)</f>
        <v>0.00615595815699659</v>
      </c>
      <c r="C32" s="30" t="n">
        <f aca="false">SUMIFS(Produccion_Semanal!$AR$2:$AR$833,Produccion_Semanal!$E$2:$E$833,C$1,Produccion_Semanal!$B$2:$B$833,$A32)</f>
        <v>0.00508296013468014</v>
      </c>
      <c r="D32" s="30" t="n">
        <f aca="false">SUMIFS(Produccion_Semanal!$AR$2:$AR$833,Produccion_Semanal!$E$2:$E$833,D$1,Produccion_Semanal!$B$2:$B$833,$A32)</f>
        <v>0.00540044398963731</v>
      </c>
      <c r="E32" s="30" t="n">
        <f aca="false">SUMIFS(Produccion_Semanal!$AR$2:$AR$833,Produccion_Semanal!$E$2:$E$833,E$1,Produccion_Semanal!$B$2:$B$833,$A32)</f>
        <v>0.00265712182352941</v>
      </c>
      <c r="F32" s="30" t="n">
        <f aca="false">SUMIFS(Produccion_Semanal!$AR$2:$AR$833,Produccion_Semanal!$E$2:$E$833,F$1,Produccion_Semanal!$B$2:$B$833,$A32)</f>
        <v>0.00369400307228916</v>
      </c>
      <c r="G32" s="30" t="n">
        <f aca="false">SUMIFS(Produccion_Semanal!$AR$2:$AR$833,Produccion_Semanal!$E$2:$E$833,G$1,Produccion_Semanal!$B$2:$B$833,$A32)</f>
        <v>0.00599906446428572</v>
      </c>
      <c r="H32" s="30" t="n">
        <f aca="false">SUMIFS(Produccion_Semanal!$AR$2:$AR$833,Produccion_Semanal!$E$2:$E$833,H$1,Produccion_Semanal!$B$2:$B$833,$A32)</f>
        <v>0.00863006062893082</v>
      </c>
      <c r="I32" s="30" t="n">
        <f aca="false">SUMIFS(Produccion_Semanal!$AR$2:$AR$833,Produccion_Semanal!$E$2:$E$833,I$1,Produccion_Semanal!$B$2:$B$833,$A32)</f>
        <v>0.00441503984962406</v>
      </c>
    </row>
    <row r="33" customFormat="false" ht="15" hidden="false" customHeight="false" outlineLevel="0" collapsed="false">
      <c r="A33" s="9" t="n">
        <v>45768</v>
      </c>
      <c r="B33" s="30" t="n">
        <f aca="false">SUMIFS(Produccion_Semanal!$AR$2:$AR$833,Produccion_Semanal!$E$2:$E$833,B$1,Produccion_Semanal!$B$2:$B$833,$A33)</f>
        <v>0.00487200941979522</v>
      </c>
      <c r="C33" s="30" t="n">
        <f aca="false">SUMIFS(Produccion_Semanal!$AR$2:$AR$833,Produccion_Semanal!$E$2:$E$833,C$1,Produccion_Semanal!$B$2:$B$833,$A33)</f>
        <v>0.0047754768013468</v>
      </c>
      <c r="D33" s="30" t="n">
        <f aca="false">SUMIFS(Produccion_Semanal!$AR$2:$AR$833,Produccion_Semanal!$E$2:$E$833,D$1,Produccion_Semanal!$B$2:$B$833,$A33)</f>
        <v>0.00655091844559586</v>
      </c>
      <c r="E33" s="30" t="n">
        <f aca="false">SUMIFS(Produccion_Semanal!$AR$2:$AR$833,Produccion_Semanal!$E$2:$E$833,E$1,Produccion_Semanal!$B$2:$B$833,$A33)</f>
        <v>0.00512728258823529</v>
      </c>
      <c r="F33" s="30" t="n">
        <f aca="false">SUMIFS(Produccion_Semanal!$AR$2:$AR$833,Produccion_Semanal!$E$2:$E$833,F$1,Produccion_Semanal!$B$2:$B$833,$A33)</f>
        <v>0.00304073614457831</v>
      </c>
      <c r="G33" s="30" t="n">
        <f aca="false">SUMIFS(Produccion_Semanal!$AR$2:$AR$833,Produccion_Semanal!$E$2:$E$833,G$1,Produccion_Semanal!$B$2:$B$833,$A33)</f>
        <v>0.006007845</v>
      </c>
      <c r="H33" s="30" t="n">
        <f aca="false">SUMIFS(Produccion_Semanal!$AR$2:$AR$833,Produccion_Semanal!$E$2:$E$833,H$1,Produccion_Semanal!$B$2:$B$833,$A33)</f>
        <v>0.00776274389937107</v>
      </c>
      <c r="I33" s="30" t="n">
        <f aca="false">SUMIFS(Produccion_Semanal!$AR$2:$AR$833,Produccion_Semanal!$E$2:$E$833,I$1,Produccion_Semanal!$B$2:$B$833,$A33)</f>
        <v>0.00821599578947369</v>
      </c>
    </row>
    <row r="34" customFormat="false" ht="15" hidden="false" customHeight="false" outlineLevel="0" collapsed="false">
      <c r="A34" s="9" t="n">
        <v>45775</v>
      </c>
      <c r="B34" s="30" t="n">
        <f aca="false">SUMIFS(Produccion_Semanal!$AR$2:$AR$833,Produccion_Semanal!$E$2:$E$833,B$1,Produccion_Semanal!$B$2:$B$833,$A34)</f>
        <v>0.00579951058020478</v>
      </c>
      <c r="C34" s="30" t="n">
        <f aca="false">SUMIFS(Produccion_Semanal!$AR$2:$AR$833,Produccion_Semanal!$E$2:$E$833,C$1,Produccion_Semanal!$B$2:$B$833,$A34)</f>
        <v>0.00479183121212121</v>
      </c>
      <c r="D34" s="30" t="n">
        <f aca="false">SUMIFS(Produccion_Semanal!$AR$2:$AR$833,Produccion_Semanal!$E$2:$E$833,D$1,Produccion_Semanal!$B$2:$B$833,$A34)</f>
        <v>0.00687137419689119</v>
      </c>
      <c r="E34" s="30" t="n">
        <f aca="false">SUMIFS(Produccion_Semanal!$AR$2:$AR$833,Produccion_Semanal!$E$2:$E$833,E$1,Produccion_Semanal!$B$2:$B$833,$A34)</f>
        <v>0.00477105935294118</v>
      </c>
      <c r="F34" s="30" t="n">
        <f aca="false">SUMIFS(Produccion_Semanal!$AR$2:$AR$833,Produccion_Semanal!$E$2:$E$833,F$1,Produccion_Semanal!$B$2:$B$833,$A34)</f>
        <v>0.00239874753012048</v>
      </c>
      <c r="G34" s="30" t="n">
        <f aca="false">SUMIFS(Produccion_Semanal!$AR$2:$AR$833,Produccion_Semanal!$E$2:$E$833,G$1,Produccion_Semanal!$B$2:$B$833,$A34)</f>
        <v>0.00646723739285715</v>
      </c>
      <c r="H34" s="30" t="n">
        <f aca="false">SUMIFS(Produccion_Semanal!$AR$2:$AR$833,Produccion_Semanal!$E$2:$E$833,H$1,Produccion_Semanal!$B$2:$B$833,$A34)</f>
        <v>0.0063496441509434</v>
      </c>
      <c r="I34" s="30" t="n">
        <f aca="false">SUMIFS(Produccion_Semanal!$AR$2:$AR$833,Produccion_Semanal!$E$2:$E$833,I$1,Produccion_Semanal!$B$2:$B$833,$A34)</f>
        <v>0.00724652090225564</v>
      </c>
    </row>
    <row r="35" customFormat="false" ht="15" hidden="false" customHeight="false" outlineLevel="0" collapsed="false">
      <c r="A35" s="9" t="n">
        <v>45782</v>
      </c>
      <c r="B35" s="30" t="n">
        <f aca="false">SUMIFS(Produccion_Semanal!$AR$2:$AR$833,Produccion_Semanal!$E$2:$E$833,B$1,Produccion_Semanal!$B$2:$B$833,$A35)</f>
        <v>0.00509832914675768</v>
      </c>
      <c r="C35" s="30" t="n">
        <f aca="false">SUMIFS(Produccion_Semanal!$AR$2:$AR$833,Produccion_Semanal!$E$2:$E$833,C$1,Produccion_Semanal!$B$2:$B$833,$A35)</f>
        <v>0.00375782397306397</v>
      </c>
      <c r="D35" s="30" t="n">
        <f aca="false">SUMIFS(Produccion_Semanal!$AR$2:$AR$833,Produccion_Semanal!$E$2:$E$833,D$1,Produccion_Semanal!$B$2:$B$833,$A35)</f>
        <v>0.00653137310880829</v>
      </c>
      <c r="E35" s="30" t="n">
        <f aca="false">SUMIFS(Produccion_Semanal!$AR$2:$AR$833,Produccion_Semanal!$E$2:$E$833,E$1,Produccion_Semanal!$B$2:$B$833,$A35)</f>
        <v>0.00467976935294118</v>
      </c>
      <c r="F35" s="30" t="n">
        <f aca="false">SUMIFS(Produccion_Semanal!$AR$2:$AR$833,Produccion_Semanal!$E$2:$E$833,F$1,Produccion_Semanal!$B$2:$B$833,$A35)</f>
        <v>0.00255857475903615</v>
      </c>
      <c r="G35" s="30" t="n">
        <f aca="false">SUMIFS(Produccion_Semanal!$AR$2:$AR$833,Produccion_Semanal!$E$2:$E$833,G$1,Produccion_Semanal!$B$2:$B$833,$A35)</f>
        <v>0.00583966142857143</v>
      </c>
      <c r="H35" s="30" t="n">
        <f aca="false">SUMIFS(Produccion_Semanal!$AR$2:$AR$833,Produccion_Semanal!$E$2:$E$833,H$1,Produccion_Semanal!$B$2:$B$833,$A35)</f>
        <v>0.00516580691823899</v>
      </c>
      <c r="I35" s="30" t="n">
        <f aca="false">SUMIFS(Produccion_Semanal!$AR$2:$AR$833,Produccion_Semanal!$E$2:$E$833,I$1,Produccion_Semanal!$B$2:$B$833,$A35)</f>
        <v>0.00752791488721805</v>
      </c>
    </row>
    <row r="36" customFormat="false" ht="15" hidden="false" customHeight="false" outlineLevel="0" collapsed="false">
      <c r="A36" s="9" t="n">
        <v>45789</v>
      </c>
      <c r="B36" s="30" t="n">
        <f aca="false">SUMIFS(Produccion_Semanal!$AR$2:$AR$833,Produccion_Semanal!$E$2:$E$833,B$1,Produccion_Semanal!$B$2:$B$833,$A36)</f>
        <v>0.00581822829351536</v>
      </c>
      <c r="C36" s="30" t="n">
        <f aca="false">SUMIFS(Produccion_Semanal!$AR$2:$AR$833,Produccion_Semanal!$E$2:$E$833,C$1,Produccion_Semanal!$B$2:$B$833,$A36)</f>
        <v>0.00455495713804714</v>
      </c>
      <c r="D36" s="30" t="n">
        <f aca="false">SUMIFS(Produccion_Semanal!$AR$2:$AR$833,Produccion_Semanal!$E$2:$E$833,D$1,Produccion_Semanal!$B$2:$B$833,$A36)</f>
        <v>0.00663865051813471</v>
      </c>
      <c r="E36" s="30" t="n">
        <f aca="false">SUMIFS(Produccion_Semanal!$AR$2:$AR$833,Produccion_Semanal!$E$2:$E$833,E$1,Produccion_Semanal!$B$2:$B$833,$A36)</f>
        <v>0.00526630888235294</v>
      </c>
      <c r="F36" s="30" t="n">
        <f aca="false">SUMIFS(Produccion_Semanal!$AR$2:$AR$833,Produccion_Semanal!$E$2:$E$833,F$1,Produccion_Semanal!$B$2:$B$833,$A36)</f>
        <v>0.00341283018072289</v>
      </c>
      <c r="G36" s="30" t="n">
        <f aca="false">SUMIFS(Produccion_Semanal!$AR$2:$AR$833,Produccion_Semanal!$E$2:$E$833,G$1,Produccion_Semanal!$B$2:$B$833,$A36)</f>
        <v>0.00571200457142857</v>
      </c>
      <c r="H36" s="30" t="n">
        <f aca="false">SUMIFS(Produccion_Semanal!$AR$2:$AR$833,Produccion_Semanal!$E$2:$E$833,H$1,Produccion_Semanal!$B$2:$B$833,$A36)</f>
        <v>0.00952113220125786</v>
      </c>
      <c r="I36" s="30" t="n">
        <f aca="false">SUMIFS(Produccion_Semanal!$AR$2:$AR$833,Produccion_Semanal!$E$2:$E$833,I$1,Produccion_Semanal!$B$2:$B$833,$A36)</f>
        <v>0.00508236165413534</v>
      </c>
    </row>
    <row r="37" customFormat="false" ht="15" hidden="false" customHeight="false" outlineLevel="0" collapsed="false">
      <c r="A37" s="9" t="n">
        <v>45796</v>
      </c>
      <c r="B37" s="30" t="n">
        <f aca="false">SUMIFS(Produccion_Semanal!$AR$2:$AR$833,Produccion_Semanal!$E$2:$E$833,B$1,Produccion_Semanal!$B$2:$B$833,$A37)</f>
        <v>0.00566464098976109</v>
      </c>
      <c r="C37" s="30" t="n">
        <f aca="false">SUMIFS(Produccion_Semanal!$AR$2:$AR$833,Produccion_Semanal!$E$2:$E$833,C$1,Produccion_Semanal!$B$2:$B$833,$A37)</f>
        <v>0.00411784175084175</v>
      </c>
      <c r="D37" s="30" t="n">
        <f aca="false">SUMIFS(Produccion_Semanal!$AR$2:$AR$833,Produccion_Semanal!$E$2:$E$833,D$1,Produccion_Semanal!$B$2:$B$833,$A37)</f>
        <v>0.00642139906735752</v>
      </c>
      <c r="E37" s="30" t="n">
        <f aca="false">SUMIFS(Produccion_Semanal!$AR$2:$AR$833,Produccion_Semanal!$E$2:$E$833,E$1,Produccion_Semanal!$B$2:$B$833,$A37)</f>
        <v>0.00661282670588235</v>
      </c>
      <c r="F37" s="30" t="n">
        <f aca="false">SUMIFS(Produccion_Semanal!$AR$2:$AR$833,Produccion_Semanal!$E$2:$E$833,F$1,Produccion_Semanal!$B$2:$B$833,$A37)</f>
        <v>0.00292763355421687</v>
      </c>
      <c r="G37" s="30" t="n">
        <f aca="false">SUMIFS(Produccion_Semanal!$AR$2:$AR$833,Produccion_Semanal!$E$2:$E$833,G$1,Produccion_Semanal!$B$2:$B$833,$A37)</f>
        <v>0.00600232410714286</v>
      </c>
      <c r="H37" s="30" t="n">
        <f aca="false">SUMIFS(Produccion_Semanal!$AR$2:$AR$833,Produccion_Semanal!$E$2:$E$833,H$1,Produccion_Semanal!$B$2:$B$833,$A37)</f>
        <v>0.0078084679245283</v>
      </c>
      <c r="I37" s="30" t="n">
        <f aca="false">SUMIFS(Produccion_Semanal!$AR$2:$AR$833,Produccion_Semanal!$E$2:$E$833,I$1,Produccion_Semanal!$B$2:$B$833,$A37)</f>
        <v>0.00643537368421053</v>
      </c>
    </row>
    <row r="38" customFormat="false" ht="15" hidden="false" customHeight="false" outlineLevel="0" collapsed="false">
      <c r="A38" s="9" t="n">
        <v>45803</v>
      </c>
      <c r="B38" s="30" t="n">
        <f aca="false">SUMIFS(Produccion_Semanal!$AR$2:$AR$833,Produccion_Semanal!$E$2:$E$833,B$1,Produccion_Semanal!$B$2:$B$833,$A38)</f>
        <v>0.00510426730375427</v>
      </c>
      <c r="C38" s="30" t="n">
        <f aca="false">SUMIFS(Produccion_Semanal!$AR$2:$AR$833,Produccion_Semanal!$E$2:$E$833,C$1,Produccion_Semanal!$B$2:$B$833,$A38)</f>
        <v>0.00447168</v>
      </c>
      <c r="D38" s="30" t="n">
        <f aca="false">SUMIFS(Produccion_Semanal!$AR$2:$AR$833,Produccion_Semanal!$E$2:$E$833,D$1,Produccion_Semanal!$B$2:$B$833,$A38)</f>
        <v>0.00523614756476684</v>
      </c>
      <c r="E38" s="30" t="n">
        <f aca="false">SUMIFS(Produccion_Semanal!$AR$2:$AR$833,Produccion_Semanal!$E$2:$E$833,E$1,Produccion_Semanal!$B$2:$B$833,$A38)</f>
        <v>0.00449098923529412</v>
      </c>
      <c r="F38" s="30" t="n">
        <f aca="false">SUMIFS(Produccion_Semanal!$AR$2:$AR$833,Produccion_Semanal!$E$2:$E$833,F$1,Produccion_Semanal!$B$2:$B$833,$A38)</f>
        <v>0.0036051528313253</v>
      </c>
      <c r="G38" s="30" t="n">
        <f aca="false">SUMIFS(Produccion_Semanal!$AR$2:$AR$833,Produccion_Semanal!$E$2:$E$833,G$1,Produccion_Semanal!$B$2:$B$833,$A38)</f>
        <v>0.005787415</v>
      </c>
      <c r="H38" s="30" t="n">
        <f aca="false">SUMIFS(Produccion_Semanal!$AR$2:$AR$833,Produccion_Semanal!$E$2:$E$833,H$1,Produccion_Semanal!$B$2:$B$833,$A38)</f>
        <v>0.00442854981132075</v>
      </c>
      <c r="I38" s="30" t="n">
        <f aca="false">SUMIFS(Produccion_Semanal!$AR$2:$AR$833,Produccion_Semanal!$E$2:$E$833,I$1,Produccion_Semanal!$B$2:$B$833,$A38)</f>
        <v>0.0056189915037594</v>
      </c>
    </row>
    <row r="39" customFormat="false" ht="15" hidden="false" customHeight="false" outlineLevel="0" collapsed="false">
      <c r="A39" s="9" t="n">
        <v>45810</v>
      </c>
      <c r="B39" s="30" t="n">
        <f aca="false">SUMIFS(Produccion_Semanal!$AR$2:$AR$833,Produccion_Semanal!$E$2:$E$833,B$1,Produccion_Semanal!$B$2:$B$833,$A39)</f>
        <v>0.00473023976109215</v>
      </c>
      <c r="C39" s="30" t="n">
        <f aca="false">SUMIFS(Produccion_Semanal!$AR$2:$AR$833,Produccion_Semanal!$E$2:$E$833,C$1,Produccion_Semanal!$B$2:$B$833,$A39)</f>
        <v>0.00421554996632997</v>
      </c>
      <c r="D39" s="30" t="n">
        <f aca="false">SUMIFS(Produccion_Semanal!$AR$2:$AR$833,Produccion_Semanal!$E$2:$E$833,D$1,Produccion_Semanal!$B$2:$B$833,$A39)</f>
        <v>0.00609587911917099</v>
      </c>
      <c r="E39" s="30" t="n">
        <f aca="false">SUMIFS(Produccion_Semanal!$AR$2:$AR$833,Produccion_Semanal!$E$2:$E$833,E$1,Produccion_Semanal!$B$2:$B$833,$A39)</f>
        <v>0.00325233535294118</v>
      </c>
      <c r="F39" s="30" t="n">
        <f aca="false">SUMIFS(Produccion_Semanal!$AR$2:$AR$833,Produccion_Semanal!$E$2:$E$833,F$1,Produccion_Semanal!$B$2:$B$833,$A39)</f>
        <v>0.00264343963855422</v>
      </c>
      <c r="G39" s="30" t="n">
        <f aca="false">SUMIFS(Produccion_Semanal!$AR$2:$AR$833,Produccion_Semanal!$E$2:$E$833,G$1,Produccion_Semanal!$B$2:$B$833,$A39)</f>
        <v>0.00639408632142857</v>
      </c>
      <c r="H39" s="30" t="n">
        <f aca="false">SUMIFS(Produccion_Semanal!$AR$2:$AR$833,Produccion_Semanal!$E$2:$E$833,H$1,Produccion_Semanal!$B$2:$B$833,$A39)</f>
        <v>0.00502036566037736</v>
      </c>
      <c r="I39" s="30" t="n">
        <f aca="false">SUMIFS(Produccion_Semanal!$AR$2:$AR$833,Produccion_Semanal!$E$2:$E$833,I$1,Produccion_Semanal!$B$2:$B$833,$A39)</f>
        <v>0.0072253654887218</v>
      </c>
    </row>
    <row r="40" customFormat="false" ht="15" hidden="false" customHeight="false" outlineLevel="0" collapsed="false">
      <c r="A40" s="9" t="n">
        <v>45817</v>
      </c>
      <c r="B40" s="30" t="n">
        <f aca="false">SUMIFS(Produccion_Semanal!$AR$2:$AR$833,Produccion_Semanal!$E$2:$E$833,B$1,Produccion_Semanal!$B$2:$B$833,$A40)</f>
        <v>0.00556803447098976</v>
      </c>
      <c r="C40" s="30" t="n">
        <f aca="false">SUMIFS(Produccion_Semanal!$AR$2:$AR$833,Produccion_Semanal!$E$2:$E$833,C$1,Produccion_Semanal!$B$2:$B$833,$A40)</f>
        <v>0.00445715616161616</v>
      </c>
      <c r="D40" s="30" t="n">
        <f aca="false">SUMIFS(Produccion_Semanal!$AR$2:$AR$833,Produccion_Semanal!$E$2:$E$833,D$1,Produccion_Semanal!$B$2:$B$833,$A40)</f>
        <v>0.00790122393782383</v>
      </c>
      <c r="E40" s="30" t="n">
        <f aca="false">SUMIFS(Produccion_Semanal!$AR$2:$AR$833,Produccion_Semanal!$E$2:$E$833,E$1,Produccion_Semanal!$B$2:$B$833,$A40)</f>
        <v>0.00533703252941176</v>
      </c>
      <c r="F40" s="30" t="n">
        <f aca="false">SUMIFS(Produccion_Semanal!$AR$2:$AR$833,Produccion_Semanal!$E$2:$E$833,F$1,Produccion_Semanal!$B$2:$B$833,$A40)</f>
        <v>0.00259783012048193</v>
      </c>
      <c r="G40" s="30" t="n">
        <f aca="false">SUMIFS(Produccion_Semanal!$AR$2:$AR$833,Produccion_Semanal!$E$2:$E$833,G$1,Produccion_Semanal!$B$2:$B$833,$A40)</f>
        <v>0.00591943157142857</v>
      </c>
      <c r="H40" s="30" t="n">
        <f aca="false">SUMIFS(Produccion_Semanal!$AR$2:$AR$833,Produccion_Semanal!$E$2:$E$833,H$1,Produccion_Semanal!$B$2:$B$833,$A40)</f>
        <v>0.00741618993710692</v>
      </c>
      <c r="I40" s="30" t="n">
        <f aca="false">SUMIFS(Produccion_Semanal!$AR$2:$AR$833,Produccion_Semanal!$E$2:$E$833,I$1,Produccion_Semanal!$B$2:$B$833,$A40)</f>
        <v>0.0036103784962406</v>
      </c>
    </row>
    <row r="41" customFormat="false" ht="15" hidden="false" customHeight="false" outlineLevel="0" collapsed="false">
      <c r="A41" s="9" t="n">
        <v>45824</v>
      </c>
      <c r="B41" s="30" t="n">
        <f aca="false">SUMIFS(Produccion_Semanal!$AR$2:$AR$833,Produccion_Semanal!$E$2:$E$833,B$1,Produccion_Semanal!$B$2:$B$833,$A41)</f>
        <v>0.00560725368600683</v>
      </c>
      <c r="C41" s="30" t="n">
        <f aca="false">SUMIFS(Produccion_Semanal!$AR$2:$AR$833,Produccion_Semanal!$E$2:$E$833,C$1,Produccion_Semanal!$B$2:$B$833,$A41)</f>
        <v>0.0039887328956229</v>
      </c>
      <c r="D41" s="30" t="n">
        <f aca="false">SUMIFS(Produccion_Semanal!$AR$2:$AR$833,Produccion_Semanal!$E$2:$E$833,D$1,Produccion_Semanal!$B$2:$B$833,$A41)</f>
        <v>0.00617439502590674</v>
      </c>
      <c r="E41" s="30" t="n">
        <f aca="false">SUMIFS(Produccion_Semanal!$AR$2:$AR$833,Produccion_Semanal!$E$2:$E$833,E$1,Produccion_Semanal!$B$2:$B$833,$A41)</f>
        <v>0.00458741770588235</v>
      </c>
      <c r="F41" s="30" t="n">
        <f aca="false">SUMIFS(Produccion_Semanal!$AR$2:$AR$833,Produccion_Semanal!$E$2:$E$833,F$1,Produccion_Semanal!$B$2:$B$833,$A41)</f>
        <v>0.00150158680722892</v>
      </c>
      <c r="G41" s="30" t="n">
        <f aca="false">SUMIFS(Produccion_Semanal!$AR$2:$AR$833,Produccion_Semanal!$E$2:$E$833,G$1,Produccion_Semanal!$B$2:$B$833,$A41)</f>
        <v>0.00559349960714286</v>
      </c>
      <c r="H41" s="30" t="n">
        <f aca="false">SUMIFS(Produccion_Semanal!$AR$2:$AR$833,Produccion_Semanal!$E$2:$E$833,H$1,Produccion_Semanal!$B$2:$B$833,$A41)</f>
        <v>0.00837454088050315</v>
      </c>
      <c r="I41" s="30" t="n">
        <f aca="false">SUMIFS(Produccion_Semanal!$AR$2:$AR$833,Produccion_Semanal!$E$2:$E$833,I$1,Produccion_Semanal!$B$2:$B$833,$A41)</f>
        <v>0.00440862240601504</v>
      </c>
    </row>
    <row r="42" customFormat="false" ht="15" hidden="false" customHeight="false" outlineLevel="0" collapsed="false">
      <c r="A42" s="9" t="n">
        <v>45831</v>
      </c>
      <c r="B42" s="30" t="n">
        <f aca="false">SUMIFS(Produccion_Semanal!$AR$2:$AR$833,Produccion_Semanal!$E$2:$E$833,B$1,Produccion_Semanal!$B$2:$B$833,$A42)</f>
        <v>0.00582444996587031</v>
      </c>
      <c r="C42" s="30" t="n">
        <f aca="false">SUMIFS(Produccion_Semanal!$AR$2:$AR$833,Produccion_Semanal!$E$2:$E$833,C$1,Produccion_Semanal!$B$2:$B$833,$A42)</f>
        <v>0.00442182218855219</v>
      </c>
      <c r="D42" s="30" t="n">
        <f aca="false">SUMIFS(Produccion_Semanal!$AR$2:$AR$833,Produccion_Semanal!$E$2:$E$833,D$1,Produccion_Semanal!$B$2:$B$833,$A42)</f>
        <v>0.00702660803108808</v>
      </c>
      <c r="E42" s="30" t="n">
        <f aca="false">SUMIFS(Produccion_Semanal!$AR$2:$AR$833,Produccion_Semanal!$E$2:$E$833,E$1,Produccion_Semanal!$B$2:$B$833,$A42)</f>
        <v>0.00717379270588235</v>
      </c>
      <c r="F42" s="30" t="n">
        <f aca="false">SUMIFS(Produccion_Semanal!$AR$2:$AR$833,Produccion_Semanal!$E$2:$E$833,F$1,Produccion_Semanal!$B$2:$B$833,$A42)</f>
        <v>0.00330469319277109</v>
      </c>
      <c r="G42" s="30" t="n">
        <f aca="false">SUMIFS(Produccion_Semanal!$AR$2:$AR$833,Produccion_Semanal!$E$2:$E$833,G$1,Produccion_Semanal!$B$2:$B$833,$A42)</f>
        <v>0.00629694885714286</v>
      </c>
      <c r="H42" s="30" t="n">
        <f aca="false">SUMIFS(Produccion_Semanal!$AR$2:$AR$833,Produccion_Semanal!$E$2:$E$833,H$1,Produccion_Semanal!$B$2:$B$833,$A42)</f>
        <v>0.0094586851572327</v>
      </c>
      <c r="I42" s="30" t="n">
        <f aca="false">SUMIFS(Produccion_Semanal!$AR$2:$AR$833,Produccion_Semanal!$E$2:$E$833,I$1,Produccion_Semanal!$B$2:$B$833,$A42)</f>
        <v>0.00739200360902256</v>
      </c>
    </row>
    <row r="43" customFormat="false" ht="15" hidden="false" customHeight="false" outlineLevel="0" collapsed="false">
      <c r="A43" s="9" t="n">
        <v>45838</v>
      </c>
      <c r="B43" s="30" t="n">
        <f aca="false">SUMIFS(Produccion_Semanal!$AR$2:$AR$833,Produccion_Semanal!$E$2:$E$833,B$1,Produccion_Semanal!$B$2:$B$833,$A43)</f>
        <v>0.00463870890784983</v>
      </c>
      <c r="C43" s="30" t="n">
        <f aca="false">SUMIFS(Produccion_Semanal!$AR$2:$AR$833,Produccion_Semanal!$E$2:$E$833,C$1,Produccion_Semanal!$B$2:$B$833,$A43)</f>
        <v>0.00464320494949495</v>
      </c>
      <c r="D43" s="30" t="n">
        <f aca="false">SUMIFS(Produccion_Semanal!$AR$2:$AR$833,Produccion_Semanal!$E$2:$E$833,D$1,Produccion_Semanal!$B$2:$B$833,$A43)</f>
        <v>0.00678424984455959</v>
      </c>
      <c r="E43" s="30" t="n">
        <f aca="false">SUMIFS(Produccion_Semanal!$AR$2:$AR$833,Produccion_Semanal!$E$2:$E$833,E$1,Produccion_Semanal!$B$2:$B$833,$A43)</f>
        <v>0.00677114747058824</v>
      </c>
      <c r="F43" s="30" t="n">
        <f aca="false">SUMIFS(Produccion_Semanal!$AR$2:$AR$833,Produccion_Semanal!$E$2:$E$833,F$1,Produccion_Semanal!$B$2:$B$833,$A43)</f>
        <v>0.00401208975903615</v>
      </c>
      <c r="G43" s="30" t="n">
        <f aca="false">SUMIFS(Produccion_Semanal!$AR$2:$AR$833,Produccion_Semanal!$E$2:$E$833,G$1,Produccion_Semanal!$B$2:$B$833,$A43)</f>
        <v>0.00617740425000001</v>
      </c>
      <c r="H43" s="30" t="n">
        <f aca="false">SUMIFS(Produccion_Semanal!$AR$2:$AR$833,Produccion_Semanal!$E$2:$E$833,H$1,Produccion_Semanal!$B$2:$B$833,$A43)</f>
        <v>0.00601017044025157</v>
      </c>
      <c r="I43" s="30" t="n">
        <f aca="false">SUMIFS(Produccion_Semanal!$AR$2:$AR$833,Produccion_Semanal!$E$2:$E$833,I$1,Produccion_Semanal!$B$2:$B$833,$A43)</f>
        <v>0.00568063616541354</v>
      </c>
    </row>
    <row r="44" customFormat="false" ht="15" hidden="false" customHeight="false" outlineLevel="0" collapsed="false">
      <c r="A44" s="9" t="n">
        <v>45845</v>
      </c>
      <c r="B44" s="30" t="n">
        <f aca="false">SUMIFS(Produccion_Semanal!$AR$2:$AR$833,Produccion_Semanal!$E$2:$E$833,B$1,Produccion_Semanal!$B$2:$B$833,$A44)</f>
        <v>0.00521855337883959</v>
      </c>
      <c r="C44" s="30" t="n">
        <f aca="false">SUMIFS(Produccion_Semanal!$AR$2:$AR$833,Produccion_Semanal!$E$2:$E$833,C$1,Produccion_Semanal!$B$2:$B$833,$A44)</f>
        <v>0.00466115851851852</v>
      </c>
      <c r="D44" s="30" t="n">
        <f aca="false">SUMIFS(Produccion_Semanal!$AR$2:$AR$833,Produccion_Semanal!$E$2:$E$833,D$1,Produccion_Semanal!$B$2:$B$833,$A44)</f>
        <v>0.00658806119170985</v>
      </c>
      <c r="E44" s="30" t="n">
        <f aca="false">SUMIFS(Produccion_Semanal!$AR$2:$AR$833,Produccion_Semanal!$E$2:$E$833,E$1,Produccion_Semanal!$B$2:$B$833,$A44)</f>
        <v>0.00778408064705882</v>
      </c>
      <c r="F44" s="30" t="n">
        <f aca="false">SUMIFS(Produccion_Semanal!$AR$2:$AR$833,Produccion_Semanal!$E$2:$E$833,F$1,Produccion_Semanal!$B$2:$B$833,$A44)</f>
        <v>0.00388277240963856</v>
      </c>
      <c r="G44" s="30" t="n">
        <f aca="false">SUMIFS(Produccion_Semanal!$AR$2:$AR$833,Produccion_Semanal!$E$2:$E$833,G$1,Produccion_Semanal!$B$2:$B$833,$A44)</f>
        <v>0.0062660035</v>
      </c>
      <c r="H44" s="30" t="n">
        <f aca="false">SUMIFS(Produccion_Semanal!$AR$2:$AR$833,Produccion_Semanal!$E$2:$E$833,H$1,Produccion_Semanal!$B$2:$B$833,$A44)</f>
        <v>0.00813008616352201</v>
      </c>
      <c r="I44" s="30" t="n">
        <f aca="false">SUMIFS(Produccion_Semanal!$AR$2:$AR$833,Produccion_Semanal!$E$2:$E$833,I$1,Produccion_Semanal!$B$2:$B$833,$A44)</f>
        <v>0.00597263218045113</v>
      </c>
    </row>
    <row r="45" customFormat="false" ht="15" hidden="false" customHeight="false" outlineLevel="0" collapsed="false">
      <c r="A45" s="9" t="n">
        <v>45852</v>
      </c>
      <c r="B45" s="30" t="n">
        <f aca="false">SUMIFS(Produccion_Semanal!$AR$2:$AR$833,Produccion_Semanal!$E$2:$E$833,B$1,Produccion_Semanal!$B$2:$B$833,$A45)</f>
        <v>0.00538892849829351</v>
      </c>
      <c r="C45" s="30" t="n">
        <f aca="false">SUMIFS(Produccion_Semanal!$AR$2:$AR$833,Produccion_Semanal!$E$2:$E$833,C$1,Produccion_Semanal!$B$2:$B$833,$A45)</f>
        <v>0.00407042592592593</v>
      </c>
      <c r="D45" s="30" t="n">
        <f aca="false">SUMIFS(Produccion_Semanal!$AR$2:$AR$833,Produccion_Semanal!$E$2:$E$833,D$1,Produccion_Semanal!$B$2:$B$833,$A45)</f>
        <v>0.00759979699481865</v>
      </c>
      <c r="E45" s="30" t="n">
        <f aca="false">SUMIFS(Produccion_Semanal!$AR$2:$AR$833,Produccion_Semanal!$E$2:$E$833,E$1,Produccion_Semanal!$B$2:$B$833,$A45)</f>
        <v>0.00620225758823529</v>
      </c>
      <c r="F45" s="30" t="n">
        <f aca="false">SUMIFS(Produccion_Semanal!$AR$2:$AR$833,Produccion_Semanal!$E$2:$E$833,F$1,Produccion_Semanal!$B$2:$B$833,$A45)</f>
        <v>0.00359575102409639</v>
      </c>
      <c r="G45" s="30" t="n">
        <f aca="false">SUMIFS(Produccion_Semanal!$AR$2:$AR$833,Produccion_Semanal!$E$2:$E$833,G$1,Produccion_Semanal!$B$2:$B$833,$A45)</f>
        <v>0.00594720775</v>
      </c>
      <c r="H45" s="30" t="n">
        <f aca="false">SUMIFS(Produccion_Semanal!$AR$2:$AR$833,Produccion_Semanal!$E$2:$E$833,H$1,Produccion_Semanal!$B$2:$B$833,$A45)</f>
        <v>0.0113688003773585</v>
      </c>
      <c r="I45" s="30" t="n">
        <f aca="false">SUMIFS(Produccion_Semanal!$AR$2:$AR$833,Produccion_Semanal!$E$2:$E$833,I$1,Produccion_Semanal!$B$2:$B$833,$A45)</f>
        <v>0.00654594383458647</v>
      </c>
    </row>
    <row r="46" customFormat="false" ht="15" hidden="false" customHeight="false" outlineLevel="0" collapsed="false">
      <c r="A46" s="9" t="n">
        <v>45859</v>
      </c>
      <c r="B46" s="30" t="n">
        <f aca="false">SUMIFS(Produccion_Semanal!$AR$2:$AR$833,Produccion_Semanal!$E$2:$E$833,B$1,Produccion_Semanal!$B$2:$B$833,$A46)</f>
        <v>0.00512307593856655</v>
      </c>
      <c r="C46" s="30" t="n">
        <f aca="false">SUMIFS(Produccion_Semanal!$AR$2:$AR$833,Produccion_Semanal!$E$2:$E$833,C$1,Produccion_Semanal!$B$2:$B$833,$A46)</f>
        <v>0.0051381663973064</v>
      </c>
      <c r="D46" s="30" t="n">
        <f aca="false">SUMIFS(Produccion_Semanal!$AR$2:$AR$833,Produccion_Semanal!$E$2:$E$833,D$1,Produccion_Semanal!$B$2:$B$833,$A46)</f>
        <v>0.00721110720207254</v>
      </c>
      <c r="E46" s="30" t="n">
        <f aca="false">SUMIFS(Produccion_Semanal!$AR$2:$AR$833,Produccion_Semanal!$E$2:$E$833,E$1,Produccion_Semanal!$B$2:$B$833,$A46)</f>
        <v>0.00673986164705883</v>
      </c>
      <c r="F46" s="30" t="n">
        <f aca="false">SUMIFS(Produccion_Semanal!$AR$2:$AR$833,Produccion_Semanal!$E$2:$E$833,F$1,Produccion_Semanal!$B$2:$B$833,$A46)</f>
        <v>0.00352240825301205</v>
      </c>
      <c r="G46" s="30" t="n">
        <f aca="false">SUMIFS(Produccion_Semanal!$AR$2:$AR$833,Produccion_Semanal!$E$2:$E$833,G$1,Produccion_Semanal!$B$2:$B$833,$A46)</f>
        <v>0.00584028767857143</v>
      </c>
      <c r="H46" s="30" t="n">
        <f aca="false">SUMIFS(Produccion_Semanal!$AR$2:$AR$833,Produccion_Semanal!$E$2:$E$833,H$1,Produccion_Semanal!$B$2:$B$833,$A46)</f>
        <v>0.00993848226415094</v>
      </c>
      <c r="I46" s="30" t="n">
        <f aca="false">SUMIFS(Produccion_Semanal!$AR$2:$AR$833,Produccion_Semanal!$E$2:$E$833,I$1,Produccion_Semanal!$B$2:$B$833,$A46)</f>
        <v>0.00733164451127819</v>
      </c>
    </row>
    <row r="47" customFormat="false" ht="15" hidden="false" customHeight="false" outlineLevel="0" collapsed="false">
      <c r="A47" s="9" t="n">
        <v>45866</v>
      </c>
      <c r="B47" s="30" t="n">
        <f aca="false">SUMIFS(Produccion_Semanal!$AR$2:$AR$833,Produccion_Semanal!$E$2:$E$833,B$1,Produccion_Semanal!$B$2:$B$833,$A47)</f>
        <v>0.0049799533105802</v>
      </c>
      <c r="C47" s="30" t="n">
        <f aca="false">SUMIFS(Produccion_Semanal!$AR$2:$AR$833,Produccion_Semanal!$E$2:$E$833,C$1,Produccion_Semanal!$B$2:$B$833,$A47)</f>
        <v>0.00409481686868687</v>
      </c>
      <c r="D47" s="30" t="n">
        <f aca="false">SUMIFS(Produccion_Semanal!$AR$2:$AR$833,Produccion_Semanal!$E$2:$E$833,D$1,Produccion_Semanal!$B$2:$B$833,$A47)</f>
        <v>0.00632629388601036</v>
      </c>
      <c r="E47" s="30" t="n">
        <f aca="false">SUMIFS(Produccion_Semanal!$AR$2:$AR$833,Produccion_Semanal!$E$2:$E$833,E$1,Produccion_Semanal!$B$2:$B$833,$A47)</f>
        <v>0.00656655005882353</v>
      </c>
      <c r="F47" s="30" t="n">
        <f aca="false">SUMIFS(Produccion_Semanal!$AR$2:$AR$833,Produccion_Semanal!$E$2:$E$833,F$1,Produccion_Semanal!$B$2:$B$833,$A47)</f>
        <v>0.00383550777108434</v>
      </c>
      <c r="G47" s="30" t="n">
        <f aca="false">SUMIFS(Produccion_Semanal!$AR$2:$AR$833,Produccion_Semanal!$E$2:$E$833,G$1,Produccion_Semanal!$B$2:$B$833,$A47)</f>
        <v>0.00692336185714286</v>
      </c>
      <c r="H47" s="30" t="n">
        <f aca="false">SUMIFS(Produccion_Semanal!$AR$2:$AR$833,Produccion_Semanal!$E$2:$E$833,H$1,Produccion_Semanal!$B$2:$B$833,$A47)</f>
        <v>0.0064903120754717</v>
      </c>
      <c r="I47" s="30" t="n">
        <f aca="false">SUMIFS(Produccion_Semanal!$AR$2:$AR$833,Produccion_Semanal!$E$2:$E$833,I$1,Produccion_Semanal!$B$2:$B$833,$A47)</f>
        <v>0.00636353045112782</v>
      </c>
    </row>
    <row r="48" customFormat="false" ht="15" hidden="false" customHeight="false" outlineLevel="0" collapsed="false">
      <c r="A48" s="9" t="n">
        <v>45873</v>
      </c>
      <c r="B48" s="30" t="n">
        <f aca="false">SUMIFS(Produccion_Semanal!$AR$2:$AR$833,Produccion_Semanal!$E$2:$E$833,B$1,Produccion_Semanal!$B$2:$B$833,$A48)</f>
        <v>0.00515766631399317</v>
      </c>
      <c r="C48" s="30" t="n">
        <f aca="false">SUMIFS(Produccion_Semanal!$AR$2:$AR$833,Produccion_Semanal!$E$2:$E$833,C$1,Produccion_Semanal!$B$2:$B$833,$A48)</f>
        <v>0.00480997454545455</v>
      </c>
      <c r="D48" s="30" t="n">
        <f aca="false">SUMIFS(Produccion_Semanal!$AR$2:$AR$833,Produccion_Semanal!$E$2:$E$833,D$1,Produccion_Semanal!$B$2:$B$833,$A48)</f>
        <v>0.00785809170984456</v>
      </c>
      <c r="E48" s="30" t="n">
        <f aca="false">SUMIFS(Produccion_Semanal!$AR$2:$AR$833,Produccion_Semanal!$E$2:$E$833,E$1,Produccion_Semanal!$B$2:$B$833,$A48)</f>
        <v>0.00600929747058824</v>
      </c>
      <c r="F48" s="30" t="n">
        <f aca="false">SUMIFS(Produccion_Semanal!$AR$2:$AR$833,Produccion_Semanal!$E$2:$E$833,F$1,Produccion_Semanal!$B$2:$B$833,$A48)</f>
        <v>0.00391708740963855</v>
      </c>
      <c r="G48" s="30" t="n">
        <f aca="false">SUMIFS(Produccion_Semanal!$AR$2:$AR$833,Produccion_Semanal!$E$2:$E$833,G$1,Produccion_Semanal!$B$2:$B$833,$A48)</f>
        <v>0.00641316292857143</v>
      </c>
      <c r="H48" s="30" t="n">
        <f aca="false">SUMIFS(Produccion_Semanal!$AR$2:$AR$833,Produccion_Semanal!$E$2:$E$833,H$1,Produccion_Semanal!$B$2:$B$833,$A48)</f>
        <v>0.00734342855345912</v>
      </c>
      <c r="I48" s="30" t="n">
        <f aca="false">SUMIFS(Produccion_Semanal!$AR$2:$AR$833,Produccion_Semanal!$E$2:$E$833,I$1,Produccion_Semanal!$B$2:$B$833,$A48)</f>
        <v>0.00631465796992481</v>
      </c>
    </row>
    <row r="49" customFormat="false" ht="15" hidden="false" customHeight="false" outlineLevel="0" collapsed="false">
      <c r="A49" s="9" t="n">
        <v>45880</v>
      </c>
      <c r="B49" s="30" t="n">
        <f aca="false">SUMIFS(Produccion_Semanal!$AR$2:$AR$833,Produccion_Semanal!$E$2:$E$833,B$1,Produccion_Semanal!$B$2:$B$833,$A49)</f>
        <v>0.00628442955631399</v>
      </c>
      <c r="C49" s="30" t="n">
        <f aca="false">SUMIFS(Produccion_Semanal!$AR$2:$AR$833,Produccion_Semanal!$E$2:$E$833,C$1,Produccion_Semanal!$B$2:$B$833,$A49)</f>
        <v>0.00400372612794613</v>
      </c>
      <c r="D49" s="30" t="n">
        <f aca="false">SUMIFS(Produccion_Semanal!$AR$2:$AR$833,Produccion_Semanal!$E$2:$E$833,D$1,Produccion_Semanal!$B$2:$B$833,$A49)</f>
        <v>0.00793697010362695</v>
      </c>
      <c r="E49" s="30" t="n">
        <f aca="false">SUMIFS(Produccion_Semanal!$AR$2:$AR$833,Produccion_Semanal!$E$2:$E$833,E$1,Produccion_Semanal!$B$2:$B$833,$A49)</f>
        <v>0.00575714270588235</v>
      </c>
      <c r="F49" s="30" t="n">
        <f aca="false">SUMIFS(Produccion_Semanal!$AR$2:$AR$833,Produccion_Semanal!$E$2:$E$833,F$1,Produccion_Semanal!$B$2:$B$833,$A49)</f>
        <v>0.0029078415060241</v>
      </c>
      <c r="G49" s="30" t="n">
        <f aca="false">SUMIFS(Produccion_Semanal!$AR$2:$AR$833,Produccion_Semanal!$E$2:$E$833,G$1,Produccion_Semanal!$B$2:$B$833,$A49)</f>
        <v>0.0060034795</v>
      </c>
      <c r="H49" s="30" t="n">
        <f aca="false">SUMIFS(Produccion_Semanal!$AR$2:$AR$833,Produccion_Semanal!$E$2:$E$833,H$1,Produccion_Semanal!$B$2:$B$833,$A49)</f>
        <v>0.00964976842767296</v>
      </c>
      <c r="I49" s="30" t="n">
        <f aca="false">SUMIFS(Produccion_Semanal!$AR$2:$AR$833,Produccion_Semanal!$E$2:$E$833,I$1,Produccion_Semanal!$B$2:$B$833,$A49)</f>
        <v>0.00591177406015038</v>
      </c>
    </row>
    <row r="50" customFormat="false" ht="15" hidden="false" customHeight="false" outlineLevel="0" collapsed="false">
      <c r="A50" s="9" t="n">
        <v>45887</v>
      </c>
      <c r="B50" s="30" t="n">
        <f aca="false">SUMIFS(Produccion_Semanal!$AR$2:$AR$833,Produccion_Semanal!$E$2:$E$833,B$1,Produccion_Semanal!$B$2:$B$833,$A50)</f>
        <v>0.00447967020477816</v>
      </c>
      <c r="C50" s="30" t="n">
        <f aca="false">SUMIFS(Produccion_Semanal!$AR$2:$AR$833,Produccion_Semanal!$E$2:$E$833,C$1,Produccion_Semanal!$B$2:$B$833,$A50)</f>
        <v>0.00461992468013468</v>
      </c>
      <c r="D50" s="30" t="n">
        <f aca="false">SUMIFS(Produccion_Semanal!$AR$2:$AR$833,Produccion_Semanal!$E$2:$E$833,D$1,Produccion_Semanal!$B$2:$B$833,$A50)</f>
        <v>0.00812425886010363</v>
      </c>
      <c r="E50" s="30" t="n">
        <f aca="false">SUMIFS(Produccion_Semanal!$AR$2:$AR$833,Produccion_Semanal!$E$2:$E$833,E$1,Produccion_Semanal!$B$2:$B$833,$A50)</f>
        <v>0.00448172347058824</v>
      </c>
      <c r="F50" s="30" t="n">
        <f aca="false">SUMIFS(Produccion_Semanal!$AR$2:$AR$833,Produccion_Semanal!$E$2:$E$833,F$1,Produccion_Semanal!$B$2:$B$833,$A50)</f>
        <v>0.00309717072289157</v>
      </c>
      <c r="G50" s="30" t="n">
        <f aca="false">SUMIFS(Produccion_Semanal!$AR$2:$AR$833,Produccion_Semanal!$E$2:$E$833,G$1,Produccion_Semanal!$B$2:$B$833,$A50)</f>
        <v>0.00637131107142857</v>
      </c>
      <c r="H50" s="30" t="n">
        <f aca="false">SUMIFS(Produccion_Semanal!$AR$2:$AR$833,Produccion_Semanal!$E$2:$E$833,H$1,Produccion_Semanal!$B$2:$B$833,$A50)</f>
        <v>0.00970118641509434</v>
      </c>
      <c r="I50" s="30" t="n">
        <f aca="false">SUMIFS(Produccion_Semanal!$AR$2:$AR$833,Produccion_Semanal!$E$2:$E$833,I$1,Produccion_Semanal!$B$2:$B$833,$A50)</f>
        <v>0.00642514172932331</v>
      </c>
    </row>
    <row r="51" customFormat="false" ht="15" hidden="false" customHeight="false" outlineLevel="0" collapsed="false">
      <c r="A51" s="9" t="n">
        <v>45894</v>
      </c>
      <c r="B51" s="30" t="n">
        <f aca="false">SUMIFS(Produccion_Semanal!$AR$2:$AR$833,Produccion_Semanal!$E$2:$E$833,B$1,Produccion_Semanal!$B$2:$B$833,$A51)</f>
        <v>0.00590913515358362</v>
      </c>
      <c r="C51" s="30" t="n">
        <f aca="false">SUMIFS(Produccion_Semanal!$AR$2:$AR$833,Produccion_Semanal!$E$2:$E$833,C$1,Produccion_Semanal!$B$2:$B$833,$A51)</f>
        <v>0.0038252130976431</v>
      </c>
      <c r="D51" s="30" t="n">
        <f aca="false">SUMIFS(Produccion_Semanal!$AR$2:$AR$833,Produccion_Semanal!$E$2:$E$833,D$1,Produccion_Semanal!$B$2:$B$833,$A51)</f>
        <v>0.00565972134715026</v>
      </c>
      <c r="E51" s="30" t="n">
        <f aca="false">SUMIFS(Produccion_Semanal!$AR$2:$AR$833,Produccion_Semanal!$E$2:$E$833,E$1,Produccion_Semanal!$B$2:$B$833,$A51)</f>
        <v>0.00663078458823529</v>
      </c>
      <c r="F51" s="30" t="n">
        <f aca="false">SUMIFS(Produccion_Semanal!$AR$2:$AR$833,Produccion_Semanal!$E$2:$E$833,F$1,Produccion_Semanal!$B$2:$B$833,$A51)</f>
        <v>0.00356769891566265</v>
      </c>
      <c r="G51" s="30" t="n">
        <f aca="false">SUMIFS(Produccion_Semanal!$AR$2:$AR$833,Produccion_Semanal!$E$2:$E$833,G$1,Produccion_Semanal!$B$2:$B$833,$A51)</f>
        <v>0.00642956089285715</v>
      </c>
      <c r="H51" s="30" t="n">
        <f aca="false">SUMIFS(Produccion_Semanal!$AR$2:$AR$833,Produccion_Semanal!$E$2:$E$833,H$1,Produccion_Semanal!$B$2:$B$833,$A51)</f>
        <v>0.0119500091823899</v>
      </c>
      <c r="I51" s="30" t="n">
        <f aca="false">SUMIFS(Produccion_Semanal!$AR$2:$AR$833,Produccion_Semanal!$E$2:$E$833,I$1,Produccion_Semanal!$B$2:$B$833,$A51)</f>
        <v>0.00631943714285714</v>
      </c>
    </row>
    <row r="52" customFormat="false" ht="15" hidden="false" customHeight="false" outlineLevel="0" collapsed="false">
      <c r="A52" s="9" t="n">
        <v>45901</v>
      </c>
      <c r="B52" s="30" t="n">
        <f aca="false">SUMIFS(Produccion_Semanal!$AR$2:$AR$833,Produccion_Semanal!$E$2:$E$833,B$1,Produccion_Semanal!$B$2:$B$833,$A52)</f>
        <v>0.00602772040955631</v>
      </c>
      <c r="C52" s="30" t="n">
        <f aca="false">SUMIFS(Produccion_Semanal!$AR$2:$AR$833,Produccion_Semanal!$E$2:$E$833,C$1,Produccion_Semanal!$B$2:$B$833,$A52)</f>
        <v>0.00445069154882155</v>
      </c>
      <c r="D52" s="30" t="n">
        <f aca="false">SUMIFS(Produccion_Semanal!$AR$2:$AR$833,Produccion_Semanal!$E$2:$E$833,D$1,Produccion_Semanal!$B$2:$B$833,$A52)</f>
        <v>0.00706401082901555</v>
      </c>
      <c r="E52" s="30" t="n">
        <f aca="false">SUMIFS(Produccion_Semanal!$AR$2:$AR$833,Produccion_Semanal!$E$2:$E$833,E$1,Produccion_Semanal!$B$2:$B$833,$A52)</f>
        <v>0.00513551788235294</v>
      </c>
      <c r="F52" s="30" t="n">
        <f aca="false">SUMIFS(Produccion_Semanal!$AR$2:$AR$833,Produccion_Semanal!$E$2:$E$833,F$1,Produccion_Semanal!$B$2:$B$833,$A52)</f>
        <v>0.00506794072289157</v>
      </c>
      <c r="G52" s="30" t="n">
        <f aca="false">SUMIFS(Produccion_Semanal!$AR$2:$AR$833,Produccion_Semanal!$E$2:$E$833,G$1,Produccion_Semanal!$B$2:$B$833,$A52)</f>
        <v>0.00596257517857143</v>
      </c>
      <c r="H52" s="30" t="n">
        <f aca="false">SUMIFS(Produccion_Semanal!$AR$2:$AR$833,Produccion_Semanal!$E$2:$E$833,H$1,Produccion_Semanal!$B$2:$B$833,$A52)</f>
        <v>0.00637334327044025</v>
      </c>
      <c r="I52" s="30" t="n">
        <f aca="false">SUMIFS(Produccion_Semanal!$AR$2:$AR$833,Produccion_Semanal!$E$2:$E$833,I$1,Produccion_Semanal!$B$2:$B$833,$A52)</f>
        <v>0.00584241233082707</v>
      </c>
    </row>
    <row r="53" customFormat="false" ht="15" hidden="false" customHeight="false" outlineLevel="0" collapsed="false">
      <c r="A53" s="9" t="n">
        <v>45908</v>
      </c>
      <c r="B53" s="30" t="n">
        <f aca="false">SUMIFS(Produccion_Semanal!$AR$2:$AR$833,Produccion_Semanal!$E$2:$E$833,B$1,Produccion_Semanal!$B$2:$B$833,$A53)</f>
        <v>0.00441693467576792</v>
      </c>
      <c r="C53" s="30" t="n">
        <f aca="false">SUMIFS(Produccion_Semanal!$AR$2:$AR$833,Produccion_Semanal!$E$2:$E$833,C$1,Produccion_Semanal!$B$2:$B$833,$A53)</f>
        <v>0.00461770060606061</v>
      </c>
      <c r="D53" s="30" t="n">
        <f aca="false">SUMIFS(Produccion_Semanal!$AR$2:$AR$833,Produccion_Semanal!$E$2:$E$833,D$1,Produccion_Semanal!$B$2:$B$833,$A53)</f>
        <v>0.00594739010362694</v>
      </c>
      <c r="E53" s="30" t="n">
        <f aca="false">SUMIFS(Produccion_Semanal!$AR$2:$AR$833,Produccion_Semanal!$E$2:$E$833,E$1,Produccion_Semanal!$B$2:$B$833,$A53)</f>
        <v>0.00729748482352941</v>
      </c>
      <c r="F53" s="30" t="n">
        <f aca="false">SUMIFS(Produccion_Semanal!$AR$2:$AR$833,Produccion_Semanal!$E$2:$E$833,F$1,Produccion_Semanal!$B$2:$B$833,$A53)</f>
        <v>0.00341811120481928</v>
      </c>
      <c r="G53" s="30" t="n">
        <f aca="false">SUMIFS(Produccion_Semanal!$AR$2:$AR$833,Produccion_Semanal!$E$2:$E$833,G$1,Produccion_Semanal!$B$2:$B$833,$A53)</f>
        <v>0.0056848385</v>
      </c>
      <c r="H53" s="30" t="n">
        <f aca="false">SUMIFS(Produccion_Semanal!$AR$2:$AR$833,Produccion_Semanal!$E$2:$E$833,H$1,Produccion_Semanal!$B$2:$B$833,$A53)</f>
        <v>0.00875769358490566</v>
      </c>
      <c r="I53" s="30" t="n">
        <f aca="false">SUMIFS(Produccion_Semanal!$AR$2:$AR$833,Produccion_Semanal!$E$2:$E$833,I$1,Produccion_Semanal!$B$2:$B$833,$A53)</f>
        <v>0.00832236503759398</v>
      </c>
    </row>
    <row r="54" customFormat="false" ht="15" hidden="false" customHeight="false" outlineLevel="0" collapsed="false">
      <c r="A54" s="9" t="n">
        <v>45915</v>
      </c>
      <c r="B54" s="30" t="n">
        <f aca="false">SUMIFS(Produccion_Semanal!$AR$2:$AR$833,Produccion_Semanal!$E$2:$E$833,B$1,Produccion_Semanal!$B$2:$B$833,$A54)</f>
        <v>0.00589496849829351</v>
      </c>
      <c r="C54" s="30" t="n">
        <f aca="false">SUMIFS(Produccion_Semanal!$AR$2:$AR$833,Produccion_Semanal!$E$2:$E$833,C$1,Produccion_Semanal!$B$2:$B$833,$A54)</f>
        <v>0.00429272249158249</v>
      </c>
      <c r="D54" s="30" t="n">
        <f aca="false">SUMIFS(Produccion_Semanal!$AR$2:$AR$833,Produccion_Semanal!$E$2:$E$833,D$1,Produccion_Semanal!$B$2:$B$833,$A54)</f>
        <v>0.00756139652849741</v>
      </c>
      <c r="E54" s="30" t="n">
        <f aca="false">SUMIFS(Produccion_Semanal!$AR$2:$AR$833,Produccion_Semanal!$E$2:$E$833,E$1,Produccion_Semanal!$B$2:$B$833,$A54)</f>
        <v>0.00558082447058824</v>
      </c>
      <c r="F54" s="30" t="n">
        <f aca="false">SUMIFS(Produccion_Semanal!$AR$2:$AR$833,Produccion_Semanal!$E$2:$E$833,F$1,Produccion_Semanal!$B$2:$B$833,$A54)</f>
        <v>0.00387069831325301</v>
      </c>
      <c r="G54" s="30" t="n">
        <f aca="false">SUMIFS(Produccion_Semanal!$AR$2:$AR$833,Produccion_Semanal!$E$2:$E$833,G$1,Produccion_Semanal!$B$2:$B$833,$A54)</f>
        <v>0.00548018203571429</v>
      </c>
      <c r="H54" s="30" t="n">
        <f aca="false">SUMIFS(Produccion_Semanal!$AR$2:$AR$833,Produccion_Semanal!$E$2:$E$833,H$1,Produccion_Semanal!$B$2:$B$833,$A54)</f>
        <v>0.0068970879245283</v>
      </c>
      <c r="I54" s="30" t="n">
        <f aca="false">SUMIFS(Produccion_Semanal!$AR$2:$AR$833,Produccion_Semanal!$E$2:$E$833,I$1,Produccion_Semanal!$B$2:$B$833,$A54)</f>
        <v>0.00522587421052632</v>
      </c>
    </row>
    <row r="55" customFormat="false" ht="15" hidden="false" customHeight="false" outlineLevel="0" collapsed="false">
      <c r="A55" s="9" t="n">
        <v>45922</v>
      </c>
      <c r="B55" s="30" t="n">
        <f aca="false">SUMIFS(Produccion_Semanal!$AR$2:$AR$833,Produccion_Semanal!$E$2:$E$833,B$1,Produccion_Semanal!$B$2:$B$833,$A55)</f>
        <v>0.00563694972696246</v>
      </c>
      <c r="C55" s="30" t="n">
        <f aca="false">SUMIFS(Produccion_Semanal!$AR$2:$AR$833,Produccion_Semanal!$E$2:$E$833,C$1,Produccion_Semanal!$B$2:$B$833,$A55)</f>
        <v>0.0042006606060606</v>
      </c>
      <c r="D55" s="30" t="n">
        <f aca="false">SUMIFS(Produccion_Semanal!$AR$2:$AR$833,Produccion_Semanal!$E$2:$E$833,D$1,Produccion_Semanal!$B$2:$B$833,$A55)</f>
        <v>0.00617315165803109</v>
      </c>
      <c r="E55" s="30" t="n">
        <f aca="false">SUMIFS(Produccion_Semanal!$AR$2:$AR$833,Produccion_Semanal!$E$2:$E$833,E$1,Produccion_Semanal!$B$2:$B$833,$A55)</f>
        <v>0.00311259641176471</v>
      </c>
      <c r="F55" s="30" t="n">
        <f aca="false">SUMIFS(Produccion_Semanal!$AR$2:$AR$833,Produccion_Semanal!$E$2:$E$833,F$1,Produccion_Semanal!$B$2:$B$833,$A55)</f>
        <v>0.00319136795180723</v>
      </c>
      <c r="G55" s="30" t="n">
        <f aca="false">SUMIFS(Produccion_Semanal!$AR$2:$AR$833,Produccion_Semanal!$E$2:$E$833,G$1,Produccion_Semanal!$B$2:$B$833,$A55)</f>
        <v>0.00567576457142858</v>
      </c>
      <c r="H55" s="30" t="n">
        <f aca="false">SUMIFS(Produccion_Semanal!$AR$2:$AR$833,Produccion_Semanal!$E$2:$E$833,H$1,Produccion_Semanal!$B$2:$B$833,$A55)</f>
        <v>0.00826193672955975</v>
      </c>
      <c r="I55" s="30" t="n">
        <f aca="false">SUMIFS(Produccion_Semanal!$AR$2:$AR$833,Produccion_Semanal!$E$2:$E$833,I$1,Produccion_Semanal!$B$2:$B$833,$A55)</f>
        <v>0.00767927654135338</v>
      </c>
    </row>
    <row r="56" customFormat="false" ht="15" hidden="false" customHeight="false" outlineLevel="0" collapsed="false">
      <c r="A56" s="9" t="n">
        <v>45929</v>
      </c>
      <c r="B56" s="30" t="n">
        <f aca="false">SUMIFS(Produccion_Semanal!$AR$2:$AR$833,Produccion_Semanal!$E$2:$E$833,B$1,Produccion_Semanal!$B$2:$B$833,$A56)</f>
        <v>0.0053271880887372</v>
      </c>
      <c r="C56" s="30" t="n">
        <f aca="false">SUMIFS(Produccion_Semanal!$AR$2:$AR$833,Produccion_Semanal!$E$2:$E$833,C$1,Produccion_Semanal!$B$2:$B$833,$A56)</f>
        <v>0.00488179622895623</v>
      </c>
      <c r="D56" s="30" t="n">
        <f aca="false">SUMIFS(Produccion_Semanal!$AR$2:$AR$833,Produccion_Semanal!$E$2:$E$833,D$1,Produccion_Semanal!$B$2:$B$833,$A56)</f>
        <v>0.00641061740932643</v>
      </c>
      <c r="E56" s="30" t="n">
        <f aca="false">SUMIFS(Produccion_Semanal!$AR$2:$AR$833,Produccion_Semanal!$E$2:$E$833,E$1,Produccion_Semanal!$B$2:$B$833,$A56)</f>
        <v>0.00658718117647059</v>
      </c>
      <c r="F56" s="30" t="n">
        <f aca="false">SUMIFS(Produccion_Semanal!$AR$2:$AR$833,Produccion_Semanal!$E$2:$E$833,F$1,Produccion_Semanal!$B$2:$B$833,$A56)</f>
        <v>0.00295016367469879</v>
      </c>
      <c r="G56" s="30" t="n">
        <f aca="false">SUMIFS(Produccion_Semanal!$AR$2:$AR$833,Produccion_Semanal!$E$2:$E$833,G$1,Produccion_Semanal!$B$2:$B$833,$A56)</f>
        <v>0.00552961317857143</v>
      </c>
      <c r="H56" s="30" t="n">
        <f aca="false">SUMIFS(Produccion_Semanal!$AR$2:$AR$833,Produccion_Semanal!$E$2:$E$833,H$1,Produccion_Semanal!$B$2:$B$833,$A56)</f>
        <v>0.00815615144654088</v>
      </c>
      <c r="I56" s="30" t="n">
        <f aca="false">SUMIFS(Produccion_Semanal!$AR$2:$AR$833,Produccion_Semanal!$E$2:$E$833,I$1,Produccion_Semanal!$B$2:$B$833,$A56)</f>
        <v>0.00642006714285714</v>
      </c>
    </row>
    <row r="57" customFormat="false" ht="15" hidden="false" customHeight="false" outlineLevel="0" collapsed="false">
      <c r="A57" s="9" t="n">
        <v>45936</v>
      </c>
      <c r="B57" s="30" t="n">
        <f aca="false">SUMIFS(Produccion_Semanal!$AR$2:$AR$833,Produccion_Semanal!$E$2:$E$833,B$1,Produccion_Semanal!$B$2:$B$833,$A57)</f>
        <v>0.00586038174061433</v>
      </c>
      <c r="C57" s="30" t="n">
        <f aca="false">SUMIFS(Produccion_Semanal!$AR$2:$AR$833,Produccion_Semanal!$E$2:$E$833,C$1,Produccion_Semanal!$B$2:$B$833,$A57)</f>
        <v>0.00364344195286195</v>
      </c>
      <c r="D57" s="30" t="n">
        <f aca="false">SUMIFS(Produccion_Semanal!$AR$2:$AR$833,Produccion_Semanal!$E$2:$E$833,D$1,Produccion_Semanal!$B$2:$B$833,$A57)</f>
        <v>0.00646222595854922</v>
      </c>
      <c r="E57" s="30" t="n">
        <f aca="false">SUMIFS(Produccion_Semanal!$AR$2:$AR$833,Produccion_Semanal!$E$2:$E$833,E$1,Produccion_Semanal!$B$2:$B$833,$A57)</f>
        <v>0.00496908364705882</v>
      </c>
      <c r="F57" s="30" t="n">
        <f aca="false">SUMIFS(Produccion_Semanal!$AR$2:$AR$833,Produccion_Semanal!$E$2:$E$833,F$1,Produccion_Semanal!$B$2:$B$833,$A57)</f>
        <v>0.00439362915662651</v>
      </c>
      <c r="G57" s="30" t="n">
        <f aca="false">SUMIFS(Produccion_Semanal!$AR$2:$AR$833,Produccion_Semanal!$E$2:$E$833,G$1,Produccion_Semanal!$B$2:$B$833,$A57)</f>
        <v>0.00554722610714286</v>
      </c>
      <c r="H57" s="30" t="n">
        <f aca="false">SUMIFS(Produccion_Semanal!$AR$2:$AR$833,Produccion_Semanal!$E$2:$E$833,H$1,Produccion_Semanal!$B$2:$B$833,$A57)</f>
        <v>0.00496326188679245</v>
      </c>
      <c r="I57" s="30" t="n">
        <f aca="false">SUMIFS(Produccion_Semanal!$AR$2:$AR$833,Produccion_Semanal!$E$2:$E$833,I$1,Produccion_Semanal!$B$2:$B$833,$A57)</f>
        <v>0.00525454135338346</v>
      </c>
    </row>
    <row r="58" customFormat="false" ht="15" hidden="false" customHeight="false" outlineLevel="0" collapsed="false">
      <c r="A58" s="9" t="n">
        <v>45943</v>
      </c>
      <c r="B58" s="30" t="n">
        <f aca="false">SUMIFS(Produccion_Semanal!$AR$2:$AR$833,Produccion_Semanal!$E$2:$E$833,B$1,Produccion_Semanal!$B$2:$B$833,$A58)</f>
        <v>0.0060699419112628</v>
      </c>
      <c r="C58" s="30" t="n">
        <f aca="false">SUMIFS(Produccion_Semanal!$AR$2:$AR$833,Produccion_Semanal!$E$2:$E$833,C$1,Produccion_Semanal!$B$2:$B$833,$A58)</f>
        <v>0.003438805993266</v>
      </c>
      <c r="D58" s="30" t="n">
        <f aca="false">SUMIFS(Produccion_Semanal!$AR$2:$AR$833,Produccion_Semanal!$E$2:$E$833,D$1,Produccion_Semanal!$B$2:$B$833,$A58)</f>
        <v>0.00825233844559586</v>
      </c>
      <c r="E58" s="30" t="n">
        <f aca="false">SUMIFS(Produccion_Semanal!$AR$2:$AR$833,Produccion_Semanal!$E$2:$E$833,E$1,Produccion_Semanal!$B$2:$B$833,$A58)</f>
        <v>0.00457643823529412</v>
      </c>
      <c r="F58" s="30" t="n">
        <f aca="false">SUMIFS(Produccion_Semanal!$AR$2:$AR$833,Produccion_Semanal!$E$2:$E$833,F$1,Produccion_Semanal!$B$2:$B$833,$A58)</f>
        <v>0.00328296439759036</v>
      </c>
      <c r="G58" s="30" t="n">
        <f aca="false">SUMIFS(Produccion_Semanal!$AR$2:$AR$833,Produccion_Semanal!$E$2:$E$833,G$1,Produccion_Semanal!$B$2:$B$833,$A58)</f>
        <v>0.00604917375</v>
      </c>
      <c r="H58" s="30" t="n">
        <f aca="false">SUMIFS(Produccion_Semanal!$AR$2:$AR$833,Produccion_Semanal!$E$2:$E$833,H$1,Produccion_Semanal!$B$2:$B$833,$A58)</f>
        <v>0.00921018993710692</v>
      </c>
      <c r="I58" s="30" t="n">
        <f aca="false">SUMIFS(Produccion_Semanal!$AR$2:$AR$833,Produccion_Semanal!$E$2:$E$833,I$1,Produccion_Semanal!$B$2:$B$833,$A58)</f>
        <v>0.00596005451127819</v>
      </c>
    </row>
    <row r="59" customFormat="false" ht="15" hidden="false" customHeight="false" outlineLevel="0" collapsed="false">
      <c r="A59" s="9" t="n">
        <v>45950</v>
      </c>
      <c r="B59" s="30" t="n">
        <f aca="false">SUMIFS(Produccion_Semanal!$AR$2:$AR$833,Produccion_Semanal!$E$2:$E$833,B$1,Produccion_Semanal!$B$2:$B$833,$A59)</f>
        <v>0.00560976071672355</v>
      </c>
      <c r="C59" s="30" t="n">
        <f aca="false">SUMIFS(Produccion_Semanal!$AR$2:$AR$833,Produccion_Semanal!$E$2:$E$833,C$1,Produccion_Semanal!$B$2:$B$833,$A59)</f>
        <v>0.00444388838383838</v>
      </c>
      <c r="D59" s="30" t="n">
        <f aca="false">SUMIFS(Produccion_Semanal!$AR$2:$AR$833,Produccion_Semanal!$E$2:$E$833,D$1,Produccion_Semanal!$B$2:$B$833,$A59)</f>
        <v>0.00619593404145078</v>
      </c>
      <c r="E59" s="30" t="n">
        <f aca="false">SUMIFS(Produccion_Semanal!$AR$2:$AR$833,Produccion_Semanal!$E$2:$E$833,E$1,Produccion_Semanal!$B$2:$B$833,$A59)</f>
        <v>0.00509316211764706</v>
      </c>
      <c r="F59" s="30" t="n">
        <f aca="false">SUMIFS(Produccion_Semanal!$AR$2:$AR$833,Produccion_Semanal!$E$2:$E$833,F$1,Produccion_Semanal!$B$2:$B$833,$A59)</f>
        <v>0.00361956512048193</v>
      </c>
      <c r="G59" s="30" t="n">
        <f aca="false">SUMIFS(Produccion_Semanal!$AR$2:$AR$833,Produccion_Semanal!$E$2:$E$833,G$1,Produccion_Semanal!$B$2:$B$833,$A59)</f>
        <v>0.00540607003571429</v>
      </c>
      <c r="H59" s="30" t="n">
        <f aca="false">SUMIFS(Produccion_Semanal!$AR$2:$AR$833,Produccion_Semanal!$E$2:$E$833,H$1,Produccion_Semanal!$B$2:$B$833,$A59)</f>
        <v>0.00625536163522013</v>
      </c>
      <c r="I59" s="30" t="n">
        <f aca="false">SUMIFS(Produccion_Semanal!$AR$2:$AR$833,Produccion_Semanal!$E$2:$E$833,I$1,Produccion_Semanal!$B$2:$B$833,$A59)</f>
        <v>0.00632429984962406</v>
      </c>
    </row>
    <row r="60" customFormat="false" ht="15" hidden="false" customHeight="false" outlineLevel="0" collapsed="false">
      <c r="A60" s="9" t="n">
        <v>45957</v>
      </c>
      <c r="B60" s="30" t="n">
        <f aca="false">SUMIFS(Produccion_Semanal!$AR$2:$AR$833,Produccion_Semanal!$E$2:$E$833,B$1,Produccion_Semanal!$B$2:$B$833,$A60)</f>
        <v>0.00540146402730375</v>
      </c>
      <c r="C60" s="30" t="n">
        <f aca="false">SUMIFS(Produccion_Semanal!$AR$2:$AR$833,Produccion_Semanal!$E$2:$E$833,C$1,Produccion_Semanal!$B$2:$B$833,$A60)</f>
        <v>0.00387669848484848</v>
      </c>
      <c r="D60" s="30" t="n">
        <f aca="false">SUMIFS(Produccion_Semanal!$AR$2:$AR$833,Produccion_Semanal!$E$2:$E$833,D$1,Produccion_Semanal!$B$2:$B$833,$A60)</f>
        <v>0.00853628404145078</v>
      </c>
      <c r="E60" s="30" t="n">
        <f aca="false">SUMIFS(Produccion_Semanal!$AR$2:$AR$833,Produccion_Semanal!$E$2:$E$833,E$1,Produccion_Semanal!$B$2:$B$833,$A60)</f>
        <v>0.00368961435294118</v>
      </c>
      <c r="F60" s="30" t="n">
        <f aca="false">SUMIFS(Produccion_Semanal!$AR$2:$AR$833,Produccion_Semanal!$E$2:$E$833,F$1,Produccion_Semanal!$B$2:$B$833,$A60)</f>
        <v>0.00310481259036145</v>
      </c>
      <c r="G60" s="30" t="n">
        <f aca="false">SUMIFS(Produccion_Semanal!$AR$2:$AR$833,Produccion_Semanal!$E$2:$E$833,G$1,Produccion_Semanal!$B$2:$B$833,$A60)</f>
        <v>0.00513476282142857</v>
      </c>
      <c r="H60" s="30" t="n">
        <f aca="false">SUMIFS(Produccion_Semanal!$AR$2:$AR$833,Produccion_Semanal!$E$2:$E$833,H$1,Produccion_Semanal!$B$2:$B$833,$A60)</f>
        <v>0.00801231698113207</v>
      </c>
      <c r="I60" s="30" t="n">
        <f aca="false">SUMIFS(Produccion_Semanal!$AR$2:$AR$833,Produccion_Semanal!$E$2:$E$833,I$1,Produccion_Semanal!$B$2:$B$833,$A60)</f>
        <v>0.00628953323308271</v>
      </c>
    </row>
    <row r="61" customFormat="false" ht="15" hidden="false" customHeight="false" outlineLevel="0" collapsed="false">
      <c r="A61" s="9" t="n">
        <v>45964</v>
      </c>
      <c r="B61" s="30" t="n">
        <f aca="false">SUMIFS(Produccion_Semanal!$AR$2:$AR$833,Produccion_Semanal!$E$2:$E$833,B$1,Produccion_Semanal!$B$2:$B$833,$A61)</f>
        <v>0.00585310621160409</v>
      </c>
      <c r="C61" s="30" t="n">
        <f aca="false">SUMIFS(Produccion_Semanal!$AR$2:$AR$833,Produccion_Semanal!$E$2:$E$833,C$1,Produccion_Semanal!$B$2:$B$833,$A61)</f>
        <v>0.00459261545454546</v>
      </c>
      <c r="D61" s="30" t="n">
        <f aca="false">SUMIFS(Produccion_Semanal!$AR$2:$AR$833,Produccion_Semanal!$E$2:$E$833,D$1,Produccion_Semanal!$B$2:$B$833,$A61)</f>
        <v>0.0061503585492228</v>
      </c>
      <c r="E61" s="30" t="n">
        <f aca="false">SUMIFS(Produccion_Semanal!$AR$2:$AR$833,Produccion_Semanal!$E$2:$E$833,E$1,Produccion_Semanal!$B$2:$B$833,$A61)</f>
        <v>0.001922455</v>
      </c>
      <c r="F61" s="30" t="n">
        <f aca="false">SUMIFS(Produccion_Semanal!$AR$2:$AR$833,Produccion_Semanal!$E$2:$E$833,F$1,Produccion_Semanal!$B$2:$B$833,$A61)</f>
        <v>0.00359486686746988</v>
      </c>
      <c r="G61" s="30" t="n">
        <f aca="false">SUMIFS(Produccion_Semanal!$AR$2:$AR$833,Produccion_Semanal!$E$2:$E$833,G$1,Produccion_Semanal!$B$2:$B$833,$A61)</f>
        <v>0.00530469789285715</v>
      </c>
      <c r="H61" s="30" t="n">
        <f aca="false">SUMIFS(Produccion_Semanal!$AR$2:$AR$833,Produccion_Semanal!$E$2:$E$833,H$1,Produccion_Semanal!$B$2:$B$833,$A61)</f>
        <v>0.00641229169811321</v>
      </c>
      <c r="I61" s="30" t="n">
        <f aca="false">SUMIFS(Produccion_Semanal!$AR$2:$AR$833,Produccion_Semanal!$E$2:$E$833,I$1,Produccion_Semanal!$B$2:$B$833,$A61)</f>
        <v>0.00513126639097744</v>
      </c>
    </row>
    <row r="62" customFormat="false" ht="15" hidden="false" customHeight="false" outlineLevel="0" collapsed="false">
      <c r="A62" s="9" t="n">
        <v>45971</v>
      </c>
      <c r="B62" s="30" t="n">
        <f aca="false">SUMIFS(Produccion_Semanal!$AR$2:$AR$833,Produccion_Semanal!$E$2:$E$833,B$1,Produccion_Semanal!$B$2:$B$833,$A62)</f>
        <v>0.00563821221843003</v>
      </c>
      <c r="C62" s="30" t="n">
        <f aca="false">SUMIFS(Produccion_Semanal!$AR$2:$AR$833,Produccion_Semanal!$E$2:$E$833,C$1,Produccion_Semanal!$B$2:$B$833,$A62)</f>
        <v>0.0047924794949495</v>
      </c>
      <c r="D62" s="30" t="n">
        <f aca="false">SUMIFS(Produccion_Semanal!$AR$2:$AR$833,Produccion_Semanal!$E$2:$E$833,D$1,Produccion_Semanal!$B$2:$B$833,$A62)</f>
        <v>0.00589487658031088</v>
      </c>
      <c r="E62" s="30" t="n">
        <f aca="false">SUMIFS(Produccion_Semanal!$AR$2:$AR$833,Produccion_Semanal!$E$2:$E$833,E$1,Produccion_Semanal!$B$2:$B$833,$A62)</f>
        <v>0.00250126194117647</v>
      </c>
      <c r="F62" s="30" t="n">
        <f aca="false">SUMIFS(Produccion_Semanal!$AR$2:$AR$833,Produccion_Semanal!$E$2:$E$833,F$1,Produccion_Semanal!$B$2:$B$833,$A62)</f>
        <v>0.0037264871686747</v>
      </c>
      <c r="G62" s="30" t="n">
        <f aca="false">SUMIFS(Produccion_Semanal!$AR$2:$AR$833,Produccion_Semanal!$E$2:$E$833,G$1,Produccion_Semanal!$B$2:$B$833,$A62)</f>
        <v>0.00646771592857143</v>
      </c>
      <c r="H62" s="30" t="n">
        <f aca="false">SUMIFS(Produccion_Semanal!$AR$2:$AR$833,Produccion_Semanal!$E$2:$E$833,H$1,Produccion_Semanal!$B$2:$B$833,$A62)</f>
        <v>0.00920819006289308</v>
      </c>
      <c r="I62" s="30" t="n">
        <f aca="false">SUMIFS(Produccion_Semanal!$AR$2:$AR$833,Produccion_Semanal!$E$2:$E$833,I$1,Produccion_Semanal!$B$2:$B$833,$A62)</f>
        <v>0.00870525210526316</v>
      </c>
    </row>
    <row r="63" customFormat="false" ht="15" hidden="false" customHeight="false" outlineLevel="0" collapsed="false">
      <c r="A63" s="9" t="n">
        <v>45978</v>
      </c>
      <c r="B63" s="30" t="n">
        <f aca="false">SUMIFS(Produccion_Semanal!$AR$2:$AR$833,Produccion_Semanal!$E$2:$E$833,B$1,Produccion_Semanal!$B$2:$B$833,$A63)</f>
        <v>0.00526856587030717</v>
      </c>
      <c r="C63" s="30" t="n">
        <f aca="false">SUMIFS(Produccion_Semanal!$AR$2:$AR$833,Produccion_Semanal!$E$2:$E$833,C$1,Produccion_Semanal!$B$2:$B$833,$A63)</f>
        <v>0.00353678225589226</v>
      </c>
      <c r="D63" s="30" t="n">
        <f aca="false">SUMIFS(Produccion_Semanal!$AR$2:$AR$833,Produccion_Semanal!$E$2:$E$833,D$1,Produccion_Semanal!$B$2:$B$833,$A63)</f>
        <v>0.00571180243523316</v>
      </c>
      <c r="E63" s="30" t="n">
        <f aca="false">SUMIFS(Produccion_Semanal!$AR$2:$AR$833,Produccion_Semanal!$E$2:$E$833,E$1,Produccion_Semanal!$B$2:$B$833,$A63)</f>
        <v>0.00363334635294118</v>
      </c>
      <c r="F63" s="30" t="n">
        <f aca="false">SUMIFS(Produccion_Semanal!$AR$2:$AR$833,Produccion_Semanal!$E$2:$E$833,F$1,Produccion_Semanal!$B$2:$B$833,$A63)</f>
        <v>0.00385580855421687</v>
      </c>
      <c r="G63" s="30" t="n">
        <f aca="false">SUMIFS(Produccion_Semanal!$AR$2:$AR$833,Produccion_Semanal!$E$2:$E$833,G$1,Produccion_Semanal!$B$2:$B$833,$A63)</f>
        <v>0.0055365105</v>
      </c>
      <c r="H63" s="30" t="n">
        <f aca="false">SUMIFS(Produccion_Semanal!$AR$2:$AR$833,Produccion_Semanal!$E$2:$E$833,H$1,Produccion_Semanal!$B$2:$B$833,$A63)</f>
        <v>0.0119919846540881</v>
      </c>
      <c r="I63" s="30" t="n">
        <f aca="false">SUMIFS(Produccion_Semanal!$AR$2:$AR$833,Produccion_Semanal!$E$2:$E$833,I$1,Produccion_Semanal!$B$2:$B$833,$A63)</f>
        <v>0.00776462398496241</v>
      </c>
    </row>
    <row r="64" customFormat="false" ht="15" hidden="false" customHeight="false" outlineLevel="0" collapsed="false">
      <c r="A64" s="9" t="n">
        <v>45985</v>
      </c>
      <c r="B64" s="30" t="n">
        <f aca="false">SUMIFS(Produccion_Semanal!$AR$2:$AR$833,Produccion_Semanal!$E$2:$E$833,B$1,Produccion_Semanal!$B$2:$B$833,$A64)</f>
        <v>0.00540056795221843</v>
      </c>
      <c r="C64" s="30" t="n">
        <f aca="false">SUMIFS(Produccion_Semanal!$AR$2:$AR$833,Produccion_Semanal!$E$2:$E$833,C$1,Produccion_Semanal!$B$2:$B$833,$A64)</f>
        <v>0.00445861410774411</v>
      </c>
      <c r="D64" s="30" t="n">
        <f aca="false">SUMIFS(Produccion_Semanal!$AR$2:$AR$833,Produccion_Semanal!$E$2:$E$833,D$1,Produccion_Semanal!$B$2:$B$833,$A64)</f>
        <v>0.00605601113989637</v>
      </c>
      <c r="E64" s="30" t="n">
        <f aca="false">SUMIFS(Produccion_Semanal!$AR$2:$AR$833,Produccion_Semanal!$E$2:$E$833,E$1,Produccion_Semanal!$B$2:$B$833,$A64)</f>
        <v>0.00457430894117647</v>
      </c>
      <c r="F64" s="30" t="n">
        <f aca="false">SUMIFS(Produccion_Semanal!$AR$2:$AR$833,Produccion_Semanal!$E$2:$E$833,F$1,Produccion_Semanal!$B$2:$B$833,$A64)</f>
        <v>0.00351598807228916</v>
      </c>
      <c r="G64" s="30" t="n">
        <f aca="false">SUMIFS(Produccion_Semanal!$AR$2:$AR$833,Produccion_Semanal!$E$2:$E$833,G$1,Produccion_Semanal!$B$2:$B$833,$A64)</f>
        <v>0.00541037157142857</v>
      </c>
      <c r="H64" s="30" t="n">
        <f aca="false">SUMIFS(Produccion_Semanal!$AR$2:$AR$833,Produccion_Semanal!$E$2:$E$833,H$1,Produccion_Semanal!$B$2:$B$833,$A64)</f>
        <v>0.00692474993710692</v>
      </c>
      <c r="I64" s="30" t="n">
        <f aca="false">SUMIFS(Produccion_Semanal!$AR$2:$AR$833,Produccion_Semanal!$E$2:$E$833,I$1,Produccion_Semanal!$B$2:$B$833,$A64)</f>
        <v>0.00648125022556391</v>
      </c>
    </row>
    <row r="65" customFormat="false" ht="15" hidden="false" customHeight="false" outlineLevel="0" collapsed="false">
      <c r="A65" s="9" t="n">
        <v>45992</v>
      </c>
      <c r="B65" s="30" t="n">
        <f aca="false">SUMIFS(Produccion_Semanal!$AR$2:$AR$833,Produccion_Semanal!$E$2:$E$833,B$1,Produccion_Semanal!$B$2:$B$833,$A65)</f>
        <v>0.00558270409556314</v>
      </c>
      <c r="C65" s="30" t="n">
        <f aca="false">SUMIFS(Produccion_Semanal!$AR$2:$AR$833,Produccion_Semanal!$E$2:$E$833,C$1,Produccion_Semanal!$B$2:$B$833,$A65)</f>
        <v>0.00432709377104377</v>
      </c>
      <c r="D65" s="30" t="n">
        <f aca="false">SUMIFS(Produccion_Semanal!$AR$2:$AR$833,Produccion_Semanal!$E$2:$E$833,D$1,Produccion_Semanal!$B$2:$B$833,$A65)</f>
        <v>0.00584197689119171</v>
      </c>
      <c r="E65" s="30" t="n">
        <f aca="false">SUMIFS(Produccion_Semanal!$AR$2:$AR$833,Produccion_Semanal!$E$2:$E$833,E$1,Produccion_Semanal!$B$2:$B$833,$A65)</f>
        <v>0.00369097229411765</v>
      </c>
      <c r="F65" s="30" t="n">
        <f aca="false">SUMIFS(Produccion_Semanal!$AR$2:$AR$833,Produccion_Semanal!$E$2:$E$833,F$1,Produccion_Semanal!$B$2:$B$833,$A65)</f>
        <v>0.00299782036144578</v>
      </c>
      <c r="G65" s="30" t="n">
        <f aca="false">SUMIFS(Produccion_Semanal!$AR$2:$AR$833,Produccion_Semanal!$E$2:$E$833,G$1,Produccion_Semanal!$B$2:$B$833,$A65)</f>
        <v>0.00492497657142857</v>
      </c>
      <c r="H65" s="30" t="n">
        <f aca="false">SUMIFS(Produccion_Semanal!$AR$2:$AR$833,Produccion_Semanal!$E$2:$E$833,H$1,Produccion_Semanal!$B$2:$B$833,$A65)</f>
        <v>0.00602736465408805</v>
      </c>
      <c r="I65" s="30" t="n">
        <f aca="false">SUMIFS(Produccion_Semanal!$AR$2:$AR$833,Produccion_Semanal!$E$2:$E$833,I$1,Produccion_Semanal!$B$2:$B$833,$A65)</f>
        <v>0.00451837060150376</v>
      </c>
    </row>
    <row r="66" customFormat="false" ht="15" hidden="false" customHeight="false" outlineLevel="0" collapsed="false">
      <c r="A66" s="9" t="n">
        <v>45999</v>
      </c>
      <c r="B66" s="30" t="n">
        <f aca="false">SUMIFS(Produccion_Semanal!$AR$2:$AR$833,Produccion_Semanal!$E$2:$E$833,B$1,Produccion_Semanal!$B$2:$B$833,$A66)</f>
        <v>0.00503845982935153</v>
      </c>
      <c r="C66" s="30" t="n">
        <f aca="false">SUMIFS(Produccion_Semanal!$AR$2:$AR$833,Produccion_Semanal!$E$2:$E$833,C$1,Produccion_Semanal!$B$2:$B$833,$A66)</f>
        <v>0.00492282875420876</v>
      </c>
      <c r="D66" s="30" t="n">
        <f aca="false">SUMIFS(Produccion_Semanal!$AR$2:$AR$833,Produccion_Semanal!$E$2:$E$833,D$1,Produccion_Semanal!$B$2:$B$833,$A66)</f>
        <v>0.00693372305699482</v>
      </c>
      <c r="E66" s="30" t="n">
        <f aca="false">SUMIFS(Produccion_Semanal!$AR$2:$AR$833,Produccion_Semanal!$E$2:$E$833,E$1,Produccion_Semanal!$B$2:$B$833,$A66)</f>
        <v>0.00199909741176471</v>
      </c>
      <c r="F66" s="30" t="n">
        <f aca="false">SUMIFS(Produccion_Semanal!$AR$2:$AR$833,Produccion_Semanal!$E$2:$E$833,F$1,Produccion_Semanal!$B$2:$B$833,$A66)</f>
        <v>0.00288439319277109</v>
      </c>
      <c r="G66" s="30" t="n">
        <f aca="false">SUMIFS(Produccion_Semanal!$AR$2:$AR$833,Produccion_Semanal!$E$2:$E$833,G$1,Produccion_Semanal!$B$2:$B$833,$A66)</f>
        <v>0.00591466857142857</v>
      </c>
      <c r="H66" s="30" t="n">
        <f aca="false">SUMIFS(Produccion_Semanal!$AR$2:$AR$833,Produccion_Semanal!$E$2:$E$833,H$1,Produccion_Semanal!$B$2:$B$833,$A66)</f>
        <v>0.0070251148427673</v>
      </c>
      <c r="I66" s="30" t="n">
        <f aca="false">SUMIFS(Produccion_Semanal!$AR$2:$AR$833,Produccion_Semanal!$E$2:$E$833,I$1,Produccion_Semanal!$B$2:$B$833,$A66)</f>
        <v>0.00666635654135338</v>
      </c>
    </row>
    <row r="67" customFormat="false" ht="15" hidden="false" customHeight="false" outlineLevel="0" collapsed="false">
      <c r="A67" s="9" t="n">
        <v>46006</v>
      </c>
      <c r="B67" s="30" t="n">
        <f aca="false">SUMIFS(Produccion_Semanal!$AR$2:$AR$833,Produccion_Semanal!$E$2:$E$833,B$1,Produccion_Semanal!$B$2:$B$833,$A67)</f>
        <v>0.00518505303754266</v>
      </c>
      <c r="C67" s="30" t="n">
        <f aca="false">SUMIFS(Produccion_Semanal!$AR$2:$AR$833,Produccion_Semanal!$E$2:$E$833,C$1,Produccion_Semanal!$B$2:$B$833,$A67)</f>
        <v>0.00472983427609427</v>
      </c>
      <c r="D67" s="30" t="n">
        <f aca="false">SUMIFS(Produccion_Semanal!$AR$2:$AR$833,Produccion_Semanal!$E$2:$E$833,D$1,Produccion_Semanal!$B$2:$B$833,$A67)</f>
        <v>0.00700584305699482</v>
      </c>
      <c r="E67" s="30" t="n">
        <f aca="false">SUMIFS(Produccion_Semanal!$AR$2:$AR$833,Produccion_Semanal!$E$2:$E$833,E$1,Produccion_Semanal!$B$2:$B$833,$A67)</f>
        <v>0.00346792052941177</v>
      </c>
      <c r="F67" s="30" t="n">
        <f aca="false">SUMIFS(Produccion_Semanal!$AR$2:$AR$833,Produccion_Semanal!$E$2:$E$833,F$1,Produccion_Semanal!$B$2:$B$833,$A67)</f>
        <v>0.00289304801204819</v>
      </c>
      <c r="G67" s="30" t="n">
        <f aca="false">SUMIFS(Produccion_Semanal!$AR$2:$AR$833,Produccion_Semanal!$E$2:$E$833,G$1,Produccion_Semanal!$B$2:$B$833,$A67)</f>
        <v>0.00544592435714286</v>
      </c>
      <c r="H67" s="30" t="n">
        <f aca="false">SUMIFS(Produccion_Semanal!$AR$2:$AR$833,Produccion_Semanal!$E$2:$E$833,H$1,Produccion_Semanal!$B$2:$B$833,$A67)</f>
        <v>0.00526474012578616</v>
      </c>
      <c r="I67" s="30" t="n">
        <f aca="false">SUMIFS(Produccion_Semanal!$AR$2:$AR$833,Produccion_Semanal!$E$2:$E$833,I$1,Produccion_Semanal!$B$2:$B$833,$A67)</f>
        <v>0.0059936015037594</v>
      </c>
    </row>
    <row r="68" customFormat="false" ht="15" hidden="false" customHeight="false" outlineLevel="0" collapsed="false">
      <c r="A68" s="9" t="n">
        <v>46013</v>
      </c>
      <c r="B68" s="30" t="n">
        <f aca="false">SUMIFS(Produccion_Semanal!$AR$2:$AR$833,Produccion_Semanal!$E$2:$E$833,B$1,Produccion_Semanal!$B$2:$B$833,$A68)</f>
        <v>0.00461890211604096</v>
      </c>
      <c r="C68" s="30" t="n">
        <f aca="false">SUMIFS(Produccion_Semanal!$AR$2:$AR$833,Produccion_Semanal!$E$2:$E$833,C$1,Produccion_Semanal!$B$2:$B$833,$A68)</f>
        <v>0.0024700332996633</v>
      </c>
      <c r="D68" s="30" t="n">
        <f aca="false">SUMIFS(Produccion_Semanal!$AR$2:$AR$833,Produccion_Semanal!$E$2:$E$833,D$1,Produccion_Semanal!$B$2:$B$833,$A68)</f>
        <v>0.00563605404145078</v>
      </c>
      <c r="E68" s="30" t="n">
        <f aca="false">SUMIFS(Produccion_Semanal!$AR$2:$AR$833,Produccion_Semanal!$E$2:$E$833,E$1,Produccion_Semanal!$B$2:$B$833,$A68)</f>
        <v>0.00177209264705882</v>
      </c>
      <c r="F68" s="30" t="n">
        <f aca="false">SUMIFS(Produccion_Semanal!$AR$2:$AR$833,Produccion_Semanal!$E$2:$E$833,F$1,Produccion_Semanal!$B$2:$B$833,$A68)</f>
        <v>0.00200279801204819</v>
      </c>
      <c r="G68" s="30" t="n">
        <f aca="false">SUMIFS(Produccion_Semanal!$AR$2:$AR$833,Produccion_Semanal!$E$2:$E$833,G$1,Produccion_Semanal!$B$2:$B$833,$A68)</f>
        <v>0.00448341732142857</v>
      </c>
      <c r="H68" s="30" t="n">
        <f aca="false">SUMIFS(Produccion_Semanal!$AR$2:$AR$833,Produccion_Semanal!$E$2:$E$833,H$1,Produccion_Semanal!$B$2:$B$833,$A68)</f>
        <v>0.00602123270440252</v>
      </c>
      <c r="I68" s="30" t="n">
        <f aca="false">SUMIFS(Produccion_Semanal!$AR$2:$AR$833,Produccion_Semanal!$E$2:$E$833,I$1,Produccion_Semanal!$B$2:$B$833,$A68)</f>
        <v>0.00721735270676692</v>
      </c>
    </row>
    <row r="69" customFormat="false" ht="15" hidden="false" customHeight="false" outlineLevel="0" collapsed="false">
      <c r="A69" s="9" t="n">
        <v>46020</v>
      </c>
      <c r="B69" s="30" t="n">
        <f aca="false">SUMIFS(Produccion_Semanal!$AR$2:$AR$833,Produccion_Semanal!$E$2:$E$833,B$1,Produccion_Semanal!$B$2:$B$833,$A69)</f>
        <v>0.00319839774744027</v>
      </c>
      <c r="C69" s="30" t="n">
        <f aca="false">SUMIFS(Produccion_Semanal!$AR$2:$AR$833,Produccion_Semanal!$E$2:$E$833,C$1,Produccion_Semanal!$B$2:$B$833,$A69)</f>
        <v>0.00348098127946128</v>
      </c>
      <c r="D69" s="30" t="n">
        <f aca="false">SUMIFS(Produccion_Semanal!$AR$2:$AR$833,Produccion_Semanal!$E$2:$E$833,D$1,Produccion_Semanal!$B$2:$B$833,$A69)</f>
        <v>0.00523970388601036</v>
      </c>
      <c r="E69" s="30" t="n">
        <f aca="false">SUMIFS(Produccion_Semanal!$AR$2:$AR$833,Produccion_Semanal!$E$2:$E$833,E$1,Produccion_Semanal!$B$2:$B$833,$A69)</f>
        <v>0.00191085929411765</v>
      </c>
      <c r="F69" s="30" t="n">
        <f aca="false">SUMIFS(Produccion_Semanal!$AR$2:$AR$833,Produccion_Semanal!$E$2:$E$833,F$1,Produccion_Semanal!$B$2:$B$833,$A69)</f>
        <v>0.00338870445783133</v>
      </c>
      <c r="G69" s="30" t="n">
        <f aca="false">SUMIFS(Produccion_Semanal!$AR$2:$AR$833,Produccion_Semanal!$E$2:$E$833,G$1,Produccion_Semanal!$B$2:$B$833,$A69)</f>
        <v>0.00435827064285714</v>
      </c>
      <c r="H69" s="30" t="n">
        <f aca="false">SUMIFS(Produccion_Semanal!$AR$2:$AR$833,Produccion_Semanal!$E$2:$E$833,H$1,Produccion_Semanal!$B$2:$B$833,$A69)</f>
        <v>0.00509924679245283</v>
      </c>
      <c r="I69" s="30" t="n">
        <f aca="false">SUMIFS(Produccion_Semanal!$AR$2:$AR$833,Produccion_Semanal!$E$2:$E$833,I$1,Produccion_Semanal!$B$2:$B$833,$A69)</f>
        <v>0.00359349195488722</v>
      </c>
    </row>
    <row r="70" customFormat="false" ht="15" hidden="false" customHeight="false" outlineLevel="0" collapsed="false">
      <c r="A70" s="9" t="n">
        <v>46027</v>
      </c>
      <c r="B70" s="30" t="n">
        <f aca="false">SUMIFS(Produccion_Semanal!$AR$2:$AR$833,Produccion_Semanal!$E$2:$E$833,B$1,Produccion_Semanal!$B$2:$B$833,$A70)</f>
        <v>0.00523609928327645</v>
      </c>
      <c r="C70" s="30" t="n">
        <f aca="false">SUMIFS(Produccion_Semanal!$AR$2:$AR$833,Produccion_Semanal!$E$2:$E$833,C$1,Produccion_Semanal!$B$2:$B$833,$A70)</f>
        <v>0.00353913164983165</v>
      </c>
      <c r="D70" s="30" t="n">
        <f aca="false">SUMIFS(Produccion_Semanal!$AR$2:$AR$833,Produccion_Semanal!$E$2:$E$833,D$1,Produccion_Semanal!$B$2:$B$833,$A70)</f>
        <v>0.00569525419689119</v>
      </c>
      <c r="E70" s="30" t="n">
        <f aca="false">SUMIFS(Produccion_Semanal!$AR$2:$AR$833,Produccion_Semanal!$E$2:$E$833,E$1,Produccion_Semanal!$B$2:$B$833,$A70)</f>
        <v>0.00314423423529412</v>
      </c>
      <c r="F70" s="30" t="n">
        <f aca="false">SUMIFS(Produccion_Semanal!$AR$2:$AR$833,Produccion_Semanal!$E$2:$E$833,F$1,Produccion_Semanal!$B$2:$B$833,$A70)</f>
        <v>0.00436968</v>
      </c>
      <c r="G70" s="30" t="n">
        <f aca="false">SUMIFS(Produccion_Semanal!$AR$2:$AR$833,Produccion_Semanal!$E$2:$E$833,G$1,Produccion_Semanal!$B$2:$B$833,$A70)</f>
        <v>0.00595863339285715</v>
      </c>
      <c r="H70" s="30" t="n">
        <f aca="false">SUMIFS(Produccion_Semanal!$AR$2:$AR$833,Produccion_Semanal!$E$2:$E$833,H$1,Produccion_Semanal!$B$2:$B$833,$A70)</f>
        <v>0.00796799056603774</v>
      </c>
      <c r="I70" s="30" t="n">
        <f aca="false">SUMIFS(Produccion_Semanal!$AR$2:$AR$833,Produccion_Semanal!$E$2:$E$833,I$1,Produccion_Semanal!$B$2:$B$833,$A70)</f>
        <v>0.00574876278195489</v>
      </c>
    </row>
    <row r="71" customFormat="false" ht="15" hidden="false" customHeight="false" outlineLevel="0" collapsed="false">
      <c r="A71" s="9" t="n">
        <v>46034</v>
      </c>
      <c r="B71" s="30" t="n">
        <f aca="false">SUMIFS(Produccion_Semanal!$AR$2:$AR$833,Produccion_Semanal!$E$2:$E$833,B$1,Produccion_Semanal!$B$2:$B$833,$A71)</f>
        <v>0.00466942645051194</v>
      </c>
      <c r="C71" s="30" t="n">
        <f aca="false">SUMIFS(Produccion_Semanal!$AR$2:$AR$833,Produccion_Semanal!$E$2:$E$833,C$1,Produccion_Semanal!$B$2:$B$833,$A71)</f>
        <v>0.0036443696969697</v>
      </c>
      <c r="D71" s="30" t="n">
        <f aca="false">SUMIFS(Produccion_Semanal!$AR$2:$AR$833,Produccion_Semanal!$E$2:$E$833,D$1,Produccion_Semanal!$B$2:$B$833,$A71)</f>
        <v>0.00608637020725389</v>
      </c>
      <c r="E71" s="30" t="n">
        <f aca="false">SUMIFS(Produccion_Semanal!$AR$2:$AR$833,Produccion_Semanal!$E$2:$E$833,E$1,Produccion_Semanal!$B$2:$B$833,$A71)</f>
        <v>0.00418725664705883</v>
      </c>
      <c r="F71" s="30" t="n">
        <f aca="false">SUMIFS(Produccion_Semanal!$AR$2:$AR$833,Produccion_Semanal!$E$2:$E$833,F$1,Produccion_Semanal!$B$2:$B$833,$A71)</f>
        <v>0.00412503722891566</v>
      </c>
      <c r="G71" s="30" t="n">
        <f aca="false">SUMIFS(Produccion_Semanal!$AR$2:$AR$833,Produccion_Semanal!$E$2:$E$833,G$1,Produccion_Semanal!$B$2:$B$833,$A71)</f>
        <v>0.00465262535714286</v>
      </c>
      <c r="H71" s="30" t="n">
        <f aca="false">SUMIFS(Produccion_Semanal!$AR$2:$AR$833,Produccion_Semanal!$E$2:$E$833,H$1,Produccion_Semanal!$B$2:$B$833,$A71)</f>
        <v>0.00627952528301887</v>
      </c>
      <c r="I71" s="30" t="n">
        <f aca="false">SUMIFS(Produccion_Semanal!$AR$2:$AR$833,Produccion_Semanal!$E$2:$E$833,I$1,Produccion_Semanal!$B$2:$B$833,$A71)</f>
        <v>0.00641421962406015</v>
      </c>
    </row>
    <row r="72" customFormat="false" ht="15" hidden="false" customHeight="false" outlineLevel="0" collapsed="false">
      <c r="A72" s="9" t="n">
        <v>46041</v>
      </c>
      <c r="B72" s="30" t="n">
        <f aca="false">SUMIFS(Produccion_Semanal!$AR$2:$AR$833,Produccion_Semanal!$E$2:$E$833,B$1,Produccion_Semanal!$B$2:$B$833,$A72)</f>
        <v>0.00556684938566553</v>
      </c>
      <c r="C72" s="30" t="n">
        <f aca="false">SUMIFS(Produccion_Semanal!$AR$2:$AR$833,Produccion_Semanal!$E$2:$E$833,C$1,Produccion_Semanal!$B$2:$B$833,$A72)</f>
        <v>0.00372379484848485</v>
      </c>
      <c r="D72" s="30" t="n">
        <f aca="false">SUMIFS(Produccion_Semanal!$AR$2:$AR$833,Produccion_Semanal!$E$2:$E$833,D$1,Produccion_Semanal!$B$2:$B$833,$A72)</f>
        <v>0.00431128544041451</v>
      </c>
      <c r="E72" s="30" t="n">
        <f aca="false">SUMIFS(Produccion_Semanal!$AR$2:$AR$833,Produccion_Semanal!$E$2:$E$833,E$1,Produccion_Semanal!$B$2:$B$833,$A72)</f>
        <v>0.00559794</v>
      </c>
      <c r="F72" s="30" t="n">
        <f aca="false">SUMIFS(Produccion_Semanal!$AR$2:$AR$833,Produccion_Semanal!$E$2:$E$833,F$1,Produccion_Semanal!$B$2:$B$833,$A72)</f>
        <v>0.00293732759036145</v>
      </c>
      <c r="G72" s="30" t="n">
        <f aca="false">SUMIFS(Produccion_Semanal!$AR$2:$AR$833,Produccion_Semanal!$E$2:$E$833,G$1,Produccion_Semanal!$B$2:$B$833,$A72)</f>
        <v>0.00523849871428572</v>
      </c>
      <c r="H72" s="30" t="n">
        <f aca="false">SUMIFS(Produccion_Semanal!$AR$2:$AR$833,Produccion_Semanal!$E$2:$E$833,H$1,Produccion_Semanal!$B$2:$B$833,$A72)</f>
        <v>0.00648479182389937</v>
      </c>
      <c r="I72" s="30" t="n">
        <f aca="false">SUMIFS(Produccion_Semanal!$AR$2:$AR$833,Produccion_Semanal!$E$2:$E$833,I$1,Produccion_Semanal!$B$2:$B$833,$A72)</f>
        <v>0.00721474180451128</v>
      </c>
    </row>
    <row r="73" customFormat="false" ht="15" hidden="false" customHeight="false" outlineLevel="0" collapsed="false">
      <c r="A73" s="9" t="n">
        <v>46048</v>
      </c>
      <c r="B73" s="30" t="n">
        <f aca="false">SUMIFS(Produccion_Semanal!$AR$2:$AR$833,Produccion_Semanal!$E$2:$E$833,B$1,Produccion_Semanal!$B$2:$B$833,$A73)</f>
        <v>0.00625744641638225</v>
      </c>
      <c r="C73" s="30" t="n">
        <f aca="false">SUMIFS(Produccion_Semanal!$AR$2:$AR$833,Produccion_Semanal!$E$2:$E$833,C$1,Produccion_Semanal!$B$2:$B$833,$A73)</f>
        <v>0.00450974915824916</v>
      </c>
      <c r="D73" s="30" t="n">
        <f aca="false">SUMIFS(Produccion_Semanal!$AR$2:$AR$833,Produccion_Semanal!$E$2:$E$833,D$1,Produccion_Semanal!$B$2:$B$833,$A73)</f>
        <v>0.00945150274611399</v>
      </c>
      <c r="E73" s="30" t="n">
        <f aca="false">SUMIFS(Produccion_Semanal!$AR$2:$AR$833,Produccion_Semanal!$E$2:$E$833,E$1,Produccion_Semanal!$B$2:$B$833,$A73)</f>
        <v>0.00140420847058824</v>
      </c>
      <c r="F73" s="30" t="n">
        <f aca="false">SUMIFS(Produccion_Semanal!$AR$2:$AR$833,Produccion_Semanal!$E$2:$E$833,F$1,Produccion_Semanal!$B$2:$B$833,$A73)</f>
        <v>0.00317137012048193</v>
      </c>
      <c r="G73" s="30" t="n">
        <f aca="false">SUMIFS(Produccion_Semanal!$AR$2:$AR$833,Produccion_Semanal!$E$2:$E$833,G$1,Produccion_Semanal!$B$2:$B$833,$A73)</f>
        <v>0.00640476207142857</v>
      </c>
      <c r="H73" s="30" t="n">
        <f aca="false">SUMIFS(Produccion_Semanal!$AR$2:$AR$833,Produccion_Semanal!$E$2:$E$833,H$1,Produccion_Semanal!$B$2:$B$833,$A73)</f>
        <v>0.0102118080503145</v>
      </c>
      <c r="I73" s="30" t="n">
        <f aca="false">SUMIFS(Produccion_Semanal!$AR$2:$AR$833,Produccion_Semanal!$E$2:$E$833,I$1,Produccion_Semanal!$B$2:$B$833,$A73)</f>
        <v>0.00565435052631579</v>
      </c>
    </row>
    <row r="74" customFormat="false" ht="15" hidden="false" customHeight="false" outlineLevel="0" collapsed="false">
      <c r="A74" s="9" t="n">
        <v>46055</v>
      </c>
      <c r="B74" s="30" t="n">
        <f aca="false">SUMIFS(Produccion_Semanal!$AR$2:$AR$833,Produccion_Semanal!$E$2:$E$833,B$1,Produccion_Semanal!$B$2:$B$833,$A74)</f>
        <v>0.00505864853242321</v>
      </c>
      <c r="C74" s="30" t="n">
        <f aca="false">SUMIFS(Produccion_Semanal!$AR$2:$AR$833,Produccion_Semanal!$E$2:$E$833,C$1,Produccion_Semanal!$B$2:$B$833,$A74)</f>
        <v>0.00447923518518519</v>
      </c>
      <c r="D74" s="30" t="n">
        <f aca="false">SUMIFS(Produccion_Semanal!$AR$2:$AR$833,Produccion_Semanal!$E$2:$E$833,D$1,Produccion_Semanal!$B$2:$B$833,$A74)</f>
        <v>0.00865304642487047</v>
      </c>
      <c r="E74" s="30" t="n">
        <f aca="false">SUMIFS(Produccion_Semanal!$AR$2:$AR$833,Produccion_Semanal!$E$2:$E$833,E$1,Produccion_Semanal!$B$2:$B$833,$A74)</f>
        <v>0.00349480617647059</v>
      </c>
      <c r="F74" s="30" t="n">
        <f aca="false">SUMIFS(Produccion_Semanal!$AR$2:$AR$833,Produccion_Semanal!$E$2:$E$833,F$1,Produccion_Semanal!$B$2:$B$833,$A74)</f>
        <v>0.00276910355421687</v>
      </c>
      <c r="G74" s="30" t="n">
        <f aca="false">SUMIFS(Produccion_Semanal!$AR$2:$AR$833,Produccion_Semanal!$E$2:$E$833,G$1,Produccion_Semanal!$B$2:$B$833,$A74)</f>
        <v>0.00423289003571429</v>
      </c>
      <c r="H74" s="30" t="n">
        <f aca="false">SUMIFS(Produccion_Semanal!$AR$2:$AR$833,Produccion_Semanal!$E$2:$E$833,H$1,Produccion_Semanal!$B$2:$B$833,$A74)</f>
        <v>0.0089949906918239</v>
      </c>
      <c r="I74" s="30" t="n">
        <f aca="false">SUMIFS(Produccion_Semanal!$AR$2:$AR$833,Produccion_Semanal!$E$2:$E$833,I$1,Produccion_Semanal!$B$2:$B$833,$A74)</f>
        <v>0.00747992759398496</v>
      </c>
    </row>
    <row r="75" customFormat="false" ht="15" hidden="false" customHeight="false" outlineLevel="0" collapsed="false">
      <c r="A75" s="9" t="n">
        <v>46062</v>
      </c>
      <c r="B75" s="30" t="n">
        <f aca="false">SUMIFS(Produccion_Semanal!$AR$2:$AR$833,Produccion_Semanal!$E$2:$E$833,B$1,Produccion_Semanal!$B$2:$B$833,$A75)</f>
        <v>0.00576222593856655</v>
      </c>
      <c r="C75" s="30" t="n">
        <f aca="false">SUMIFS(Produccion_Semanal!$AR$2:$AR$833,Produccion_Semanal!$E$2:$E$833,C$1,Produccion_Semanal!$B$2:$B$833,$A75)</f>
        <v>0.00367055420875421</v>
      </c>
      <c r="D75" s="30" t="n">
        <f aca="false">SUMIFS(Produccion_Semanal!$AR$2:$AR$833,Produccion_Semanal!$E$2:$E$833,D$1,Produccion_Semanal!$B$2:$B$833,$A75)</f>
        <v>0.00665299326424871</v>
      </c>
      <c r="E75" s="30" t="n">
        <f aca="false">SUMIFS(Produccion_Semanal!$AR$2:$AR$833,Produccion_Semanal!$E$2:$E$833,E$1,Produccion_Semanal!$B$2:$B$833,$A75)</f>
        <v>0.00449255417647059</v>
      </c>
      <c r="F75" s="30" t="n">
        <f aca="false">SUMIFS(Produccion_Semanal!$AR$2:$AR$833,Produccion_Semanal!$E$2:$E$833,F$1,Produccion_Semanal!$B$2:$B$833,$A75)</f>
        <v>0.00351393246987952</v>
      </c>
      <c r="G75" s="30" t="n">
        <f aca="false">SUMIFS(Produccion_Semanal!$AR$2:$AR$833,Produccion_Semanal!$E$2:$E$833,G$1,Produccion_Semanal!$B$2:$B$833,$A75)</f>
        <v>0.00535890035714286</v>
      </c>
      <c r="H75" s="30" t="n">
        <f aca="false">SUMIFS(Produccion_Semanal!$AR$2:$AR$833,Produccion_Semanal!$E$2:$E$833,H$1,Produccion_Semanal!$B$2:$B$833,$A75)</f>
        <v>0.00514459937106918</v>
      </c>
      <c r="I75" s="30" t="n">
        <f aca="false">SUMIFS(Produccion_Semanal!$AR$2:$AR$833,Produccion_Semanal!$E$2:$E$833,I$1,Produccion_Semanal!$B$2:$B$833,$A75)</f>
        <v>0.00746217624060151</v>
      </c>
    </row>
    <row r="76" customFormat="false" ht="15" hidden="false" customHeight="false" outlineLevel="0" collapsed="false">
      <c r="A76" s="9" t="n">
        <v>46069</v>
      </c>
      <c r="B76" s="30" t="n">
        <f aca="false">SUMIFS(Produccion_Semanal!$AR$2:$AR$833,Produccion_Semanal!$E$2:$E$833,B$1,Produccion_Semanal!$B$2:$B$833,$A76)</f>
        <v>0.00507627566552901</v>
      </c>
      <c r="C76" s="30" t="n">
        <f aca="false">SUMIFS(Produccion_Semanal!$AR$2:$AR$833,Produccion_Semanal!$E$2:$E$833,C$1,Produccion_Semanal!$B$2:$B$833,$A76)</f>
        <v>0.00373044323232323</v>
      </c>
      <c r="D76" s="30" t="n">
        <f aca="false">SUMIFS(Produccion_Semanal!$AR$2:$AR$833,Produccion_Semanal!$E$2:$E$833,D$1,Produccion_Semanal!$B$2:$B$833,$A76)</f>
        <v>0.00617331896373057</v>
      </c>
      <c r="E76" s="30" t="n">
        <f aca="false">SUMIFS(Produccion_Semanal!$AR$2:$AR$833,Produccion_Semanal!$E$2:$E$833,E$1,Produccion_Semanal!$B$2:$B$833,$A76)</f>
        <v>0.00555756323529412</v>
      </c>
      <c r="F76" s="30" t="n">
        <f aca="false">SUMIFS(Produccion_Semanal!$AR$2:$AR$833,Produccion_Semanal!$E$2:$E$833,F$1,Produccion_Semanal!$B$2:$B$833,$A76)</f>
        <v>0.00397223765060241</v>
      </c>
      <c r="G76" s="30" t="n">
        <f aca="false">SUMIFS(Produccion_Semanal!$AR$2:$AR$833,Produccion_Semanal!$E$2:$E$833,G$1,Produccion_Semanal!$B$2:$B$833,$A76)</f>
        <v>0.00670390789285714</v>
      </c>
      <c r="H76" s="30" t="n">
        <f aca="false">SUMIFS(Produccion_Semanal!$AR$2:$AR$833,Produccion_Semanal!$E$2:$E$833,H$1,Produccion_Semanal!$B$2:$B$833,$A76)</f>
        <v>0.00539352666666667</v>
      </c>
      <c r="I76" s="30" t="n">
        <f aca="false">SUMIFS(Produccion_Semanal!$AR$2:$AR$833,Produccion_Semanal!$E$2:$E$833,I$1,Produccion_Semanal!$B$2:$B$833,$A76)</f>
        <v>0.00548295812030075</v>
      </c>
    </row>
    <row r="77" customFormat="false" ht="15" hidden="false" customHeight="false" outlineLevel="0" collapsed="false">
      <c r="A77" s="9" t="n">
        <v>46076</v>
      </c>
      <c r="B77" s="30" t="n">
        <f aca="false">SUMIFS(Produccion_Semanal!$AR$2:$AR$833,Produccion_Semanal!$E$2:$E$833,B$1,Produccion_Semanal!$B$2:$B$833,$A77)</f>
        <v>0.00558835726962457</v>
      </c>
      <c r="C77" s="30" t="n">
        <f aca="false">SUMIFS(Produccion_Semanal!$AR$2:$AR$833,Produccion_Semanal!$E$2:$E$833,C$1,Produccion_Semanal!$B$2:$B$833,$A77)</f>
        <v>0.0045232263973064</v>
      </c>
      <c r="D77" s="30" t="n">
        <f aca="false">SUMIFS(Produccion_Semanal!$AR$2:$AR$833,Produccion_Semanal!$E$2:$E$833,D$1,Produccion_Semanal!$B$2:$B$833,$A77)</f>
        <v>0.0066668818134715</v>
      </c>
      <c r="E77" s="30" t="n">
        <f aca="false">SUMIFS(Produccion_Semanal!$AR$2:$AR$833,Produccion_Semanal!$E$2:$E$833,E$1,Produccion_Semanal!$B$2:$B$833,$A77)</f>
        <v>0.00448559647058824</v>
      </c>
      <c r="F77" s="30" t="n">
        <f aca="false">SUMIFS(Produccion_Semanal!$AR$2:$AR$833,Produccion_Semanal!$E$2:$E$833,F$1,Produccion_Semanal!$B$2:$B$833,$A77)</f>
        <v>0.00299173198795181</v>
      </c>
      <c r="G77" s="30" t="n">
        <f aca="false">SUMIFS(Produccion_Semanal!$AR$2:$AR$833,Produccion_Semanal!$E$2:$E$833,G$1,Produccion_Semanal!$B$2:$B$833,$A77)</f>
        <v>0.00531731407142857</v>
      </c>
      <c r="H77" s="30" t="n">
        <f aca="false">SUMIFS(Produccion_Semanal!$AR$2:$AR$833,Produccion_Semanal!$E$2:$E$833,H$1,Produccion_Semanal!$B$2:$B$833,$A77)</f>
        <v>0.00752389270440252</v>
      </c>
      <c r="I77" s="30" t="n">
        <f aca="false">SUMIFS(Produccion_Semanal!$AR$2:$AR$833,Produccion_Semanal!$E$2:$E$833,I$1,Produccion_Semanal!$B$2:$B$833,$A77)</f>
        <v>0.00722738233082707</v>
      </c>
    </row>
    <row r="78" customFormat="false" ht="15" hidden="false" customHeight="false" outlineLevel="0" collapsed="false">
      <c r="A78" s="9" t="n">
        <v>46083</v>
      </c>
      <c r="B78" s="30" t="n">
        <f aca="false">SUMIFS(Produccion_Semanal!$AR$2:$AR$833,Produccion_Semanal!$E$2:$E$833,B$1,Produccion_Semanal!$B$2:$B$833,$A78)</f>
        <v>0.00516787051194539</v>
      </c>
      <c r="C78" s="30" t="n">
        <f aca="false">SUMIFS(Produccion_Semanal!$AR$2:$AR$833,Produccion_Semanal!$E$2:$E$833,C$1,Produccion_Semanal!$B$2:$B$833,$A78)</f>
        <v>0.00411701569023569</v>
      </c>
      <c r="D78" s="30" t="n">
        <f aca="false">SUMIFS(Produccion_Semanal!$AR$2:$AR$833,Produccion_Semanal!$E$2:$E$833,D$1,Produccion_Semanal!$B$2:$B$833,$A78)</f>
        <v>0.00693655264248705</v>
      </c>
      <c r="E78" s="30" t="n">
        <f aca="false">SUMIFS(Produccion_Semanal!$AR$2:$AR$833,Produccion_Semanal!$E$2:$E$833,E$1,Produccion_Semanal!$B$2:$B$833,$A78)</f>
        <v>0.00456022535294118</v>
      </c>
      <c r="F78" s="30" t="n">
        <f aca="false">SUMIFS(Produccion_Semanal!$AR$2:$AR$833,Produccion_Semanal!$E$2:$E$833,F$1,Produccion_Semanal!$B$2:$B$833,$A78)</f>
        <v>0.00338656993975904</v>
      </c>
      <c r="G78" s="30" t="n">
        <f aca="false">SUMIFS(Produccion_Semanal!$AR$2:$AR$833,Produccion_Semanal!$E$2:$E$833,G$1,Produccion_Semanal!$B$2:$B$833,$A78)</f>
        <v>0.00546262507142857</v>
      </c>
      <c r="H78" s="30" t="n">
        <f aca="false">SUMIFS(Produccion_Semanal!$AR$2:$AR$833,Produccion_Semanal!$E$2:$E$833,H$1,Produccion_Semanal!$B$2:$B$833,$A78)</f>
        <v>0.0047093386163522</v>
      </c>
      <c r="I78" s="30" t="n">
        <f aca="false">SUMIFS(Produccion_Semanal!$AR$2:$AR$833,Produccion_Semanal!$E$2:$E$833,I$1,Produccion_Semanal!$B$2:$B$833,$A78)</f>
        <v>0.00666503902255639</v>
      </c>
    </row>
    <row r="79" customFormat="false" ht="15" hidden="false" customHeight="false" outlineLevel="0" collapsed="false">
      <c r="A79" s="9" t="n">
        <v>46090</v>
      </c>
      <c r="B79" s="30" t="n">
        <f aca="false">SUMIFS(Produccion_Semanal!$AR$2:$AR$833,Produccion_Semanal!$E$2:$E$833,B$1,Produccion_Semanal!$B$2:$B$833,$A79)</f>
        <v>0.00543741290102389</v>
      </c>
      <c r="C79" s="30" t="n">
        <f aca="false">SUMIFS(Produccion_Semanal!$AR$2:$AR$833,Produccion_Semanal!$E$2:$E$833,C$1,Produccion_Semanal!$B$2:$B$833,$A79)</f>
        <v>0.00413544478114478</v>
      </c>
      <c r="D79" s="30" t="n">
        <f aca="false">SUMIFS(Produccion_Semanal!$AR$2:$AR$833,Produccion_Semanal!$E$2:$E$833,D$1,Produccion_Semanal!$B$2:$B$833,$A79)</f>
        <v>0.00746765575129534</v>
      </c>
      <c r="E79" s="30" t="n">
        <f aca="false">SUMIFS(Produccion_Semanal!$AR$2:$AR$833,Produccion_Semanal!$E$2:$E$833,E$1,Produccion_Semanal!$B$2:$B$833,$A79)</f>
        <v>0.00552810588235294</v>
      </c>
      <c r="F79" s="30" t="n">
        <f aca="false">SUMIFS(Produccion_Semanal!$AR$2:$AR$833,Produccion_Semanal!$E$2:$E$833,F$1,Produccion_Semanal!$B$2:$B$833,$A79)</f>
        <v>0.00314109626506024</v>
      </c>
      <c r="G79" s="30" t="n">
        <f aca="false">SUMIFS(Produccion_Semanal!$AR$2:$AR$833,Produccion_Semanal!$E$2:$E$833,G$1,Produccion_Semanal!$B$2:$B$833,$A79)</f>
        <v>0.00606524610714286</v>
      </c>
      <c r="H79" s="30" t="n">
        <f aca="false">SUMIFS(Produccion_Semanal!$AR$2:$AR$833,Produccion_Semanal!$E$2:$E$833,H$1,Produccion_Semanal!$B$2:$B$833,$A79)</f>
        <v>0.00635858968553459</v>
      </c>
      <c r="I79" s="30" t="n">
        <f aca="false">SUMIFS(Produccion_Semanal!$AR$2:$AR$833,Produccion_Semanal!$E$2:$E$833,I$1,Produccion_Semanal!$B$2:$B$833,$A79)</f>
        <v>0.00624547804511278</v>
      </c>
    </row>
    <row r="80" customFormat="false" ht="15" hidden="false" customHeight="false" outlineLevel="0" collapsed="false">
      <c r="A80" s="9" t="n">
        <v>46097</v>
      </c>
      <c r="B80" s="30" t="n">
        <f aca="false">SUMIFS(Produccion_Semanal!$AR$2:$AR$833,Produccion_Semanal!$E$2:$E$833,B$1,Produccion_Semanal!$B$2:$B$833,$A80)</f>
        <v>0.00538780709897611</v>
      </c>
      <c r="C80" s="30" t="n">
        <f aca="false">SUMIFS(Produccion_Semanal!$AR$2:$AR$833,Produccion_Semanal!$E$2:$E$833,C$1,Produccion_Semanal!$B$2:$B$833,$A80)</f>
        <v>0.0038768865993266</v>
      </c>
      <c r="D80" s="30" t="n">
        <f aca="false">SUMIFS(Produccion_Semanal!$AR$2:$AR$833,Produccion_Semanal!$E$2:$E$833,D$1,Produccion_Semanal!$B$2:$B$833,$A80)</f>
        <v>0.00863674642487047</v>
      </c>
      <c r="E80" s="30" t="n">
        <f aca="false">SUMIFS(Produccion_Semanal!$AR$2:$AR$833,Produccion_Semanal!$E$2:$E$833,E$1,Produccion_Semanal!$B$2:$B$833,$A80)</f>
        <v>0.00539426594117647</v>
      </c>
      <c r="F80" s="30" t="n">
        <f aca="false">SUMIFS(Produccion_Semanal!$AR$2:$AR$833,Produccion_Semanal!$E$2:$E$833,F$1,Produccion_Semanal!$B$2:$B$833,$A80)</f>
        <v>0.00322089530120482</v>
      </c>
      <c r="G80" s="30" t="n">
        <f aca="false">SUMIFS(Produccion_Semanal!$AR$2:$AR$833,Produccion_Semanal!$E$2:$E$833,G$1,Produccion_Semanal!$B$2:$B$833,$A80)</f>
        <v>0.00508547092857143</v>
      </c>
      <c r="H80" s="30" t="n">
        <f aca="false">SUMIFS(Produccion_Semanal!$AR$2:$AR$833,Produccion_Semanal!$E$2:$E$833,H$1,Produccion_Semanal!$B$2:$B$833,$A80)</f>
        <v>0.00761709836477987</v>
      </c>
      <c r="I80" s="30" t="n">
        <f aca="false">SUMIFS(Produccion_Semanal!$AR$2:$AR$833,Produccion_Semanal!$E$2:$E$833,I$1,Produccion_Semanal!$B$2:$B$833,$A80)</f>
        <v>0.00639470796992481</v>
      </c>
    </row>
    <row r="81" customFormat="false" ht="15" hidden="false" customHeight="false" outlineLevel="0" collapsed="false">
      <c r="A81" s="9" t="n">
        <v>46104</v>
      </c>
      <c r="B81" s="30" t="n">
        <f aca="false">SUMIFS(Produccion_Semanal!$AR$2:$AR$833,Produccion_Semanal!$E$2:$E$833,B$1,Produccion_Semanal!$B$2:$B$833,$A81)</f>
        <v>0.00569808860068259</v>
      </c>
      <c r="C81" s="30" t="n">
        <f aca="false">SUMIFS(Produccion_Semanal!$AR$2:$AR$833,Produccion_Semanal!$E$2:$E$833,C$1,Produccion_Semanal!$B$2:$B$833,$A81)</f>
        <v>0.00455981922558922</v>
      </c>
      <c r="D81" s="30" t="n">
        <f aca="false">SUMIFS(Produccion_Semanal!$AR$2:$AR$833,Produccion_Semanal!$E$2:$E$833,D$1,Produccion_Semanal!$B$2:$B$833,$A81)</f>
        <v>0.00526003668393782</v>
      </c>
      <c r="E81" s="30" t="n">
        <f aca="false">SUMIFS(Produccion_Semanal!$AR$2:$AR$833,Produccion_Semanal!$E$2:$E$833,E$1,Produccion_Semanal!$B$2:$B$833,$A81)</f>
        <v>0.00460506</v>
      </c>
      <c r="F81" s="30" t="n">
        <f aca="false">SUMIFS(Produccion_Semanal!$AR$2:$AR$833,Produccion_Semanal!$E$2:$E$833,F$1,Produccion_Semanal!$B$2:$B$833,$A81)</f>
        <v>0.00281415090361446</v>
      </c>
      <c r="G81" s="30" t="n">
        <f aca="false">SUMIFS(Produccion_Semanal!$AR$2:$AR$833,Produccion_Semanal!$E$2:$E$833,G$1,Produccion_Semanal!$B$2:$B$833,$A81)</f>
        <v>0.00484639182142857</v>
      </c>
      <c r="H81" s="30" t="n">
        <f aca="false">SUMIFS(Produccion_Semanal!$AR$2:$AR$833,Produccion_Semanal!$E$2:$E$833,H$1,Produccion_Semanal!$B$2:$B$833,$A81)</f>
        <v>0.00450633358490566</v>
      </c>
      <c r="I81" s="30" t="n">
        <f aca="false">SUMIFS(Produccion_Semanal!$AR$2:$AR$833,Produccion_Semanal!$E$2:$E$833,I$1,Produccion_Semanal!$B$2:$B$833,$A81)</f>
        <v>0.00408119586466166</v>
      </c>
    </row>
    <row r="82" customFormat="false" ht="15" hidden="false" customHeight="false" outlineLevel="0" collapsed="false">
      <c r="A82" s="9" t="n">
        <v>46111</v>
      </c>
      <c r="B82" s="30" t="n">
        <f aca="false">SUMIFS(Produccion_Semanal!$AR$2:$AR$833,Produccion_Semanal!$E$2:$E$833,B$1,Produccion_Semanal!$B$2:$B$833,$A82)</f>
        <v>0.0054667061774744</v>
      </c>
      <c r="C82" s="30" t="n">
        <f aca="false">SUMIFS(Produccion_Semanal!$AR$2:$AR$833,Produccion_Semanal!$E$2:$E$833,C$1,Produccion_Semanal!$B$2:$B$833,$A82)</f>
        <v>0.00421259208754209</v>
      </c>
      <c r="D82" s="30" t="n">
        <f aca="false">SUMIFS(Produccion_Semanal!$AR$2:$AR$833,Produccion_Semanal!$E$2:$E$833,D$1,Produccion_Semanal!$B$2:$B$833,$A82)</f>
        <v>0.00786823435233161</v>
      </c>
      <c r="E82" s="30" t="n">
        <f aca="false">SUMIFS(Produccion_Semanal!$AR$2:$AR$833,Produccion_Semanal!$E$2:$E$833,E$1,Produccion_Semanal!$B$2:$B$833,$A82)</f>
        <v>0.00599070447058824</v>
      </c>
      <c r="F82" s="30" t="n">
        <f aca="false">SUMIFS(Produccion_Semanal!$AR$2:$AR$833,Produccion_Semanal!$E$2:$E$833,F$1,Produccion_Semanal!$B$2:$B$833,$A82)</f>
        <v>0.00368106156626506</v>
      </c>
      <c r="G82" s="30" t="n">
        <f aca="false">SUMIFS(Produccion_Semanal!$AR$2:$AR$833,Produccion_Semanal!$E$2:$E$833,G$1,Produccion_Semanal!$B$2:$B$833,$A82)</f>
        <v>0.0062268885</v>
      </c>
      <c r="H82" s="30" t="n">
        <f aca="false">SUMIFS(Produccion_Semanal!$AR$2:$AR$833,Produccion_Semanal!$E$2:$E$833,H$1,Produccion_Semanal!$B$2:$B$833,$A82)</f>
        <v>0.00637594327044025</v>
      </c>
      <c r="I82" s="30" t="n">
        <f aca="false">SUMIFS(Produccion_Semanal!$AR$2:$AR$833,Produccion_Semanal!$E$2:$E$833,I$1,Produccion_Semanal!$B$2:$B$833,$A82)</f>
        <v>0.00756367766917293</v>
      </c>
    </row>
    <row r="83" customFormat="false" ht="15" hidden="false" customHeight="false" outlineLevel="0" collapsed="false">
      <c r="A83" s="9" t="n">
        <v>46118</v>
      </c>
      <c r="B83" s="30" t="n">
        <f aca="false">SUMIFS(Produccion_Semanal!$AR$2:$AR$833,Produccion_Semanal!$E$2:$E$833,B$1,Produccion_Semanal!$B$2:$B$833,$A83)</f>
        <v>0.00572505494880546</v>
      </c>
      <c r="C83" s="30" t="n">
        <f aca="false">SUMIFS(Produccion_Semanal!$AR$2:$AR$833,Produccion_Semanal!$E$2:$E$833,C$1,Produccion_Semanal!$B$2:$B$833,$A83)</f>
        <v>0.00386852336700337</v>
      </c>
      <c r="D83" s="30" t="n">
        <f aca="false">SUMIFS(Produccion_Semanal!$AR$2:$AR$833,Produccion_Semanal!$E$2:$E$833,D$1,Produccion_Semanal!$B$2:$B$833,$A83)</f>
        <v>0.00819177870466321</v>
      </c>
      <c r="E83" s="30" t="n">
        <f aca="false">SUMIFS(Produccion_Semanal!$AR$2:$AR$833,Produccion_Semanal!$E$2:$E$833,E$1,Produccion_Semanal!$B$2:$B$833,$A83)</f>
        <v>0.00536818235294118</v>
      </c>
      <c r="F83" s="30" t="n">
        <f aca="false">SUMIFS(Produccion_Semanal!$AR$2:$AR$833,Produccion_Semanal!$E$2:$E$833,F$1,Produccion_Semanal!$B$2:$B$833,$A83)</f>
        <v>0.00305255879518072</v>
      </c>
      <c r="G83" s="30" t="n">
        <f aca="false">SUMIFS(Produccion_Semanal!$AR$2:$AR$833,Produccion_Semanal!$E$2:$E$833,G$1,Produccion_Semanal!$B$2:$B$833,$A83)</f>
        <v>0.00614380664285715</v>
      </c>
      <c r="H83" s="30" t="n">
        <f aca="false">SUMIFS(Produccion_Semanal!$AR$2:$AR$833,Produccion_Semanal!$E$2:$E$833,H$1,Produccion_Semanal!$B$2:$B$833,$A83)</f>
        <v>0.00673697559748428</v>
      </c>
      <c r="I83" s="30" t="n">
        <f aca="false">SUMIFS(Produccion_Semanal!$AR$2:$AR$833,Produccion_Semanal!$E$2:$E$833,I$1,Produccion_Semanal!$B$2:$B$833,$A83)</f>
        <v>0.0052788</v>
      </c>
    </row>
    <row r="84" customFormat="false" ht="15" hidden="false" customHeight="false" outlineLevel="0" collapsed="false">
      <c r="A84" s="9" t="n">
        <v>46125</v>
      </c>
      <c r="B84" s="30" t="n">
        <f aca="false">SUMIFS(Produccion_Semanal!$AR$2:$AR$833,Produccion_Semanal!$E$2:$E$833,B$1,Produccion_Semanal!$B$2:$B$833,$A84)</f>
        <v>0.00562079068259386</v>
      </c>
      <c r="C84" s="30" t="n">
        <f aca="false">SUMIFS(Produccion_Semanal!$AR$2:$AR$833,Produccion_Semanal!$E$2:$E$833,C$1,Produccion_Semanal!$B$2:$B$833,$A84)</f>
        <v>0.00372723148148148</v>
      </c>
      <c r="D84" s="30" t="n">
        <f aca="false">SUMIFS(Produccion_Semanal!$AR$2:$AR$833,Produccion_Semanal!$E$2:$E$833,D$1,Produccion_Semanal!$B$2:$B$833,$A84)</f>
        <v>0.00609357704663213</v>
      </c>
      <c r="E84" s="30" t="n">
        <f aca="false">SUMIFS(Produccion_Semanal!$AR$2:$AR$833,Produccion_Semanal!$E$2:$E$833,E$1,Produccion_Semanal!$B$2:$B$833,$A84)</f>
        <v>0.00371793511764706</v>
      </c>
      <c r="F84" s="30" t="n">
        <f aca="false">SUMIFS(Produccion_Semanal!$AR$2:$AR$833,Produccion_Semanal!$E$2:$E$833,F$1,Produccion_Semanal!$B$2:$B$833,$A84)</f>
        <v>0.0050205471686747</v>
      </c>
      <c r="G84" s="30" t="n">
        <f aca="false">SUMIFS(Produccion_Semanal!$AR$2:$AR$833,Produccion_Semanal!$E$2:$E$833,G$1,Produccion_Semanal!$B$2:$B$833,$A84)</f>
        <v>0.00531064985714286</v>
      </c>
      <c r="H84" s="30" t="n">
        <f aca="false">SUMIFS(Produccion_Semanal!$AR$2:$AR$833,Produccion_Semanal!$E$2:$E$833,H$1,Produccion_Semanal!$B$2:$B$833,$A84)</f>
        <v>0.00614104188679245</v>
      </c>
      <c r="I84" s="30" t="n">
        <f aca="false">SUMIFS(Produccion_Semanal!$AR$2:$AR$833,Produccion_Semanal!$E$2:$E$833,I$1,Produccion_Semanal!$B$2:$B$833,$A84)</f>
        <v>0.00551172218045113</v>
      </c>
    </row>
    <row r="85" customFormat="false" ht="15" hidden="false" customHeight="false" outlineLevel="0" collapsed="false">
      <c r="A85" s="9" t="n">
        <v>46132</v>
      </c>
      <c r="B85" s="30" t="n">
        <f aca="false">SUMIFS(Produccion_Semanal!$AR$2:$AR$833,Produccion_Semanal!$E$2:$E$833,B$1,Produccion_Semanal!$B$2:$B$833,$A85)</f>
        <v>0.00538220883959044</v>
      </c>
      <c r="C85" s="30" t="n">
        <f aca="false">SUMIFS(Produccion_Semanal!$AR$2:$AR$833,Produccion_Semanal!$E$2:$E$833,C$1,Produccion_Semanal!$B$2:$B$833,$A85)</f>
        <v>0.00372072084175084</v>
      </c>
      <c r="D85" s="30" t="n">
        <f aca="false">SUMIFS(Produccion_Semanal!$AR$2:$AR$833,Produccion_Semanal!$E$2:$E$833,D$1,Produccion_Semanal!$B$2:$B$833,$A85)</f>
        <v>0.00592956756476684</v>
      </c>
      <c r="E85" s="30" t="n">
        <f aca="false">SUMIFS(Produccion_Semanal!$AR$2:$AR$833,Produccion_Semanal!$E$2:$E$833,E$1,Produccion_Semanal!$B$2:$B$833,$A85)</f>
        <v>0.00536167705882353</v>
      </c>
      <c r="F85" s="30" t="n">
        <f aca="false">SUMIFS(Produccion_Semanal!$AR$2:$AR$833,Produccion_Semanal!$E$2:$E$833,F$1,Produccion_Semanal!$B$2:$B$833,$A85)</f>
        <v>0.0038312836746988</v>
      </c>
      <c r="G85" s="30" t="n">
        <f aca="false">SUMIFS(Produccion_Semanal!$AR$2:$AR$833,Produccion_Semanal!$E$2:$E$833,G$1,Produccion_Semanal!$B$2:$B$833,$A85)</f>
        <v>0.00683164678571429</v>
      </c>
      <c r="H85" s="30" t="n">
        <f aca="false">SUMIFS(Produccion_Semanal!$AR$2:$AR$833,Produccion_Semanal!$E$2:$E$833,H$1,Produccion_Semanal!$B$2:$B$833,$A85)</f>
        <v>0.00661373962264151</v>
      </c>
      <c r="I85" s="30" t="n">
        <f aca="false">SUMIFS(Produccion_Semanal!$AR$2:$AR$833,Produccion_Semanal!$E$2:$E$833,I$1,Produccion_Semanal!$B$2:$B$833,$A85)</f>
        <v>0.00806294563909774</v>
      </c>
    </row>
    <row r="86" customFormat="false" ht="15" hidden="false" customHeight="false" outlineLevel="0" collapsed="false">
      <c r="A86" s="9" t="n">
        <v>46139</v>
      </c>
      <c r="B86" s="30" t="n">
        <f aca="false">SUMIFS(Produccion_Semanal!$AR$2:$AR$833,Produccion_Semanal!$E$2:$E$833,B$1,Produccion_Semanal!$B$2:$B$833,$A86)</f>
        <v>0.00518913518771331</v>
      </c>
      <c r="C86" s="30" t="n">
        <f aca="false">SUMIFS(Produccion_Semanal!$AR$2:$AR$833,Produccion_Semanal!$E$2:$E$833,C$1,Produccion_Semanal!$B$2:$B$833,$A86)</f>
        <v>0.00435547555555555</v>
      </c>
      <c r="D86" s="30" t="n">
        <f aca="false">SUMIFS(Produccion_Semanal!$AR$2:$AR$833,Produccion_Semanal!$E$2:$E$833,D$1,Produccion_Semanal!$B$2:$B$833,$A86)</f>
        <v>0.00859821917098446</v>
      </c>
      <c r="E86" s="30" t="n">
        <f aca="false">SUMIFS(Produccion_Semanal!$AR$2:$AR$833,Produccion_Semanal!$E$2:$E$833,E$1,Produccion_Semanal!$B$2:$B$833,$A86)</f>
        <v>0.00380034711764706</v>
      </c>
      <c r="F86" s="30" t="n">
        <f aca="false">SUMIFS(Produccion_Semanal!$AR$2:$AR$833,Produccion_Semanal!$E$2:$E$833,F$1,Produccion_Semanal!$B$2:$B$833,$A86)</f>
        <v>0.00390517843373494</v>
      </c>
      <c r="G86" s="30" t="n">
        <f aca="false">SUMIFS(Produccion_Semanal!$AR$2:$AR$833,Produccion_Semanal!$E$2:$E$833,G$1,Produccion_Semanal!$B$2:$B$833,$A86)</f>
        <v>0.00576116896428571</v>
      </c>
      <c r="H86" s="30" t="n">
        <f aca="false">SUMIFS(Produccion_Semanal!$AR$2:$AR$833,Produccion_Semanal!$E$2:$E$833,H$1,Produccion_Semanal!$B$2:$B$833,$A86)</f>
        <v>0.0071391893081761</v>
      </c>
      <c r="I86" s="30" t="n">
        <f aca="false">SUMIFS(Produccion_Semanal!$AR$2:$AR$833,Produccion_Semanal!$E$2:$E$833,I$1,Produccion_Semanal!$B$2:$B$833,$A86)</f>
        <v>0.00569389714285714</v>
      </c>
    </row>
    <row r="87" customFormat="false" ht="15" hidden="false" customHeight="false" outlineLevel="0" collapsed="false">
      <c r="A87" s="9" t="n">
        <v>46146</v>
      </c>
      <c r="B87" s="30" t="n">
        <f aca="false">SUMIFS(Produccion_Semanal!$AR$2:$AR$833,Produccion_Semanal!$E$2:$E$833,B$1,Produccion_Semanal!$B$2:$B$833,$A87)</f>
        <v>0.00586274529010239</v>
      </c>
      <c r="C87" s="30" t="n">
        <f aca="false">SUMIFS(Produccion_Semanal!$AR$2:$AR$833,Produccion_Semanal!$E$2:$E$833,C$1,Produccion_Semanal!$B$2:$B$833,$A87)</f>
        <v>0.00427240868686869</v>
      </c>
      <c r="D87" s="30" t="n">
        <f aca="false">SUMIFS(Produccion_Semanal!$AR$2:$AR$833,Produccion_Semanal!$E$2:$E$833,D$1,Produccion_Semanal!$B$2:$B$833,$A87)</f>
        <v>0.00518169139896373</v>
      </c>
      <c r="E87" s="30" t="n">
        <f aca="false">SUMIFS(Produccion_Semanal!$AR$2:$AR$833,Produccion_Semanal!$E$2:$E$833,E$1,Produccion_Semanal!$B$2:$B$833,$A87)</f>
        <v>0.00396929817647059</v>
      </c>
      <c r="F87" s="30" t="n">
        <f aca="false">SUMIFS(Produccion_Semanal!$AR$2:$AR$833,Produccion_Semanal!$E$2:$E$833,F$1,Produccion_Semanal!$B$2:$B$833,$A87)</f>
        <v>0.00312222674698795</v>
      </c>
      <c r="G87" s="30" t="n">
        <f aca="false">SUMIFS(Produccion_Semanal!$AR$2:$AR$833,Produccion_Semanal!$E$2:$E$833,G$1,Produccion_Semanal!$B$2:$B$833,$A87)</f>
        <v>0.006000798</v>
      </c>
      <c r="H87" s="30" t="n">
        <f aca="false">SUMIFS(Produccion_Semanal!$AR$2:$AR$833,Produccion_Semanal!$E$2:$E$833,H$1,Produccion_Semanal!$B$2:$B$833,$A87)</f>
        <v>0.00740053006289308</v>
      </c>
      <c r="I87" s="30" t="n">
        <f aca="false">SUMIFS(Produccion_Semanal!$AR$2:$AR$833,Produccion_Semanal!$E$2:$E$833,I$1,Produccion_Semanal!$B$2:$B$833,$A87)</f>
        <v>0.00633732045112782</v>
      </c>
    </row>
    <row r="88" customFormat="false" ht="15" hidden="false" customHeight="false" outlineLevel="0" collapsed="false">
      <c r="A88" s="9" t="n">
        <v>46153</v>
      </c>
      <c r="B88" s="30" t="n">
        <f aca="false">SUMIFS(Produccion_Semanal!$AR$2:$AR$833,Produccion_Semanal!$E$2:$E$833,B$1,Produccion_Semanal!$B$2:$B$833,$A88)</f>
        <v>0.00536717508532423</v>
      </c>
      <c r="C88" s="30" t="n">
        <f aca="false">SUMIFS(Produccion_Semanal!$AR$2:$AR$833,Produccion_Semanal!$E$2:$E$833,C$1,Produccion_Semanal!$B$2:$B$833,$A88)</f>
        <v>0.00370684720538721</v>
      </c>
      <c r="D88" s="30" t="n">
        <f aca="false">SUMIFS(Produccion_Semanal!$AR$2:$AR$833,Produccion_Semanal!$E$2:$E$833,D$1,Produccion_Semanal!$B$2:$B$833,$A88)</f>
        <v>0.0058225074611399</v>
      </c>
      <c r="E88" s="30" t="n">
        <f aca="false">SUMIFS(Produccion_Semanal!$AR$2:$AR$833,Produccion_Semanal!$E$2:$E$833,E$1,Produccion_Semanal!$B$2:$B$833,$A88)</f>
        <v>0.00375448917647059</v>
      </c>
      <c r="F88" s="30" t="n">
        <f aca="false">SUMIFS(Produccion_Semanal!$AR$2:$AR$833,Produccion_Semanal!$E$2:$E$833,F$1,Produccion_Semanal!$B$2:$B$833,$A88)</f>
        <v>0.00379316295180723</v>
      </c>
      <c r="G88" s="30" t="n">
        <f aca="false">SUMIFS(Produccion_Semanal!$AR$2:$AR$833,Produccion_Semanal!$E$2:$E$833,G$1,Produccion_Semanal!$B$2:$B$833,$A88)</f>
        <v>0.00559628335714286</v>
      </c>
      <c r="H88" s="30" t="n">
        <f aca="false">SUMIFS(Produccion_Semanal!$AR$2:$AR$833,Produccion_Semanal!$E$2:$E$833,H$1,Produccion_Semanal!$B$2:$B$833,$A88)</f>
        <v>0.00773615295597484</v>
      </c>
      <c r="I88" s="30" t="n">
        <f aca="false">SUMIFS(Produccion_Semanal!$AR$2:$AR$833,Produccion_Semanal!$E$2:$E$833,I$1,Produccion_Semanal!$B$2:$B$833,$A88)</f>
        <v>0.00820964007518797</v>
      </c>
    </row>
    <row r="89" customFormat="false" ht="15" hidden="false" customHeight="false" outlineLevel="0" collapsed="false">
      <c r="A89" s="9" t="n">
        <v>46160</v>
      </c>
      <c r="B89" s="30" t="n">
        <f aca="false">SUMIFS(Produccion_Semanal!$AR$2:$AR$833,Produccion_Semanal!$E$2:$E$833,B$1,Produccion_Semanal!$B$2:$B$833,$A89)</f>
        <v>0.00531956641638225</v>
      </c>
      <c r="C89" s="30" t="n">
        <f aca="false">SUMIFS(Produccion_Semanal!$AR$2:$AR$833,Produccion_Semanal!$E$2:$E$833,C$1,Produccion_Semanal!$B$2:$B$833,$A89)</f>
        <v>0.0048227497979798</v>
      </c>
      <c r="D89" s="30" t="n">
        <f aca="false">SUMIFS(Produccion_Semanal!$AR$2:$AR$833,Produccion_Semanal!$E$2:$E$833,D$1,Produccion_Semanal!$B$2:$B$833,$A89)</f>
        <v>0.00676124098445596</v>
      </c>
      <c r="E89" s="30" t="n">
        <f aca="false">SUMIFS(Produccion_Semanal!$AR$2:$AR$833,Produccion_Semanal!$E$2:$E$833,E$1,Produccion_Semanal!$B$2:$B$833,$A89)</f>
        <v>0.0054632755882353</v>
      </c>
      <c r="F89" s="30" t="n">
        <f aca="false">SUMIFS(Produccion_Semanal!$AR$2:$AR$833,Produccion_Semanal!$E$2:$E$833,F$1,Produccion_Semanal!$B$2:$B$833,$A89)</f>
        <v>0.00276567753012048</v>
      </c>
      <c r="G89" s="30" t="n">
        <f aca="false">SUMIFS(Produccion_Semanal!$AR$2:$AR$833,Produccion_Semanal!$E$2:$E$833,G$1,Produccion_Semanal!$B$2:$B$833,$A89)</f>
        <v>0.00604354078571429</v>
      </c>
      <c r="H89" s="30" t="n">
        <f aca="false">SUMIFS(Produccion_Semanal!$AR$2:$AR$833,Produccion_Semanal!$E$2:$E$833,H$1,Produccion_Semanal!$B$2:$B$833,$A89)</f>
        <v>0.00564190729559748</v>
      </c>
      <c r="I89" s="30" t="n">
        <f aca="false">SUMIFS(Produccion_Semanal!$AR$2:$AR$833,Produccion_Semanal!$E$2:$E$833,I$1,Produccion_Semanal!$B$2:$B$833,$A89)</f>
        <v>0.00716225323308271</v>
      </c>
    </row>
    <row r="90" customFormat="false" ht="15" hidden="false" customHeight="false" outlineLevel="0" collapsed="false">
      <c r="A90" s="9" t="n">
        <v>46167</v>
      </c>
      <c r="B90" s="30" t="n">
        <f aca="false">SUMIFS(Produccion_Semanal!$AR$2:$AR$833,Produccion_Semanal!$E$2:$E$833,B$1,Produccion_Semanal!$B$2:$B$833,$A90)</f>
        <v>0.00518520423208191</v>
      </c>
      <c r="C90" s="30" t="n">
        <f aca="false">SUMIFS(Produccion_Semanal!$AR$2:$AR$833,Produccion_Semanal!$E$2:$E$833,C$1,Produccion_Semanal!$B$2:$B$833,$A90)</f>
        <v>0.0042292894949495</v>
      </c>
      <c r="D90" s="30" t="n">
        <f aca="false">SUMIFS(Produccion_Semanal!$AR$2:$AR$833,Produccion_Semanal!$E$2:$E$833,D$1,Produccion_Semanal!$B$2:$B$833,$A90)</f>
        <v>0.00711938528497409</v>
      </c>
      <c r="E90" s="30" t="n">
        <f aca="false">SUMIFS(Produccion_Semanal!$AR$2:$AR$833,Produccion_Semanal!$E$2:$E$833,E$1,Produccion_Semanal!$B$2:$B$833,$A90)</f>
        <v>0.00535515482352941</v>
      </c>
      <c r="F90" s="30" t="n">
        <f aca="false">SUMIFS(Produccion_Semanal!$AR$2:$AR$833,Produccion_Semanal!$E$2:$E$833,F$1,Produccion_Semanal!$B$2:$B$833,$A90)</f>
        <v>0.00319370506024096</v>
      </c>
      <c r="G90" s="30" t="n">
        <f aca="false">SUMIFS(Produccion_Semanal!$AR$2:$AR$833,Produccion_Semanal!$E$2:$E$833,G$1,Produccion_Semanal!$B$2:$B$833,$A90)</f>
        <v>0.00521569428571429</v>
      </c>
      <c r="H90" s="30" t="n">
        <f aca="false">SUMIFS(Produccion_Semanal!$AR$2:$AR$833,Produccion_Semanal!$E$2:$E$833,H$1,Produccion_Semanal!$B$2:$B$833,$A90)</f>
        <v>0.00726887735849057</v>
      </c>
      <c r="I90" s="30" t="n">
        <f aca="false">SUMIFS(Produccion_Semanal!$AR$2:$AR$833,Produccion_Semanal!$E$2:$E$833,I$1,Produccion_Semanal!$B$2:$B$833,$A90)</f>
        <v>0.0043590030075188</v>
      </c>
    </row>
    <row r="91" customFormat="false" ht="15" hidden="false" customHeight="false" outlineLevel="0" collapsed="false">
      <c r="A91" s="9" t="n">
        <v>46174</v>
      </c>
      <c r="B91" s="30" t="n">
        <f aca="false">SUMIFS(Produccion_Semanal!$AR$2:$AR$833,Produccion_Semanal!$E$2:$E$833,B$1,Produccion_Semanal!$B$2:$B$833,$A91)</f>
        <v>0.00574789361774744</v>
      </c>
      <c r="C91" s="30" t="n">
        <f aca="false">SUMIFS(Produccion_Semanal!$AR$2:$AR$833,Produccion_Semanal!$E$2:$E$833,C$1,Produccion_Semanal!$B$2:$B$833,$A91)</f>
        <v>0.00448536262626263</v>
      </c>
      <c r="D91" s="30" t="n">
        <f aca="false">SUMIFS(Produccion_Semanal!$AR$2:$AR$833,Produccion_Semanal!$E$2:$E$833,D$1,Produccion_Semanal!$B$2:$B$833,$A91)</f>
        <v>0.00884105642487046</v>
      </c>
      <c r="E91" s="30" t="n">
        <f aca="false">SUMIFS(Produccion_Semanal!$AR$2:$AR$833,Produccion_Semanal!$E$2:$E$833,E$1,Produccion_Semanal!$B$2:$B$833,$A91)</f>
        <v>0.00662480994117647</v>
      </c>
      <c r="F91" s="30" t="n">
        <f aca="false">SUMIFS(Produccion_Semanal!$AR$2:$AR$833,Produccion_Semanal!$E$2:$E$833,F$1,Produccion_Semanal!$B$2:$B$833,$A91)</f>
        <v>0.00374820048192771</v>
      </c>
      <c r="G91" s="30" t="n">
        <f aca="false">SUMIFS(Produccion_Semanal!$AR$2:$AR$833,Produccion_Semanal!$E$2:$E$833,G$1,Produccion_Semanal!$B$2:$B$833,$A91)</f>
        <v>0.00539430525</v>
      </c>
      <c r="H91" s="30" t="n">
        <f aca="false">SUMIFS(Produccion_Semanal!$AR$2:$AR$833,Produccion_Semanal!$E$2:$E$833,H$1,Produccion_Semanal!$B$2:$B$833,$A91)</f>
        <v>0.00879822037735849</v>
      </c>
      <c r="I91" s="30" t="n">
        <f aca="false">SUMIFS(Produccion_Semanal!$AR$2:$AR$833,Produccion_Semanal!$E$2:$E$833,I$1,Produccion_Semanal!$B$2:$B$833,$A91)</f>
        <v>0.00873548255639098</v>
      </c>
    </row>
    <row r="92" customFormat="false" ht="15" hidden="false" customHeight="false" outlineLevel="0" collapsed="false">
      <c r="A92" s="9" t="n">
        <v>46181</v>
      </c>
      <c r="B92" s="30" t="n">
        <f aca="false">SUMIFS(Produccion_Semanal!$AR$2:$AR$833,Produccion_Semanal!$E$2:$E$833,B$1,Produccion_Semanal!$B$2:$B$833,$A92)</f>
        <v>0.0057012947440273</v>
      </c>
      <c r="C92" s="30" t="n">
        <f aca="false">SUMIFS(Produccion_Semanal!$AR$2:$AR$833,Produccion_Semanal!$E$2:$E$833,C$1,Produccion_Semanal!$B$2:$B$833,$A92)</f>
        <v>0.00523664737373737</v>
      </c>
      <c r="D92" s="30" t="n">
        <f aca="false">SUMIFS(Produccion_Semanal!$AR$2:$AR$833,Produccion_Semanal!$E$2:$E$833,D$1,Produccion_Semanal!$B$2:$B$833,$A92)</f>
        <v>0.00849082129533679</v>
      </c>
      <c r="E92" s="30" t="n">
        <f aca="false">SUMIFS(Produccion_Semanal!$AR$2:$AR$833,Produccion_Semanal!$E$2:$E$833,E$1,Produccion_Semanal!$B$2:$B$833,$A92)</f>
        <v>0.00709787476470588</v>
      </c>
      <c r="F92" s="30" t="n">
        <f aca="false">SUMIFS(Produccion_Semanal!$AR$2:$AR$833,Produccion_Semanal!$E$2:$E$833,F$1,Produccion_Semanal!$B$2:$B$833,$A92)</f>
        <v>0.00415615620481928</v>
      </c>
      <c r="G92" s="30" t="n">
        <f aca="false">SUMIFS(Produccion_Semanal!$AR$2:$AR$833,Produccion_Semanal!$E$2:$E$833,G$1,Produccion_Semanal!$B$2:$B$833,$A92)</f>
        <v>0.00715197021428572</v>
      </c>
      <c r="H92" s="30" t="n">
        <f aca="false">SUMIFS(Produccion_Semanal!$AR$2:$AR$833,Produccion_Semanal!$E$2:$E$833,H$1,Produccion_Semanal!$B$2:$B$833,$A92)</f>
        <v>0.00666984088050315</v>
      </c>
      <c r="I92" s="30" t="n">
        <f aca="false">SUMIFS(Produccion_Semanal!$AR$2:$AR$833,Produccion_Semanal!$E$2:$E$833,I$1,Produccion_Semanal!$B$2:$B$833,$A92)</f>
        <v>0.00773532315789474</v>
      </c>
    </row>
    <row r="93" customFormat="false" ht="15" hidden="false" customHeight="false" outlineLevel="0" collapsed="false">
      <c r="A93" s="9" t="n">
        <v>46188</v>
      </c>
      <c r="B93" s="30" t="n">
        <f aca="false">SUMIFS(Produccion_Semanal!$AR$2:$AR$833,Produccion_Semanal!$E$2:$E$833,B$1,Produccion_Semanal!$B$2:$B$833,$A93)</f>
        <v>0.00559208385665529</v>
      </c>
      <c r="C93" s="30" t="n">
        <f aca="false">SUMIFS(Produccion_Semanal!$AR$2:$AR$833,Produccion_Semanal!$E$2:$E$833,C$1,Produccion_Semanal!$B$2:$B$833,$A93)</f>
        <v>0.00387274158249158</v>
      </c>
      <c r="D93" s="30" t="n">
        <f aca="false">SUMIFS(Produccion_Semanal!$AR$2:$AR$833,Produccion_Semanal!$E$2:$E$833,D$1,Produccion_Semanal!$B$2:$B$833,$A93)</f>
        <v>0.0070802196373057</v>
      </c>
      <c r="E93" s="30" t="n">
        <f aca="false">SUMIFS(Produccion_Semanal!$AR$2:$AR$833,Produccion_Semanal!$E$2:$E$833,E$1,Produccion_Semanal!$B$2:$B$833,$A93)</f>
        <v>0.00601872547058824</v>
      </c>
      <c r="F93" s="30" t="n">
        <f aca="false">SUMIFS(Produccion_Semanal!$AR$2:$AR$833,Produccion_Semanal!$E$2:$E$833,F$1,Produccion_Semanal!$B$2:$B$833,$A93)</f>
        <v>0.00359313415662651</v>
      </c>
      <c r="G93" s="30" t="n">
        <f aca="false">SUMIFS(Produccion_Semanal!$AR$2:$AR$833,Produccion_Semanal!$E$2:$E$833,G$1,Produccion_Semanal!$B$2:$B$833,$A93)</f>
        <v>0.00554888164285715</v>
      </c>
      <c r="H93" s="30" t="n">
        <f aca="false">SUMIFS(Produccion_Semanal!$AR$2:$AR$833,Produccion_Semanal!$E$2:$E$833,H$1,Produccion_Semanal!$B$2:$B$833,$A93)</f>
        <v>0.00456134238993711</v>
      </c>
      <c r="I93" s="30" t="n">
        <f aca="false">SUMIFS(Produccion_Semanal!$AR$2:$AR$833,Produccion_Semanal!$E$2:$E$833,I$1,Produccion_Semanal!$B$2:$B$833,$A93)</f>
        <v>0.0062933415037594</v>
      </c>
    </row>
    <row r="94" customFormat="false" ht="15" hidden="false" customHeight="false" outlineLevel="0" collapsed="false">
      <c r="A94" s="9" t="n">
        <v>46195</v>
      </c>
      <c r="B94" s="30" t="n">
        <f aca="false">SUMIFS(Produccion_Semanal!$AR$2:$AR$833,Produccion_Semanal!$E$2:$E$833,B$1,Produccion_Semanal!$B$2:$B$833,$A94)</f>
        <v>0.00611361194539249</v>
      </c>
      <c r="C94" s="30" t="n">
        <f aca="false">SUMIFS(Produccion_Semanal!$AR$2:$AR$833,Produccion_Semanal!$E$2:$E$833,C$1,Produccion_Semanal!$B$2:$B$833,$A94)</f>
        <v>0.00427874757575758</v>
      </c>
      <c r="D94" s="30" t="n">
        <f aca="false">SUMIFS(Produccion_Semanal!$AR$2:$AR$833,Produccion_Semanal!$E$2:$E$833,D$1,Produccion_Semanal!$B$2:$B$833,$A94)</f>
        <v>0.00676521378238342</v>
      </c>
      <c r="E94" s="30" t="n">
        <f aca="false">SUMIFS(Produccion_Semanal!$AR$2:$AR$833,Produccion_Semanal!$E$2:$E$833,E$1,Produccion_Semanal!$B$2:$B$833,$A94)</f>
        <v>0.00484394917647059</v>
      </c>
      <c r="F94" s="30" t="n">
        <f aca="false">SUMIFS(Produccion_Semanal!$AR$2:$AR$833,Produccion_Semanal!$E$2:$E$833,F$1,Produccion_Semanal!$B$2:$B$833,$A94)</f>
        <v>0.00252895036144578</v>
      </c>
      <c r="G94" s="30" t="n">
        <f aca="false">SUMIFS(Produccion_Semanal!$AR$2:$AR$833,Produccion_Semanal!$E$2:$E$833,G$1,Produccion_Semanal!$B$2:$B$833,$A94)</f>
        <v>0.00617302607142857</v>
      </c>
      <c r="H94" s="30" t="n">
        <f aca="false">SUMIFS(Produccion_Semanal!$AR$2:$AR$833,Produccion_Semanal!$E$2:$E$833,H$1,Produccion_Semanal!$B$2:$B$833,$A94)</f>
        <v>0.00810523408805032</v>
      </c>
      <c r="I94" s="30" t="n">
        <f aca="false">SUMIFS(Produccion_Semanal!$AR$2:$AR$833,Produccion_Semanal!$E$2:$E$833,I$1,Produccion_Semanal!$B$2:$B$833,$A94)</f>
        <v>0.00407293939849624</v>
      </c>
    </row>
    <row r="95" customFormat="false" ht="15" hidden="false" customHeight="false" outlineLevel="0" collapsed="false">
      <c r="A95" s="9" t="n">
        <v>46202</v>
      </c>
      <c r="B95" s="30" t="n">
        <f aca="false">SUMIFS(Produccion_Semanal!$AR$2:$AR$833,Produccion_Semanal!$E$2:$E$833,B$1,Produccion_Semanal!$B$2:$B$833,$A95)</f>
        <v>0.0055241128668942</v>
      </c>
      <c r="C95" s="30" t="n">
        <f aca="false">SUMIFS(Produccion_Semanal!$AR$2:$AR$833,Produccion_Semanal!$E$2:$E$833,C$1,Produccion_Semanal!$B$2:$B$833,$A95)</f>
        <v>0.0041065498989899</v>
      </c>
      <c r="D95" s="30" t="n">
        <f aca="false">SUMIFS(Produccion_Semanal!$AR$2:$AR$833,Produccion_Semanal!$E$2:$E$833,D$1,Produccion_Semanal!$B$2:$B$833,$A95)</f>
        <v>0.00696947559585492</v>
      </c>
      <c r="E95" s="30" t="n">
        <f aca="false">SUMIFS(Produccion_Semanal!$AR$2:$AR$833,Produccion_Semanal!$E$2:$E$833,E$1,Produccion_Semanal!$B$2:$B$833,$A95)</f>
        <v>0.00519529594117647</v>
      </c>
      <c r="F95" s="30" t="n">
        <f aca="false">SUMIFS(Produccion_Semanal!$AR$2:$AR$833,Produccion_Semanal!$E$2:$E$833,F$1,Produccion_Semanal!$B$2:$B$833,$A95)</f>
        <v>0.00432930740963855</v>
      </c>
      <c r="G95" s="30" t="n">
        <f aca="false">SUMIFS(Produccion_Semanal!$AR$2:$AR$833,Produccion_Semanal!$E$2:$E$833,G$1,Produccion_Semanal!$B$2:$B$833,$A95)</f>
        <v>0.00617434039285715</v>
      </c>
      <c r="H95" s="30" t="n">
        <f aca="false">SUMIFS(Produccion_Semanal!$AR$2:$AR$833,Produccion_Semanal!$E$2:$E$833,H$1,Produccion_Semanal!$B$2:$B$833,$A95)</f>
        <v>0.00774531396226415</v>
      </c>
      <c r="I95" s="30" t="n">
        <f aca="false">SUMIFS(Produccion_Semanal!$AR$2:$AR$833,Produccion_Semanal!$E$2:$E$833,I$1,Produccion_Semanal!$B$2:$B$833,$A95)</f>
        <v>0.00720227533834586</v>
      </c>
    </row>
    <row r="96" customFormat="false" ht="15" hidden="false" customHeight="false" outlineLevel="0" collapsed="false">
      <c r="A96" s="9" t="n">
        <v>46209</v>
      </c>
      <c r="B96" s="30" t="n">
        <f aca="false">SUMIFS(Produccion_Semanal!$AR$2:$AR$833,Produccion_Semanal!$E$2:$E$833,B$1,Produccion_Semanal!$B$2:$B$833,$A96)</f>
        <v>0.0056445443003413</v>
      </c>
      <c r="C96" s="30" t="n">
        <f aca="false">SUMIFS(Produccion_Semanal!$AR$2:$AR$833,Produccion_Semanal!$E$2:$E$833,C$1,Produccion_Semanal!$B$2:$B$833,$A96)</f>
        <v>0.00447072356902357</v>
      </c>
      <c r="D96" s="30" t="n">
        <f aca="false">SUMIFS(Produccion_Semanal!$AR$2:$AR$833,Produccion_Semanal!$E$2:$E$833,D$1,Produccion_Semanal!$B$2:$B$833,$A96)</f>
        <v>0.0057293621761658</v>
      </c>
      <c r="E96" s="30" t="n">
        <f aca="false">SUMIFS(Produccion_Semanal!$AR$2:$AR$833,Produccion_Semanal!$E$2:$E$833,E$1,Produccion_Semanal!$B$2:$B$833,$A96)</f>
        <v>0.00419634947058823</v>
      </c>
      <c r="F96" s="30" t="n">
        <f aca="false">SUMIFS(Produccion_Semanal!$AR$2:$AR$833,Produccion_Semanal!$E$2:$E$833,F$1,Produccion_Semanal!$B$2:$B$833,$A96)</f>
        <v>0.00414851945783133</v>
      </c>
      <c r="G96" s="30" t="n">
        <f aca="false">SUMIFS(Produccion_Semanal!$AR$2:$AR$833,Produccion_Semanal!$E$2:$E$833,G$1,Produccion_Semanal!$B$2:$B$833,$A96)</f>
        <v>0.00670191453571429</v>
      </c>
      <c r="H96" s="30" t="n">
        <f aca="false">SUMIFS(Produccion_Semanal!$AR$2:$AR$833,Produccion_Semanal!$E$2:$E$833,H$1,Produccion_Semanal!$B$2:$B$833,$A96)</f>
        <v>0.0097022520754717</v>
      </c>
      <c r="I96" s="30" t="n">
        <f aca="false">SUMIFS(Produccion_Semanal!$AR$2:$AR$833,Produccion_Semanal!$E$2:$E$833,I$1,Produccion_Semanal!$B$2:$B$833,$A96)</f>
        <v>0.00518926639097744</v>
      </c>
    </row>
    <row r="97" customFormat="false" ht="15" hidden="false" customHeight="false" outlineLevel="0" collapsed="false">
      <c r="A97" s="9" t="n">
        <v>46216</v>
      </c>
      <c r="B97" s="30" t="n">
        <f aca="false">SUMIFS(Produccion_Semanal!$AR$2:$AR$833,Produccion_Semanal!$E$2:$E$833,B$1,Produccion_Semanal!$B$2:$B$833,$A97)</f>
        <v>0.00563548563139932</v>
      </c>
      <c r="C97" s="30" t="n">
        <f aca="false">SUMIFS(Produccion_Semanal!$AR$2:$AR$833,Produccion_Semanal!$E$2:$E$833,C$1,Produccion_Semanal!$B$2:$B$833,$A97)</f>
        <v>0.00470045579124579</v>
      </c>
      <c r="D97" s="30" t="n">
        <f aca="false">SUMIFS(Produccion_Semanal!$AR$2:$AR$833,Produccion_Semanal!$E$2:$E$833,D$1,Produccion_Semanal!$B$2:$B$833,$A97)</f>
        <v>0.0061499614507772</v>
      </c>
      <c r="E97" s="30" t="n">
        <f aca="false">SUMIFS(Produccion_Semanal!$AR$2:$AR$833,Produccion_Semanal!$E$2:$E$833,E$1,Produccion_Semanal!$B$2:$B$833,$A97)</f>
        <v>0.00728180617647059</v>
      </c>
      <c r="F97" s="30" t="n">
        <f aca="false">SUMIFS(Produccion_Semanal!$AR$2:$AR$833,Produccion_Semanal!$E$2:$E$833,F$1,Produccion_Semanal!$B$2:$B$833,$A97)</f>
        <v>0.0036696165060241</v>
      </c>
      <c r="G97" s="30" t="n">
        <f aca="false">SUMIFS(Produccion_Semanal!$AR$2:$AR$833,Produccion_Semanal!$E$2:$E$833,G$1,Produccion_Semanal!$B$2:$B$833,$A97)</f>
        <v>0.00589881517857143</v>
      </c>
      <c r="H97" s="30" t="n">
        <f aca="false">SUMIFS(Produccion_Semanal!$AR$2:$AR$833,Produccion_Semanal!$E$2:$E$833,H$1,Produccion_Semanal!$B$2:$B$833,$A97)</f>
        <v>0.00889641232704403</v>
      </c>
      <c r="I97" s="30" t="n">
        <f aca="false">SUMIFS(Produccion_Semanal!$AR$2:$AR$833,Produccion_Semanal!$E$2:$E$833,I$1,Produccion_Semanal!$B$2:$B$833,$A97)</f>
        <v>0.00622797338345865</v>
      </c>
    </row>
    <row r="98" customFormat="false" ht="15" hidden="false" customHeight="false" outlineLevel="0" collapsed="false">
      <c r="A98" s="9" t="n">
        <v>46223</v>
      </c>
      <c r="B98" s="30" t="n">
        <f aca="false">SUMIFS(Produccion_Semanal!$AR$2:$AR$833,Produccion_Semanal!$E$2:$E$833,B$1,Produccion_Semanal!$B$2:$B$833,$A98)</f>
        <v>0.00585064375426621</v>
      </c>
      <c r="C98" s="30" t="n">
        <f aca="false">SUMIFS(Produccion_Semanal!$AR$2:$AR$833,Produccion_Semanal!$E$2:$E$833,C$1,Produccion_Semanal!$B$2:$B$833,$A98)</f>
        <v>0.00500364703703704</v>
      </c>
      <c r="D98" s="30" t="n">
        <f aca="false">SUMIFS(Produccion_Semanal!$AR$2:$AR$833,Produccion_Semanal!$E$2:$E$833,D$1,Produccion_Semanal!$B$2:$B$833,$A98)</f>
        <v>0.00801579170984456</v>
      </c>
      <c r="E98" s="30" t="n">
        <f aca="false">SUMIFS(Produccion_Semanal!$AR$2:$AR$833,Produccion_Semanal!$E$2:$E$833,E$1,Produccion_Semanal!$B$2:$B$833,$A98)</f>
        <v>0.00650548817647059</v>
      </c>
      <c r="F98" s="30" t="n">
        <f aca="false">SUMIFS(Produccion_Semanal!$AR$2:$AR$833,Produccion_Semanal!$E$2:$E$833,F$1,Produccion_Semanal!$B$2:$B$833,$A98)</f>
        <v>0.00302627174698795</v>
      </c>
      <c r="G98" s="30" t="n">
        <f aca="false">SUMIFS(Produccion_Semanal!$AR$2:$AR$833,Produccion_Semanal!$E$2:$E$833,G$1,Produccion_Semanal!$B$2:$B$833,$A98)</f>
        <v>0.00584510946428572</v>
      </c>
      <c r="H98" s="30" t="n">
        <f aca="false">SUMIFS(Produccion_Semanal!$AR$2:$AR$833,Produccion_Semanal!$E$2:$E$833,H$1,Produccion_Semanal!$B$2:$B$833,$A98)</f>
        <v>0.00676026025157233</v>
      </c>
      <c r="I98" s="30" t="n">
        <f aca="false">SUMIFS(Produccion_Semanal!$AR$2:$AR$833,Produccion_Semanal!$E$2:$E$833,I$1,Produccion_Semanal!$B$2:$B$833,$A98)</f>
        <v>0.00362391804511278</v>
      </c>
    </row>
    <row r="99" customFormat="false" ht="15" hidden="false" customHeight="false" outlineLevel="0" collapsed="false">
      <c r="A99" s="9" t="n">
        <v>46230</v>
      </c>
      <c r="B99" s="30" t="n">
        <f aca="false">SUMIFS(Produccion_Semanal!$AR$2:$AR$833,Produccion_Semanal!$E$2:$E$833,B$1,Produccion_Semanal!$B$2:$B$833,$A99)</f>
        <v>0.00586622259385665</v>
      </c>
      <c r="C99" s="30" t="n">
        <f aca="false">SUMIFS(Produccion_Semanal!$AR$2:$AR$833,Produccion_Semanal!$E$2:$E$833,C$1,Produccion_Semanal!$B$2:$B$833,$A99)</f>
        <v>0.00485244535353535</v>
      </c>
      <c r="D99" s="30" t="n">
        <f aca="false">SUMIFS(Produccion_Semanal!$AR$2:$AR$833,Produccion_Semanal!$E$2:$E$833,D$1,Produccion_Semanal!$B$2:$B$833,$A99)</f>
        <v>0.0084079281865285</v>
      </c>
      <c r="E99" s="30" t="n">
        <f aca="false">SUMIFS(Produccion_Semanal!$AR$2:$AR$833,Produccion_Semanal!$E$2:$E$833,E$1,Produccion_Semanal!$B$2:$B$833,$A99)</f>
        <v>0.00487037488235294</v>
      </c>
      <c r="F99" s="30" t="n">
        <f aca="false">SUMIFS(Produccion_Semanal!$AR$2:$AR$833,Produccion_Semanal!$E$2:$E$833,F$1,Produccion_Semanal!$B$2:$B$833,$A99)</f>
        <v>0.00290698578313253</v>
      </c>
      <c r="G99" s="30" t="n">
        <f aca="false">SUMIFS(Produccion_Semanal!$AR$2:$AR$833,Produccion_Semanal!$E$2:$E$833,G$1,Produccion_Semanal!$B$2:$B$833,$A99)</f>
        <v>0.00558893364285715</v>
      </c>
      <c r="H99" s="30" t="n">
        <f aca="false">SUMIFS(Produccion_Semanal!$AR$2:$AR$833,Produccion_Semanal!$E$2:$E$833,H$1,Produccion_Semanal!$B$2:$B$833,$A99)</f>
        <v>0.00826102729559749</v>
      </c>
      <c r="I99" s="30" t="n">
        <f aca="false">SUMIFS(Produccion_Semanal!$AR$2:$AR$833,Produccion_Semanal!$E$2:$E$833,I$1,Produccion_Semanal!$B$2:$B$833,$A99)</f>
        <v>0.0062758307518797</v>
      </c>
    </row>
    <row r="100" customFormat="false" ht="15" hidden="false" customHeight="false" outlineLevel="0" collapsed="false">
      <c r="A100" s="9" t="n">
        <v>46237</v>
      </c>
      <c r="B100" s="30" t="n">
        <f aca="false">SUMIFS(Produccion_Semanal!$AR$2:$AR$833,Produccion_Semanal!$E$2:$E$833,B$1,Produccion_Semanal!$B$2:$B$833,$A100)</f>
        <v>0.0064175861774744</v>
      </c>
      <c r="C100" s="30" t="n">
        <f aca="false">SUMIFS(Produccion_Semanal!$AR$2:$AR$833,Produccion_Semanal!$E$2:$E$833,C$1,Produccion_Semanal!$B$2:$B$833,$A100)</f>
        <v>0.00481068006734007</v>
      </c>
      <c r="D100" s="30" t="n">
        <f aca="false">SUMIFS(Produccion_Semanal!$AR$2:$AR$833,Produccion_Semanal!$E$2:$E$833,D$1,Produccion_Semanal!$B$2:$B$833,$A100)</f>
        <v>0.00680853051813472</v>
      </c>
      <c r="E100" s="30" t="n">
        <f aca="false">SUMIFS(Produccion_Semanal!$AR$2:$AR$833,Produccion_Semanal!$E$2:$E$833,E$1,Produccion_Semanal!$B$2:$B$833,$A100)</f>
        <v>0.00686913864705882</v>
      </c>
      <c r="F100" s="30" t="n">
        <f aca="false">SUMIFS(Produccion_Semanal!$AR$2:$AR$833,Produccion_Semanal!$E$2:$E$833,F$1,Produccion_Semanal!$B$2:$B$833,$A100)</f>
        <v>0.0049300178313253</v>
      </c>
      <c r="G100" s="30" t="n">
        <f aca="false">SUMIFS(Produccion_Semanal!$AR$2:$AR$833,Produccion_Semanal!$E$2:$E$833,G$1,Produccion_Semanal!$B$2:$B$833,$A100)</f>
        <v>0.00613787146428571</v>
      </c>
      <c r="H100" s="30" t="n">
        <f aca="false">SUMIFS(Produccion_Semanal!$AR$2:$AR$833,Produccion_Semanal!$E$2:$E$833,H$1,Produccion_Semanal!$B$2:$B$833,$A100)</f>
        <v>0.00441353987421384</v>
      </c>
      <c r="I100" s="30" t="n">
        <f aca="false">SUMIFS(Produccion_Semanal!$AR$2:$AR$833,Produccion_Semanal!$E$2:$E$833,I$1,Produccion_Semanal!$B$2:$B$833,$A100)</f>
        <v>0.00623157496240602</v>
      </c>
    </row>
    <row r="101" customFormat="false" ht="15" hidden="false" customHeight="false" outlineLevel="0" collapsed="false">
      <c r="A101" s="9" t="n">
        <v>46244</v>
      </c>
      <c r="B101" s="30" t="n">
        <f aca="false">SUMIFS(Produccion_Semanal!$AR$2:$AR$833,Produccion_Semanal!$E$2:$E$833,B$1,Produccion_Semanal!$B$2:$B$833,$A101)</f>
        <v>0.00590257549488055</v>
      </c>
      <c r="C101" s="30" t="n">
        <f aca="false">SUMIFS(Produccion_Semanal!$AR$2:$AR$833,Produccion_Semanal!$E$2:$E$833,C$1,Produccion_Semanal!$B$2:$B$833,$A101)</f>
        <v>0.00363393363636364</v>
      </c>
      <c r="D101" s="30" t="n">
        <f aca="false">SUMIFS(Produccion_Semanal!$AR$2:$AR$833,Produccion_Semanal!$E$2:$E$833,D$1,Produccion_Semanal!$B$2:$B$833,$A101)</f>
        <v>0.00489201414507772</v>
      </c>
      <c r="E101" s="30" t="n">
        <f aca="false">SUMIFS(Produccion_Semanal!$AR$2:$AR$833,Produccion_Semanal!$E$2:$E$833,E$1,Produccion_Semanal!$B$2:$B$833,$A101)</f>
        <v>0.00514674817647059</v>
      </c>
      <c r="F101" s="30" t="n">
        <f aca="false">SUMIFS(Produccion_Semanal!$AR$2:$AR$833,Produccion_Semanal!$E$2:$E$833,F$1,Produccion_Semanal!$B$2:$B$833,$A101)</f>
        <v>0.00379696789156627</v>
      </c>
      <c r="G101" s="30" t="n">
        <f aca="false">SUMIFS(Produccion_Semanal!$AR$2:$AR$833,Produccion_Semanal!$E$2:$E$833,G$1,Produccion_Semanal!$B$2:$B$833,$A101)</f>
        <v>0.00681594732142857</v>
      </c>
      <c r="H101" s="30" t="n">
        <f aca="false">SUMIFS(Produccion_Semanal!$AR$2:$AR$833,Produccion_Semanal!$E$2:$E$833,H$1,Produccion_Semanal!$B$2:$B$833,$A101)</f>
        <v>0.00848889094339623</v>
      </c>
      <c r="I101" s="30" t="n">
        <f aca="false">SUMIFS(Produccion_Semanal!$AR$2:$AR$833,Produccion_Semanal!$E$2:$E$833,I$1,Produccion_Semanal!$B$2:$B$833,$A101)</f>
        <v>0.00634772195488722</v>
      </c>
    </row>
    <row r="102" customFormat="false" ht="15" hidden="false" customHeight="false" outlineLevel="0" collapsed="false">
      <c r="A102" s="9" t="n">
        <v>46251</v>
      </c>
      <c r="B102" s="30" t="n">
        <f aca="false">SUMIFS(Produccion_Semanal!$AR$2:$AR$833,Produccion_Semanal!$E$2:$E$833,B$1,Produccion_Semanal!$B$2:$B$833,$A102)</f>
        <v>0.0066174738225256</v>
      </c>
      <c r="C102" s="30" t="n">
        <f aca="false">SUMIFS(Produccion_Semanal!$AR$2:$AR$833,Produccion_Semanal!$E$2:$E$833,C$1,Produccion_Semanal!$B$2:$B$833,$A102)</f>
        <v>0.00499178441077441</v>
      </c>
      <c r="D102" s="30" t="n">
        <f aca="false">SUMIFS(Produccion_Semanal!$AR$2:$AR$833,Produccion_Semanal!$E$2:$E$833,D$1,Produccion_Semanal!$B$2:$B$833,$A102)</f>
        <v>0.00778506274611399</v>
      </c>
      <c r="E102" s="30" t="n">
        <f aca="false">SUMIFS(Produccion_Semanal!$AR$2:$AR$833,Produccion_Semanal!$E$2:$E$833,E$1,Produccion_Semanal!$B$2:$B$833,$A102)</f>
        <v>0.00699948564705882</v>
      </c>
      <c r="F102" s="30" t="n">
        <f aca="false">SUMIFS(Produccion_Semanal!$AR$2:$AR$833,Produccion_Semanal!$E$2:$E$833,F$1,Produccion_Semanal!$B$2:$B$833,$A102)</f>
        <v>0.00291972198795181</v>
      </c>
      <c r="G102" s="30" t="n">
        <f aca="false">SUMIFS(Produccion_Semanal!$AR$2:$AR$833,Produccion_Semanal!$E$2:$E$833,G$1,Produccion_Semanal!$B$2:$B$833,$A102)</f>
        <v>0.006164125</v>
      </c>
      <c r="H102" s="30" t="n">
        <f aca="false">SUMIFS(Produccion_Semanal!$AR$2:$AR$833,Produccion_Semanal!$E$2:$E$833,H$1,Produccion_Semanal!$B$2:$B$833,$A102)</f>
        <v>0.00730589748427673</v>
      </c>
      <c r="I102" s="30" t="n">
        <f aca="false">SUMIFS(Produccion_Semanal!$AR$2:$AR$833,Produccion_Semanal!$E$2:$E$833,I$1,Produccion_Semanal!$B$2:$B$833,$A102)</f>
        <v>0.00722265887218045</v>
      </c>
    </row>
    <row r="103" customFormat="false" ht="15" hidden="false" customHeight="false" outlineLevel="0" collapsed="false">
      <c r="A103" s="9" t="n">
        <v>46258</v>
      </c>
      <c r="B103" s="30" t="n">
        <f aca="false">SUMIFS(Produccion_Semanal!$AR$2:$AR$833,Produccion_Semanal!$E$2:$E$833,B$1,Produccion_Semanal!$B$2:$B$833,$A103)</f>
        <v>0.00594733819112628</v>
      </c>
      <c r="C103" s="30" t="n">
        <f aca="false">SUMIFS(Produccion_Semanal!$AR$2:$AR$833,Produccion_Semanal!$E$2:$E$833,C$1,Produccion_Semanal!$B$2:$B$833,$A103)</f>
        <v>0.00335677067340067</v>
      </c>
      <c r="D103" s="30" t="n">
        <f aca="false">SUMIFS(Produccion_Semanal!$AR$2:$AR$833,Produccion_Semanal!$E$2:$E$833,D$1,Produccion_Semanal!$B$2:$B$833,$A103)</f>
        <v>0.00790614569948187</v>
      </c>
      <c r="E103" s="30" t="n">
        <f aca="false">SUMIFS(Produccion_Semanal!$AR$2:$AR$833,Produccion_Semanal!$E$2:$E$833,E$1,Produccion_Semanal!$B$2:$B$833,$A103)</f>
        <v>0.00686325652941176</v>
      </c>
      <c r="F103" s="30" t="n">
        <f aca="false">SUMIFS(Produccion_Semanal!$AR$2:$AR$833,Produccion_Semanal!$E$2:$E$833,F$1,Produccion_Semanal!$B$2:$B$833,$A103)</f>
        <v>0.00337854674698795</v>
      </c>
      <c r="G103" s="30" t="n">
        <f aca="false">SUMIFS(Produccion_Semanal!$AR$2:$AR$833,Produccion_Semanal!$E$2:$E$833,G$1,Produccion_Semanal!$B$2:$B$833,$A103)</f>
        <v>0.00637649278571429</v>
      </c>
      <c r="H103" s="30" t="n">
        <f aca="false">SUMIFS(Produccion_Semanal!$AR$2:$AR$833,Produccion_Semanal!$E$2:$E$833,H$1,Produccion_Semanal!$B$2:$B$833,$A103)</f>
        <v>0.00864893421383648</v>
      </c>
      <c r="I103" s="30" t="n">
        <f aca="false">SUMIFS(Produccion_Semanal!$AR$2:$AR$833,Produccion_Semanal!$E$2:$E$833,I$1,Produccion_Semanal!$B$2:$B$833,$A103)</f>
        <v>0.00658451676691729</v>
      </c>
    </row>
    <row r="104" customFormat="false" ht="15" hidden="false" customHeight="false" outlineLevel="0" collapsed="false">
      <c r="A104" s="9" t="n">
        <v>46265</v>
      </c>
      <c r="B104" s="30" t="n">
        <f aca="false">SUMIFS(Produccion_Semanal!$AR$2:$AR$833,Produccion_Semanal!$E$2:$E$833,B$1,Produccion_Semanal!$B$2:$B$833,$A104)</f>
        <v>0.00567347242320819</v>
      </c>
      <c r="C104" s="30" t="n">
        <f aca="false">SUMIFS(Produccion_Semanal!$AR$2:$AR$833,Produccion_Semanal!$E$2:$E$833,C$1,Produccion_Semanal!$B$2:$B$833,$A104)</f>
        <v>0.00513330646464646</v>
      </c>
      <c r="D104" s="30" t="n">
        <f aca="false">SUMIFS(Produccion_Semanal!$AR$2:$AR$833,Produccion_Semanal!$E$2:$E$833,D$1,Produccion_Semanal!$B$2:$B$833,$A104)</f>
        <v>0.00778519751295337</v>
      </c>
      <c r="E104" s="30" t="n">
        <f aca="false">SUMIFS(Produccion_Semanal!$AR$2:$AR$833,Produccion_Semanal!$E$2:$E$833,E$1,Produccion_Semanal!$B$2:$B$833,$A104)</f>
        <v>0.00453764476470588</v>
      </c>
      <c r="F104" s="30" t="n">
        <f aca="false">SUMIFS(Produccion_Semanal!$AR$2:$AR$833,Produccion_Semanal!$E$2:$E$833,F$1,Produccion_Semanal!$B$2:$B$833,$A104)</f>
        <v>0.00382204493975904</v>
      </c>
      <c r="G104" s="30" t="n">
        <f aca="false">SUMIFS(Produccion_Semanal!$AR$2:$AR$833,Produccion_Semanal!$E$2:$E$833,G$1,Produccion_Semanal!$B$2:$B$833,$A104)</f>
        <v>0.00580437789285715</v>
      </c>
      <c r="H104" s="30" t="n">
        <f aca="false">SUMIFS(Produccion_Semanal!$AR$2:$AR$833,Produccion_Semanal!$E$2:$E$833,H$1,Produccion_Semanal!$B$2:$B$833,$A104)</f>
        <v>0.00678213710691824</v>
      </c>
      <c r="I104" s="30" t="n">
        <f aca="false">SUMIFS(Produccion_Semanal!$AR$2:$AR$833,Produccion_Semanal!$E$2:$E$833,I$1,Produccion_Semanal!$B$2:$B$833,$A104)</f>
        <v>0.0064655952631579</v>
      </c>
    </row>
    <row r="105" customFormat="false" ht="15" hidden="false" customHeight="false" outlineLevel="0" collapsed="false">
      <c r="A105" s="9" t="n">
        <v>46272</v>
      </c>
      <c r="B105" s="30" t="n">
        <f aca="false">SUMIFS(Produccion_Semanal!$AR$2:$AR$833,Produccion_Semanal!$E$2:$E$833,B$1,Produccion_Semanal!$B$2:$B$833,$A105)</f>
        <v>0.0059295871331058</v>
      </c>
      <c r="C105" s="30" t="n">
        <f aca="false">SUMIFS(Produccion_Semanal!$AR$2:$AR$833,Produccion_Semanal!$E$2:$E$833,C$1,Produccion_Semanal!$B$2:$B$833,$A105)</f>
        <v>0.00431521791245791</v>
      </c>
      <c r="D105" s="30" t="n">
        <f aca="false">SUMIFS(Produccion_Semanal!$AR$2:$AR$833,Produccion_Semanal!$E$2:$E$833,D$1,Produccion_Semanal!$B$2:$B$833,$A105)</f>
        <v>0.00860726160621762</v>
      </c>
      <c r="E105" s="30" t="n">
        <f aca="false">SUMIFS(Produccion_Semanal!$AR$2:$AR$833,Produccion_Semanal!$E$2:$E$833,E$1,Produccion_Semanal!$B$2:$B$833,$A105)</f>
        <v>0.00506791088235294</v>
      </c>
      <c r="F105" s="30" t="n">
        <f aca="false">SUMIFS(Produccion_Semanal!$AR$2:$AR$833,Produccion_Semanal!$E$2:$E$833,F$1,Produccion_Semanal!$B$2:$B$833,$A105)</f>
        <v>0.00557441891566265</v>
      </c>
      <c r="G105" s="30" t="n">
        <f aca="false">SUMIFS(Produccion_Semanal!$AR$2:$AR$833,Produccion_Semanal!$E$2:$E$833,G$1,Produccion_Semanal!$B$2:$B$833,$A105)</f>
        <v>0.00603205867857143</v>
      </c>
      <c r="H105" s="30" t="n">
        <f aca="false">SUMIFS(Produccion_Semanal!$AR$2:$AR$833,Produccion_Semanal!$E$2:$E$833,H$1,Produccion_Semanal!$B$2:$B$833,$A105)</f>
        <v>0.0055665544654088</v>
      </c>
      <c r="I105" s="30" t="n">
        <f aca="false">SUMIFS(Produccion_Semanal!$AR$2:$AR$833,Produccion_Semanal!$E$2:$E$833,I$1,Produccion_Semanal!$B$2:$B$833,$A105)</f>
        <v>0.00610459067669173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1"/>
  </cols>
  <sheetData>
    <row r="1" customFormat="false" ht="42" hidden="false" customHeight="true" outlineLevel="0" collapsed="false">
      <c r="A1" s="8" t="s">
        <v>100</v>
      </c>
      <c r="B1" s="8" t="s">
        <v>130</v>
      </c>
      <c r="C1" s="8" t="s">
        <v>132</v>
      </c>
      <c r="D1" s="8" t="s">
        <v>134</v>
      </c>
      <c r="E1" s="8" t="s">
        <v>136</v>
      </c>
      <c r="F1" s="8" t="s">
        <v>138</v>
      </c>
      <c r="G1" s="8" t="s">
        <v>140</v>
      </c>
      <c r="H1" s="8" t="s">
        <v>142</v>
      </c>
      <c r="I1" s="8" t="s">
        <v>144</v>
      </c>
    </row>
    <row r="2" customFormat="false" ht="15" hidden="false" customHeight="false" outlineLevel="0" collapsed="false">
      <c r="A2" s="9" t="n">
        <v>45551</v>
      </c>
      <c r="B2" s="31" t="n">
        <f aca="false">SUMIFS(Produccion_Semanal!$S$2:$S$833,Produccion_Semanal!$E$2:$E$833,B$1,Produccion_Semanal!$B$2:$B$833,$A2)</f>
        <v>0.812338909541512</v>
      </c>
      <c r="C2" s="31" t="n">
        <f aca="false">SUMIFS(Produccion_Semanal!$S$2:$S$833,Produccion_Semanal!$E$2:$E$833,C$1,Produccion_Semanal!$B$2:$B$833,$A2)</f>
        <v>0.843317996241332</v>
      </c>
      <c r="D2" s="31" t="n">
        <f aca="false">SUMIFS(Produccion_Semanal!$S$2:$S$833,Produccion_Semanal!$E$2:$E$833,D$1,Produccion_Semanal!$B$2:$B$833,$A2)</f>
        <v>0.792542777863419</v>
      </c>
      <c r="E2" s="31" t="n">
        <f aca="false">SUMIFS(Produccion_Semanal!$S$2:$S$833,Produccion_Semanal!$E$2:$E$833,E$1,Produccion_Semanal!$B$2:$B$833,$A2)</f>
        <v>0.737829350490196</v>
      </c>
      <c r="F2" s="31" t="n">
        <f aca="false">SUMIFS(Produccion_Semanal!$S$2:$S$833,Produccion_Semanal!$E$2:$E$833,F$1,Produccion_Semanal!$B$2:$B$833,$A2)</f>
        <v>0.728900080389653</v>
      </c>
      <c r="G2" s="31" t="n">
        <f aca="false">SUMIFS(Produccion_Semanal!$S$2:$S$833,Produccion_Semanal!$E$2:$E$833,G$1,Produccion_Semanal!$B$2:$B$833,$A2)</f>
        <v>0.808902116402116</v>
      </c>
      <c r="H2" s="31" t="n">
        <f aca="false">SUMIFS(Produccion_Semanal!$S$2:$S$833,Produccion_Semanal!$E$2:$E$833,H$1,Produccion_Semanal!$B$2:$B$833,$A2)</f>
        <v>0.736201223925775</v>
      </c>
      <c r="I2" s="31" t="n">
        <f aca="false">SUMIFS(Produccion_Semanal!$S$2:$S$833,Produccion_Semanal!$E$2:$E$833,I$1,Produccion_Semanal!$B$2:$B$833,$A2)</f>
        <v>0.838140716281433</v>
      </c>
    </row>
    <row r="3" customFormat="false" ht="15" hidden="false" customHeight="false" outlineLevel="0" collapsed="false">
      <c r="A3" s="9" t="n">
        <v>45558</v>
      </c>
      <c r="B3" s="31" t="n">
        <f aca="false">SUMIFS(Produccion_Semanal!$S$2:$S$833,Produccion_Semanal!$E$2:$E$833,B$1,Produccion_Semanal!$B$2:$B$833,$A3)</f>
        <v>0.860279680365297</v>
      </c>
      <c r="C3" s="31" t="n">
        <f aca="false">SUMIFS(Produccion_Semanal!$S$2:$S$833,Produccion_Semanal!$E$2:$E$833,C$1,Produccion_Semanal!$B$2:$B$833,$A3)</f>
        <v>0.789410714285714</v>
      </c>
      <c r="D3" s="31" t="n">
        <f aca="false">SUMIFS(Produccion_Semanal!$S$2:$S$833,Produccion_Semanal!$E$2:$E$833,D$1,Produccion_Semanal!$B$2:$B$833,$A3)</f>
        <v>0.772576750603657</v>
      </c>
      <c r="E3" s="31" t="n">
        <f aca="false">SUMIFS(Produccion_Semanal!$S$2:$S$833,Produccion_Semanal!$E$2:$E$833,E$1,Produccion_Semanal!$B$2:$B$833,$A3)</f>
        <v>0.826888757861635</v>
      </c>
      <c r="F3" s="31" t="n">
        <f aca="false">SUMIFS(Produccion_Semanal!$S$2:$S$833,Produccion_Semanal!$E$2:$E$833,F$1,Produccion_Semanal!$B$2:$B$833,$A3)</f>
        <v>0.75191570881226</v>
      </c>
      <c r="G3" s="31" t="n">
        <f aca="false">SUMIFS(Produccion_Semanal!$S$2:$S$833,Produccion_Semanal!$E$2:$E$833,G$1,Produccion_Semanal!$B$2:$B$833,$A3)</f>
        <v>0.850759926255677</v>
      </c>
      <c r="H3" s="31" t="n">
        <f aca="false">SUMIFS(Produccion_Semanal!$S$2:$S$833,Produccion_Semanal!$E$2:$E$833,H$1,Produccion_Semanal!$B$2:$B$833,$A3)</f>
        <v>0.637355152859961</v>
      </c>
      <c r="I3" s="31" t="n">
        <f aca="false">SUMIFS(Produccion_Semanal!$S$2:$S$833,Produccion_Semanal!$E$2:$E$833,I$1,Produccion_Semanal!$B$2:$B$833,$A3)</f>
        <v>0.846396477032688</v>
      </c>
    </row>
    <row r="4" customFormat="false" ht="15" hidden="false" customHeight="false" outlineLevel="0" collapsed="false">
      <c r="A4" s="9" t="n">
        <v>45565</v>
      </c>
      <c r="B4" s="31" t="n">
        <f aca="false">SUMIFS(Produccion_Semanal!$S$2:$S$833,Produccion_Semanal!$E$2:$E$833,B$1,Produccion_Semanal!$B$2:$B$833,$A4)</f>
        <v>0.813095447870778</v>
      </c>
      <c r="C4" s="31" t="n">
        <f aca="false">SUMIFS(Produccion_Semanal!$S$2:$S$833,Produccion_Semanal!$E$2:$E$833,C$1,Produccion_Semanal!$B$2:$B$833,$A4)</f>
        <v>0.860671703296703</v>
      </c>
      <c r="D4" s="31" t="n">
        <f aca="false">SUMIFS(Produccion_Semanal!$S$2:$S$833,Produccion_Semanal!$E$2:$E$833,D$1,Produccion_Semanal!$B$2:$B$833,$A4)</f>
        <v>0.759766779612141</v>
      </c>
      <c r="E4" s="31" t="n">
        <f aca="false">SUMIFS(Produccion_Semanal!$S$2:$S$833,Produccion_Semanal!$E$2:$E$833,E$1,Produccion_Semanal!$B$2:$B$833,$A4)</f>
        <v>0.816902466832504</v>
      </c>
      <c r="F4" s="31" t="n">
        <f aca="false">SUMIFS(Produccion_Semanal!$S$2:$S$833,Produccion_Semanal!$E$2:$E$833,F$1,Produccion_Semanal!$B$2:$B$833,$A4)</f>
        <v>0.908476404916033</v>
      </c>
      <c r="G4" s="31" t="n">
        <f aca="false">SUMIFS(Produccion_Semanal!$S$2:$S$833,Produccion_Semanal!$E$2:$E$833,G$1,Produccion_Semanal!$B$2:$B$833,$A4)</f>
        <v>0.820796732932655</v>
      </c>
      <c r="H4" s="31" t="n">
        <f aca="false">SUMIFS(Produccion_Semanal!$S$2:$S$833,Produccion_Semanal!$E$2:$E$833,H$1,Produccion_Semanal!$B$2:$B$833,$A4)</f>
        <v>0.723995726495727</v>
      </c>
      <c r="I4" s="31" t="n">
        <f aca="false">SUMIFS(Produccion_Semanal!$S$2:$S$833,Produccion_Semanal!$E$2:$E$833,I$1,Produccion_Semanal!$B$2:$B$833,$A4)</f>
        <v>0.87155336978678</v>
      </c>
    </row>
    <row r="5" customFormat="false" ht="15" hidden="false" customHeight="false" outlineLevel="0" collapsed="false">
      <c r="A5" s="9" t="n">
        <v>45572</v>
      </c>
      <c r="B5" s="31" t="n">
        <f aca="false">SUMIFS(Produccion_Semanal!$S$2:$S$833,Produccion_Semanal!$E$2:$E$833,B$1,Produccion_Semanal!$B$2:$B$833,$A5)</f>
        <v>0.825275127686229</v>
      </c>
      <c r="C5" s="31" t="n">
        <f aca="false">SUMIFS(Produccion_Semanal!$S$2:$S$833,Produccion_Semanal!$E$2:$E$833,C$1,Produccion_Semanal!$B$2:$B$833,$A5)</f>
        <v>0.82599039241375</v>
      </c>
      <c r="D5" s="31" t="n">
        <f aca="false">SUMIFS(Produccion_Semanal!$S$2:$S$833,Produccion_Semanal!$E$2:$E$833,D$1,Produccion_Semanal!$B$2:$B$833,$A5)</f>
        <v>0.79732522569574</v>
      </c>
      <c r="E5" s="31" t="n">
        <f aca="false">SUMIFS(Produccion_Semanal!$S$2:$S$833,Produccion_Semanal!$E$2:$E$833,E$1,Produccion_Semanal!$B$2:$B$833,$A5)</f>
        <v>0.789775641025641</v>
      </c>
      <c r="F5" s="31" t="n">
        <f aca="false">SUMIFS(Produccion_Semanal!$S$2:$S$833,Produccion_Semanal!$E$2:$E$833,F$1,Produccion_Semanal!$B$2:$B$833,$A5)</f>
        <v>0.799058363280717</v>
      </c>
      <c r="G5" s="31" t="n">
        <f aca="false">SUMIFS(Produccion_Semanal!$S$2:$S$833,Produccion_Semanal!$E$2:$E$833,G$1,Produccion_Semanal!$B$2:$B$833,$A5)</f>
        <v>0.805529650040036</v>
      </c>
      <c r="H5" s="31" t="n">
        <f aca="false">SUMIFS(Produccion_Semanal!$S$2:$S$833,Produccion_Semanal!$E$2:$E$833,H$1,Produccion_Semanal!$B$2:$B$833,$A5)</f>
        <v>0.735916895604396</v>
      </c>
      <c r="I5" s="31" t="n">
        <f aca="false">SUMIFS(Produccion_Semanal!$S$2:$S$833,Produccion_Semanal!$E$2:$E$833,I$1,Produccion_Semanal!$B$2:$B$833,$A5)</f>
        <v>0.812674878590036</v>
      </c>
    </row>
    <row r="6" customFormat="false" ht="15" hidden="false" customHeight="false" outlineLevel="0" collapsed="false">
      <c r="A6" s="9" t="n">
        <v>45579</v>
      </c>
      <c r="B6" s="31" t="n">
        <f aca="false">SUMIFS(Produccion_Semanal!$S$2:$S$833,Produccion_Semanal!$E$2:$E$833,B$1,Produccion_Semanal!$B$2:$B$833,$A6)</f>
        <v>0.818383667325242</v>
      </c>
      <c r="C6" s="31" t="n">
        <f aca="false">SUMIFS(Produccion_Semanal!$S$2:$S$833,Produccion_Semanal!$E$2:$E$833,C$1,Produccion_Semanal!$B$2:$B$833,$A6)</f>
        <v>0.811100097724417</v>
      </c>
      <c r="D6" s="31" t="n">
        <f aca="false">SUMIFS(Produccion_Semanal!$S$2:$S$833,Produccion_Semanal!$E$2:$E$833,D$1,Produccion_Semanal!$B$2:$B$833,$A6)</f>
        <v>0.778234265734266</v>
      </c>
      <c r="E6" s="31" t="n">
        <f aca="false">SUMIFS(Produccion_Semanal!$S$2:$S$833,Produccion_Semanal!$E$2:$E$833,E$1,Produccion_Semanal!$B$2:$B$833,$A6)</f>
        <v>0.770332335872325</v>
      </c>
      <c r="F6" s="31" t="n">
        <f aca="false">SUMIFS(Produccion_Semanal!$S$2:$S$833,Produccion_Semanal!$E$2:$E$833,F$1,Produccion_Semanal!$B$2:$B$833,$A6)</f>
        <v>0.727891110204452</v>
      </c>
      <c r="G6" s="31" t="n">
        <f aca="false">SUMIFS(Produccion_Semanal!$S$2:$S$833,Produccion_Semanal!$E$2:$E$833,G$1,Produccion_Semanal!$B$2:$B$833,$A6)</f>
        <v>0.844690860215054</v>
      </c>
      <c r="H6" s="31" t="n">
        <f aca="false">SUMIFS(Produccion_Semanal!$S$2:$S$833,Produccion_Semanal!$E$2:$E$833,H$1,Produccion_Semanal!$B$2:$B$833,$A6)</f>
        <v>0.665719686121771</v>
      </c>
      <c r="I6" s="31" t="n">
        <f aca="false">SUMIFS(Produccion_Semanal!$S$2:$S$833,Produccion_Semanal!$E$2:$E$833,I$1,Produccion_Semanal!$B$2:$B$833,$A6)</f>
        <v>0.770977687895766</v>
      </c>
    </row>
    <row r="7" customFormat="false" ht="15" hidden="false" customHeight="false" outlineLevel="0" collapsed="false">
      <c r="A7" s="9" t="n">
        <v>45586</v>
      </c>
      <c r="B7" s="31" t="n">
        <f aca="false">SUMIFS(Produccion_Semanal!$S$2:$S$833,Produccion_Semanal!$E$2:$E$833,B$1,Produccion_Semanal!$B$2:$B$833,$A7)</f>
        <v>0.841796366708914</v>
      </c>
      <c r="C7" s="31" t="n">
        <f aca="false">SUMIFS(Produccion_Semanal!$S$2:$S$833,Produccion_Semanal!$E$2:$E$833,C$1,Produccion_Semanal!$B$2:$B$833,$A7)</f>
        <v>0.788782991202346</v>
      </c>
      <c r="D7" s="31" t="n">
        <f aca="false">SUMIFS(Produccion_Semanal!$S$2:$S$833,Produccion_Semanal!$E$2:$E$833,D$1,Produccion_Semanal!$B$2:$B$833,$A7)</f>
        <v>0.729976401424195</v>
      </c>
      <c r="E7" s="31" t="n">
        <f aca="false">SUMIFS(Produccion_Semanal!$S$2:$S$833,Produccion_Semanal!$E$2:$E$833,E$1,Produccion_Semanal!$B$2:$B$833,$A7)</f>
        <v>0.764679487179487</v>
      </c>
      <c r="F7" s="31" t="n">
        <f aca="false">SUMIFS(Produccion_Semanal!$S$2:$S$833,Produccion_Semanal!$E$2:$E$833,F$1,Produccion_Semanal!$B$2:$B$833,$A7)</f>
        <v>0.668576366102288</v>
      </c>
      <c r="G7" s="31" t="n">
        <f aca="false">SUMIFS(Produccion_Semanal!$S$2:$S$833,Produccion_Semanal!$E$2:$E$833,G$1,Produccion_Semanal!$B$2:$B$833,$A7)</f>
        <v>0.834006316812439</v>
      </c>
      <c r="H7" s="31" t="n">
        <f aca="false">SUMIFS(Produccion_Semanal!$S$2:$S$833,Produccion_Semanal!$E$2:$E$833,H$1,Produccion_Semanal!$B$2:$B$833,$A7)</f>
        <v>0.667119547119547</v>
      </c>
      <c r="I7" s="31" t="n">
        <f aca="false">SUMIFS(Produccion_Semanal!$S$2:$S$833,Produccion_Semanal!$E$2:$E$833,I$1,Produccion_Semanal!$B$2:$B$833,$A7)</f>
        <v>0.810908073839269</v>
      </c>
    </row>
    <row r="8" customFormat="false" ht="15" hidden="false" customHeight="false" outlineLevel="0" collapsed="false">
      <c r="A8" s="9" t="n">
        <v>45593</v>
      </c>
      <c r="B8" s="31" t="n">
        <f aca="false">SUMIFS(Produccion_Semanal!$S$2:$S$833,Produccion_Semanal!$E$2:$E$833,B$1,Produccion_Semanal!$B$2:$B$833,$A8)</f>
        <v>0.840588668138337</v>
      </c>
      <c r="C8" s="31" t="n">
        <f aca="false">SUMIFS(Produccion_Semanal!$S$2:$S$833,Produccion_Semanal!$E$2:$E$833,C$1,Produccion_Semanal!$B$2:$B$833,$A8)</f>
        <v>0.821947826086957</v>
      </c>
      <c r="D8" s="31" t="n">
        <f aca="false">SUMIFS(Produccion_Semanal!$S$2:$S$833,Produccion_Semanal!$E$2:$E$833,D$1,Produccion_Semanal!$B$2:$B$833,$A8)</f>
        <v>0.84206204379562</v>
      </c>
      <c r="E8" s="31" t="n">
        <f aca="false">SUMIFS(Produccion_Semanal!$S$2:$S$833,Produccion_Semanal!$E$2:$E$833,E$1,Produccion_Semanal!$B$2:$B$833,$A8)</f>
        <v>0.771065205171445</v>
      </c>
      <c r="F8" s="31" t="n">
        <f aca="false">SUMIFS(Produccion_Semanal!$S$2:$S$833,Produccion_Semanal!$E$2:$E$833,F$1,Produccion_Semanal!$B$2:$B$833,$A8)</f>
        <v>0.769724165906095</v>
      </c>
      <c r="G8" s="31" t="n">
        <f aca="false">SUMIFS(Produccion_Semanal!$S$2:$S$833,Produccion_Semanal!$E$2:$E$833,G$1,Produccion_Semanal!$B$2:$B$833,$A8)</f>
        <v>0.853343151693667</v>
      </c>
      <c r="H8" s="31" t="n">
        <f aca="false">SUMIFS(Produccion_Semanal!$S$2:$S$833,Produccion_Semanal!$E$2:$E$833,H$1,Produccion_Semanal!$B$2:$B$833,$A8)</f>
        <v>0.789418274033659</v>
      </c>
      <c r="I8" s="31" t="n">
        <f aca="false">SUMIFS(Produccion_Semanal!$S$2:$S$833,Produccion_Semanal!$E$2:$E$833,I$1,Produccion_Semanal!$B$2:$B$833,$A8)</f>
        <v>0.813946465339739</v>
      </c>
    </row>
    <row r="9" customFormat="false" ht="15" hidden="false" customHeight="false" outlineLevel="0" collapsed="false">
      <c r="A9" s="9" t="n">
        <v>45600</v>
      </c>
      <c r="B9" s="31" t="n">
        <f aca="false">SUMIFS(Produccion_Semanal!$S$2:$S$833,Produccion_Semanal!$E$2:$E$833,B$1,Produccion_Semanal!$B$2:$B$833,$A9)</f>
        <v>0.848964328052592</v>
      </c>
      <c r="C9" s="31" t="n">
        <f aca="false">SUMIFS(Produccion_Semanal!$S$2:$S$833,Produccion_Semanal!$E$2:$E$833,C$1,Produccion_Semanal!$B$2:$B$833,$A9)</f>
        <v>0.811286336690236</v>
      </c>
      <c r="D9" s="31" t="n">
        <f aca="false">SUMIFS(Produccion_Semanal!$S$2:$S$833,Produccion_Semanal!$E$2:$E$833,D$1,Produccion_Semanal!$B$2:$B$833,$A9)</f>
        <v>0.789440831277566</v>
      </c>
      <c r="E9" s="31" t="n">
        <f aca="false">SUMIFS(Produccion_Semanal!$S$2:$S$833,Produccion_Semanal!$E$2:$E$833,E$1,Produccion_Semanal!$B$2:$B$833,$A9)</f>
        <v>0.820093739250086</v>
      </c>
      <c r="F9" s="31" t="n">
        <f aca="false">SUMIFS(Produccion_Semanal!$S$2:$S$833,Produccion_Semanal!$E$2:$E$833,F$1,Produccion_Semanal!$B$2:$B$833,$A9)</f>
        <v>0.760675594984219</v>
      </c>
      <c r="G9" s="31" t="n">
        <f aca="false">SUMIFS(Produccion_Semanal!$S$2:$S$833,Produccion_Semanal!$E$2:$E$833,G$1,Produccion_Semanal!$B$2:$B$833,$A9)</f>
        <v>0.866210961996739</v>
      </c>
      <c r="H9" s="31" t="n">
        <f aca="false">SUMIFS(Produccion_Semanal!$S$2:$S$833,Produccion_Semanal!$E$2:$E$833,H$1,Produccion_Semanal!$B$2:$B$833,$A9)</f>
        <v>0.613074220861106</v>
      </c>
      <c r="I9" s="31" t="n">
        <f aca="false">SUMIFS(Produccion_Semanal!$S$2:$S$833,Produccion_Semanal!$E$2:$E$833,I$1,Produccion_Semanal!$B$2:$B$833,$A9)</f>
        <v>0.831799574259047</v>
      </c>
    </row>
    <row r="10" customFormat="false" ht="15" hidden="false" customHeight="false" outlineLevel="0" collapsed="false">
      <c r="A10" s="9" t="n">
        <v>45607</v>
      </c>
      <c r="B10" s="31" t="n">
        <f aca="false">SUMIFS(Produccion_Semanal!$S$2:$S$833,Produccion_Semanal!$E$2:$E$833,B$1,Produccion_Semanal!$B$2:$B$833,$A10)</f>
        <v>0.842927612375949</v>
      </c>
      <c r="C10" s="31" t="n">
        <f aca="false">SUMIFS(Produccion_Semanal!$S$2:$S$833,Produccion_Semanal!$E$2:$E$833,C$1,Produccion_Semanal!$B$2:$B$833,$A10)</f>
        <v>0.845513253638254</v>
      </c>
      <c r="D10" s="31" t="n">
        <f aca="false">SUMIFS(Produccion_Semanal!$S$2:$S$833,Produccion_Semanal!$E$2:$E$833,D$1,Produccion_Semanal!$B$2:$B$833,$A10)</f>
        <v>0.850334372834373</v>
      </c>
      <c r="E10" s="31" t="n">
        <f aca="false">SUMIFS(Produccion_Semanal!$S$2:$S$833,Produccion_Semanal!$E$2:$E$833,E$1,Produccion_Semanal!$B$2:$B$833,$A10)</f>
        <v>0.745206117021277</v>
      </c>
      <c r="F10" s="31" t="n">
        <f aca="false">SUMIFS(Produccion_Semanal!$S$2:$S$833,Produccion_Semanal!$E$2:$E$833,F$1,Produccion_Semanal!$B$2:$B$833,$A10)</f>
        <v>0.76914875613471</v>
      </c>
      <c r="G10" s="31" t="n">
        <f aca="false">SUMIFS(Produccion_Semanal!$S$2:$S$833,Produccion_Semanal!$E$2:$E$833,G$1,Produccion_Semanal!$B$2:$B$833,$A10)</f>
        <v>0.832993197278912</v>
      </c>
      <c r="H10" s="31" t="n">
        <f aca="false">SUMIFS(Produccion_Semanal!$S$2:$S$833,Produccion_Semanal!$E$2:$E$833,H$1,Produccion_Semanal!$B$2:$B$833,$A10)</f>
        <v>0.700272527472527</v>
      </c>
      <c r="I10" s="31" t="n">
        <f aca="false">SUMIFS(Produccion_Semanal!$S$2:$S$833,Produccion_Semanal!$E$2:$E$833,I$1,Produccion_Semanal!$B$2:$B$833,$A10)</f>
        <v>0.741662043274947</v>
      </c>
    </row>
    <row r="11" customFormat="false" ht="15" hidden="false" customHeight="false" outlineLevel="0" collapsed="false">
      <c r="A11" s="9" t="n">
        <v>45614</v>
      </c>
      <c r="B11" s="31" t="n">
        <f aca="false">SUMIFS(Produccion_Semanal!$S$2:$S$833,Produccion_Semanal!$E$2:$E$833,B$1,Produccion_Semanal!$B$2:$B$833,$A11)</f>
        <v>0.871235064209939</v>
      </c>
      <c r="C11" s="31" t="n">
        <f aca="false">SUMIFS(Produccion_Semanal!$S$2:$S$833,Produccion_Semanal!$E$2:$E$833,C$1,Produccion_Semanal!$B$2:$B$833,$A11)</f>
        <v>0.835227490094275</v>
      </c>
      <c r="D11" s="31" t="n">
        <f aca="false">SUMIFS(Produccion_Semanal!$S$2:$S$833,Produccion_Semanal!$E$2:$E$833,D$1,Produccion_Semanal!$B$2:$B$833,$A11)</f>
        <v>0.840160191920755</v>
      </c>
      <c r="E11" s="31" t="n">
        <f aca="false">SUMIFS(Produccion_Semanal!$S$2:$S$833,Produccion_Semanal!$E$2:$E$833,E$1,Produccion_Semanal!$B$2:$B$833,$A11)</f>
        <v>0.79265427769986</v>
      </c>
      <c r="F11" s="31" t="n">
        <f aca="false">SUMIFS(Produccion_Semanal!$S$2:$S$833,Produccion_Semanal!$E$2:$E$833,F$1,Produccion_Semanal!$B$2:$B$833,$A11)</f>
        <v>0.736078031312458</v>
      </c>
      <c r="G11" s="31" t="n">
        <f aca="false">SUMIFS(Produccion_Semanal!$S$2:$S$833,Produccion_Semanal!$E$2:$E$833,G$1,Produccion_Semanal!$B$2:$B$833,$A11)</f>
        <v>0.900754336822448</v>
      </c>
      <c r="H11" s="31" t="n">
        <f aca="false">SUMIFS(Produccion_Semanal!$S$2:$S$833,Produccion_Semanal!$E$2:$E$833,H$1,Produccion_Semanal!$B$2:$B$833,$A11)</f>
        <v>0.73783381712627</v>
      </c>
      <c r="I11" s="31" t="n">
        <f aca="false">SUMIFS(Produccion_Semanal!$S$2:$S$833,Produccion_Semanal!$E$2:$E$833,I$1,Produccion_Semanal!$B$2:$B$833,$A11)</f>
        <v>0.794569264884315</v>
      </c>
    </row>
    <row r="12" customFormat="false" ht="15" hidden="false" customHeight="false" outlineLevel="0" collapsed="false">
      <c r="A12" s="9" t="n">
        <v>45621</v>
      </c>
      <c r="B12" s="31" t="n">
        <f aca="false">SUMIFS(Produccion_Semanal!$S$2:$S$833,Produccion_Semanal!$E$2:$E$833,B$1,Produccion_Semanal!$B$2:$B$833,$A12)</f>
        <v>0.837417800453515</v>
      </c>
      <c r="C12" s="31" t="n">
        <f aca="false">SUMIFS(Produccion_Semanal!$S$2:$S$833,Produccion_Semanal!$E$2:$E$833,C$1,Produccion_Semanal!$B$2:$B$833,$A12)</f>
        <v>0.840978467625352</v>
      </c>
      <c r="D12" s="31" t="n">
        <f aca="false">SUMIFS(Produccion_Semanal!$S$2:$S$833,Produccion_Semanal!$E$2:$E$833,D$1,Produccion_Semanal!$B$2:$B$833,$A12)</f>
        <v>0.744509139834834</v>
      </c>
      <c r="E12" s="31" t="n">
        <f aca="false">SUMIFS(Produccion_Semanal!$S$2:$S$833,Produccion_Semanal!$E$2:$E$833,E$1,Produccion_Semanal!$B$2:$B$833,$A12)</f>
        <v>0.736895240916272</v>
      </c>
      <c r="F12" s="31" t="n">
        <f aca="false">SUMIFS(Produccion_Semanal!$S$2:$S$833,Produccion_Semanal!$E$2:$E$833,F$1,Produccion_Semanal!$B$2:$B$833,$A12)</f>
        <v>0.829790314295055</v>
      </c>
      <c r="G12" s="31" t="n">
        <f aca="false">SUMIFS(Produccion_Semanal!$S$2:$S$833,Produccion_Semanal!$E$2:$E$833,G$1,Produccion_Semanal!$B$2:$B$833,$A12)</f>
        <v>0.775594619987143</v>
      </c>
      <c r="H12" s="31" t="n">
        <f aca="false">SUMIFS(Produccion_Semanal!$S$2:$S$833,Produccion_Semanal!$E$2:$E$833,H$1,Produccion_Semanal!$B$2:$B$833,$A12)</f>
        <v>0.749120879120879</v>
      </c>
      <c r="I12" s="31" t="n">
        <f aca="false">SUMIFS(Produccion_Semanal!$S$2:$S$833,Produccion_Semanal!$E$2:$E$833,I$1,Produccion_Semanal!$B$2:$B$833,$A12)</f>
        <v>0.815557370355247</v>
      </c>
    </row>
    <row r="13" customFormat="false" ht="15" hidden="false" customHeight="false" outlineLevel="0" collapsed="false">
      <c r="A13" s="9" t="n">
        <v>45628</v>
      </c>
      <c r="B13" s="31" t="n">
        <f aca="false">SUMIFS(Produccion_Semanal!$S$2:$S$833,Produccion_Semanal!$E$2:$E$833,B$1,Produccion_Semanal!$B$2:$B$833,$A13)</f>
        <v>0.813409391534392</v>
      </c>
      <c r="C13" s="31" t="n">
        <f aca="false">SUMIFS(Produccion_Semanal!$S$2:$S$833,Produccion_Semanal!$E$2:$E$833,C$1,Produccion_Semanal!$B$2:$B$833,$A13)</f>
        <v>0.80283234714004</v>
      </c>
      <c r="D13" s="31" t="n">
        <f aca="false">SUMIFS(Produccion_Semanal!$S$2:$S$833,Produccion_Semanal!$E$2:$E$833,D$1,Produccion_Semanal!$B$2:$B$833,$A13)</f>
        <v>0.832620507645735</v>
      </c>
      <c r="E13" s="31" t="n">
        <f aca="false">SUMIFS(Produccion_Semanal!$S$2:$S$833,Produccion_Semanal!$E$2:$E$833,E$1,Produccion_Semanal!$B$2:$B$833,$A13)</f>
        <v>0.820369112318841</v>
      </c>
      <c r="F13" s="31" t="n">
        <f aca="false">SUMIFS(Produccion_Semanal!$S$2:$S$833,Produccion_Semanal!$E$2:$E$833,F$1,Produccion_Semanal!$B$2:$B$833,$A13)</f>
        <v>0.790913358718898</v>
      </c>
      <c r="G13" s="31" t="n">
        <f aca="false">SUMIFS(Produccion_Semanal!$S$2:$S$833,Produccion_Semanal!$E$2:$E$833,G$1,Produccion_Semanal!$B$2:$B$833,$A13)</f>
        <v>0.827709533919725</v>
      </c>
      <c r="H13" s="31" t="n">
        <f aca="false">SUMIFS(Produccion_Semanal!$S$2:$S$833,Produccion_Semanal!$E$2:$E$833,H$1,Produccion_Semanal!$B$2:$B$833,$A13)</f>
        <v>0.790042629000445</v>
      </c>
      <c r="I13" s="31" t="n">
        <f aca="false">SUMIFS(Produccion_Semanal!$S$2:$S$833,Produccion_Semanal!$E$2:$E$833,I$1,Produccion_Semanal!$B$2:$B$833,$A13)</f>
        <v>0.821977177967961</v>
      </c>
    </row>
    <row r="14" customFormat="false" ht="15" hidden="false" customHeight="false" outlineLevel="0" collapsed="false">
      <c r="A14" s="9" t="n">
        <v>45635</v>
      </c>
      <c r="B14" s="31" t="n">
        <f aca="false">SUMIFS(Produccion_Semanal!$S$2:$S$833,Produccion_Semanal!$E$2:$E$833,B$1,Produccion_Semanal!$B$2:$B$833,$A14)</f>
        <v>0.831341555771936</v>
      </c>
      <c r="C14" s="31" t="n">
        <f aca="false">SUMIFS(Produccion_Semanal!$S$2:$S$833,Produccion_Semanal!$E$2:$E$833,C$1,Produccion_Semanal!$B$2:$B$833,$A14)</f>
        <v>0.831686194600102</v>
      </c>
      <c r="D14" s="31" t="n">
        <f aca="false">SUMIFS(Produccion_Semanal!$S$2:$S$833,Produccion_Semanal!$E$2:$E$833,D$1,Produccion_Semanal!$B$2:$B$833,$A14)</f>
        <v>0.803463513380073</v>
      </c>
      <c r="E14" s="31" t="n">
        <f aca="false">SUMIFS(Produccion_Semanal!$S$2:$S$833,Produccion_Semanal!$E$2:$E$833,E$1,Produccion_Semanal!$B$2:$B$833,$A14)</f>
        <v>0.739191802010828</v>
      </c>
      <c r="F14" s="31" t="n">
        <f aca="false">SUMIFS(Produccion_Semanal!$S$2:$S$833,Produccion_Semanal!$E$2:$E$833,F$1,Produccion_Semanal!$B$2:$B$833,$A14)</f>
        <v>0.748036455599561</v>
      </c>
      <c r="G14" s="31" t="n">
        <f aca="false">SUMIFS(Produccion_Semanal!$S$2:$S$833,Produccion_Semanal!$E$2:$E$833,G$1,Produccion_Semanal!$B$2:$B$833,$A14)</f>
        <v>0.816612887454777</v>
      </c>
      <c r="H14" s="31" t="n">
        <f aca="false">SUMIFS(Produccion_Semanal!$S$2:$S$833,Produccion_Semanal!$E$2:$E$833,H$1,Produccion_Semanal!$B$2:$B$833,$A14)</f>
        <v>0.84157824933687</v>
      </c>
      <c r="I14" s="31" t="n">
        <f aca="false">SUMIFS(Produccion_Semanal!$S$2:$S$833,Produccion_Semanal!$E$2:$E$833,I$1,Produccion_Semanal!$B$2:$B$833,$A14)</f>
        <v>0.828939045906987</v>
      </c>
    </row>
    <row r="15" customFormat="false" ht="15" hidden="false" customHeight="false" outlineLevel="0" collapsed="false">
      <c r="A15" s="9" t="n">
        <v>45642</v>
      </c>
      <c r="B15" s="31" t="n">
        <f aca="false">SUMIFS(Produccion_Semanal!$S$2:$S$833,Produccion_Semanal!$E$2:$E$833,B$1,Produccion_Semanal!$B$2:$B$833,$A15)</f>
        <v>0.838625759028444</v>
      </c>
      <c r="C15" s="31" t="n">
        <f aca="false">SUMIFS(Produccion_Semanal!$S$2:$S$833,Produccion_Semanal!$E$2:$E$833,C$1,Produccion_Semanal!$B$2:$B$833,$A15)</f>
        <v>0.776356513222331</v>
      </c>
      <c r="D15" s="31" t="n">
        <f aca="false">SUMIFS(Produccion_Semanal!$S$2:$S$833,Produccion_Semanal!$E$2:$E$833,D$1,Produccion_Semanal!$B$2:$B$833,$A15)</f>
        <v>0.727685246718724</v>
      </c>
      <c r="E15" s="31" t="n">
        <f aca="false">SUMIFS(Produccion_Semanal!$S$2:$S$833,Produccion_Semanal!$E$2:$E$833,E$1,Produccion_Semanal!$B$2:$B$833,$A15)</f>
        <v>0.766867223313687</v>
      </c>
      <c r="F15" s="31" t="n">
        <f aca="false">SUMIFS(Produccion_Semanal!$S$2:$S$833,Produccion_Semanal!$E$2:$E$833,F$1,Produccion_Semanal!$B$2:$B$833,$A15)</f>
        <v>0.757559021009314</v>
      </c>
      <c r="G15" s="31" t="n">
        <f aca="false">SUMIFS(Produccion_Semanal!$S$2:$S$833,Produccion_Semanal!$E$2:$E$833,G$1,Produccion_Semanal!$B$2:$B$833,$A15)</f>
        <v>0.787281436011905</v>
      </c>
      <c r="H15" s="31" t="n">
        <f aca="false">SUMIFS(Produccion_Semanal!$S$2:$S$833,Produccion_Semanal!$E$2:$E$833,H$1,Produccion_Semanal!$B$2:$B$833,$A15)</f>
        <v>0.71504884004884</v>
      </c>
      <c r="I15" s="31" t="n">
        <f aca="false">SUMIFS(Produccion_Semanal!$S$2:$S$833,Produccion_Semanal!$E$2:$E$833,I$1,Produccion_Semanal!$B$2:$B$833,$A15)</f>
        <v>0.795913978494624</v>
      </c>
    </row>
    <row r="16" customFormat="false" ht="15" hidden="false" customHeight="false" outlineLevel="0" collapsed="false">
      <c r="A16" s="9" t="n">
        <v>45649</v>
      </c>
      <c r="B16" s="31" t="n">
        <f aca="false">SUMIFS(Produccion_Semanal!$S$2:$S$833,Produccion_Semanal!$E$2:$E$833,B$1,Produccion_Semanal!$B$2:$B$833,$A16)</f>
        <v>0.802451065054692</v>
      </c>
      <c r="C16" s="31" t="n">
        <f aca="false">SUMIFS(Produccion_Semanal!$S$2:$S$833,Produccion_Semanal!$E$2:$E$833,C$1,Produccion_Semanal!$B$2:$B$833,$A16)</f>
        <v>0.822619047619048</v>
      </c>
      <c r="D16" s="31" t="n">
        <f aca="false">SUMIFS(Produccion_Semanal!$S$2:$S$833,Produccion_Semanal!$E$2:$E$833,D$1,Produccion_Semanal!$B$2:$B$833,$A16)</f>
        <v>0.71667516218721</v>
      </c>
      <c r="E16" s="31" t="n">
        <f aca="false">SUMIFS(Produccion_Semanal!$S$2:$S$833,Produccion_Semanal!$E$2:$E$833,E$1,Produccion_Semanal!$B$2:$B$833,$A16)</f>
        <v>0.776119047619048</v>
      </c>
      <c r="F16" s="31" t="n">
        <f aca="false">SUMIFS(Produccion_Semanal!$S$2:$S$833,Produccion_Semanal!$E$2:$E$833,F$1,Produccion_Semanal!$B$2:$B$833,$A16)</f>
        <v>0.720720856582718</v>
      </c>
      <c r="G16" s="31" t="n">
        <f aca="false">SUMIFS(Produccion_Semanal!$S$2:$S$833,Produccion_Semanal!$E$2:$E$833,G$1,Produccion_Semanal!$B$2:$B$833,$A16)</f>
        <v>0.865077365958978</v>
      </c>
      <c r="H16" s="31" t="n">
        <f aca="false">SUMIFS(Produccion_Semanal!$S$2:$S$833,Produccion_Semanal!$E$2:$E$833,H$1,Produccion_Semanal!$B$2:$B$833,$A16)</f>
        <v>0.684384811616954</v>
      </c>
      <c r="I16" s="31" t="n">
        <f aca="false">SUMIFS(Produccion_Semanal!$S$2:$S$833,Produccion_Semanal!$E$2:$E$833,I$1,Produccion_Semanal!$B$2:$B$833,$A16)</f>
        <v>0.762641917462606</v>
      </c>
    </row>
    <row r="17" customFormat="false" ht="15" hidden="false" customHeight="false" outlineLevel="0" collapsed="false">
      <c r="A17" s="9" t="n">
        <v>45656</v>
      </c>
      <c r="B17" s="31" t="n">
        <f aca="false">SUMIFS(Produccion_Semanal!$S$2:$S$833,Produccion_Semanal!$E$2:$E$833,B$1,Produccion_Semanal!$B$2:$B$833,$A17)</f>
        <v>0.785013490311504</v>
      </c>
      <c r="C17" s="31" t="n">
        <f aca="false">SUMIFS(Produccion_Semanal!$S$2:$S$833,Produccion_Semanal!$E$2:$E$833,C$1,Produccion_Semanal!$B$2:$B$833,$A17)</f>
        <v>0.81166242848061</v>
      </c>
      <c r="D17" s="31" t="n">
        <f aca="false">SUMIFS(Produccion_Semanal!$S$2:$S$833,Produccion_Semanal!$E$2:$E$833,D$1,Produccion_Semanal!$B$2:$B$833,$A17)</f>
        <v>0.68524371667936</v>
      </c>
      <c r="E17" s="31" t="n">
        <f aca="false">SUMIFS(Produccion_Semanal!$S$2:$S$833,Produccion_Semanal!$E$2:$E$833,E$1,Produccion_Semanal!$B$2:$B$833,$A17)</f>
        <v>0.771897353361946</v>
      </c>
      <c r="F17" s="31" t="n">
        <f aca="false">SUMIFS(Produccion_Semanal!$S$2:$S$833,Produccion_Semanal!$E$2:$E$833,F$1,Produccion_Semanal!$B$2:$B$833,$A17)</f>
        <v>0.867917266412166</v>
      </c>
      <c r="G17" s="31" t="n">
        <f aca="false">SUMIFS(Produccion_Semanal!$S$2:$S$833,Produccion_Semanal!$E$2:$E$833,G$1,Produccion_Semanal!$B$2:$B$833,$A17)</f>
        <v>0.875939704585538</v>
      </c>
      <c r="H17" s="31" t="n">
        <f aca="false">SUMIFS(Produccion_Semanal!$S$2:$S$833,Produccion_Semanal!$E$2:$E$833,H$1,Produccion_Semanal!$B$2:$B$833,$A17)</f>
        <v>0.648437960506926</v>
      </c>
      <c r="I17" s="31" t="n">
        <f aca="false">SUMIFS(Produccion_Semanal!$S$2:$S$833,Produccion_Semanal!$E$2:$E$833,I$1,Produccion_Semanal!$B$2:$B$833,$A17)</f>
        <v>0.823742259278747</v>
      </c>
    </row>
    <row r="18" customFormat="false" ht="15" hidden="false" customHeight="false" outlineLevel="0" collapsed="false">
      <c r="A18" s="9" t="n">
        <v>45663</v>
      </c>
      <c r="B18" s="31" t="n">
        <f aca="false">SUMIFS(Produccion_Semanal!$S$2:$S$833,Produccion_Semanal!$E$2:$E$833,B$1,Produccion_Semanal!$B$2:$B$833,$A18)</f>
        <v>0.850913757700205</v>
      </c>
      <c r="C18" s="31" t="n">
        <f aca="false">SUMIFS(Produccion_Semanal!$S$2:$S$833,Produccion_Semanal!$E$2:$E$833,C$1,Produccion_Semanal!$B$2:$B$833,$A18)</f>
        <v>0.821682230433322</v>
      </c>
      <c r="D18" s="31" t="n">
        <f aca="false">SUMIFS(Produccion_Semanal!$S$2:$S$833,Produccion_Semanal!$E$2:$E$833,D$1,Produccion_Semanal!$B$2:$B$833,$A18)</f>
        <v>0.831281032770606</v>
      </c>
      <c r="E18" s="31" t="n">
        <f aca="false">SUMIFS(Produccion_Semanal!$S$2:$S$833,Produccion_Semanal!$E$2:$E$833,E$1,Produccion_Semanal!$B$2:$B$833,$A18)</f>
        <v>0.800897651006711</v>
      </c>
      <c r="F18" s="31" t="n">
        <f aca="false">SUMIFS(Produccion_Semanal!$S$2:$S$833,Produccion_Semanal!$E$2:$E$833,F$1,Produccion_Semanal!$B$2:$B$833,$A18)</f>
        <v>0.696429655870445</v>
      </c>
      <c r="G18" s="31" t="n">
        <f aca="false">SUMIFS(Produccion_Semanal!$S$2:$S$833,Produccion_Semanal!$E$2:$E$833,G$1,Produccion_Semanal!$B$2:$B$833,$A18)</f>
        <v>0.812475301323849</v>
      </c>
      <c r="H18" s="31" t="n">
        <f aca="false">SUMIFS(Produccion_Semanal!$S$2:$S$833,Produccion_Semanal!$E$2:$E$833,H$1,Produccion_Semanal!$B$2:$B$833,$A18)</f>
        <v>0.78394316706134</v>
      </c>
      <c r="I18" s="31" t="n">
        <f aca="false">SUMIFS(Produccion_Semanal!$S$2:$S$833,Produccion_Semanal!$E$2:$E$833,I$1,Produccion_Semanal!$B$2:$B$833,$A18)</f>
        <v>0.772506464329617</v>
      </c>
    </row>
    <row r="19" customFormat="false" ht="15" hidden="false" customHeight="false" outlineLevel="0" collapsed="false">
      <c r="A19" s="9" t="n">
        <v>45670</v>
      </c>
      <c r="B19" s="31" t="n">
        <f aca="false">SUMIFS(Produccion_Semanal!$S$2:$S$833,Produccion_Semanal!$E$2:$E$833,B$1,Produccion_Semanal!$B$2:$B$833,$A19)</f>
        <v>0.849107238894267</v>
      </c>
      <c r="C19" s="31" t="n">
        <f aca="false">SUMIFS(Produccion_Semanal!$S$2:$S$833,Produccion_Semanal!$E$2:$E$833,C$1,Produccion_Semanal!$B$2:$B$833,$A19)</f>
        <v>0.763408695652174</v>
      </c>
      <c r="D19" s="31" t="n">
        <f aca="false">SUMIFS(Produccion_Semanal!$S$2:$S$833,Produccion_Semanal!$E$2:$E$833,D$1,Produccion_Semanal!$B$2:$B$833,$A19)</f>
        <v>0.811399618700265</v>
      </c>
      <c r="E19" s="31" t="n">
        <f aca="false">SUMIFS(Produccion_Semanal!$S$2:$S$833,Produccion_Semanal!$E$2:$E$833,E$1,Produccion_Semanal!$B$2:$B$833,$A19)</f>
        <v>0.793181551804969</v>
      </c>
      <c r="F19" s="31" t="n">
        <f aca="false">SUMIFS(Produccion_Semanal!$S$2:$S$833,Produccion_Semanal!$E$2:$E$833,F$1,Produccion_Semanal!$B$2:$B$833,$A19)</f>
        <v>0.866742760515747</v>
      </c>
      <c r="G19" s="31" t="n">
        <f aca="false">SUMIFS(Produccion_Semanal!$S$2:$S$833,Produccion_Semanal!$E$2:$E$833,G$1,Produccion_Semanal!$B$2:$B$833,$A19)</f>
        <v>0.807402643260694</v>
      </c>
      <c r="H19" s="31" t="n">
        <f aca="false">SUMIFS(Produccion_Semanal!$S$2:$S$833,Produccion_Semanal!$E$2:$E$833,H$1,Produccion_Semanal!$B$2:$B$833,$A19)</f>
        <v>0.753489107836934</v>
      </c>
      <c r="I19" s="31" t="n">
        <f aca="false">SUMIFS(Produccion_Semanal!$S$2:$S$833,Produccion_Semanal!$E$2:$E$833,I$1,Produccion_Semanal!$B$2:$B$833,$A19)</f>
        <v>0.75176805946453</v>
      </c>
    </row>
    <row r="20" customFormat="false" ht="15" hidden="false" customHeight="false" outlineLevel="0" collapsed="false">
      <c r="A20" s="9" t="n">
        <v>45677</v>
      </c>
      <c r="B20" s="31" t="n">
        <f aca="false">SUMIFS(Produccion_Semanal!$S$2:$S$833,Produccion_Semanal!$E$2:$E$833,B$1,Produccion_Semanal!$B$2:$B$833,$A20)</f>
        <v>0.859937825912555</v>
      </c>
      <c r="C20" s="31" t="n">
        <f aca="false">SUMIFS(Produccion_Semanal!$S$2:$S$833,Produccion_Semanal!$E$2:$E$833,C$1,Produccion_Semanal!$B$2:$B$833,$A20)</f>
        <v>0.805689354275742</v>
      </c>
      <c r="D20" s="31" t="n">
        <f aca="false">SUMIFS(Produccion_Semanal!$S$2:$S$833,Produccion_Semanal!$E$2:$E$833,D$1,Produccion_Semanal!$B$2:$B$833,$A20)</f>
        <v>0.761849957374254</v>
      </c>
      <c r="E20" s="31" t="n">
        <f aca="false">SUMIFS(Produccion_Semanal!$S$2:$S$833,Produccion_Semanal!$E$2:$E$833,E$1,Produccion_Semanal!$B$2:$B$833,$A20)</f>
        <v>0.837080498866213</v>
      </c>
      <c r="F20" s="31" t="n">
        <f aca="false">SUMIFS(Produccion_Semanal!$S$2:$S$833,Produccion_Semanal!$E$2:$E$833,F$1,Produccion_Semanal!$B$2:$B$833,$A20)</f>
        <v>0.745417308962784</v>
      </c>
      <c r="G20" s="31" t="n">
        <f aca="false">SUMIFS(Produccion_Semanal!$S$2:$S$833,Produccion_Semanal!$E$2:$E$833,G$1,Produccion_Semanal!$B$2:$B$833,$A20)</f>
        <v>0.825636549830098</v>
      </c>
      <c r="H20" s="31" t="n">
        <f aca="false">SUMIFS(Produccion_Semanal!$S$2:$S$833,Produccion_Semanal!$E$2:$E$833,H$1,Produccion_Semanal!$B$2:$B$833,$A20)</f>
        <v>0.618715027303984</v>
      </c>
      <c r="I20" s="31" t="n">
        <f aca="false">SUMIFS(Produccion_Semanal!$S$2:$S$833,Produccion_Semanal!$E$2:$E$833,I$1,Produccion_Semanal!$B$2:$B$833,$A20)</f>
        <v>0.78296004569642</v>
      </c>
    </row>
    <row r="21" customFormat="false" ht="15" hidden="false" customHeight="false" outlineLevel="0" collapsed="false">
      <c r="A21" s="9" t="n">
        <v>45684</v>
      </c>
      <c r="B21" s="31" t="n">
        <f aca="false">SUMIFS(Produccion_Semanal!$S$2:$S$833,Produccion_Semanal!$E$2:$E$833,B$1,Produccion_Semanal!$B$2:$B$833,$A21)</f>
        <v>0.880857455485925</v>
      </c>
      <c r="C21" s="31" t="n">
        <f aca="false">SUMIFS(Produccion_Semanal!$S$2:$S$833,Produccion_Semanal!$E$2:$E$833,C$1,Produccion_Semanal!$B$2:$B$833,$A21)</f>
        <v>0.788608317477575</v>
      </c>
      <c r="D21" s="31" t="n">
        <f aca="false">SUMIFS(Produccion_Semanal!$S$2:$S$833,Produccion_Semanal!$E$2:$E$833,D$1,Produccion_Semanal!$B$2:$B$833,$A21)</f>
        <v>0.784543740573152</v>
      </c>
      <c r="E21" s="31" t="n">
        <f aca="false">SUMIFS(Produccion_Semanal!$S$2:$S$833,Produccion_Semanal!$E$2:$E$833,E$1,Produccion_Semanal!$B$2:$B$833,$A21)</f>
        <v>0.731306168300654</v>
      </c>
      <c r="F21" s="31" t="n">
        <f aca="false">SUMIFS(Produccion_Semanal!$S$2:$S$833,Produccion_Semanal!$E$2:$E$833,F$1,Produccion_Semanal!$B$2:$B$833,$A21)</f>
        <v>0.72800871605766</v>
      </c>
      <c r="G21" s="31" t="n">
        <f aca="false">SUMIFS(Produccion_Semanal!$S$2:$S$833,Produccion_Semanal!$E$2:$E$833,G$1,Produccion_Semanal!$B$2:$B$833,$A21)</f>
        <v>0.831219168428471</v>
      </c>
      <c r="H21" s="31" t="n">
        <f aca="false">SUMIFS(Produccion_Semanal!$S$2:$S$833,Produccion_Semanal!$E$2:$E$833,H$1,Produccion_Semanal!$B$2:$B$833,$A21)</f>
        <v>0.721748588355086</v>
      </c>
      <c r="I21" s="31" t="n">
        <f aca="false">SUMIFS(Produccion_Semanal!$S$2:$S$833,Produccion_Semanal!$E$2:$E$833,I$1,Produccion_Semanal!$B$2:$B$833,$A21)</f>
        <v>0.828904544143699</v>
      </c>
    </row>
    <row r="22" customFormat="false" ht="15" hidden="false" customHeight="false" outlineLevel="0" collapsed="false">
      <c r="A22" s="9" t="n">
        <v>45691</v>
      </c>
      <c r="B22" s="31" t="n">
        <f aca="false">SUMIFS(Produccion_Semanal!$S$2:$S$833,Produccion_Semanal!$E$2:$E$833,B$1,Produccion_Semanal!$B$2:$B$833,$A22)</f>
        <v>0.845075329566855</v>
      </c>
      <c r="C22" s="31" t="n">
        <f aca="false">SUMIFS(Produccion_Semanal!$S$2:$S$833,Produccion_Semanal!$E$2:$E$833,C$1,Produccion_Semanal!$B$2:$B$833,$A22)</f>
        <v>0.826045995241872</v>
      </c>
      <c r="D22" s="31" t="n">
        <f aca="false">SUMIFS(Produccion_Semanal!$S$2:$S$833,Produccion_Semanal!$E$2:$E$833,D$1,Produccion_Semanal!$B$2:$B$833,$A22)</f>
        <v>0.823225130133025</v>
      </c>
      <c r="E22" s="31" t="n">
        <f aca="false">SUMIFS(Produccion_Semanal!$S$2:$S$833,Produccion_Semanal!$E$2:$E$833,E$1,Produccion_Semanal!$B$2:$B$833,$A22)</f>
        <v>0.783807234432234</v>
      </c>
      <c r="F22" s="31" t="n">
        <f aca="false">SUMIFS(Produccion_Semanal!$S$2:$S$833,Produccion_Semanal!$E$2:$E$833,F$1,Produccion_Semanal!$B$2:$B$833,$A22)</f>
        <v>0.786320640310454</v>
      </c>
      <c r="G22" s="31" t="n">
        <f aca="false">SUMIFS(Produccion_Semanal!$S$2:$S$833,Produccion_Semanal!$E$2:$E$833,G$1,Produccion_Semanal!$B$2:$B$833,$A22)</f>
        <v>0.836423235249276</v>
      </c>
      <c r="H22" s="31" t="n">
        <f aca="false">SUMIFS(Produccion_Semanal!$S$2:$S$833,Produccion_Semanal!$E$2:$E$833,H$1,Produccion_Semanal!$B$2:$B$833,$A22)</f>
        <v>0.735190590659341</v>
      </c>
      <c r="I22" s="31" t="n">
        <f aca="false">SUMIFS(Produccion_Semanal!$S$2:$S$833,Produccion_Semanal!$E$2:$E$833,I$1,Produccion_Semanal!$B$2:$B$833,$A22)</f>
        <v>0.786686991869918</v>
      </c>
    </row>
    <row r="23" customFormat="false" ht="15" hidden="false" customHeight="false" outlineLevel="0" collapsed="false">
      <c r="A23" s="9" t="n">
        <v>45698</v>
      </c>
      <c r="B23" s="31" t="n">
        <f aca="false">SUMIFS(Produccion_Semanal!$S$2:$S$833,Produccion_Semanal!$E$2:$E$833,B$1,Produccion_Semanal!$B$2:$B$833,$A23)</f>
        <v>0.854901244968642</v>
      </c>
      <c r="C23" s="31" t="n">
        <f aca="false">SUMIFS(Produccion_Semanal!$S$2:$S$833,Produccion_Semanal!$E$2:$E$833,C$1,Produccion_Semanal!$B$2:$B$833,$A23)</f>
        <v>0.832824519230769</v>
      </c>
      <c r="D23" s="31" t="n">
        <f aca="false">SUMIFS(Produccion_Semanal!$S$2:$S$833,Produccion_Semanal!$E$2:$E$833,D$1,Produccion_Semanal!$B$2:$B$833,$A23)</f>
        <v>0.812917231446967</v>
      </c>
      <c r="E23" s="31" t="n">
        <f aca="false">SUMIFS(Produccion_Semanal!$S$2:$S$833,Produccion_Semanal!$E$2:$E$833,E$1,Produccion_Semanal!$B$2:$B$833,$A23)</f>
        <v>0.788696946169772</v>
      </c>
      <c r="F23" s="31" t="n">
        <f aca="false">SUMIFS(Produccion_Semanal!$S$2:$S$833,Produccion_Semanal!$E$2:$E$833,F$1,Produccion_Semanal!$B$2:$B$833,$A23)</f>
        <v>0.739028910303929</v>
      </c>
      <c r="G23" s="31" t="n">
        <f aca="false">SUMIFS(Produccion_Semanal!$S$2:$S$833,Produccion_Semanal!$E$2:$E$833,G$1,Produccion_Semanal!$B$2:$B$833,$A23)</f>
        <v>0.839960121979827</v>
      </c>
      <c r="H23" s="31" t="n">
        <f aca="false">SUMIFS(Produccion_Semanal!$S$2:$S$833,Produccion_Semanal!$E$2:$E$833,H$1,Produccion_Semanal!$B$2:$B$833,$A23)</f>
        <v>0.773716468289217</v>
      </c>
      <c r="I23" s="31" t="n">
        <f aca="false">SUMIFS(Produccion_Semanal!$S$2:$S$833,Produccion_Semanal!$E$2:$E$833,I$1,Produccion_Semanal!$B$2:$B$833,$A23)</f>
        <v>0.813394250780437</v>
      </c>
    </row>
    <row r="24" customFormat="false" ht="15" hidden="false" customHeight="false" outlineLevel="0" collapsed="false">
      <c r="A24" s="9" t="n">
        <v>45705</v>
      </c>
      <c r="B24" s="31" t="n">
        <f aca="false">SUMIFS(Produccion_Semanal!$S$2:$S$833,Produccion_Semanal!$E$2:$E$833,B$1,Produccion_Semanal!$B$2:$B$833,$A24)</f>
        <v>0.805513086419753</v>
      </c>
      <c r="C24" s="31" t="n">
        <f aca="false">SUMIFS(Produccion_Semanal!$S$2:$S$833,Produccion_Semanal!$E$2:$E$833,C$1,Produccion_Semanal!$B$2:$B$833,$A24)</f>
        <v>0.767311981698599</v>
      </c>
      <c r="D24" s="31" t="n">
        <f aca="false">SUMIFS(Produccion_Semanal!$S$2:$S$833,Produccion_Semanal!$E$2:$E$833,D$1,Produccion_Semanal!$B$2:$B$833,$A24)</f>
        <v>0.868470667619275</v>
      </c>
      <c r="E24" s="31" t="n">
        <f aca="false">SUMIFS(Produccion_Semanal!$S$2:$S$833,Produccion_Semanal!$E$2:$E$833,E$1,Produccion_Semanal!$B$2:$B$833,$A24)</f>
        <v>0.725291545189504</v>
      </c>
      <c r="F24" s="31" t="n">
        <f aca="false">SUMIFS(Produccion_Semanal!$S$2:$S$833,Produccion_Semanal!$E$2:$E$833,F$1,Produccion_Semanal!$B$2:$B$833,$A24)</f>
        <v>0.786235928028481</v>
      </c>
      <c r="G24" s="31" t="n">
        <f aca="false">SUMIFS(Produccion_Semanal!$S$2:$S$833,Produccion_Semanal!$E$2:$E$833,G$1,Produccion_Semanal!$B$2:$B$833,$A24)</f>
        <v>0.824124323844994</v>
      </c>
      <c r="H24" s="31" t="n">
        <f aca="false">SUMIFS(Produccion_Semanal!$S$2:$S$833,Produccion_Semanal!$E$2:$E$833,H$1,Produccion_Semanal!$B$2:$B$833,$A24)</f>
        <v>0.721371986222733</v>
      </c>
      <c r="I24" s="31" t="n">
        <f aca="false">SUMIFS(Produccion_Semanal!$S$2:$S$833,Produccion_Semanal!$E$2:$E$833,I$1,Produccion_Semanal!$B$2:$B$833,$A24)</f>
        <v>0.780495818399044</v>
      </c>
    </row>
    <row r="25" customFormat="false" ht="15" hidden="false" customHeight="false" outlineLevel="0" collapsed="false">
      <c r="A25" s="9" t="n">
        <v>45712</v>
      </c>
      <c r="B25" s="31" t="n">
        <f aca="false">SUMIFS(Produccion_Semanal!$S$2:$S$833,Produccion_Semanal!$E$2:$E$833,B$1,Produccion_Semanal!$B$2:$B$833,$A25)</f>
        <v>0.828060569594866</v>
      </c>
      <c r="C25" s="31" t="n">
        <f aca="false">SUMIFS(Produccion_Semanal!$S$2:$S$833,Produccion_Semanal!$E$2:$E$833,C$1,Produccion_Semanal!$B$2:$B$833,$A25)</f>
        <v>0.811157481459939</v>
      </c>
      <c r="D25" s="31" t="n">
        <f aca="false">SUMIFS(Produccion_Semanal!$S$2:$S$833,Produccion_Semanal!$E$2:$E$833,D$1,Produccion_Semanal!$B$2:$B$833,$A25)</f>
        <v>0.824159449821702</v>
      </c>
      <c r="E25" s="31" t="n">
        <f aca="false">SUMIFS(Produccion_Semanal!$S$2:$S$833,Produccion_Semanal!$E$2:$E$833,E$1,Produccion_Semanal!$B$2:$B$833,$A25)</f>
        <v>0.763477294007491</v>
      </c>
      <c r="F25" s="31" t="n">
        <f aca="false">SUMIFS(Produccion_Semanal!$S$2:$S$833,Produccion_Semanal!$E$2:$E$833,F$1,Produccion_Semanal!$B$2:$B$833,$A25)</f>
        <v>0.728827637814916</v>
      </c>
      <c r="G25" s="31" t="n">
        <f aca="false">SUMIFS(Produccion_Semanal!$S$2:$S$833,Produccion_Semanal!$E$2:$E$833,G$1,Produccion_Semanal!$B$2:$B$833,$A25)</f>
        <v>0.810884714437206</v>
      </c>
      <c r="H25" s="31" t="n">
        <f aca="false">SUMIFS(Produccion_Semanal!$S$2:$S$833,Produccion_Semanal!$E$2:$E$833,H$1,Produccion_Semanal!$B$2:$B$833,$A25)</f>
        <v>0.736308482420001</v>
      </c>
      <c r="I25" s="31" t="n">
        <f aca="false">SUMIFS(Produccion_Semanal!$S$2:$S$833,Produccion_Semanal!$E$2:$E$833,I$1,Produccion_Semanal!$B$2:$B$833,$A25)</f>
        <v>0.848300866225062</v>
      </c>
    </row>
    <row r="26" customFormat="false" ht="15" hidden="false" customHeight="false" outlineLevel="0" collapsed="false">
      <c r="A26" s="9" t="n">
        <v>45719</v>
      </c>
      <c r="B26" s="31" t="n">
        <f aca="false">SUMIFS(Produccion_Semanal!$S$2:$S$833,Produccion_Semanal!$E$2:$E$833,B$1,Produccion_Semanal!$B$2:$B$833,$A26)</f>
        <v>0.824103523542251</v>
      </c>
      <c r="C26" s="31" t="n">
        <f aca="false">SUMIFS(Produccion_Semanal!$S$2:$S$833,Produccion_Semanal!$E$2:$E$833,C$1,Produccion_Semanal!$B$2:$B$833,$A26)</f>
        <v>0.773969938107869</v>
      </c>
      <c r="D26" s="31" t="n">
        <f aca="false">SUMIFS(Produccion_Semanal!$S$2:$S$833,Produccion_Semanal!$E$2:$E$833,D$1,Produccion_Semanal!$B$2:$B$833,$A26)</f>
        <v>0.777836792836793</v>
      </c>
      <c r="E26" s="31" t="n">
        <f aca="false">SUMIFS(Produccion_Semanal!$S$2:$S$833,Produccion_Semanal!$E$2:$E$833,E$1,Produccion_Semanal!$B$2:$B$833,$A26)</f>
        <v>0.849879412972086</v>
      </c>
      <c r="F26" s="31" t="n">
        <f aca="false">SUMIFS(Produccion_Semanal!$S$2:$S$833,Produccion_Semanal!$E$2:$E$833,F$1,Produccion_Semanal!$B$2:$B$833,$A26)</f>
        <v>0.731984991776316</v>
      </c>
      <c r="G26" s="31" t="n">
        <f aca="false">SUMIFS(Produccion_Semanal!$S$2:$S$833,Produccion_Semanal!$E$2:$E$833,G$1,Produccion_Semanal!$B$2:$B$833,$A26)</f>
        <v>0.82316384180791</v>
      </c>
      <c r="H26" s="31" t="n">
        <f aca="false">SUMIFS(Produccion_Semanal!$S$2:$S$833,Produccion_Semanal!$E$2:$E$833,H$1,Produccion_Semanal!$B$2:$B$833,$A26)</f>
        <v>0.725087342935949</v>
      </c>
      <c r="I26" s="31" t="n">
        <f aca="false">SUMIFS(Produccion_Semanal!$S$2:$S$833,Produccion_Semanal!$E$2:$E$833,I$1,Produccion_Semanal!$B$2:$B$833,$A26)</f>
        <v>0.786408002215146</v>
      </c>
    </row>
    <row r="27" customFormat="false" ht="15" hidden="false" customHeight="false" outlineLevel="0" collapsed="false">
      <c r="A27" s="9" t="n">
        <v>45726</v>
      </c>
      <c r="B27" s="31" t="n">
        <f aca="false">SUMIFS(Produccion_Semanal!$S$2:$S$833,Produccion_Semanal!$E$2:$E$833,B$1,Produccion_Semanal!$B$2:$B$833,$A27)</f>
        <v>0.833859154929578</v>
      </c>
      <c r="C27" s="31" t="n">
        <f aca="false">SUMIFS(Produccion_Semanal!$S$2:$S$833,Produccion_Semanal!$E$2:$E$833,C$1,Produccion_Semanal!$B$2:$B$833,$A27)</f>
        <v>0.754654498044329</v>
      </c>
      <c r="D27" s="31" t="n">
        <f aca="false">SUMIFS(Produccion_Semanal!$S$2:$S$833,Produccion_Semanal!$E$2:$E$833,D$1,Produccion_Semanal!$B$2:$B$833,$A27)</f>
        <v>0.837141544851825</v>
      </c>
      <c r="E27" s="31" t="n">
        <f aca="false">SUMIFS(Produccion_Semanal!$S$2:$S$833,Produccion_Semanal!$E$2:$E$833,E$1,Produccion_Semanal!$B$2:$B$833,$A27)</f>
        <v>0.807243217054264</v>
      </c>
      <c r="F27" s="31" t="n">
        <f aca="false">SUMIFS(Produccion_Semanal!$S$2:$S$833,Produccion_Semanal!$E$2:$E$833,F$1,Produccion_Semanal!$B$2:$B$833,$A27)</f>
        <v>0.74951184458321</v>
      </c>
      <c r="G27" s="31" t="n">
        <f aca="false">SUMIFS(Produccion_Semanal!$S$2:$S$833,Produccion_Semanal!$E$2:$E$833,G$1,Produccion_Semanal!$B$2:$B$833,$A27)</f>
        <v>0.86868438538206</v>
      </c>
      <c r="H27" s="31" t="n">
        <f aca="false">SUMIFS(Produccion_Semanal!$S$2:$S$833,Produccion_Semanal!$E$2:$E$833,H$1,Produccion_Semanal!$B$2:$B$833,$A27)</f>
        <v>0.66729485957322</v>
      </c>
      <c r="I27" s="31" t="n">
        <f aca="false">SUMIFS(Produccion_Semanal!$S$2:$S$833,Produccion_Semanal!$E$2:$E$833,I$1,Produccion_Semanal!$B$2:$B$833,$A27)</f>
        <v>0.766704124801692</v>
      </c>
    </row>
    <row r="28" customFormat="false" ht="15" hidden="false" customHeight="false" outlineLevel="0" collapsed="false">
      <c r="A28" s="9" t="n">
        <v>45733</v>
      </c>
      <c r="B28" s="31" t="n">
        <f aca="false">SUMIFS(Produccion_Semanal!$S$2:$S$833,Produccion_Semanal!$E$2:$E$833,B$1,Produccion_Semanal!$B$2:$B$833,$A28)</f>
        <v>0.887202917202917</v>
      </c>
      <c r="C28" s="31" t="n">
        <f aca="false">SUMIFS(Produccion_Semanal!$S$2:$S$833,Produccion_Semanal!$E$2:$E$833,C$1,Produccion_Semanal!$B$2:$B$833,$A28)</f>
        <v>0.834434339141521</v>
      </c>
      <c r="D28" s="31" t="n">
        <f aca="false">SUMIFS(Produccion_Semanal!$S$2:$S$833,Produccion_Semanal!$E$2:$E$833,D$1,Produccion_Semanal!$B$2:$B$833,$A28)</f>
        <v>0.758088874402434</v>
      </c>
      <c r="E28" s="31" t="n">
        <f aca="false">SUMIFS(Produccion_Semanal!$S$2:$S$833,Produccion_Semanal!$E$2:$E$833,E$1,Produccion_Semanal!$B$2:$B$833,$A28)</f>
        <v>0.833996539792388</v>
      </c>
      <c r="F28" s="31" t="n">
        <f aca="false">SUMIFS(Produccion_Semanal!$S$2:$S$833,Produccion_Semanal!$E$2:$E$833,F$1,Produccion_Semanal!$B$2:$B$833,$A28)</f>
        <v>0.728735429176969</v>
      </c>
      <c r="G28" s="31" t="n">
        <f aca="false">SUMIFS(Produccion_Semanal!$S$2:$S$833,Produccion_Semanal!$E$2:$E$833,G$1,Produccion_Semanal!$B$2:$B$833,$A28)</f>
        <v>0.85405505952381</v>
      </c>
      <c r="H28" s="31" t="n">
        <f aca="false">SUMIFS(Produccion_Semanal!$S$2:$S$833,Produccion_Semanal!$E$2:$E$833,H$1,Produccion_Semanal!$B$2:$B$833,$A28)</f>
        <v>0.66580434256195</v>
      </c>
      <c r="I28" s="31" t="n">
        <f aca="false">SUMIFS(Produccion_Semanal!$S$2:$S$833,Produccion_Semanal!$E$2:$E$833,I$1,Produccion_Semanal!$B$2:$B$833,$A28)</f>
        <v>0.794476446492576</v>
      </c>
    </row>
    <row r="29" customFormat="false" ht="15" hidden="false" customHeight="false" outlineLevel="0" collapsed="false">
      <c r="A29" s="9" t="n">
        <v>45740</v>
      </c>
      <c r="B29" s="31" t="n">
        <f aca="false">SUMIFS(Produccion_Semanal!$S$2:$S$833,Produccion_Semanal!$E$2:$E$833,B$1,Produccion_Semanal!$B$2:$B$833,$A29)</f>
        <v>0.833674655047204</v>
      </c>
      <c r="C29" s="31" t="n">
        <f aca="false">SUMIFS(Produccion_Semanal!$S$2:$S$833,Produccion_Semanal!$E$2:$E$833,C$1,Produccion_Semanal!$B$2:$B$833,$A29)</f>
        <v>0.785703918722787</v>
      </c>
      <c r="D29" s="31" t="n">
        <f aca="false">SUMIFS(Produccion_Semanal!$S$2:$S$833,Produccion_Semanal!$E$2:$E$833,D$1,Produccion_Semanal!$B$2:$B$833,$A29)</f>
        <v>0.78541881158994</v>
      </c>
      <c r="E29" s="31" t="n">
        <f aca="false">SUMIFS(Produccion_Semanal!$S$2:$S$833,Produccion_Semanal!$E$2:$E$833,E$1,Produccion_Semanal!$B$2:$B$833,$A29)</f>
        <v>0.701249073044123</v>
      </c>
      <c r="F29" s="31" t="n">
        <f aca="false">SUMIFS(Produccion_Semanal!$S$2:$S$833,Produccion_Semanal!$E$2:$E$833,F$1,Produccion_Semanal!$B$2:$B$833,$A29)</f>
        <v>0.728250355618777</v>
      </c>
      <c r="G29" s="31" t="n">
        <f aca="false">SUMIFS(Produccion_Semanal!$S$2:$S$833,Produccion_Semanal!$E$2:$E$833,G$1,Produccion_Semanal!$B$2:$B$833,$A29)</f>
        <v>0.800349669015588</v>
      </c>
      <c r="H29" s="31" t="n">
        <f aca="false">SUMIFS(Produccion_Semanal!$S$2:$S$833,Produccion_Semanal!$E$2:$E$833,H$1,Produccion_Semanal!$B$2:$B$833,$A29)</f>
        <v>0.744270797076227</v>
      </c>
      <c r="I29" s="31" t="n">
        <f aca="false">SUMIFS(Produccion_Semanal!$S$2:$S$833,Produccion_Semanal!$E$2:$E$833,I$1,Produccion_Semanal!$B$2:$B$833,$A29)</f>
        <v>0.825363693864643</v>
      </c>
    </row>
    <row r="30" customFormat="false" ht="15" hidden="false" customHeight="false" outlineLevel="0" collapsed="false">
      <c r="A30" s="9" t="n">
        <v>45747</v>
      </c>
      <c r="B30" s="31" t="n">
        <f aca="false">SUMIFS(Produccion_Semanal!$S$2:$S$833,Produccion_Semanal!$E$2:$E$833,B$1,Produccion_Semanal!$B$2:$B$833,$A30)</f>
        <v>0.887607318161535</v>
      </c>
      <c r="C30" s="31" t="n">
        <f aca="false">SUMIFS(Produccion_Semanal!$S$2:$S$833,Produccion_Semanal!$E$2:$E$833,C$1,Produccion_Semanal!$B$2:$B$833,$A30)</f>
        <v>0.796314910111609</v>
      </c>
      <c r="D30" s="31" t="n">
        <f aca="false">SUMIFS(Produccion_Semanal!$S$2:$S$833,Produccion_Semanal!$E$2:$E$833,D$1,Produccion_Semanal!$B$2:$B$833,$A30)</f>
        <v>0.824712539116513</v>
      </c>
      <c r="E30" s="31" t="n">
        <f aca="false">SUMIFS(Produccion_Semanal!$S$2:$S$833,Produccion_Semanal!$E$2:$E$833,E$1,Produccion_Semanal!$B$2:$B$833,$A30)</f>
        <v>0.829271539206196</v>
      </c>
      <c r="F30" s="31" t="n">
        <f aca="false">SUMIFS(Produccion_Semanal!$S$2:$S$833,Produccion_Semanal!$E$2:$E$833,F$1,Produccion_Semanal!$B$2:$B$833,$A30)</f>
        <v>0.805828845544644</v>
      </c>
      <c r="G30" s="31" t="n">
        <f aca="false">SUMIFS(Produccion_Semanal!$S$2:$S$833,Produccion_Semanal!$E$2:$E$833,G$1,Produccion_Semanal!$B$2:$B$833,$A30)</f>
        <v>0.853584254465743</v>
      </c>
      <c r="H30" s="31" t="n">
        <f aca="false">SUMIFS(Produccion_Semanal!$S$2:$S$833,Produccion_Semanal!$E$2:$E$833,H$1,Produccion_Semanal!$B$2:$B$833,$A30)</f>
        <v>0.68808550956357</v>
      </c>
      <c r="I30" s="31" t="n">
        <f aca="false">SUMIFS(Produccion_Semanal!$S$2:$S$833,Produccion_Semanal!$E$2:$E$833,I$1,Produccion_Semanal!$B$2:$B$833,$A30)</f>
        <v>0.791258103334498</v>
      </c>
    </row>
    <row r="31" customFormat="false" ht="15" hidden="false" customHeight="false" outlineLevel="0" collapsed="false">
      <c r="A31" s="9" t="n">
        <v>45754</v>
      </c>
      <c r="B31" s="31" t="n">
        <f aca="false">SUMIFS(Produccion_Semanal!$S$2:$S$833,Produccion_Semanal!$E$2:$E$833,B$1,Produccion_Semanal!$B$2:$B$833,$A31)</f>
        <v>0.842970184669349</v>
      </c>
      <c r="C31" s="31" t="n">
        <f aca="false">SUMIFS(Produccion_Semanal!$S$2:$S$833,Produccion_Semanal!$E$2:$E$833,C$1,Produccion_Semanal!$B$2:$B$833,$A31)</f>
        <v>0.777300817714741</v>
      </c>
      <c r="D31" s="31" t="n">
        <f aca="false">SUMIFS(Produccion_Semanal!$S$2:$S$833,Produccion_Semanal!$E$2:$E$833,D$1,Produccion_Semanal!$B$2:$B$833,$A31)</f>
        <v>0.774387367317521</v>
      </c>
      <c r="E31" s="31" t="n">
        <f aca="false">SUMIFS(Produccion_Semanal!$S$2:$S$833,Produccion_Semanal!$E$2:$E$833,E$1,Produccion_Semanal!$B$2:$B$833,$A31)</f>
        <v>0.777495659722222</v>
      </c>
      <c r="F31" s="31" t="n">
        <f aca="false">SUMIFS(Produccion_Semanal!$S$2:$S$833,Produccion_Semanal!$E$2:$E$833,F$1,Produccion_Semanal!$B$2:$B$833,$A31)</f>
        <v>0.786493536472761</v>
      </c>
      <c r="G31" s="31" t="n">
        <f aca="false">SUMIFS(Produccion_Semanal!$S$2:$S$833,Produccion_Semanal!$E$2:$E$833,G$1,Produccion_Semanal!$B$2:$B$833,$A31)</f>
        <v>0.854536007951568</v>
      </c>
      <c r="H31" s="31" t="n">
        <f aca="false">SUMIFS(Produccion_Semanal!$S$2:$S$833,Produccion_Semanal!$E$2:$E$833,H$1,Produccion_Semanal!$B$2:$B$833,$A31)</f>
        <v>0.698190045248869</v>
      </c>
      <c r="I31" s="31" t="n">
        <f aca="false">SUMIFS(Produccion_Semanal!$S$2:$S$833,Produccion_Semanal!$E$2:$E$833,I$1,Produccion_Semanal!$B$2:$B$833,$A31)</f>
        <v>0.803918155797942</v>
      </c>
    </row>
    <row r="32" customFormat="false" ht="15" hidden="false" customHeight="false" outlineLevel="0" collapsed="false">
      <c r="A32" s="9" t="n">
        <v>45761</v>
      </c>
      <c r="B32" s="31" t="n">
        <f aca="false">SUMIFS(Produccion_Semanal!$S$2:$S$833,Produccion_Semanal!$E$2:$E$833,B$1,Produccion_Semanal!$B$2:$B$833,$A32)</f>
        <v>0.849343861628126</v>
      </c>
      <c r="C32" s="31" t="n">
        <f aca="false">SUMIFS(Produccion_Semanal!$S$2:$S$833,Produccion_Semanal!$E$2:$E$833,C$1,Produccion_Semanal!$B$2:$B$833,$A32)</f>
        <v>0.83853437260414</v>
      </c>
      <c r="D32" s="31" t="n">
        <f aca="false">SUMIFS(Produccion_Semanal!$S$2:$S$833,Produccion_Semanal!$E$2:$E$833,D$1,Produccion_Semanal!$B$2:$B$833,$A32)</f>
        <v>0.751077180058249</v>
      </c>
      <c r="E32" s="31" t="n">
        <f aca="false">SUMIFS(Produccion_Semanal!$S$2:$S$833,Produccion_Semanal!$E$2:$E$833,E$1,Produccion_Semanal!$B$2:$B$833,$A32)</f>
        <v>0.744362745098039</v>
      </c>
      <c r="F32" s="31" t="n">
        <f aca="false">SUMIFS(Produccion_Semanal!$S$2:$S$833,Produccion_Semanal!$E$2:$E$833,F$1,Produccion_Semanal!$B$2:$B$833,$A32)</f>
        <v>0.812640853234408</v>
      </c>
      <c r="G32" s="31" t="n">
        <f aca="false">SUMIFS(Produccion_Semanal!$S$2:$S$833,Produccion_Semanal!$E$2:$E$833,G$1,Produccion_Semanal!$B$2:$B$833,$A32)</f>
        <v>0.825821213356894</v>
      </c>
      <c r="H32" s="31" t="n">
        <f aca="false">SUMIFS(Produccion_Semanal!$S$2:$S$833,Produccion_Semanal!$E$2:$E$833,H$1,Produccion_Semanal!$B$2:$B$833,$A32)</f>
        <v>0.766199285946122</v>
      </c>
      <c r="I32" s="31" t="n">
        <f aca="false">SUMIFS(Produccion_Semanal!$S$2:$S$833,Produccion_Semanal!$E$2:$E$833,I$1,Produccion_Semanal!$B$2:$B$833,$A32)</f>
        <v>0.779313720691174</v>
      </c>
    </row>
    <row r="33" customFormat="false" ht="15" hidden="false" customHeight="false" outlineLevel="0" collapsed="false">
      <c r="A33" s="9" t="n">
        <v>45768</v>
      </c>
      <c r="B33" s="31" t="n">
        <f aca="false">SUMIFS(Produccion_Semanal!$S$2:$S$833,Produccion_Semanal!$E$2:$E$833,B$1,Produccion_Semanal!$B$2:$B$833,$A33)</f>
        <v>0.775462881670081</v>
      </c>
      <c r="C33" s="31" t="n">
        <f aca="false">SUMIFS(Produccion_Semanal!$S$2:$S$833,Produccion_Semanal!$E$2:$E$833,C$1,Produccion_Semanal!$B$2:$B$833,$A33)</f>
        <v>0.819510260606824</v>
      </c>
      <c r="D33" s="31" t="n">
        <f aca="false">SUMIFS(Produccion_Semanal!$S$2:$S$833,Produccion_Semanal!$E$2:$E$833,D$1,Produccion_Semanal!$B$2:$B$833,$A33)</f>
        <v>0.779963073998245</v>
      </c>
      <c r="E33" s="31" t="n">
        <f aca="false">SUMIFS(Produccion_Semanal!$S$2:$S$833,Produccion_Semanal!$E$2:$E$833,E$1,Produccion_Semanal!$B$2:$B$833,$A33)</f>
        <v>0.767755495406824</v>
      </c>
      <c r="F33" s="31" t="n">
        <f aca="false">SUMIFS(Produccion_Semanal!$S$2:$S$833,Produccion_Semanal!$E$2:$E$833,F$1,Produccion_Semanal!$B$2:$B$833,$A33)</f>
        <v>0.744615650969529</v>
      </c>
      <c r="G33" s="31" t="n">
        <f aca="false">SUMIFS(Produccion_Semanal!$S$2:$S$833,Produccion_Semanal!$E$2:$E$833,G$1,Produccion_Semanal!$B$2:$B$833,$A33)</f>
        <v>0.829966240227434</v>
      </c>
      <c r="H33" s="31" t="n">
        <f aca="false">SUMIFS(Produccion_Semanal!$S$2:$S$833,Produccion_Semanal!$E$2:$E$833,H$1,Produccion_Semanal!$B$2:$B$833,$A33)</f>
        <v>0.763239436619718</v>
      </c>
      <c r="I33" s="31" t="n">
        <f aca="false">SUMIFS(Produccion_Semanal!$S$2:$S$833,Produccion_Semanal!$E$2:$E$833,I$1,Produccion_Semanal!$B$2:$B$833,$A33)</f>
        <v>0.800218242697839</v>
      </c>
    </row>
    <row r="34" customFormat="false" ht="15" hidden="false" customHeight="false" outlineLevel="0" collapsed="false">
      <c r="A34" s="9" t="n">
        <v>45775</v>
      </c>
      <c r="B34" s="31" t="n">
        <f aca="false">SUMIFS(Produccion_Semanal!$S$2:$S$833,Produccion_Semanal!$E$2:$E$833,B$1,Produccion_Semanal!$B$2:$B$833,$A34)</f>
        <v>0.858525678578403</v>
      </c>
      <c r="C34" s="31" t="n">
        <f aca="false">SUMIFS(Produccion_Semanal!$S$2:$S$833,Produccion_Semanal!$E$2:$E$833,C$1,Produccion_Semanal!$B$2:$B$833,$A34)</f>
        <v>0.847277486910995</v>
      </c>
      <c r="D34" s="31" t="n">
        <f aca="false">SUMIFS(Produccion_Semanal!$S$2:$S$833,Produccion_Semanal!$E$2:$E$833,D$1,Produccion_Semanal!$B$2:$B$833,$A34)</f>
        <v>0.79545814479638</v>
      </c>
      <c r="E34" s="31" t="n">
        <f aca="false">SUMIFS(Produccion_Semanal!$S$2:$S$833,Produccion_Semanal!$E$2:$E$833,E$1,Produccion_Semanal!$B$2:$B$833,$A34)</f>
        <v>0.73905824829932</v>
      </c>
      <c r="F34" s="31" t="n">
        <f aca="false">SUMIFS(Produccion_Semanal!$S$2:$S$833,Produccion_Semanal!$E$2:$E$833,F$1,Produccion_Semanal!$B$2:$B$833,$A34)</f>
        <v>0.667206270538167</v>
      </c>
      <c r="G34" s="31" t="n">
        <f aca="false">SUMIFS(Produccion_Semanal!$S$2:$S$833,Produccion_Semanal!$E$2:$E$833,G$1,Produccion_Semanal!$B$2:$B$833,$A34)</f>
        <v>0.869097222222222</v>
      </c>
      <c r="H34" s="31" t="n">
        <f aca="false">SUMIFS(Produccion_Semanal!$S$2:$S$833,Produccion_Semanal!$E$2:$E$833,H$1,Produccion_Semanal!$B$2:$B$833,$A34)</f>
        <v>0.703355492244381</v>
      </c>
      <c r="I34" s="31" t="n">
        <f aca="false">SUMIFS(Produccion_Semanal!$S$2:$S$833,Produccion_Semanal!$E$2:$E$833,I$1,Produccion_Semanal!$B$2:$B$833,$A34)</f>
        <v>0.779208619252229</v>
      </c>
    </row>
    <row r="35" customFormat="false" ht="15" hidden="false" customHeight="false" outlineLevel="0" collapsed="false">
      <c r="A35" s="9" t="n">
        <v>45782</v>
      </c>
      <c r="B35" s="31" t="n">
        <f aca="false">SUMIFS(Produccion_Semanal!$S$2:$S$833,Produccion_Semanal!$E$2:$E$833,B$1,Produccion_Semanal!$B$2:$B$833,$A35)</f>
        <v>0.810820362212433</v>
      </c>
      <c r="C35" s="31" t="n">
        <f aca="false">SUMIFS(Produccion_Semanal!$S$2:$S$833,Produccion_Semanal!$E$2:$E$833,C$1,Produccion_Semanal!$B$2:$B$833,$A35)</f>
        <v>0.793027432126697</v>
      </c>
      <c r="D35" s="31" t="n">
        <f aca="false">SUMIFS(Produccion_Semanal!$S$2:$S$833,Produccion_Semanal!$E$2:$E$833,D$1,Produccion_Semanal!$B$2:$B$833,$A35)</f>
        <v>0.740476770065378</v>
      </c>
      <c r="E35" s="31" t="n">
        <f aca="false">SUMIFS(Produccion_Semanal!$S$2:$S$833,Produccion_Semanal!$E$2:$E$833,E$1,Produccion_Semanal!$B$2:$B$833,$A35)</f>
        <v>0.80429347826087</v>
      </c>
      <c r="F35" s="31" t="n">
        <f aca="false">SUMIFS(Produccion_Semanal!$S$2:$S$833,Produccion_Semanal!$E$2:$E$833,F$1,Produccion_Semanal!$B$2:$B$833,$A35)</f>
        <v>0.710504155124654</v>
      </c>
      <c r="G35" s="31" t="n">
        <f aca="false">SUMIFS(Produccion_Semanal!$S$2:$S$833,Produccion_Semanal!$E$2:$E$833,G$1,Produccion_Semanal!$B$2:$B$833,$A35)</f>
        <v>0.829094817514837</v>
      </c>
      <c r="H35" s="31" t="n">
        <f aca="false">SUMIFS(Produccion_Semanal!$S$2:$S$833,Produccion_Semanal!$E$2:$E$833,H$1,Produccion_Semanal!$B$2:$B$833,$A35)</f>
        <v>0.703544863948781</v>
      </c>
      <c r="I35" s="31" t="n">
        <f aca="false">SUMIFS(Produccion_Semanal!$S$2:$S$833,Produccion_Semanal!$E$2:$E$833,I$1,Produccion_Semanal!$B$2:$B$833,$A35)</f>
        <v>0.814628885184822</v>
      </c>
    </row>
    <row r="36" customFormat="false" ht="15" hidden="false" customHeight="false" outlineLevel="0" collapsed="false">
      <c r="A36" s="9" t="n">
        <v>45789</v>
      </c>
      <c r="B36" s="31" t="n">
        <f aca="false">SUMIFS(Produccion_Semanal!$S$2:$S$833,Produccion_Semanal!$E$2:$E$833,B$1,Produccion_Semanal!$B$2:$B$833,$A36)</f>
        <v>0.840300222029153</v>
      </c>
      <c r="C36" s="31" t="n">
        <f aca="false">SUMIFS(Produccion_Semanal!$S$2:$S$833,Produccion_Semanal!$E$2:$E$833,C$1,Produccion_Semanal!$B$2:$B$833,$A36)</f>
        <v>0.840478979565274</v>
      </c>
      <c r="D36" s="31" t="n">
        <f aca="false">SUMIFS(Produccion_Semanal!$S$2:$S$833,Produccion_Semanal!$E$2:$E$833,D$1,Produccion_Semanal!$B$2:$B$833,$A36)</f>
        <v>0.82629521402622</v>
      </c>
      <c r="E36" s="31" t="n">
        <f aca="false">SUMIFS(Produccion_Semanal!$S$2:$S$833,Produccion_Semanal!$E$2:$E$833,E$1,Produccion_Semanal!$B$2:$B$833,$A36)</f>
        <v>0.765610950545922</v>
      </c>
      <c r="F36" s="31" t="n">
        <f aca="false">SUMIFS(Produccion_Semanal!$S$2:$S$833,Produccion_Semanal!$E$2:$E$833,F$1,Produccion_Semanal!$B$2:$B$833,$A36)</f>
        <v>0.771098722619727</v>
      </c>
      <c r="G36" s="31" t="n">
        <f aca="false">SUMIFS(Produccion_Semanal!$S$2:$S$833,Produccion_Semanal!$E$2:$E$833,G$1,Produccion_Semanal!$B$2:$B$833,$A36)</f>
        <v>0.827324591672418</v>
      </c>
      <c r="H36" s="31" t="n">
        <f aca="false">SUMIFS(Produccion_Semanal!$S$2:$S$833,Produccion_Semanal!$E$2:$E$833,H$1,Produccion_Semanal!$B$2:$B$833,$A36)</f>
        <v>0.739685438586927</v>
      </c>
      <c r="I36" s="31" t="n">
        <f aca="false">SUMIFS(Produccion_Semanal!$S$2:$S$833,Produccion_Semanal!$E$2:$E$833,I$1,Produccion_Semanal!$B$2:$B$833,$A36)</f>
        <v>0.800473058208686</v>
      </c>
    </row>
    <row r="37" customFormat="false" ht="15" hidden="false" customHeight="false" outlineLevel="0" collapsed="false">
      <c r="A37" s="9" t="n">
        <v>45796</v>
      </c>
      <c r="B37" s="31" t="n">
        <f aca="false">SUMIFS(Produccion_Semanal!$S$2:$S$833,Produccion_Semanal!$E$2:$E$833,B$1,Produccion_Semanal!$B$2:$B$833,$A37)</f>
        <v>0.848905936622543</v>
      </c>
      <c r="C37" s="31" t="n">
        <f aca="false">SUMIFS(Produccion_Semanal!$S$2:$S$833,Produccion_Semanal!$E$2:$E$833,C$1,Produccion_Semanal!$B$2:$B$833,$A37)</f>
        <v>0.785311449475974</v>
      </c>
      <c r="D37" s="31" t="n">
        <f aca="false">SUMIFS(Produccion_Semanal!$S$2:$S$833,Produccion_Semanal!$E$2:$E$833,D$1,Produccion_Semanal!$B$2:$B$833,$A37)</f>
        <v>0.744197822015676</v>
      </c>
      <c r="E37" s="31" t="n">
        <f aca="false">SUMIFS(Produccion_Semanal!$S$2:$S$833,Produccion_Semanal!$E$2:$E$833,E$1,Produccion_Semanal!$B$2:$B$833,$A37)</f>
        <v>0.801283831908832</v>
      </c>
      <c r="F37" s="31" t="n">
        <f aca="false">SUMIFS(Produccion_Semanal!$S$2:$S$833,Produccion_Semanal!$E$2:$E$833,F$1,Produccion_Semanal!$B$2:$B$833,$A37)</f>
        <v>0.723332716677458</v>
      </c>
      <c r="G37" s="31" t="n">
        <f aca="false">SUMIFS(Produccion_Semanal!$S$2:$S$833,Produccion_Semanal!$E$2:$E$833,G$1,Produccion_Semanal!$B$2:$B$833,$A37)</f>
        <v>0.845183767951625</v>
      </c>
      <c r="H37" s="31" t="n">
        <f aca="false">SUMIFS(Produccion_Semanal!$S$2:$S$833,Produccion_Semanal!$E$2:$E$833,H$1,Produccion_Semanal!$B$2:$B$833,$A37)</f>
        <v>0.765706765144968</v>
      </c>
      <c r="I37" s="31" t="n">
        <f aca="false">SUMIFS(Produccion_Semanal!$S$2:$S$833,Produccion_Semanal!$E$2:$E$833,I$1,Produccion_Semanal!$B$2:$B$833,$A37)</f>
        <v>0.822125492179316</v>
      </c>
    </row>
    <row r="38" customFormat="false" ht="15" hidden="false" customHeight="false" outlineLevel="0" collapsed="false">
      <c r="A38" s="9" t="n">
        <v>45803</v>
      </c>
      <c r="B38" s="31" t="n">
        <f aca="false">SUMIFS(Produccion_Semanal!$S$2:$S$833,Produccion_Semanal!$E$2:$E$833,B$1,Produccion_Semanal!$B$2:$B$833,$A38)</f>
        <v>0.805852556708958</v>
      </c>
      <c r="C38" s="31" t="n">
        <f aca="false">SUMIFS(Produccion_Semanal!$S$2:$S$833,Produccion_Semanal!$E$2:$E$833,C$1,Produccion_Semanal!$B$2:$B$833,$A38)</f>
        <v>0.817809449433815</v>
      </c>
      <c r="D38" s="31" t="n">
        <f aca="false">SUMIFS(Produccion_Semanal!$S$2:$S$833,Produccion_Semanal!$E$2:$E$833,D$1,Produccion_Semanal!$B$2:$B$833,$A38)</f>
        <v>0.74223405150648</v>
      </c>
      <c r="E38" s="31" t="n">
        <f aca="false">SUMIFS(Produccion_Semanal!$S$2:$S$833,Produccion_Semanal!$E$2:$E$833,E$1,Produccion_Semanal!$B$2:$B$833,$A38)</f>
        <v>0.813929001203369</v>
      </c>
      <c r="F38" s="31" t="n">
        <f aca="false">SUMIFS(Produccion_Semanal!$S$2:$S$833,Produccion_Semanal!$E$2:$E$833,F$1,Produccion_Semanal!$B$2:$B$833,$A38)</f>
        <v>0.709352657420966</v>
      </c>
      <c r="G38" s="31" t="n">
        <f aca="false">SUMIFS(Produccion_Semanal!$S$2:$S$833,Produccion_Semanal!$E$2:$E$833,G$1,Produccion_Semanal!$B$2:$B$833,$A38)</f>
        <v>0.814751975132755</v>
      </c>
      <c r="H38" s="31" t="n">
        <f aca="false">SUMIFS(Produccion_Semanal!$S$2:$S$833,Produccion_Semanal!$E$2:$E$833,H$1,Produccion_Semanal!$B$2:$B$833,$A38)</f>
        <v>0.602558582429411</v>
      </c>
      <c r="I38" s="31" t="n">
        <f aca="false">SUMIFS(Produccion_Semanal!$S$2:$S$833,Produccion_Semanal!$E$2:$E$833,I$1,Produccion_Semanal!$B$2:$B$833,$A38)</f>
        <v>0.805945523370639</v>
      </c>
    </row>
    <row r="39" customFormat="false" ht="15" hidden="false" customHeight="false" outlineLevel="0" collapsed="false">
      <c r="A39" s="9" t="n">
        <v>45810</v>
      </c>
      <c r="B39" s="31" t="n">
        <f aca="false">SUMIFS(Produccion_Semanal!$S$2:$S$833,Produccion_Semanal!$E$2:$E$833,B$1,Produccion_Semanal!$B$2:$B$833,$A39)</f>
        <v>0.804206977425975</v>
      </c>
      <c r="C39" s="31" t="n">
        <f aca="false">SUMIFS(Produccion_Semanal!$S$2:$S$833,Produccion_Semanal!$E$2:$E$833,C$1,Produccion_Semanal!$B$2:$B$833,$A39)</f>
        <v>0.810464531048085</v>
      </c>
      <c r="D39" s="31" t="n">
        <f aca="false">SUMIFS(Produccion_Semanal!$S$2:$S$833,Produccion_Semanal!$E$2:$E$833,D$1,Produccion_Semanal!$B$2:$B$833,$A39)</f>
        <v>0.769396803386367</v>
      </c>
      <c r="E39" s="31" t="n">
        <f aca="false">SUMIFS(Produccion_Semanal!$S$2:$S$833,Produccion_Semanal!$E$2:$E$833,E$1,Produccion_Semanal!$B$2:$B$833,$A39)</f>
        <v>0.733871504660453</v>
      </c>
      <c r="F39" s="31" t="n">
        <f aca="false">SUMIFS(Produccion_Semanal!$S$2:$S$833,Produccion_Semanal!$E$2:$E$833,F$1,Produccion_Semanal!$B$2:$B$833,$A39)</f>
        <v>0.710284415774813</v>
      </c>
      <c r="G39" s="31" t="n">
        <f aca="false">SUMIFS(Produccion_Semanal!$S$2:$S$833,Produccion_Semanal!$E$2:$E$833,G$1,Produccion_Semanal!$B$2:$B$833,$A39)</f>
        <v>0.821260959257349</v>
      </c>
      <c r="H39" s="31" t="n">
        <f aca="false">SUMIFS(Produccion_Semanal!$S$2:$S$833,Produccion_Semanal!$E$2:$E$833,H$1,Produccion_Semanal!$B$2:$B$833,$A39)</f>
        <v>0.688728103579589</v>
      </c>
      <c r="I39" s="31" t="n">
        <f aca="false">SUMIFS(Produccion_Semanal!$S$2:$S$833,Produccion_Semanal!$E$2:$E$833,I$1,Produccion_Semanal!$B$2:$B$833,$A39)</f>
        <v>0.83710743214438</v>
      </c>
    </row>
    <row r="40" customFormat="false" ht="15" hidden="false" customHeight="false" outlineLevel="0" collapsed="false">
      <c r="A40" s="9" t="n">
        <v>45817</v>
      </c>
      <c r="B40" s="31" t="n">
        <f aca="false">SUMIFS(Produccion_Semanal!$S$2:$S$833,Produccion_Semanal!$E$2:$E$833,B$1,Produccion_Semanal!$B$2:$B$833,$A40)</f>
        <v>0.819104964947662</v>
      </c>
      <c r="C40" s="31" t="n">
        <f aca="false">SUMIFS(Produccion_Semanal!$S$2:$S$833,Produccion_Semanal!$E$2:$E$833,C$1,Produccion_Semanal!$B$2:$B$833,$A40)</f>
        <v>0.818768447172522</v>
      </c>
      <c r="D40" s="31" t="n">
        <f aca="false">SUMIFS(Produccion_Semanal!$S$2:$S$833,Produccion_Semanal!$E$2:$E$833,D$1,Produccion_Semanal!$B$2:$B$833,$A40)</f>
        <v>0.815367304544882</v>
      </c>
      <c r="E40" s="31" t="n">
        <f aca="false">SUMIFS(Produccion_Semanal!$S$2:$S$833,Produccion_Semanal!$E$2:$E$833,E$1,Produccion_Semanal!$B$2:$B$833,$A40)</f>
        <v>0.786546646237657</v>
      </c>
      <c r="F40" s="31" t="n">
        <f aca="false">SUMIFS(Produccion_Semanal!$S$2:$S$833,Produccion_Semanal!$E$2:$E$833,F$1,Produccion_Semanal!$B$2:$B$833,$A40)</f>
        <v>0.675900959294789</v>
      </c>
      <c r="G40" s="31" t="n">
        <f aca="false">SUMIFS(Produccion_Semanal!$S$2:$S$833,Produccion_Semanal!$E$2:$E$833,G$1,Produccion_Semanal!$B$2:$B$833,$A40)</f>
        <v>0.806760674749605</v>
      </c>
      <c r="H40" s="31" t="n">
        <f aca="false">SUMIFS(Produccion_Semanal!$S$2:$S$833,Produccion_Semanal!$E$2:$E$833,H$1,Produccion_Semanal!$B$2:$B$833,$A40)</f>
        <v>0.682380636604775</v>
      </c>
      <c r="I40" s="31" t="n">
        <f aca="false">SUMIFS(Produccion_Semanal!$S$2:$S$833,Produccion_Semanal!$E$2:$E$833,I$1,Produccion_Semanal!$B$2:$B$833,$A40)</f>
        <v>0.784245203457727</v>
      </c>
    </row>
    <row r="41" customFormat="false" ht="15" hidden="false" customHeight="false" outlineLevel="0" collapsed="false">
      <c r="A41" s="9" t="n">
        <v>45824</v>
      </c>
      <c r="B41" s="31" t="n">
        <f aca="false">SUMIFS(Produccion_Semanal!$S$2:$S$833,Produccion_Semanal!$E$2:$E$833,B$1,Produccion_Semanal!$B$2:$B$833,$A41)</f>
        <v>0.823907376594565</v>
      </c>
      <c r="C41" s="31" t="n">
        <f aca="false">SUMIFS(Produccion_Semanal!$S$2:$S$833,Produccion_Semanal!$E$2:$E$833,C$1,Produccion_Semanal!$B$2:$B$833,$A41)</f>
        <v>0.788911591880342</v>
      </c>
      <c r="D41" s="31" t="n">
        <f aca="false">SUMIFS(Produccion_Semanal!$S$2:$S$833,Produccion_Semanal!$E$2:$E$833,D$1,Produccion_Semanal!$B$2:$B$833,$A41)</f>
        <v>0.763335612002591</v>
      </c>
      <c r="E41" s="31" t="n">
        <f aca="false">SUMIFS(Produccion_Semanal!$S$2:$S$833,Produccion_Semanal!$E$2:$E$833,E$1,Produccion_Semanal!$B$2:$B$833,$A41)</f>
        <v>0.789730920602327</v>
      </c>
      <c r="F41" s="31" t="n">
        <f aca="false">SUMIFS(Produccion_Semanal!$S$2:$S$833,Produccion_Semanal!$E$2:$E$833,F$1,Produccion_Semanal!$B$2:$B$833,$A41)</f>
        <v>0.616000622332859</v>
      </c>
      <c r="G41" s="31" t="n">
        <f aca="false">SUMIFS(Produccion_Semanal!$S$2:$S$833,Produccion_Semanal!$E$2:$E$833,G$1,Produccion_Semanal!$B$2:$B$833,$A41)</f>
        <v>0.811390330510789</v>
      </c>
      <c r="H41" s="31" t="n">
        <f aca="false">SUMIFS(Produccion_Semanal!$S$2:$S$833,Produccion_Semanal!$E$2:$E$833,H$1,Produccion_Semanal!$B$2:$B$833,$A41)</f>
        <v>0.728591099705827</v>
      </c>
      <c r="I41" s="31" t="n">
        <f aca="false">SUMIFS(Produccion_Semanal!$S$2:$S$833,Produccion_Semanal!$E$2:$E$833,I$1,Produccion_Semanal!$B$2:$B$833,$A41)</f>
        <v>0.741788265858411</v>
      </c>
    </row>
    <row r="42" customFormat="false" ht="15" hidden="false" customHeight="false" outlineLevel="0" collapsed="false">
      <c r="A42" s="9" t="n">
        <v>45831</v>
      </c>
      <c r="B42" s="31" t="n">
        <f aca="false">SUMIFS(Produccion_Semanal!$S$2:$S$833,Produccion_Semanal!$E$2:$E$833,B$1,Produccion_Semanal!$B$2:$B$833,$A42)</f>
        <v>0.846975256374071</v>
      </c>
      <c r="C42" s="31" t="n">
        <f aca="false">SUMIFS(Produccion_Semanal!$S$2:$S$833,Produccion_Semanal!$E$2:$E$833,C$1,Produccion_Semanal!$B$2:$B$833,$A42)</f>
        <v>0.833507641783504</v>
      </c>
      <c r="D42" s="31" t="n">
        <f aca="false">SUMIFS(Produccion_Semanal!$S$2:$S$833,Produccion_Semanal!$E$2:$E$833,D$1,Produccion_Semanal!$B$2:$B$833,$A42)</f>
        <v>0.782776761207685</v>
      </c>
      <c r="E42" s="31" t="n">
        <f aca="false">SUMIFS(Produccion_Semanal!$S$2:$S$833,Produccion_Semanal!$E$2:$E$833,E$1,Produccion_Semanal!$B$2:$B$833,$A42)</f>
        <v>0.829977051061388</v>
      </c>
      <c r="F42" s="31" t="n">
        <f aca="false">SUMIFS(Produccion_Semanal!$S$2:$S$833,Produccion_Semanal!$E$2:$E$833,F$1,Produccion_Semanal!$B$2:$B$833,$A42)</f>
        <v>0.724901539563194</v>
      </c>
      <c r="G42" s="31" t="n">
        <f aca="false">SUMIFS(Produccion_Semanal!$S$2:$S$833,Produccion_Semanal!$E$2:$E$833,G$1,Produccion_Semanal!$B$2:$B$833,$A42)</f>
        <v>0.850052858981431</v>
      </c>
      <c r="H42" s="31" t="n">
        <f aca="false">SUMIFS(Produccion_Semanal!$S$2:$S$833,Produccion_Semanal!$E$2:$E$833,H$1,Produccion_Semanal!$B$2:$B$833,$A42)</f>
        <v>0.718863905325444</v>
      </c>
      <c r="I42" s="31" t="n">
        <f aca="false">SUMIFS(Produccion_Semanal!$S$2:$S$833,Produccion_Semanal!$E$2:$E$833,I$1,Produccion_Semanal!$B$2:$B$833,$A42)</f>
        <v>0.832818298601199</v>
      </c>
    </row>
    <row r="43" customFormat="false" ht="15" hidden="false" customHeight="false" outlineLevel="0" collapsed="false">
      <c r="A43" s="9" t="n">
        <v>45838</v>
      </c>
      <c r="B43" s="31" t="n">
        <f aca="false">SUMIFS(Produccion_Semanal!$S$2:$S$833,Produccion_Semanal!$E$2:$E$833,B$1,Produccion_Semanal!$B$2:$B$833,$A43)</f>
        <v>0.844560749774164</v>
      </c>
      <c r="C43" s="31" t="n">
        <f aca="false">SUMIFS(Produccion_Semanal!$S$2:$S$833,Produccion_Semanal!$E$2:$E$833,C$1,Produccion_Semanal!$B$2:$B$833,$A43)</f>
        <v>0.842417582417582</v>
      </c>
      <c r="D43" s="31" t="n">
        <f aca="false">SUMIFS(Produccion_Semanal!$S$2:$S$833,Produccion_Semanal!$E$2:$E$833,D$1,Produccion_Semanal!$B$2:$B$833,$A43)</f>
        <v>0.734721449436639</v>
      </c>
      <c r="E43" s="31" t="n">
        <f aca="false">SUMIFS(Produccion_Semanal!$S$2:$S$833,Produccion_Semanal!$E$2:$E$833,E$1,Produccion_Semanal!$B$2:$B$833,$A43)</f>
        <v>0.783737917398946</v>
      </c>
      <c r="F43" s="31" t="n">
        <f aca="false">SUMIFS(Produccion_Semanal!$S$2:$S$833,Produccion_Semanal!$E$2:$E$833,F$1,Produccion_Semanal!$B$2:$B$833,$A43)</f>
        <v>0.75105910267472</v>
      </c>
      <c r="G43" s="31" t="n">
        <f aca="false">SUMIFS(Produccion_Semanal!$S$2:$S$833,Produccion_Semanal!$E$2:$E$833,G$1,Produccion_Semanal!$B$2:$B$833,$A43)</f>
        <v>0.849245173139811</v>
      </c>
      <c r="H43" s="31" t="n">
        <f aca="false">SUMIFS(Produccion_Semanal!$S$2:$S$833,Produccion_Semanal!$E$2:$E$833,H$1,Produccion_Semanal!$B$2:$B$833,$A43)</f>
        <v>0.646161158233402</v>
      </c>
      <c r="I43" s="31" t="n">
        <f aca="false">SUMIFS(Produccion_Semanal!$S$2:$S$833,Produccion_Semanal!$E$2:$E$833,I$1,Produccion_Semanal!$B$2:$B$833,$A43)</f>
        <v>0.78652991313568</v>
      </c>
    </row>
    <row r="44" customFormat="false" ht="15" hidden="false" customHeight="false" outlineLevel="0" collapsed="false">
      <c r="A44" s="9" t="n">
        <v>45845</v>
      </c>
      <c r="B44" s="31" t="n">
        <f aca="false">SUMIFS(Produccion_Semanal!$S$2:$S$833,Produccion_Semanal!$E$2:$E$833,B$1,Produccion_Semanal!$B$2:$B$833,$A44)</f>
        <v>0.826620662066207</v>
      </c>
      <c r="C44" s="31" t="n">
        <f aca="false">SUMIFS(Produccion_Semanal!$S$2:$S$833,Produccion_Semanal!$E$2:$E$833,C$1,Produccion_Semanal!$B$2:$B$833,$A44)</f>
        <v>0.836731078904992</v>
      </c>
      <c r="D44" s="31" t="n">
        <f aca="false">SUMIFS(Produccion_Semanal!$S$2:$S$833,Produccion_Semanal!$E$2:$E$833,D$1,Produccion_Semanal!$B$2:$B$833,$A44)</f>
        <v>0.777779652121757</v>
      </c>
      <c r="E44" s="31" t="n">
        <f aca="false">SUMIFS(Produccion_Semanal!$S$2:$S$833,Produccion_Semanal!$E$2:$E$833,E$1,Produccion_Semanal!$B$2:$B$833,$A44)</f>
        <v>0.830429454390452</v>
      </c>
      <c r="F44" s="31" t="n">
        <f aca="false">SUMIFS(Produccion_Semanal!$S$2:$S$833,Produccion_Semanal!$E$2:$E$833,F$1,Produccion_Semanal!$B$2:$B$833,$A44)</f>
        <v>0.733830732193259</v>
      </c>
      <c r="G44" s="31" t="n">
        <f aca="false">SUMIFS(Produccion_Semanal!$S$2:$S$833,Produccion_Semanal!$E$2:$E$833,G$1,Produccion_Semanal!$B$2:$B$833,$A44)</f>
        <v>0.844622531939605</v>
      </c>
      <c r="H44" s="31" t="n">
        <f aca="false">SUMIFS(Produccion_Semanal!$S$2:$S$833,Produccion_Semanal!$E$2:$E$833,H$1,Produccion_Semanal!$B$2:$B$833,$A44)</f>
        <v>0.665376011013595</v>
      </c>
      <c r="I44" s="31" t="n">
        <f aca="false">SUMIFS(Produccion_Semanal!$S$2:$S$833,Produccion_Semanal!$E$2:$E$833,I$1,Produccion_Semanal!$B$2:$B$833,$A44)</f>
        <v>0.850928402832415</v>
      </c>
    </row>
    <row r="45" customFormat="false" ht="15" hidden="false" customHeight="false" outlineLevel="0" collapsed="false">
      <c r="A45" s="9" t="n">
        <v>45852</v>
      </c>
      <c r="B45" s="31" t="n">
        <f aca="false">SUMIFS(Produccion_Semanal!$S$2:$S$833,Produccion_Semanal!$E$2:$E$833,B$1,Produccion_Semanal!$B$2:$B$833,$A45)</f>
        <v>0.817954504259561</v>
      </c>
      <c r="C45" s="31" t="n">
        <f aca="false">SUMIFS(Produccion_Semanal!$S$2:$S$833,Produccion_Semanal!$E$2:$E$833,C$1,Produccion_Semanal!$B$2:$B$833,$A45)</f>
        <v>0.833509933774834</v>
      </c>
      <c r="D45" s="31" t="n">
        <f aca="false">SUMIFS(Produccion_Semanal!$S$2:$S$833,Produccion_Semanal!$E$2:$E$833,D$1,Produccion_Semanal!$B$2:$B$833,$A45)</f>
        <v>0.808213548708461</v>
      </c>
      <c r="E45" s="31" t="n">
        <f aca="false">SUMIFS(Produccion_Semanal!$S$2:$S$833,Produccion_Semanal!$E$2:$E$833,E$1,Produccion_Semanal!$B$2:$B$833,$A45)</f>
        <v>0.788973922902494</v>
      </c>
      <c r="F45" s="31" t="n">
        <f aca="false">SUMIFS(Produccion_Semanal!$S$2:$S$833,Produccion_Semanal!$E$2:$E$833,F$1,Produccion_Semanal!$B$2:$B$833,$A45)</f>
        <v>0.74930018333855</v>
      </c>
      <c r="G45" s="31" t="n">
        <f aca="false">SUMIFS(Produccion_Semanal!$S$2:$S$833,Produccion_Semanal!$E$2:$E$833,G$1,Produccion_Semanal!$B$2:$B$833,$A45)</f>
        <v>0.846538982902619</v>
      </c>
      <c r="H45" s="31" t="n">
        <f aca="false">SUMIFS(Produccion_Semanal!$S$2:$S$833,Produccion_Semanal!$E$2:$E$833,H$1,Produccion_Semanal!$B$2:$B$833,$A45)</f>
        <v>0.772256930886373</v>
      </c>
      <c r="I45" s="31" t="n">
        <f aca="false">SUMIFS(Produccion_Semanal!$S$2:$S$833,Produccion_Semanal!$E$2:$E$833,I$1,Produccion_Semanal!$B$2:$B$833,$A45)</f>
        <v>0.812753188297074</v>
      </c>
    </row>
    <row r="46" customFormat="false" ht="15" hidden="false" customHeight="false" outlineLevel="0" collapsed="false">
      <c r="A46" s="9" t="n">
        <v>45859</v>
      </c>
      <c r="B46" s="31" t="n">
        <f aca="false">SUMIFS(Produccion_Semanal!$S$2:$S$833,Produccion_Semanal!$E$2:$E$833,B$1,Produccion_Semanal!$B$2:$B$833,$A46)</f>
        <v>0.867957437707197</v>
      </c>
      <c r="C46" s="31" t="n">
        <f aca="false">SUMIFS(Produccion_Semanal!$S$2:$S$833,Produccion_Semanal!$E$2:$E$833,C$1,Produccion_Semanal!$B$2:$B$833,$A46)</f>
        <v>0.83845656364654</v>
      </c>
      <c r="D46" s="31" t="n">
        <f aca="false">SUMIFS(Produccion_Semanal!$S$2:$S$833,Produccion_Semanal!$E$2:$E$833,D$1,Produccion_Semanal!$B$2:$B$833,$A46)</f>
        <v>0.780664076424039</v>
      </c>
      <c r="E46" s="31" t="n">
        <f aca="false">SUMIFS(Produccion_Semanal!$S$2:$S$833,Produccion_Semanal!$E$2:$E$833,E$1,Produccion_Semanal!$B$2:$B$833,$A46)</f>
        <v>0.790918439716312</v>
      </c>
      <c r="F46" s="31" t="n">
        <f aca="false">SUMIFS(Produccion_Semanal!$S$2:$S$833,Produccion_Semanal!$E$2:$E$833,F$1,Produccion_Semanal!$B$2:$B$833,$A46)</f>
        <v>0.756042378673958</v>
      </c>
      <c r="G46" s="31" t="n">
        <f aca="false">SUMIFS(Produccion_Semanal!$S$2:$S$833,Produccion_Semanal!$E$2:$E$833,G$1,Produccion_Semanal!$B$2:$B$833,$A46)</f>
        <v>0.852274870344177</v>
      </c>
      <c r="H46" s="31" t="n">
        <f aca="false">SUMIFS(Produccion_Semanal!$S$2:$S$833,Produccion_Semanal!$E$2:$E$833,H$1,Produccion_Semanal!$B$2:$B$833,$A46)</f>
        <v>0.728316524437549</v>
      </c>
      <c r="I46" s="31" t="n">
        <f aca="false">SUMIFS(Produccion_Semanal!$S$2:$S$833,Produccion_Semanal!$E$2:$E$833,I$1,Produccion_Semanal!$B$2:$B$833,$A46)</f>
        <v>0.835787182415073</v>
      </c>
    </row>
    <row r="47" customFormat="false" ht="15" hidden="false" customHeight="false" outlineLevel="0" collapsed="false">
      <c r="A47" s="9" t="n">
        <v>45866</v>
      </c>
      <c r="B47" s="31" t="n">
        <f aca="false">SUMIFS(Produccion_Semanal!$S$2:$S$833,Produccion_Semanal!$E$2:$E$833,B$1,Produccion_Semanal!$B$2:$B$833,$A47)</f>
        <v>0.791369082125604</v>
      </c>
      <c r="C47" s="31" t="n">
        <f aca="false">SUMIFS(Produccion_Semanal!$S$2:$S$833,Produccion_Semanal!$E$2:$E$833,C$1,Produccion_Semanal!$B$2:$B$833,$A47)</f>
        <v>0.810725730442978</v>
      </c>
      <c r="D47" s="31" t="n">
        <f aca="false">SUMIFS(Produccion_Semanal!$S$2:$S$833,Produccion_Semanal!$E$2:$E$833,D$1,Produccion_Semanal!$B$2:$B$833,$A47)</f>
        <v>0.78556600777963</v>
      </c>
      <c r="E47" s="31" t="n">
        <f aca="false">SUMIFS(Produccion_Semanal!$S$2:$S$833,Produccion_Semanal!$E$2:$E$833,E$1,Produccion_Semanal!$B$2:$B$833,$A47)</f>
        <v>0.808077094474153</v>
      </c>
      <c r="F47" s="31" t="n">
        <f aca="false">SUMIFS(Produccion_Semanal!$S$2:$S$833,Produccion_Semanal!$E$2:$E$833,F$1,Produccion_Semanal!$B$2:$B$833,$A47)</f>
        <v>0.809569794050343</v>
      </c>
      <c r="G47" s="31" t="n">
        <f aca="false">SUMIFS(Produccion_Semanal!$S$2:$S$833,Produccion_Semanal!$E$2:$E$833,G$1,Produccion_Semanal!$B$2:$B$833,$A47)</f>
        <v>0.841038103441204</v>
      </c>
      <c r="H47" s="31" t="n">
        <f aca="false">SUMIFS(Produccion_Semanal!$S$2:$S$833,Produccion_Semanal!$E$2:$E$833,H$1,Produccion_Semanal!$B$2:$B$833,$A47)</f>
        <v>0.697997181218011</v>
      </c>
      <c r="I47" s="31" t="n">
        <f aca="false">SUMIFS(Produccion_Semanal!$S$2:$S$833,Produccion_Semanal!$E$2:$E$833,I$1,Produccion_Semanal!$B$2:$B$833,$A47)</f>
        <v>0.828064093349681</v>
      </c>
    </row>
    <row r="48" customFormat="false" ht="15" hidden="false" customHeight="false" outlineLevel="0" collapsed="false">
      <c r="A48" s="9" t="n">
        <v>45873</v>
      </c>
      <c r="B48" s="31" t="n">
        <f aca="false">SUMIFS(Produccion_Semanal!$S$2:$S$833,Produccion_Semanal!$E$2:$E$833,B$1,Produccion_Semanal!$B$2:$B$833,$A48)</f>
        <v>0.793905841325196</v>
      </c>
      <c r="C48" s="31" t="n">
        <f aca="false">SUMIFS(Produccion_Semanal!$S$2:$S$833,Produccion_Semanal!$E$2:$E$833,C$1,Produccion_Semanal!$B$2:$B$833,$A48)</f>
        <v>0.833155053039446</v>
      </c>
      <c r="D48" s="31" t="n">
        <f aca="false">SUMIFS(Produccion_Semanal!$S$2:$S$833,Produccion_Semanal!$E$2:$E$833,D$1,Produccion_Semanal!$B$2:$B$833,$A48)</f>
        <v>0.836595737295196</v>
      </c>
      <c r="E48" s="31" t="n">
        <f aca="false">SUMIFS(Produccion_Semanal!$S$2:$S$833,Produccion_Semanal!$E$2:$E$833,E$1,Produccion_Semanal!$B$2:$B$833,$A48)</f>
        <v>0.790289122957868</v>
      </c>
      <c r="F48" s="31" t="n">
        <f aca="false">SUMIFS(Produccion_Semanal!$S$2:$S$833,Produccion_Semanal!$E$2:$E$833,F$1,Produccion_Semanal!$B$2:$B$833,$A48)</f>
        <v>0.75243814301505</v>
      </c>
      <c r="G48" s="31" t="n">
        <f aca="false">SUMIFS(Produccion_Semanal!$S$2:$S$833,Produccion_Semanal!$E$2:$E$833,G$1,Produccion_Semanal!$B$2:$B$833,$A48)</f>
        <v>0.845757049311773</v>
      </c>
      <c r="H48" s="31" t="n">
        <f aca="false">SUMIFS(Produccion_Semanal!$S$2:$S$833,Produccion_Semanal!$E$2:$E$833,H$1,Produccion_Semanal!$B$2:$B$833,$A48)</f>
        <v>0.739572192513369</v>
      </c>
      <c r="I48" s="31" t="n">
        <f aca="false">SUMIFS(Produccion_Semanal!$S$2:$S$833,Produccion_Semanal!$E$2:$E$833,I$1,Produccion_Semanal!$B$2:$B$833,$A48)</f>
        <v>0.765732359417048</v>
      </c>
    </row>
    <row r="49" customFormat="false" ht="15" hidden="false" customHeight="false" outlineLevel="0" collapsed="false">
      <c r="A49" s="9" t="n">
        <v>45880</v>
      </c>
      <c r="B49" s="31" t="n">
        <f aca="false">SUMIFS(Produccion_Semanal!$S$2:$S$833,Produccion_Semanal!$E$2:$E$833,B$1,Produccion_Semanal!$B$2:$B$833,$A49)</f>
        <v>0.833453167679972</v>
      </c>
      <c r="C49" s="31" t="n">
        <f aca="false">SUMIFS(Produccion_Semanal!$S$2:$S$833,Produccion_Semanal!$E$2:$E$833,C$1,Produccion_Semanal!$B$2:$B$833,$A49)</f>
        <v>0.81479710342943</v>
      </c>
      <c r="D49" s="31" t="n">
        <f aca="false">SUMIFS(Produccion_Semanal!$S$2:$S$833,Produccion_Semanal!$E$2:$E$833,D$1,Produccion_Semanal!$B$2:$B$833,$A49)</f>
        <v>0.843865628042843</v>
      </c>
      <c r="E49" s="31" t="n">
        <f aca="false">SUMIFS(Produccion_Semanal!$S$2:$S$833,Produccion_Semanal!$E$2:$E$833,E$1,Produccion_Semanal!$B$2:$B$833,$A49)</f>
        <v>0.790812713974479</v>
      </c>
      <c r="F49" s="31" t="n">
        <f aca="false">SUMIFS(Produccion_Semanal!$S$2:$S$833,Produccion_Semanal!$E$2:$E$833,F$1,Produccion_Semanal!$B$2:$B$833,$A49)</f>
        <v>0.685679764148664</v>
      </c>
      <c r="G49" s="31" t="n">
        <f aca="false">SUMIFS(Produccion_Semanal!$S$2:$S$833,Produccion_Semanal!$E$2:$E$833,G$1,Produccion_Semanal!$B$2:$B$833,$A49)</f>
        <v>0.849524245995373</v>
      </c>
      <c r="H49" s="31" t="n">
        <f aca="false">SUMIFS(Produccion_Semanal!$S$2:$S$833,Produccion_Semanal!$E$2:$E$833,H$1,Produccion_Semanal!$B$2:$B$833,$A49)</f>
        <v>0.798235028394424</v>
      </c>
      <c r="I49" s="31" t="n">
        <f aca="false">SUMIFS(Produccion_Semanal!$S$2:$S$833,Produccion_Semanal!$E$2:$E$833,I$1,Produccion_Semanal!$B$2:$B$833,$A49)</f>
        <v>0.821675155631013</v>
      </c>
    </row>
    <row r="50" customFormat="false" ht="15" hidden="false" customHeight="false" outlineLevel="0" collapsed="false">
      <c r="A50" s="9" t="n">
        <v>45887</v>
      </c>
      <c r="B50" s="31" t="n">
        <f aca="false">SUMIFS(Produccion_Semanal!$S$2:$S$833,Produccion_Semanal!$E$2:$E$833,B$1,Produccion_Semanal!$B$2:$B$833,$A50)</f>
        <v>0.760274544911967</v>
      </c>
      <c r="C50" s="31" t="n">
        <f aca="false">SUMIFS(Produccion_Semanal!$S$2:$S$833,Produccion_Semanal!$E$2:$E$833,C$1,Produccion_Semanal!$B$2:$B$833,$A50)</f>
        <v>0.814144562334218</v>
      </c>
      <c r="D50" s="31" t="n">
        <f aca="false">SUMIFS(Produccion_Semanal!$S$2:$S$833,Produccion_Semanal!$E$2:$E$833,D$1,Produccion_Semanal!$B$2:$B$833,$A50)</f>
        <v>0.808499588646648</v>
      </c>
      <c r="E50" s="31" t="n">
        <f aca="false">SUMIFS(Produccion_Semanal!$S$2:$S$833,Produccion_Semanal!$E$2:$E$833,E$1,Produccion_Semanal!$B$2:$B$833,$A50)</f>
        <v>0.737784562977733</v>
      </c>
      <c r="F50" s="31" t="n">
        <f aca="false">SUMIFS(Produccion_Semanal!$S$2:$S$833,Produccion_Semanal!$E$2:$E$833,F$1,Produccion_Semanal!$B$2:$B$833,$A50)</f>
        <v>0.770275119617225</v>
      </c>
      <c r="G50" s="31" t="n">
        <f aca="false">SUMIFS(Produccion_Semanal!$S$2:$S$833,Produccion_Semanal!$E$2:$E$833,G$1,Produccion_Semanal!$B$2:$B$833,$A50)</f>
        <v>0.83569885361552</v>
      </c>
      <c r="H50" s="31" t="n">
        <f aca="false">SUMIFS(Produccion_Semanal!$S$2:$S$833,Produccion_Semanal!$E$2:$E$833,H$1,Produccion_Semanal!$B$2:$B$833,$A50)</f>
        <v>0.768313310621003</v>
      </c>
      <c r="I50" s="31" t="n">
        <f aca="false">SUMIFS(Produccion_Semanal!$S$2:$S$833,Produccion_Semanal!$E$2:$E$833,I$1,Produccion_Semanal!$B$2:$B$833,$A50)</f>
        <v>0.86814243064152</v>
      </c>
    </row>
    <row r="51" customFormat="false" ht="15" hidden="false" customHeight="false" outlineLevel="0" collapsed="false">
      <c r="A51" s="9" t="n">
        <v>45894</v>
      </c>
      <c r="B51" s="31" t="n">
        <f aca="false">SUMIFS(Produccion_Semanal!$S$2:$S$833,Produccion_Semanal!$E$2:$E$833,B$1,Produccion_Semanal!$B$2:$B$833,$A51)</f>
        <v>0.824623097256403</v>
      </c>
      <c r="C51" s="31" t="n">
        <f aca="false">SUMIFS(Produccion_Semanal!$S$2:$S$833,Produccion_Semanal!$E$2:$E$833,C$1,Produccion_Semanal!$B$2:$B$833,$A51)</f>
        <v>0.793132997843278</v>
      </c>
      <c r="D51" s="31" t="n">
        <f aca="false">SUMIFS(Produccion_Semanal!$S$2:$S$833,Produccion_Semanal!$E$2:$E$833,D$1,Produccion_Semanal!$B$2:$B$833,$A51)</f>
        <v>0.732796926120368</v>
      </c>
      <c r="E51" s="31" t="n">
        <f aca="false">SUMIFS(Produccion_Semanal!$S$2:$S$833,Produccion_Semanal!$E$2:$E$833,E$1,Produccion_Semanal!$B$2:$B$833,$A51)</f>
        <v>0.833297736810552</v>
      </c>
      <c r="F51" s="31" t="n">
        <f aca="false">SUMIFS(Produccion_Semanal!$S$2:$S$833,Produccion_Semanal!$E$2:$E$833,F$1,Produccion_Semanal!$B$2:$B$833,$A51)</f>
        <v>0.771638223624456</v>
      </c>
      <c r="G51" s="31" t="n">
        <f aca="false">SUMIFS(Produccion_Semanal!$S$2:$S$833,Produccion_Semanal!$E$2:$E$833,G$1,Produccion_Semanal!$B$2:$B$833,$A51)</f>
        <v>0.857498527479498</v>
      </c>
      <c r="H51" s="31" t="n">
        <f aca="false">SUMIFS(Produccion_Semanal!$S$2:$S$833,Produccion_Semanal!$E$2:$E$833,H$1,Produccion_Semanal!$B$2:$B$833,$A51)</f>
        <v>0.812554171180932</v>
      </c>
      <c r="I51" s="31" t="n">
        <f aca="false">SUMIFS(Produccion_Semanal!$S$2:$S$833,Produccion_Semanal!$E$2:$E$833,I$1,Produccion_Semanal!$B$2:$B$833,$A51)</f>
        <v>0.765351793491732</v>
      </c>
    </row>
    <row r="52" customFormat="false" ht="15" hidden="false" customHeight="false" outlineLevel="0" collapsed="false">
      <c r="A52" s="9" t="n">
        <v>45901</v>
      </c>
      <c r="B52" s="31" t="n">
        <f aca="false">SUMIFS(Produccion_Semanal!$S$2:$S$833,Produccion_Semanal!$E$2:$E$833,B$1,Produccion_Semanal!$B$2:$B$833,$A52)</f>
        <v>0.832490672490672</v>
      </c>
      <c r="C52" s="31" t="n">
        <f aca="false">SUMIFS(Produccion_Semanal!$S$2:$S$833,Produccion_Semanal!$E$2:$E$833,C$1,Produccion_Semanal!$B$2:$B$833,$A52)</f>
        <v>0.823930046463604</v>
      </c>
      <c r="D52" s="31" t="n">
        <f aca="false">SUMIFS(Produccion_Semanal!$S$2:$S$833,Produccion_Semanal!$E$2:$E$833,D$1,Produccion_Semanal!$B$2:$B$833,$A52)</f>
        <v>0.703146708304123</v>
      </c>
      <c r="E52" s="31" t="n">
        <f aca="false">SUMIFS(Produccion_Semanal!$S$2:$S$833,Produccion_Semanal!$E$2:$E$833,E$1,Produccion_Semanal!$B$2:$B$833,$A52)</f>
        <v>0.773410379029401</v>
      </c>
      <c r="F52" s="31" t="n">
        <f aca="false">SUMIFS(Produccion_Semanal!$S$2:$S$833,Produccion_Semanal!$E$2:$E$833,F$1,Produccion_Semanal!$B$2:$B$833,$A52)</f>
        <v>0.822405153901217</v>
      </c>
      <c r="G52" s="31" t="n">
        <f aca="false">SUMIFS(Produccion_Semanal!$S$2:$S$833,Produccion_Semanal!$E$2:$E$833,G$1,Produccion_Semanal!$B$2:$B$833,$A52)</f>
        <v>0.87338725069186</v>
      </c>
      <c r="H52" s="31" t="n">
        <f aca="false">SUMIFS(Produccion_Semanal!$S$2:$S$833,Produccion_Semanal!$E$2:$E$833,H$1,Produccion_Semanal!$B$2:$B$833,$A52)</f>
        <v>0.719553523399677</v>
      </c>
      <c r="I52" s="31" t="n">
        <f aca="false">SUMIFS(Produccion_Semanal!$S$2:$S$833,Produccion_Semanal!$E$2:$E$833,I$1,Produccion_Semanal!$B$2:$B$833,$A52)</f>
        <v>0.780126866248936</v>
      </c>
    </row>
    <row r="53" customFormat="false" ht="15" hidden="false" customHeight="false" outlineLevel="0" collapsed="false">
      <c r="A53" s="9" t="n">
        <v>45908</v>
      </c>
      <c r="B53" s="31" t="n">
        <f aca="false">SUMIFS(Produccion_Semanal!$S$2:$S$833,Produccion_Semanal!$E$2:$E$833,B$1,Produccion_Semanal!$B$2:$B$833,$A53)</f>
        <v>0.813811254267151</v>
      </c>
      <c r="C53" s="31" t="n">
        <f aca="false">SUMIFS(Produccion_Semanal!$S$2:$S$833,Produccion_Semanal!$E$2:$E$833,C$1,Produccion_Semanal!$B$2:$B$833,$A53)</f>
        <v>0.805430373485036</v>
      </c>
      <c r="D53" s="31" t="n">
        <f aca="false">SUMIFS(Produccion_Semanal!$S$2:$S$833,Produccion_Semanal!$E$2:$E$833,D$1,Produccion_Semanal!$B$2:$B$833,$A53)</f>
        <v>0.796556100499054</v>
      </c>
      <c r="E53" s="31" t="n">
        <f aca="false">SUMIFS(Produccion_Semanal!$S$2:$S$833,Produccion_Semanal!$E$2:$E$833,E$1,Produccion_Semanal!$B$2:$B$833,$A53)</f>
        <v>0.835040436005626</v>
      </c>
      <c r="F53" s="31" t="n">
        <f aca="false">SUMIFS(Produccion_Semanal!$S$2:$S$833,Produccion_Semanal!$E$2:$E$833,F$1,Produccion_Semanal!$B$2:$B$833,$A53)</f>
        <v>0.715881890855321</v>
      </c>
      <c r="G53" s="31" t="n">
        <f aca="false">SUMIFS(Produccion_Semanal!$S$2:$S$833,Produccion_Semanal!$E$2:$E$833,G$1,Produccion_Semanal!$B$2:$B$833,$A53)</f>
        <v>0.838414959066027</v>
      </c>
      <c r="H53" s="31" t="n">
        <f aca="false">SUMIFS(Produccion_Semanal!$S$2:$S$833,Produccion_Semanal!$E$2:$E$833,H$1,Produccion_Semanal!$B$2:$B$833,$A53)</f>
        <v>0.823260429930342</v>
      </c>
      <c r="I53" s="31" t="n">
        <f aca="false">SUMIFS(Produccion_Semanal!$S$2:$S$833,Produccion_Semanal!$E$2:$E$833,I$1,Produccion_Semanal!$B$2:$B$833,$A53)</f>
        <v>0.805874519088488</v>
      </c>
    </row>
    <row r="54" customFormat="false" ht="15" hidden="false" customHeight="false" outlineLevel="0" collapsed="false">
      <c r="A54" s="9" t="n">
        <v>45915</v>
      </c>
      <c r="B54" s="31" t="n">
        <f aca="false">SUMIFS(Produccion_Semanal!$S$2:$S$833,Produccion_Semanal!$E$2:$E$833,B$1,Produccion_Semanal!$B$2:$B$833,$A54)</f>
        <v>0.855353909465021</v>
      </c>
      <c r="C54" s="31" t="n">
        <f aca="false">SUMIFS(Produccion_Semanal!$S$2:$S$833,Produccion_Semanal!$E$2:$E$833,C$1,Produccion_Semanal!$B$2:$B$833,$A54)</f>
        <v>0.798847431638129</v>
      </c>
      <c r="D54" s="31" t="n">
        <f aca="false">SUMIFS(Produccion_Semanal!$S$2:$S$833,Produccion_Semanal!$E$2:$E$833,D$1,Produccion_Semanal!$B$2:$B$833,$A54)</f>
        <v>0.805294158894888</v>
      </c>
      <c r="E54" s="31" t="n">
        <f aca="false">SUMIFS(Produccion_Semanal!$S$2:$S$833,Produccion_Semanal!$E$2:$E$833,E$1,Produccion_Semanal!$B$2:$B$833,$A54)</f>
        <v>0.726742753623188</v>
      </c>
      <c r="F54" s="31" t="n">
        <f aca="false">SUMIFS(Produccion_Semanal!$S$2:$S$833,Produccion_Semanal!$E$2:$E$833,F$1,Produccion_Semanal!$B$2:$B$833,$A54)</f>
        <v>0.840903031499951</v>
      </c>
      <c r="G54" s="31" t="n">
        <f aca="false">SUMIFS(Produccion_Semanal!$S$2:$S$833,Produccion_Semanal!$E$2:$E$833,G$1,Produccion_Semanal!$B$2:$B$833,$A54)</f>
        <v>0.850556297285269</v>
      </c>
      <c r="H54" s="31" t="n">
        <f aca="false">SUMIFS(Produccion_Semanal!$S$2:$S$833,Produccion_Semanal!$E$2:$E$833,H$1,Produccion_Semanal!$B$2:$B$833,$A54)</f>
        <v>0.717496516829215</v>
      </c>
      <c r="I54" s="31" t="n">
        <f aca="false">SUMIFS(Produccion_Semanal!$S$2:$S$833,Produccion_Semanal!$E$2:$E$833,I$1,Produccion_Semanal!$B$2:$B$833,$A54)</f>
        <v>0.791933271383689</v>
      </c>
    </row>
    <row r="55" customFormat="false" ht="15" hidden="false" customHeight="false" outlineLevel="0" collapsed="false">
      <c r="A55" s="9" t="n">
        <v>45922</v>
      </c>
      <c r="B55" s="31" t="n">
        <f aca="false">SUMIFS(Produccion_Semanal!$S$2:$S$833,Produccion_Semanal!$E$2:$E$833,B$1,Produccion_Semanal!$B$2:$B$833,$A55)</f>
        <v>0.848885169688517</v>
      </c>
      <c r="C55" s="31" t="n">
        <f aca="false">SUMIFS(Produccion_Semanal!$S$2:$S$833,Produccion_Semanal!$E$2:$E$833,C$1,Produccion_Semanal!$B$2:$B$833,$A55)</f>
        <v>0.831935740646935</v>
      </c>
      <c r="D55" s="31" t="n">
        <f aca="false">SUMIFS(Produccion_Semanal!$S$2:$S$833,Produccion_Semanal!$E$2:$E$833,D$1,Produccion_Semanal!$B$2:$B$833,$A55)</f>
        <v>0.731554636951833</v>
      </c>
      <c r="E55" s="31" t="n">
        <f aca="false">SUMIFS(Produccion_Semanal!$S$2:$S$833,Produccion_Semanal!$E$2:$E$833,E$1,Produccion_Semanal!$B$2:$B$833,$A55)</f>
        <v>0.77900868878357</v>
      </c>
      <c r="F55" s="31" t="n">
        <f aca="false">SUMIFS(Produccion_Semanal!$S$2:$S$833,Produccion_Semanal!$E$2:$E$833,F$1,Produccion_Semanal!$B$2:$B$833,$A55)</f>
        <v>0.776785806518259</v>
      </c>
      <c r="G55" s="31" t="n">
        <f aca="false">SUMIFS(Produccion_Semanal!$S$2:$S$833,Produccion_Semanal!$E$2:$E$833,G$1,Produccion_Semanal!$B$2:$B$833,$A55)</f>
        <v>0.820416835289357</v>
      </c>
      <c r="H55" s="31" t="n">
        <f aca="false">SUMIFS(Produccion_Semanal!$S$2:$S$833,Produccion_Semanal!$E$2:$E$833,H$1,Produccion_Semanal!$B$2:$B$833,$A55)</f>
        <v>0.798540453570334</v>
      </c>
      <c r="I55" s="31" t="n">
        <f aca="false">SUMIFS(Produccion_Semanal!$S$2:$S$833,Produccion_Semanal!$E$2:$E$833,I$1,Produccion_Semanal!$B$2:$B$833,$A55)</f>
        <v>0.735958076597801</v>
      </c>
    </row>
    <row r="56" customFormat="false" ht="15" hidden="false" customHeight="false" outlineLevel="0" collapsed="false">
      <c r="A56" s="9" t="n">
        <v>45929</v>
      </c>
      <c r="B56" s="31" t="n">
        <f aca="false">SUMIFS(Produccion_Semanal!$S$2:$S$833,Produccion_Semanal!$E$2:$E$833,B$1,Produccion_Semanal!$B$2:$B$833,$A56)</f>
        <v>0.850918003565062</v>
      </c>
      <c r="C56" s="31" t="n">
        <f aca="false">SUMIFS(Produccion_Semanal!$S$2:$S$833,Produccion_Semanal!$E$2:$E$833,C$1,Produccion_Semanal!$B$2:$B$833,$A56)</f>
        <v>0.838973016512284</v>
      </c>
      <c r="D56" s="31" t="n">
        <f aca="false">SUMIFS(Produccion_Semanal!$S$2:$S$833,Produccion_Semanal!$E$2:$E$833,D$1,Produccion_Semanal!$B$2:$B$833,$A56)</f>
        <v>0.739896945160103</v>
      </c>
      <c r="E56" s="31" t="n">
        <f aca="false">SUMIFS(Produccion_Semanal!$S$2:$S$833,Produccion_Semanal!$E$2:$E$833,E$1,Produccion_Semanal!$B$2:$B$833,$A56)</f>
        <v>0.769576663858467</v>
      </c>
      <c r="F56" s="31" t="n">
        <f aca="false">SUMIFS(Produccion_Semanal!$S$2:$S$833,Produccion_Semanal!$E$2:$E$833,F$1,Produccion_Semanal!$B$2:$B$833,$A56)</f>
        <v>0.762843758611188</v>
      </c>
      <c r="G56" s="31" t="n">
        <f aca="false">SUMIFS(Produccion_Semanal!$S$2:$S$833,Produccion_Semanal!$E$2:$E$833,G$1,Produccion_Semanal!$B$2:$B$833,$A56)</f>
        <v>0.845374362023686</v>
      </c>
      <c r="H56" s="31" t="n">
        <f aca="false">SUMIFS(Produccion_Semanal!$S$2:$S$833,Produccion_Semanal!$E$2:$E$833,H$1,Produccion_Semanal!$B$2:$B$833,$A56)</f>
        <v>0.751079622132254</v>
      </c>
      <c r="I56" s="31" t="n">
        <f aca="false">SUMIFS(Produccion_Semanal!$S$2:$S$833,Produccion_Semanal!$E$2:$E$833,I$1,Produccion_Semanal!$B$2:$B$833,$A56)</f>
        <v>0.785975050137666</v>
      </c>
    </row>
    <row r="57" customFormat="false" ht="15" hidden="false" customHeight="false" outlineLevel="0" collapsed="false">
      <c r="A57" s="9" t="n">
        <v>45936</v>
      </c>
      <c r="B57" s="31" t="n">
        <f aca="false">SUMIFS(Produccion_Semanal!$S$2:$S$833,Produccion_Semanal!$E$2:$E$833,B$1,Produccion_Semanal!$B$2:$B$833,$A57)</f>
        <v>0.865678008631938</v>
      </c>
      <c r="C57" s="31" t="n">
        <f aca="false">SUMIFS(Produccion_Semanal!$S$2:$S$833,Produccion_Semanal!$E$2:$E$833,C$1,Produccion_Semanal!$B$2:$B$833,$A57)</f>
        <v>0.809946531688886</v>
      </c>
      <c r="D57" s="31" t="n">
        <f aca="false">SUMIFS(Produccion_Semanal!$S$2:$S$833,Produccion_Semanal!$E$2:$E$833,D$1,Produccion_Semanal!$B$2:$B$833,$A57)</f>
        <v>0.833309923159547</v>
      </c>
      <c r="E57" s="31" t="n">
        <f aca="false">SUMIFS(Produccion_Semanal!$S$2:$S$833,Produccion_Semanal!$E$2:$E$833,E$1,Produccion_Semanal!$B$2:$B$833,$A57)</f>
        <v>0.835024801587302</v>
      </c>
      <c r="F57" s="31" t="n">
        <f aca="false">SUMIFS(Produccion_Semanal!$S$2:$S$833,Produccion_Semanal!$E$2:$E$833,F$1,Produccion_Semanal!$B$2:$B$833,$A57)</f>
        <v>0.751295762236642</v>
      </c>
      <c r="G57" s="31" t="n">
        <f aca="false">SUMIFS(Produccion_Semanal!$S$2:$S$833,Produccion_Semanal!$E$2:$E$833,G$1,Produccion_Semanal!$B$2:$B$833,$A57)</f>
        <v>0.842124347076424</v>
      </c>
      <c r="H57" s="31" t="n">
        <f aca="false">SUMIFS(Produccion_Semanal!$S$2:$S$833,Produccion_Semanal!$E$2:$E$833,H$1,Produccion_Semanal!$B$2:$B$833,$A57)</f>
        <v>0.670510060445475</v>
      </c>
      <c r="I57" s="31" t="n">
        <f aca="false">SUMIFS(Produccion_Semanal!$S$2:$S$833,Produccion_Semanal!$E$2:$E$833,I$1,Produccion_Semanal!$B$2:$B$833,$A57)</f>
        <v>0.810998292748675</v>
      </c>
    </row>
    <row r="58" customFormat="false" ht="15" hidden="false" customHeight="false" outlineLevel="0" collapsed="false">
      <c r="A58" s="9" t="n">
        <v>45943</v>
      </c>
      <c r="B58" s="31" t="n">
        <f aca="false">SUMIFS(Produccion_Semanal!$S$2:$S$833,Produccion_Semanal!$E$2:$E$833,B$1,Produccion_Semanal!$B$2:$B$833,$A58)</f>
        <v>0.847377665069973</v>
      </c>
      <c r="C58" s="31" t="n">
        <f aca="false">SUMIFS(Produccion_Semanal!$S$2:$S$833,Produccion_Semanal!$E$2:$E$833,C$1,Produccion_Semanal!$B$2:$B$833,$A58)</f>
        <v>0.793385337667028</v>
      </c>
      <c r="D58" s="31" t="n">
        <f aca="false">SUMIFS(Produccion_Semanal!$S$2:$S$833,Produccion_Semanal!$E$2:$E$833,D$1,Produccion_Semanal!$B$2:$B$833,$A58)</f>
        <v>0.823025574769761</v>
      </c>
      <c r="E58" s="31" t="n">
        <f aca="false">SUMIFS(Produccion_Semanal!$S$2:$S$833,Produccion_Semanal!$E$2:$E$833,E$1,Produccion_Semanal!$B$2:$B$833,$A58)</f>
        <v>0.816030424799082</v>
      </c>
      <c r="F58" s="31" t="n">
        <f aca="false">SUMIFS(Produccion_Semanal!$S$2:$S$833,Produccion_Semanal!$E$2:$E$833,F$1,Produccion_Semanal!$B$2:$B$833,$A58)</f>
        <v>0.753530342249065</v>
      </c>
      <c r="G58" s="31" t="n">
        <f aca="false">SUMIFS(Produccion_Semanal!$S$2:$S$833,Produccion_Semanal!$E$2:$E$833,G$1,Produccion_Semanal!$B$2:$B$833,$A58)</f>
        <v>0.835900937812984</v>
      </c>
      <c r="H58" s="31" t="n">
        <f aca="false">SUMIFS(Produccion_Semanal!$S$2:$S$833,Produccion_Semanal!$E$2:$E$833,H$1,Produccion_Semanal!$B$2:$B$833,$A58)</f>
        <v>0.707521240805155</v>
      </c>
      <c r="I58" s="31" t="n">
        <f aca="false">SUMIFS(Produccion_Semanal!$S$2:$S$833,Produccion_Semanal!$E$2:$E$833,I$1,Produccion_Semanal!$B$2:$B$833,$A58)</f>
        <v>0.802421208750463</v>
      </c>
    </row>
    <row r="59" customFormat="false" ht="15" hidden="false" customHeight="false" outlineLevel="0" collapsed="false">
      <c r="A59" s="9" t="n">
        <v>45950</v>
      </c>
      <c r="B59" s="31" t="n">
        <f aca="false">SUMIFS(Produccion_Semanal!$S$2:$S$833,Produccion_Semanal!$E$2:$E$833,B$1,Produccion_Semanal!$B$2:$B$833,$A59)</f>
        <v>0.881786682152536</v>
      </c>
      <c r="C59" s="31" t="n">
        <f aca="false">SUMIFS(Produccion_Semanal!$S$2:$S$833,Produccion_Semanal!$E$2:$E$833,C$1,Produccion_Semanal!$B$2:$B$833,$A59)</f>
        <v>0.862768697044499</v>
      </c>
      <c r="D59" s="31" t="n">
        <f aca="false">SUMIFS(Produccion_Semanal!$S$2:$S$833,Produccion_Semanal!$E$2:$E$833,D$1,Produccion_Semanal!$B$2:$B$833,$A59)</f>
        <v>0.790668774513728</v>
      </c>
      <c r="E59" s="31" t="n">
        <f aca="false">SUMIFS(Produccion_Semanal!$S$2:$S$833,Produccion_Semanal!$E$2:$E$833,E$1,Produccion_Semanal!$B$2:$B$833,$A59)</f>
        <v>0.770225782038345</v>
      </c>
      <c r="F59" s="31" t="n">
        <f aca="false">SUMIFS(Produccion_Semanal!$S$2:$S$833,Produccion_Semanal!$E$2:$E$833,F$1,Produccion_Semanal!$B$2:$B$833,$A59)</f>
        <v>0.775092070299753</v>
      </c>
      <c r="G59" s="31" t="n">
        <f aca="false">SUMIFS(Produccion_Semanal!$S$2:$S$833,Produccion_Semanal!$E$2:$E$833,G$1,Produccion_Semanal!$B$2:$B$833,$A59)</f>
        <v>0.807966757415102</v>
      </c>
      <c r="H59" s="31" t="n">
        <f aca="false">SUMIFS(Produccion_Semanal!$S$2:$S$833,Produccion_Semanal!$E$2:$E$833,H$1,Produccion_Semanal!$B$2:$B$833,$A59)</f>
        <v>0.67701588951589</v>
      </c>
      <c r="I59" s="31" t="n">
        <f aca="false">SUMIFS(Produccion_Semanal!$S$2:$S$833,Produccion_Semanal!$E$2:$E$833,I$1,Produccion_Semanal!$B$2:$B$833,$A59)</f>
        <v>0.83336362259579</v>
      </c>
    </row>
    <row r="60" customFormat="false" ht="15" hidden="false" customHeight="false" outlineLevel="0" collapsed="false">
      <c r="A60" s="9" t="n">
        <v>45957</v>
      </c>
      <c r="B60" s="31" t="n">
        <f aca="false">SUMIFS(Produccion_Semanal!$S$2:$S$833,Produccion_Semanal!$E$2:$E$833,B$1,Produccion_Semanal!$B$2:$B$833,$A60)</f>
        <v>0.854182341453387</v>
      </c>
      <c r="C60" s="31" t="n">
        <f aca="false">SUMIFS(Produccion_Semanal!$S$2:$S$833,Produccion_Semanal!$E$2:$E$833,C$1,Produccion_Semanal!$B$2:$B$833,$A60)</f>
        <v>0.810732966036683</v>
      </c>
      <c r="D60" s="31" t="n">
        <f aca="false">SUMIFS(Produccion_Semanal!$S$2:$S$833,Produccion_Semanal!$E$2:$E$833,D$1,Produccion_Semanal!$B$2:$B$833,$A60)</f>
        <v>0.88308980493191</v>
      </c>
      <c r="E60" s="31" t="n">
        <f aca="false">SUMIFS(Produccion_Semanal!$S$2:$S$833,Produccion_Semanal!$E$2:$E$833,E$1,Produccion_Semanal!$B$2:$B$833,$A60)</f>
        <v>0.786860940695296</v>
      </c>
      <c r="F60" s="31" t="n">
        <f aca="false">SUMIFS(Produccion_Semanal!$S$2:$S$833,Produccion_Semanal!$E$2:$E$833,F$1,Produccion_Semanal!$B$2:$B$833,$A60)</f>
        <v>0.739212252749963</v>
      </c>
      <c r="G60" s="31" t="n">
        <f aca="false">SUMIFS(Produccion_Semanal!$S$2:$S$833,Produccion_Semanal!$E$2:$E$833,G$1,Produccion_Semanal!$B$2:$B$833,$A60)</f>
        <v>0.8262153555257</v>
      </c>
      <c r="H60" s="31" t="n">
        <f aca="false">SUMIFS(Produccion_Semanal!$S$2:$S$833,Produccion_Semanal!$E$2:$E$833,H$1,Produccion_Semanal!$B$2:$B$833,$A60)</f>
        <v>0.717938051964674</v>
      </c>
      <c r="I60" s="31" t="n">
        <f aca="false">SUMIFS(Produccion_Semanal!$S$2:$S$833,Produccion_Semanal!$E$2:$E$833,I$1,Produccion_Semanal!$B$2:$B$833,$A60)</f>
        <v>0.753866960528952</v>
      </c>
    </row>
    <row r="61" customFormat="false" ht="15" hidden="false" customHeight="false" outlineLevel="0" collapsed="false">
      <c r="A61" s="9" t="n">
        <v>45964</v>
      </c>
      <c r="B61" s="31" t="n">
        <f aca="false">SUMIFS(Produccion_Semanal!$S$2:$S$833,Produccion_Semanal!$E$2:$E$833,B$1,Produccion_Semanal!$B$2:$B$833,$A61)</f>
        <v>0.834563928873836</v>
      </c>
      <c r="C61" s="31" t="n">
        <f aca="false">SUMIFS(Produccion_Semanal!$S$2:$S$833,Produccion_Semanal!$E$2:$E$833,C$1,Produccion_Semanal!$B$2:$B$833,$A61)</f>
        <v>0.828701793256249</v>
      </c>
      <c r="D61" s="31" t="n">
        <f aca="false">SUMIFS(Produccion_Semanal!$S$2:$S$833,Produccion_Semanal!$E$2:$E$833,D$1,Produccion_Semanal!$B$2:$B$833,$A61)</f>
        <v>0.828151491365777</v>
      </c>
      <c r="E61" s="31" t="n">
        <f aca="false">SUMIFS(Produccion_Semanal!$S$2:$S$833,Produccion_Semanal!$E$2:$E$833,E$1,Produccion_Semanal!$B$2:$B$833,$A61)</f>
        <v>0.667453090507726</v>
      </c>
      <c r="F61" s="31" t="n">
        <f aca="false">SUMIFS(Produccion_Semanal!$S$2:$S$833,Produccion_Semanal!$E$2:$E$833,F$1,Produccion_Semanal!$B$2:$B$833,$A61)</f>
        <v>0.732977985385256</v>
      </c>
      <c r="G61" s="31" t="n">
        <f aca="false">SUMIFS(Produccion_Semanal!$S$2:$S$833,Produccion_Semanal!$E$2:$E$833,G$1,Produccion_Semanal!$B$2:$B$833,$A61)</f>
        <v>0.840920957215374</v>
      </c>
      <c r="H61" s="31" t="n">
        <f aca="false">SUMIFS(Produccion_Semanal!$S$2:$S$833,Produccion_Semanal!$E$2:$E$833,H$1,Produccion_Semanal!$B$2:$B$833,$A61)</f>
        <v>0.658534081576786</v>
      </c>
      <c r="I61" s="31" t="n">
        <f aca="false">SUMIFS(Produccion_Semanal!$S$2:$S$833,Produccion_Semanal!$E$2:$E$833,I$1,Produccion_Semanal!$B$2:$B$833,$A61)</f>
        <v>0.791165044305731</v>
      </c>
    </row>
    <row r="62" customFormat="false" ht="15" hidden="false" customHeight="false" outlineLevel="0" collapsed="false">
      <c r="A62" s="9" t="n">
        <v>45971</v>
      </c>
      <c r="B62" s="31" t="n">
        <f aca="false">SUMIFS(Produccion_Semanal!$S$2:$S$833,Produccion_Semanal!$E$2:$E$833,B$1,Produccion_Semanal!$B$2:$B$833,$A62)</f>
        <v>0.845836837678722</v>
      </c>
      <c r="C62" s="31" t="n">
        <f aca="false">SUMIFS(Produccion_Semanal!$S$2:$S$833,Produccion_Semanal!$E$2:$E$833,C$1,Produccion_Semanal!$B$2:$B$833,$A62)</f>
        <v>0.833649726451783</v>
      </c>
      <c r="D62" s="31" t="n">
        <f aca="false">SUMIFS(Produccion_Semanal!$S$2:$S$833,Produccion_Semanal!$E$2:$E$833,D$1,Produccion_Semanal!$B$2:$B$833,$A62)</f>
        <v>0.780972416057795</v>
      </c>
      <c r="E62" s="31" t="n">
        <f aca="false">SUMIFS(Produccion_Semanal!$S$2:$S$833,Produccion_Semanal!$E$2:$E$833,E$1,Produccion_Semanal!$B$2:$B$833,$A62)</f>
        <v>0.763047839506173</v>
      </c>
      <c r="F62" s="31" t="n">
        <f aca="false">SUMIFS(Produccion_Semanal!$S$2:$S$833,Produccion_Semanal!$E$2:$E$833,F$1,Produccion_Semanal!$B$2:$B$833,$A62)</f>
        <v>0.756918020645281</v>
      </c>
      <c r="G62" s="31" t="n">
        <f aca="false">SUMIFS(Produccion_Semanal!$S$2:$S$833,Produccion_Semanal!$E$2:$E$833,G$1,Produccion_Semanal!$B$2:$B$833,$A62)</f>
        <v>0.82494708994709</v>
      </c>
      <c r="H62" s="31" t="n">
        <f aca="false">SUMIFS(Produccion_Semanal!$S$2:$S$833,Produccion_Semanal!$E$2:$E$833,H$1,Produccion_Semanal!$B$2:$B$833,$A62)</f>
        <v>0.704508636412402</v>
      </c>
      <c r="I62" s="31" t="n">
        <f aca="false">SUMIFS(Produccion_Semanal!$S$2:$S$833,Produccion_Semanal!$E$2:$E$833,I$1,Produccion_Semanal!$B$2:$B$833,$A62)</f>
        <v>0.814846105706321</v>
      </c>
    </row>
    <row r="63" customFormat="false" ht="15" hidden="false" customHeight="false" outlineLevel="0" collapsed="false">
      <c r="A63" s="9" t="n">
        <v>45978</v>
      </c>
      <c r="B63" s="31" t="n">
        <f aca="false">SUMIFS(Produccion_Semanal!$S$2:$S$833,Produccion_Semanal!$E$2:$E$833,B$1,Produccion_Semanal!$B$2:$B$833,$A63)</f>
        <v>0.804963748413993</v>
      </c>
      <c r="C63" s="31" t="n">
        <f aca="false">SUMIFS(Produccion_Semanal!$S$2:$S$833,Produccion_Semanal!$E$2:$E$833,C$1,Produccion_Semanal!$B$2:$B$833,$A63)</f>
        <v>0.820429230769231</v>
      </c>
      <c r="D63" s="31" t="n">
        <f aca="false">SUMIFS(Produccion_Semanal!$S$2:$S$833,Produccion_Semanal!$E$2:$E$833,D$1,Produccion_Semanal!$B$2:$B$833,$A63)</f>
        <v>0.852754095219849</v>
      </c>
      <c r="E63" s="31" t="n">
        <f aca="false">SUMIFS(Produccion_Semanal!$S$2:$S$833,Produccion_Semanal!$E$2:$E$833,E$1,Produccion_Semanal!$B$2:$B$833,$A63)</f>
        <v>0.786276631158455</v>
      </c>
      <c r="F63" s="31" t="n">
        <f aca="false">SUMIFS(Produccion_Semanal!$S$2:$S$833,Produccion_Semanal!$E$2:$E$833,F$1,Produccion_Semanal!$B$2:$B$833,$A63)</f>
        <v>0.809531648504521</v>
      </c>
      <c r="G63" s="31" t="n">
        <f aca="false">SUMIFS(Produccion_Semanal!$S$2:$S$833,Produccion_Semanal!$E$2:$E$833,G$1,Produccion_Semanal!$B$2:$B$833,$A63)</f>
        <v>0.843829106366719</v>
      </c>
      <c r="H63" s="31" t="n">
        <f aca="false">SUMIFS(Produccion_Semanal!$S$2:$S$833,Produccion_Semanal!$E$2:$E$833,H$1,Produccion_Semanal!$B$2:$B$833,$A63)</f>
        <v>0.751381421346819</v>
      </c>
      <c r="I63" s="31" t="n">
        <f aca="false">SUMIFS(Produccion_Semanal!$S$2:$S$833,Produccion_Semanal!$E$2:$E$833,I$1,Produccion_Semanal!$B$2:$B$833,$A63)</f>
        <v>0.815425102521877</v>
      </c>
    </row>
    <row r="64" customFormat="false" ht="15" hidden="false" customHeight="false" outlineLevel="0" collapsed="false">
      <c r="A64" s="9" t="n">
        <v>45985</v>
      </c>
      <c r="B64" s="31" t="n">
        <f aca="false">SUMIFS(Produccion_Semanal!$S$2:$S$833,Produccion_Semanal!$E$2:$E$833,B$1,Produccion_Semanal!$B$2:$B$833,$A64)</f>
        <v>0.843398393819254</v>
      </c>
      <c r="C64" s="31" t="n">
        <f aca="false">SUMIFS(Produccion_Semanal!$S$2:$S$833,Produccion_Semanal!$E$2:$E$833,C$1,Produccion_Semanal!$B$2:$B$833,$A64)</f>
        <v>0.835115175205919</v>
      </c>
      <c r="D64" s="31" t="n">
        <f aca="false">SUMIFS(Produccion_Semanal!$S$2:$S$833,Produccion_Semanal!$E$2:$E$833,D$1,Produccion_Semanal!$B$2:$B$833,$A64)</f>
        <v>0.767535917390003</v>
      </c>
      <c r="E64" s="31" t="n">
        <f aca="false">SUMIFS(Produccion_Semanal!$S$2:$S$833,Produccion_Semanal!$E$2:$E$833,E$1,Produccion_Semanal!$B$2:$B$833,$A64)</f>
        <v>0.809669913419914</v>
      </c>
      <c r="F64" s="31" t="n">
        <f aca="false">SUMIFS(Produccion_Semanal!$S$2:$S$833,Produccion_Semanal!$E$2:$E$833,F$1,Produccion_Semanal!$B$2:$B$833,$A64)</f>
        <v>0.745339512101421</v>
      </c>
      <c r="G64" s="31" t="n">
        <f aca="false">SUMIFS(Produccion_Semanal!$S$2:$S$833,Produccion_Semanal!$E$2:$E$833,G$1,Produccion_Semanal!$B$2:$B$833,$A64)</f>
        <v>0.838087904566344</v>
      </c>
      <c r="H64" s="31" t="n">
        <f aca="false">SUMIFS(Produccion_Semanal!$S$2:$S$833,Produccion_Semanal!$E$2:$E$833,H$1,Produccion_Semanal!$B$2:$B$833,$A64)</f>
        <v>0.687923290796321</v>
      </c>
      <c r="I64" s="31" t="n">
        <f aca="false">SUMIFS(Produccion_Semanal!$S$2:$S$833,Produccion_Semanal!$E$2:$E$833,I$1,Produccion_Semanal!$B$2:$B$833,$A64)</f>
        <v>0.884900213380193</v>
      </c>
    </row>
    <row r="65" customFormat="false" ht="15" hidden="false" customHeight="false" outlineLevel="0" collapsed="false">
      <c r="A65" s="9" t="n">
        <v>45992</v>
      </c>
      <c r="B65" s="31" t="n">
        <f aca="false">SUMIFS(Produccion_Semanal!$S$2:$S$833,Produccion_Semanal!$E$2:$E$833,B$1,Produccion_Semanal!$B$2:$B$833,$A65)</f>
        <v>0.860397897897898</v>
      </c>
      <c r="C65" s="31" t="n">
        <f aca="false">SUMIFS(Produccion_Semanal!$S$2:$S$833,Produccion_Semanal!$E$2:$E$833,C$1,Produccion_Semanal!$B$2:$B$833,$A65)</f>
        <v>0.783896306910701</v>
      </c>
      <c r="D65" s="31" t="n">
        <f aca="false">SUMIFS(Produccion_Semanal!$S$2:$S$833,Produccion_Semanal!$E$2:$E$833,D$1,Produccion_Semanal!$B$2:$B$833,$A65)</f>
        <v>0.827125924747435</v>
      </c>
      <c r="E65" s="31" t="n">
        <f aca="false">SUMIFS(Produccion_Semanal!$S$2:$S$833,Produccion_Semanal!$E$2:$E$833,E$1,Produccion_Semanal!$B$2:$B$833,$A65)</f>
        <v>0.802205049818841</v>
      </c>
      <c r="F65" s="31" t="n">
        <f aca="false">SUMIFS(Produccion_Semanal!$S$2:$S$833,Produccion_Semanal!$E$2:$E$833,F$1,Produccion_Semanal!$B$2:$B$833,$A65)</f>
        <v>0.754048994437313</v>
      </c>
      <c r="G65" s="31" t="n">
        <f aca="false">SUMIFS(Produccion_Semanal!$S$2:$S$833,Produccion_Semanal!$E$2:$E$833,G$1,Produccion_Semanal!$B$2:$B$833,$A65)</f>
        <v>0.809830219007434</v>
      </c>
      <c r="H65" s="31" t="n">
        <f aca="false">SUMIFS(Produccion_Semanal!$S$2:$S$833,Produccion_Semanal!$E$2:$E$833,H$1,Produccion_Semanal!$B$2:$B$833,$A65)</f>
        <v>0.749589981281754</v>
      </c>
      <c r="I65" s="31" t="n">
        <f aca="false">SUMIFS(Produccion_Semanal!$S$2:$S$833,Produccion_Semanal!$E$2:$E$833,I$1,Produccion_Semanal!$B$2:$B$833,$A65)</f>
        <v>0.797883499651891</v>
      </c>
    </row>
    <row r="66" customFormat="false" ht="15" hidden="false" customHeight="false" outlineLevel="0" collapsed="false">
      <c r="A66" s="9" t="n">
        <v>45999</v>
      </c>
      <c r="B66" s="31" t="n">
        <f aca="false">SUMIFS(Produccion_Semanal!$S$2:$S$833,Produccion_Semanal!$E$2:$E$833,B$1,Produccion_Semanal!$B$2:$B$833,$A66)</f>
        <v>0.845343519384679</v>
      </c>
      <c r="C66" s="31" t="n">
        <f aca="false">SUMIFS(Produccion_Semanal!$S$2:$S$833,Produccion_Semanal!$E$2:$E$833,C$1,Produccion_Semanal!$B$2:$B$833,$A66)</f>
        <v>0.849573787277614</v>
      </c>
      <c r="D66" s="31" t="n">
        <f aca="false">SUMIFS(Produccion_Semanal!$S$2:$S$833,Produccion_Semanal!$E$2:$E$833,D$1,Produccion_Semanal!$B$2:$B$833,$A66)</f>
        <v>0.811986451048951</v>
      </c>
      <c r="E66" s="31" t="n">
        <f aca="false">SUMIFS(Produccion_Semanal!$S$2:$S$833,Produccion_Semanal!$E$2:$E$833,E$1,Produccion_Semanal!$B$2:$B$833,$A66)</f>
        <v>0.739241803278689</v>
      </c>
      <c r="F66" s="31" t="n">
        <f aca="false">SUMIFS(Produccion_Semanal!$S$2:$S$833,Produccion_Semanal!$E$2:$E$833,F$1,Produccion_Semanal!$B$2:$B$833,$A66)</f>
        <v>0.752763026447237</v>
      </c>
      <c r="G66" s="31" t="n">
        <f aca="false">SUMIFS(Produccion_Semanal!$S$2:$S$833,Produccion_Semanal!$E$2:$E$833,G$1,Produccion_Semanal!$B$2:$B$833,$A66)</f>
        <v>0.863067608476287</v>
      </c>
      <c r="H66" s="31" t="n">
        <f aca="false">SUMIFS(Produccion_Semanal!$S$2:$S$833,Produccion_Semanal!$E$2:$E$833,H$1,Produccion_Semanal!$B$2:$B$833,$A66)</f>
        <v>0.727055833712638</v>
      </c>
      <c r="I66" s="31" t="n">
        <f aca="false">SUMIFS(Produccion_Semanal!$S$2:$S$833,Produccion_Semanal!$E$2:$E$833,I$1,Produccion_Semanal!$B$2:$B$833,$A66)</f>
        <v>0.77140429218875</v>
      </c>
    </row>
    <row r="67" customFormat="false" ht="15" hidden="false" customHeight="false" outlineLevel="0" collapsed="false">
      <c r="A67" s="9" t="n">
        <v>46006</v>
      </c>
      <c r="B67" s="31" t="n">
        <f aca="false">SUMIFS(Produccion_Semanal!$S$2:$S$833,Produccion_Semanal!$E$2:$E$833,B$1,Produccion_Semanal!$B$2:$B$833,$A67)</f>
        <v>0.820240636116342</v>
      </c>
      <c r="C67" s="31" t="n">
        <f aca="false">SUMIFS(Produccion_Semanal!$S$2:$S$833,Produccion_Semanal!$E$2:$E$833,C$1,Produccion_Semanal!$B$2:$B$833,$A67)</f>
        <v>0.833967080953981</v>
      </c>
      <c r="D67" s="31" t="n">
        <f aca="false">SUMIFS(Produccion_Semanal!$S$2:$S$833,Produccion_Semanal!$E$2:$E$833,D$1,Produccion_Semanal!$B$2:$B$833,$A67)</f>
        <v>0.740545719712387</v>
      </c>
      <c r="E67" s="31" t="n">
        <f aca="false">SUMIFS(Produccion_Semanal!$S$2:$S$833,Produccion_Semanal!$E$2:$E$833,E$1,Produccion_Semanal!$B$2:$B$833,$A67)</f>
        <v>0.819071669071669</v>
      </c>
      <c r="F67" s="31" t="n">
        <f aca="false">SUMIFS(Produccion_Semanal!$S$2:$S$833,Produccion_Semanal!$E$2:$E$833,F$1,Produccion_Semanal!$B$2:$B$833,$A67)</f>
        <v>0.741647825858352</v>
      </c>
      <c r="G67" s="31" t="n">
        <f aca="false">SUMIFS(Produccion_Semanal!$S$2:$S$833,Produccion_Semanal!$E$2:$E$833,G$1,Produccion_Semanal!$B$2:$B$833,$A67)</f>
        <v>0.867013081019596</v>
      </c>
      <c r="H67" s="31" t="n">
        <f aca="false">SUMIFS(Produccion_Semanal!$S$2:$S$833,Produccion_Semanal!$E$2:$E$833,H$1,Produccion_Semanal!$B$2:$B$833,$A67)</f>
        <v>0.717356137838066</v>
      </c>
      <c r="I67" s="31" t="n">
        <f aca="false">SUMIFS(Produccion_Semanal!$S$2:$S$833,Produccion_Semanal!$E$2:$E$833,I$1,Produccion_Semanal!$B$2:$B$833,$A67)</f>
        <v>0.810582118879974</v>
      </c>
    </row>
    <row r="68" customFormat="false" ht="15" hidden="false" customHeight="false" outlineLevel="0" collapsed="false">
      <c r="A68" s="9" t="n">
        <v>46013</v>
      </c>
      <c r="B68" s="31" t="n">
        <f aca="false">SUMIFS(Produccion_Semanal!$S$2:$S$833,Produccion_Semanal!$E$2:$E$833,B$1,Produccion_Semanal!$B$2:$B$833,$A68)</f>
        <v>0.858992707947102</v>
      </c>
      <c r="C68" s="31" t="n">
        <f aca="false">SUMIFS(Produccion_Semanal!$S$2:$S$833,Produccion_Semanal!$E$2:$E$833,C$1,Produccion_Semanal!$B$2:$B$833,$A68)</f>
        <v>0.763090720938255</v>
      </c>
      <c r="D68" s="31" t="n">
        <f aca="false">SUMIFS(Produccion_Semanal!$S$2:$S$833,Produccion_Semanal!$E$2:$E$833,D$1,Produccion_Semanal!$B$2:$B$833,$A68)</f>
        <v>0.841377977814148</v>
      </c>
      <c r="E68" s="31" t="n">
        <f aca="false">SUMIFS(Produccion_Semanal!$S$2:$S$833,Produccion_Semanal!$E$2:$E$833,E$1,Produccion_Semanal!$B$2:$B$833,$A68)</f>
        <v>0.735684523809524</v>
      </c>
      <c r="F68" s="31" t="n">
        <f aca="false">SUMIFS(Produccion_Semanal!$S$2:$S$833,Produccion_Semanal!$E$2:$E$833,F$1,Produccion_Semanal!$B$2:$B$833,$A68)</f>
        <v>0.71428296685685</v>
      </c>
      <c r="G68" s="31" t="n">
        <f aca="false">SUMIFS(Produccion_Semanal!$S$2:$S$833,Produccion_Semanal!$E$2:$E$833,G$1,Produccion_Semanal!$B$2:$B$833,$A68)</f>
        <v>0.884992878816026</v>
      </c>
      <c r="H68" s="31" t="n">
        <f aca="false">SUMIFS(Produccion_Semanal!$S$2:$S$833,Produccion_Semanal!$E$2:$E$833,H$1,Produccion_Semanal!$B$2:$B$833,$A68)</f>
        <v>0.729808798796141</v>
      </c>
      <c r="I68" s="31" t="n">
        <f aca="false">SUMIFS(Produccion_Semanal!$S$2:$S$833,Produccion_Semanal!$E$2:$E$833,I$1,Produccion_Semanal!$B$2:$B$833,$A68)</f>
        <v>0.861621913858353</v>
      </c>
    </row>
    <row r="69" customFormat="false" ht="15" hidden="false" customHeight="false" outlineLevel="0" collapsed="false">
      <c r="A69" s="9" t="n">
        <v>46020</v>
      </c>
      <c r="B69" s="31" t="n">
        <f aca="false">SUMIFS(Produccion_Semanal!$S$2:$S$833,Produccion_Semanal!$E$2:$E$833,B$1,Produccion_Semanal!$B$2:$B$833,$A69)</f>
        <v>0.776137504828119</v>
      </c>
      <c r="C69" s="31" t="n">
        <f aca="false">SUMIFS(Produccion_Semanal!$S$2:$S$833,Produccion_Semanal!$E$2:$E$833,C$1,Produccion_Semanal!$B$2:$B$833,$A69)</f>
        <v>0.826045621045621</v>
      </c>
      <c r="D69" s="31" t="n">
        <f aca="false">SUMIFS(Produccion_Semanal!$S$2:$S$833,Produccion_Semanal!$E$2:$E$833,D$1,Produccion_Semanal!$B$2:$B$833,$A69)</f>
        <v>0.799225460862851</v>
      </c>
      <c r="E69" s="31" t="n">
        <f aca="false">SUMIFS(Produccion_Semanal!$S$2:$S$833,Produccion_Semanal!$E$2:$E$833,E$1,Produccion_Semanal!$B$2:$B$833,$A69)</f>
        <v>0.740393286573146</v>
      </c>
      <c r="F69" s="31" t="n">
        <f aca="false">SUMIFS(Produccion_Semanal!$S$2:$S$833,Produccion_Semanal!$E$2:$E$833,F$1,Produccion_Semanal!$B$2:$B$833,$A69)</f>
        <v>0.772935157442478</v>
      </c>
      <c r="G69" s="31" t="n">
        <f aca="false">SUMIFS(Produccion_Semanal!$S$2:$S$833,Produccion_Semanal!$E$2:$E$833,G$1,Produccion_Semanal!$B$2:$B$833,$A69)</f>
        <v>0.84518049155146</v>
      </c>
      <c r="H69" s="31" t="n">
        <f aca="false">SUMIFS(Produccion_Semanal!$S$2:$S$833,Produccion_Semanal!$E$2:$E$833,H$1,Produccion_Semanal!$B$2:$B$833,$A69)</f>
        <v>0.784685807150596</v>
      </c>
      <c r="I69" s="31" t="n">
        <f aca="false">SUMIFS(Produccion_Semanal!$S$2:$S$833,Produccion_Semanal!$E$2:$E$833,I$1,Produccion_Semanal!$B$2:$B$833,$A69)</f>
        <v>0.740632568051923</v>
      </c>
    </row>
    <row r="70" customFormat="false" ht="15" hidden="false" customHeight="false" outlineLevel="0" collapsed="false">
      <c r="A70" s="9" t="n">
        <v>46027</v>
      </c>
      <c r="B70" s="31" t="n">
        <f aca="false">SUMIFS(Produccion_Semanal!$S$2:$S$833,Produccion_Semanal!$E$2:$E$833,B$1,Produccion_Semanal!$B$2:$B$833,$A70)</f>
        <v>0.805867532723157</v>
      </c>
      <c r="C70" s="31" t="n">
        <f aca="false">SUMIFS(Produccion_Semanal!$S$2:$S$833,Produccion_Semanal!$E$2:$E$833,C$1,Produccion_Semanal!$B$2:$B$833,$A70)</f>
        <v>0.786164823962989</v>
      </c>
      <c r="D70" s="31" t="n">
        <f aca="false">SUMIFS(Produccion_Semanal!$S$2:$S$833,Produccion_Semanal!$E$2:$E$833,D$1,Produccion_Semanal!$B$2:$B$833,$A70)</f>
        <v>0.745843735372133</v>
      </c>
      <c r="E70" s="31" t="n">
        <f aca="false">SUMIFS(Produccion_Semanal!$S$2:$S$833,Produccion_Semanal!$E$2:$E$833,E$1,Produccion_Semanal!$B$2:$B$833,$A70)</f>
        <v>0.753199626865672</v>
      </c>
      <c r="F70" s="31" t="n">
        <f aca="false">SUMIFS(Produccion_Semanal!$S$2:$S$833,Produccion_Semanal!$E$2:$E$833,F$1,Produccion_Semanal!$B$2:$B$833,$A70)</f>
        <v>0.745262339999182</v>
      </c>
      <c r="G70" s="31" t="n">
        <f aca="false">SUMIFS(Produccion_Semanal!$S$2:$S$833,Produccion_Semanal!$E$2:$E$833,G$1,Produccion_Semanal!$B$2:$B$833,$A70)</f>
        <v>0.859043778801843</v>
      </c>
      <c r="H70" s="31" t="n">
        <f aca="false">SUMIFS(Produccion_Semanal!$S$2:$S$833,Produccion_Semanal!$E$2:$E$833,H$1,Produccion_Semanal!$B$2:$B$833,$A70)</f>
        <v>0.791420657737887</v>
      </c>
      <c r="I70" s="31" t="n">
        <f aca="false">SUMIFS(Produccion_Semanal!$S$2:$S$833,Produccion_Semanal!$E$2:$E$833,I$1,Produccion_Semanal!$B$2:$B$833,$A70)</f>
        <v>0.682924229599674</v>
      </c>
    </row>
    <row r="71" customFormat="false" ht="15" hidden="false" customHeight="false" outlineLevel="0" collapsed="false">
      <c r="A71" s="9" t="n">
        <v>46034</v>
      </c>
      <c r="B71" s="31" t="n">
        <f aca="false">SUMIFS(Produccion_Semanal!$S$2:$S$833,Produccion_Semanal!$E$2:$E$833,B$1,Produccion_Semanal!$B$2:$B$833,$A71)</f>
        <v>0.837873487348735</v>
      </c>
      <c r="C71" s="31" t="n">
        <f aca="false">SUMIFS(Produccion_Semanal!$S$2:$S$833,Produccion_Semanal!$E$2:$E$833,C$1,Produccion_Semanal!$B$2:$B$833,$A71)</f>
        <v>0.802000729128691</v>
      </c>
      <c r="D71" s="31" t="n">
        <f aca="false">SUMIFS(Produccion_Semanal!$S$2:$S$833,Produccion_Semanal!$E$2:$E$833,D$1,Produccion_Semanal!$B$2:$B$833,$A71)</f>
        <v>0.825931557306836</v>
      </c>
      <c r="E71" s="31" t="n">
        <f aca="false">SUMIFS(Produccion_Semanal!$S$2:$S$833,Produccion_Semanal!$E$2:$E$833,E$1,Produccion_Semanal!$B$2:$B$833,$A71)</f>
        <v>0.778595890410959</v>
      </c>
      <c r="F71" s="31" t="n">
        <f aca="false">SUMIFS(Produccion_Semanal!$S$2:$S$833,Produccion_Semanal!$E$2:$E$833,F$1,Produccion_Semanal!$B$2:$B$833,$A71)</f>
        <v>0.748068416994684</v>
      </c>
      <c r="G71" s="31" t="n">
        <f aca="false">SUMIFS(Produccion_Semanal!$S$2:$S$833,Produccion_Semanal!$E$2:$E$833,G$1,Produccion_Semanal!$B$2:$B$833,$A71)</f>
        <v>0.778738246891113</v>
      </c>
      <c r="H71" s="31" t="n">
        <f aca="false">SUMIFS(Produccion_Semanal!$S$2:$S$833,Produccion_Semanal!$E$2:$E$833,H$1,Produccion_Semanal!$B$2:$B$833,$A71)</f>
        <v>0.721377804101577</v>
      </c>
      <c r="I71" s="31" t="n">
        <f aca="false">SUMIFS(Produccion_Semanal!$S$2:$S$833,Produccion_Semanal!$E$2:$E$833,I$1,Produccion_Semanal!$B$2:$B$833,$A71)</f>
        <v>0.794225451967388</v>
      </c>
    </row>
    <row r="72" customFormat="false" ht="15" hidden="false" customHeight="false" outlineLevel="0" collapsed="false">
      <c r="A72" s="9" t="n">
        <v>46041</v>
      </c>
      <c r="B72" s="31" t="n">
        <f aca="false">SUMIFS(Produccion_Semanal!$S$2:$S$833,Produccion_Semanal!$E$2:$E$833,B$1,Produccion_Semanal!$B$2:$B$833,$A72)</f>
        <v>0.860071998443277</v>
      </c>
      <c r="C72" s="31" t="n">
        <f aca="false">SUMIFS(Produccion_Semanal!$S$2:$S$833,Produccion_Semanal!$E$2:$E$833,C$1,Produccion_Semanal!$B$2:$B$833,$A72)</f>
        <v>0.784828075150656</v>
      </c>
      <c r="D72" s="31" t="n">
        <f aca="false">SUMIFS(Produccion_Semanal!$S$2:$S$833,Produccion_Semanal!$E$2:$E$833,D$1,Produccion_Semanal!$B$2:$B$833,$A72)</f>
        <v>0.724964431376268</v>
      </c>
      <c r="E72" s="31" t="n">
        <f aca="false">SUMIFS(Produccion_Semanal!$S$2:$S$833,Produccion_Semanal!$E$2:$E$833,E$1,Produccion_Semanal!$B$2:$B$833,$A72)</f>
        <v>0.77491789819376</v>
      </c>
      <c r="F72" s="31" t="n">
        <f aca="false">SUMIFS(Produccion_Semanal!$S$2:$S$833,Produccion_Semanal!$E$2:$E$833,F$1,Produccion_Semanal!$B$2:$B$833,$A72)</f>
        <v>0.743160709259781</v>
      </c>
      <c r="G72" s="31" t="n">
        <f aca="false">SUMIFS(Produccion_Semanal!$S$2:$S$833,Produccion_Semanal!$E$2:$E$833,G$1,Produccion_Semanal!$B$2:$B$833,$A72)</f>
        <v>0.822356020942408</v>
      </c>
      <c r="H72" s="31" t="n">
        <f aca="false">SUMIFS(Produccion_Semanal!$S$2:$S$833,Produccion_Semanal!$E$2:$E$833,H$1,Produccion_Semanal!$B$2:$B$833,$A72)</f>
        <v>0.795296598514715</v>
      </c>
      <c r="I72" s="31" t="n">
        <f aca="false">SUMIFS(Produccion_Semanal!$S$2:$S$833,Produccion_Semanal!$E$2:$E$833,I$1,Produccion_Semanal!$B$2:$B$833,$A72)</f>
        <v>0.793877152436444</v>
      </c>
    </row>
    <row r="73" customFormat="false" ht="15" hidden="false" customHeight="false" outlineLevel="0" collapsed="false">
      <c r="A73" s="9" t="n">
        <v>46048</v>
      </c>
      <c r="B73" s="31" t="n">
        <f aca="false">SUMIFS(Produccion_Semanal!$S$2:$S$833,Produccion_Semanal!$E$2:$E$833,B$1,Produccion_Semanal!$B$2:$B$833,$A73)</f>
        <v>0.853774834437086</v>
      </c>
      <c r="C73" s="31" t="n">
        <f aca="false">SUMIFS(Produccion_Semanal!$S$2:$S$833,Produccion_Semanal!$E$2:$E$833,C$1,Produccion_Semanal!$B$2:$B$833,$A73)</f>
        <v>0.852300743520256</v>
      </c>
      <c r="D73" s="31" t="n">
        <f aca="false">SUMIFS(Produccion_Semanal!$S$2:$S$833,Produccion_Semanal!$E$2:$E$833,D$1,Produccion_Semanal!$B$2:$B$833,$A73)</f>
        <v>0.881103678929766</v>
      </c>
      <c r="E73" s="31" t="n">
        <f aca="false">SUMIFS(Produccion_Semanal!$S$2:$S$833,Produccion_Semanal!$E$2:$E$833,E$1,Produccion_Semanal!$B$2:$B$833,$A73)</f>
        <v>0.726341506751955</v>
      </c>
      <c r="F73" s="31" t="n">
        <f aca="false">SUMIFS(Produccion_Semanal!$S$2:$S$833,Produccion_Semanal!$E$2:$E$833,F$1,Produccion_Semanal!$B$2:$B$833,$A73)</f>
        <v>0.804798245614035</v>
      </c>
      <c r="G73" s="31" t="n">
        <f aca="false">SUMIFS(Produccion_Semanal!$S$2:$S$833,Produccion_Semanal!$E$2:$E$833,G$1,Produccion_Semanal!$B$2:$B$833,$A73)</f>
        <v>0.843240608345249</v>
      </c>
      <c r="H73" s="31" t="n">
        <f aca="false">SUMIFS(Produccion_Semanal!$S$2:$S$833,Produccion_Semanal!$E$2:$E$833,H$1,Produccion_Semanal!$B$2:$B$833,$A73)</f>
        <v>0.862679068504311</v>
      </c>
      <c r="I73" s="31" t="n">
        <f aca="false">SUMIFS(Produccion_Semanal!$S$2:$S$833,Produccion_Semanal!$E$2:$E$833,I$1,Produccion_Semanal!$B$2:$B$833,$A73)</f>
        <v>0.763593423895134</v>
      </c>
    </row>
    <row r="74" customFormat="false" ht="15" hidden="false" customHeight="false" outlineLevel="0" collapsed="false">
      <c r="A74" s="9" t="n">
        <v>46055</v>
      </c>
      <c r="B74" s="31" t="n">
        <f aca="false">SUMIFS(Produccion_Semanal!$S$2:$S$833,Produccion_Semanal!$E$2:$E$833,B$1,Produccion_Semanal!$B$2:$B$833,$A74)</f>
        <v>0.838886806206394</v>
      </c>
      <c r="C74" s="31" t="n">
        <f aca="false">SUMIFS(Produccion_Semanal!$S$2:$S$833,Produccion_Semanal!$E$2:$E$833,C$1,Produccion_Semanal!$B$2:$B$833,$A74)</f>
        <v>0.859570301493378</v>
      </c>
      <c r="D74" s="31" t="n">
        <f aca="false">SUMIFS(Produccion_Semanal!$S$2:$S$833,Produccion_Semanal!$E$2:$E$833,D$1,Produccion_Semanal!$B$2:$B$833,$A74)</f>
        <v>0.848826654115116</v>
      </c>
      <c r="E74" s="31" t="n">
        <f aca="false">SUMIFS(Produccion_Semanal!$S$2:$S$833,Produccion_Semanal!$E$2:$E$833,E$1,Produccion_Semanal!$B$2:$B$833,$A74)</f>
        <v>0.790896038443507</v>
      </c>
      <c r="F74" s="31" t="n">
        <f aca="false">SUMIFS(Produccion_Semanal!$S$2:$S$833,Produccion_Semanal!$E$2:$E$833,F$1,Produccion_Semanal!$B$2:$B$833,$A74)</f>
        <v>0.716848691070742</v>
      </c>
      <c r="G74" s="31" t="n">
        <f aca="false">SUMIFS(Produccion_Semanal!$S$2:$S$833,Produccion_Semanal!$E$2:$E$833,G$1,Produccion_Semanal!$B$2:$B$833,$A74)</f>
        <v>0.779478966474482</v>
      </c>
      <c r="H74" s="31" t="n">
        <f aca="false">SUMIFS(Produccion_Semanal!$S$2:$S$833,Produccion_Semanal!$E$2:$E$833,H$1,Produccion_Semanal!$B$2:$B$833,$A74)</f>
        <v>0.710180121269766</v>
      </c>
      <c r="I74" s="31" t="n">
        <f aca="false">SUMIFS(Produccion_Semanal!$S$2:$S$833,Produccion_Semanal!$E$2:$E$833,I$1,Produccion_Semanal!$B$2:$B$833,$A74)</f>
        <v>0.816722284019281</v>
      </c>
    </row>
    <row r="75" customFormat="false" ht="15" hidden="false" customHeight="false" outlineLevel="0" collapsed="false">
      <c r="A75" s="9" t="n">
        <v>46062</v>
      </c>
      <c r="B75" s="31" t="n">
        <f aca="false">SUMIFS(Produccion_Semanal!$S$2:$S$833,Produccion_Semanal!$E$2:$E$833,B$1,Produccion_Semanal!$B$2:$B$833,$A75)</f>
        <v>0.866604994439389</v>
      </c>
      <c r="C75" s="31" t="n">
        <f aca="false">SUMIFS(Produccion_Semanal!$S$2:$S$833,Produccion_Semanal!$E$2:$E$833,C$1,Produccion_Semanal!$B$2:$B$833,$A75)</f>
        <v>0.770890613973183</v>
      </c>
      <c r="D75" s="31" t="n">
        <f aca="false">SUMIFS(Produccion_Semanal!$S$2:$S$833,Produccion_Semanal!$E$2:$E$833,D$1,Produccion_Semanal!$B$2:$B$833,$A75)</f>
        <v>0.764665149294036</v>
      </c>
      <c r="E75" s="31" t="n">
        <f aca="false">SUMIFS(Produccion_Semanal!$S$2:$S$833,Produccion_Semanal!$E$2:$E$833,E$1,Produccion_Semanal!$B$2:$B$833,$A75)</f>
        <v>0.750941091954023</v>
      </c>
      <c r="F75" s="31" t="n">
        <f aca="false">SUMIFS(Produccion_Semanal!$S$2:$S$833,Produccion_Semanal!$E$2:$E$833,F$1,Produccion_Semanal!$B$2:$B$833,$A75)</f>
        <v>0.789179394882771</v>
      </c>
      <c r="G75" s="31" t="n">
        <f aca="false">SUMIFS(Produccion_Semanal!$S$2:$S$833,Produccion_Semanal!$E$2:$E$833,G$1,Produccion_Semanal!$B$2:$B$833,$A75)</f>
        <v>0.807421086324913</v>
      </c>
      <c r="H75" s="31" t="n">
        <f aca="false">SUMIFS(Produccion_Semanal!$S$2:$S$833,Produccion_Semanal!$E$2:$E$833,H$1,Produccion_Semanal!$B$2:$B$833,$A75)</f>
        <v>0.612899097399973</v>
      </c>
      <c r="I75" s="31" t="n">
        <f aca="false">SUMIFS(Produccion_Semanal!$S$2:$S$833,Produccion_Semanal!$E$2:$E$833,I$1,Produccion_Semanal!$B$2:$B$833,$A75)</f>
        <v>0.81164095371669</v>
      </c>
    </row>
    <row r="76" customFormat="false" ht="15" hidden="false" customHeight="false" outlineLevel="0" collapsed="false">
      <c r="A76" s="9" t="n">
        <v>46069</v>
      </c>
      <c r="B76" s="31" t="n">
        <f aca="false">SUMIFS(Produccion_Semanal!$S$2:$S$833,Produccion_Semanal!$E$2:$E$833,B$1,Produccion_Semanal!$B$2:$B$833,$A76)</f>
        <v>0.82205298013245</v>
      </c>
      <c r="C76" s="31" t="n">
        <f aca="false">SUMIFS(Produccion_Semanal!$S$2:$S$833,Produccion_Semanal!$E$2:$E$833,C$1,Produccion_Semanal!$B$2:$B$833,$A76)</f>
        <v>0.780764117174373</v>
      </c>
      <c r="D76" s="31" t="n">
        <f aca="false">SUMIFS(Produccion_Semanal!$S$2:$S$833,Produccion_Semanal!$E$2:$E$833,D$1,Produccion_Semanal!$B$2:$B$833,$A76)</f>
        <v>0.76146679407549</v>
      </c>
      <c r="E76" s="31" t="n">
        <f aca="false">SUMIFS(Produccion_Semanal!$S$2:$S$833,Produccion_Semanal!$E$2:$E$833,E$1,Produccion_Semanal!$B$2:$B$833,$A76)</f>
        <v>0.878324362041467</v>
      </c>
      <c r="F76" s="31" t="n">
        <f aca="false">SUMIFS(Produccion_Semanal!$S$2:$S$833,Produccion_Semanal!$E$2:$E$833,F$1,Produccion_Semanal!$B$2:$B$833,$A76)</f>
        <v>0.811806860902256</v>
      </c>
      <c r="G76" s="31" t="n">
        <f aca="false">SUMIFS(Produccion_Semanal!$S$2:$S$833,Produccion_Semanal!$E$2:$E$833,G$1,Produccion_Semanal!$B$2:$B$833,$A76)</f>
        <v>0.868266085059978</v>
      </c>
      <c r="H76" s="31" t="n">
        <f aca="false">SUMIFS(Produccion_Semanal!$S$2:$S$833,Produccion_Semanal!$E$2:$E$833,H$1,Produccion_Semanal!$B$2:$B$833,$A76)</f>
        <v>0.660638729026506</v>
      </c>
      <c r="I76" s="31" t="n">
        <f aca="false">SUMIFS(Produccion_Semanal!$S$2:$S$833,Produccion_Semanal!$E$2:$E$833,I$1,Produccion_Semanal!$B$2:$B$833,$A76)</f>
        <v>0.799883454734651</v>
      </c>
    </row>
    <row r="77" customFormat="false" ht="15" hidden="false" customHeight="false" outlineLevel="0" collapsed="false">
      <c r="A77" s="9" t="n">
        <v>46076</v>
      </c>
      <c r="B77" s="31" t="n">
        <f aca="false">SUMIFS(Produccion_Semanal!$S$2:$S$833,Produccion_Semanal!$E$2:$E$833,B$1,Produccion_Semanal!$B$2:$B$833,$A77)</f>
        <v>0.838965033563771</v>
      </c>
      <c r="C77" s="31" t="n">
        <f aca="false">SUMIFS(Produccion_Semanal!$S$2:$S$833,Produccion_Semanal!$E$2:$E$833,C$1,Produccion_Semanal!$B$2:$B$833,$A77)</f>
        <v>0.834210059171598</v>
      </c>
      <c r="D77" s="31" t="n">
        <f aca="false">SUMIFS(Produccion_Semanal!$S$2:$S$833,Produccion_Semanal!$E$2:$E$833,D$1,Produccion_Semanal!$B$2:$B$833,$A77)</f>
        <v>0.77284913723593</v>
      </c>
      <c r="E77" s="31" t="n">
        <f aca="false">SUMIFS(Produccion_Semanal!$S$2:$S$833,Produccion_Semanal!$E$2:$E$833,E$1,Produccion_Semanal!$B$2:$B$833,$A77)</f>
        <v>0.780055524449422</v>
      </c>
      <c r="F77" s="31" t="n">
        <f aca="false">SUMIFS(Produccion_Semanal!$S$2:$S$833,Produccion_Semanal!$E$2:$E$833,F$1,Produccion_Semanal!$B$2:$B$833,$A77)</f>
        <v>0.74233802508352</v>
      </c>
      <c r="G77" s="31" t="n">
        <f aca="false">SUMIFS(Produccion_Semanal!$S$2:$S$833,Produccion_Semanal!$E$2:$E$833,G$1,Produccion_Semanal!$B$2:$B$833,$A77)</f>
        <v>0.833757961783439</v>
      </c>
      <c r="H77" s="31" t="n">
        <f aca="false">SUMIFS(Produccion_Semanal!$S$2:$S$833,Produccion_Semanal!$E$2:$E$833,H$1,Produccion_Semanal!$B$2:$B$833,$A77)</f>
        <v>0.798139217104735</v>
      </c>
      <c r="I77" s="31" t="n">
        <f aca="false">SUMIFS(Produccion_Semanal!$S$2:$S$833,Produccion_Semanal!$E$2:$E$833,I$1,Produccion_Semanal!$B$2:$B$833,$A77)</f>
        <v>0.802982349360925</v>
      </c>
    </row>
    <row r="78" customFormat="false" ht="15" hidden="false" customHeight="false" outlineLevel="0" collapsed="false">
      <c r="A78" s="9" t="n">
        <v>46083</v>
      </c>
      <c r="B78" s="31" t="n">
        <f aca="false">SUMIFS(Produccion_Semanal!$S$2:$S$833,Produccion_Semanal!$E$2:$E$833,B$1,Produccion_Semanal!$B$2:$B$833,$A78)</f>
        <v>0.843095310442621</v>
      </c>
      <c r="C78" s="31" t="n">
        <f aca="false">SUMIFS(Produccion_Semanal!$S$2:$S$833,Produccion_Semanal!$E$2:$E$833,C$1,Produccion_Semanal!$B$2:$B$833,$A78)</f>
        <v>0.85568865916692</v>
      </c>
      <c r="D78" s="31" t="n">
        <f aca="false">SUMIFS(Produccion_Semanal!$S$2:$S$833,Produccion_Semanal!$E$2:$E$833,D$1,Produccion_Semanal!$B$2:$B$833,$A78)</f>
        <v>0.805337329659692</v>
      </c>
      <c r="E78" s="31" t="n">
        <f aca="false">SUMIFS(Produccion_Semanal!$S$2:$S$833,Produccion_Semanal!$E$2:$E$833,E$1,Produccion_Semanal!$B$2:$B$833,$A78)</f>
        <v>0.790292605773033</v>
      </c>
      <c r="F78" s="31" t="n">
        <f aca="false">SUMIFS(Produccion_Semanal!$S$2:$S$833,Produccion_Semanal!$E$2:$E$833,F$1,Produccion_Semanal!$B$2:$B$833,$A78)</f>
        <v>0.727679505054026</v>
      </c>
      <c r="G78" s="31" t="n">
        <f aca="false">SUMIFS(Produccion_Semanal!$S$2:$S$833,Produccion_Semanal!$E$2:$E$833,G$1,Produccion_Semanal!$B$2:$B$833,$A78)</f>
        <v>0.818367346938775</v>
      </c>
      <c r="H78" s="31" t="n">
        <f aca="false">SUMIFS(Produccion_Semanal!$S$2:$S$833,Produccion_Semanal!$E$2:$E$833,H$1,Produccion_Semanal!$B$2:$B$833,$A78)</f>
        <v>0.672115384615385</v>
      </c>
      <c r="I78" s="31" t="n">
        <f aca="false">SUMIFS(Produccion_Semanal!$S$2:$S$833,Produccion_Semanal!$E$2:$E$833,I$1,Produccion_Semanal!$B$2:$B$833,$A78)</f>
        <v>0.805661410050286</v>
      </c>
    </row>
    <row r="79" customFormat="false" ht="15" hidden="false" customHeight="false" outlineLevel="0" collapsed="false">
      <c r="A79" s="9" t="n">
        <v>46090</v>
      </c>
      <c r="B79" s="31" t="n">
        <f aca="false">SUMIFS(Produccion_Semanal!$S$2:$S$833,Produccion_Semanal!$E$2:$E$833,B$1,Produccion_Semanal!$B$2:$B$833,$A79)</f>
        <v>0.835024724997477</v>
      </c>
      <c r="C79" s="31" t="n">
        <f aca="false">SUMIFS(Produccion_Semanal!$S$2:$S$833,Produccion_Semanal!$E$2:$E$833,C$1,Produccion_Semanal!$B$2:$B$833,$A79)</f>
        <v>0.806867058341304</v>
      </c>
      <c r="D79" s="31" t="n">
        <f aca="false">SUMIFS(Produccion_Semanal!$S$2:$S$833,Produccion_Semanal!$E$2:$E$833,D$1,Produccion_Semanal!$B$2:$B$833,$A79)</f>
        <v>0.804690921033426</v>
      </c>
      <c r="E79" s="31" t="n">
        <f aca="false">SUMIFS(Produccion_Semanal!$S$2:$S$833,Produccion_Semanal!$E$2:$E$833,E$1,Produccion_Semanal!$B$2:$B$833,$A79)</f>
        <v>0.824069010416667</v>
      </c>
      <c r="F79" s="31" t="n">
        <f aca="false">SUMIFS(Produccion_Semanal!$S$2:$S$833,Produccion_Semanal!$E$2:$E$833,F$1,Produccion_Semanal!$B$2:$B$833,$A79)</f>
        <v>0.737026437060393</v>
      </c>
      <c r="G79" s="31" t="n">
        <f aca="false">SUMIFS(Produccion_Semanal!$S$2:$S$833,Produccion_Semanal!$E$2:$E$833,G$1,Produccion_Semanal!$B$2:$B$833,$A79)</f>
        <v>0.816304487591616</v>
      </c>
      <c r="H79" s="31" t="n">
        <f aca="false">SUMIFS(Produccion_Semanal!$S$2:$S$833,Produccion_Semanal!$E$2:$E$833,H$1,Produccion_Semanal!$B$2:$B$833,$A79)</f>
        <v>0.774729112563804</v>
      </c>
      <c r="I79" s="31" t="n">
        <f aca="false">SUMIFS(Produccion_Semanal!$S$2:$S$833,Produccion_Semanal!$E$2:$E$833,I$1,Produccion_Semanal!$B$2:$B$833,$A79)</f>
        <v>0.753004908835905</v>
      </c>
    </row>
    <row r="80" customFormat="false" ht="15" hidden="false" customHeight="false" outlineLevel="0" collapsed="false">
      <c r="A80" s="9" t="n">
        <v>46097</v>
      </c>
      <c r="B80" s="31" t="n">
        <f aca="false">SUMIFS(Produccion_Semanal!$S$2:$S$833,Produccion_Semanal!$E$2:$E$833,B$1,Produccion_Semanal!$B$2:$B$833,$A80)</f>
        <v>0.821216790123457</v>
      </c>
      <c r="C80" s="31" t="n">
        <f aca="false">SUMIFS(Produccion_Semanal!$S$2:$S$833,Produccion_Semanal!$E$2:$E$833,C$1,Produccion_Semanal!$B$2:$B$833,$A80)</f>
        <v>0.842896952104499</v>
      </c>
      <c r="D80" s="31" t="n">
        <f aca="false">SUMIFS(Produccion_Semanal!$S$2:$S$833,Produccion_Semanal!$E$2:$E$833,D$1,Produccion_Semanal!$B$2:$B$833,$A80)</f>
        <v>0.82519982096042</v>
      </c>
      <c r="E80" s="31" t="n">
        <f aca="false">SUMIFS(Produccion_Semanal!$S$2:$S$833,Produccion_Semanal!$E$2:$E$833,E$1,Produccion_Semanal!$B$2:$B$833,$A80)</f>
        <v>0.832232142857143</v>
      </c>
      <c r="F80" s="31" t="n">
        <f aca="false">SUMIFS(Produccion_Semanal!$S$2:$S$833,Produccion_Semanal!$E$2:$E$833,F$1,Produccion_Semanal!$B$2:$B$833,$A80)</f>
        <v>0.699861495844875</v>
      </c>
      <c r="G80" s="31" t="n">
        <f aca="false">SUMIFS(Produccion_Semanal!$S$2:$S$833,Produccion_Semanal!$E$2:$E$833,G$1,Produccion_Semanal!$B$2:$B$833,$A80)</f>
        <v>0.790941515495087</v>
      </c>
      <c r="H80" s="31" t="n">
        <f aca="false">SUMIFS(Produccion_Semanal!$S$2:$S$833,Produccion_Semanal!$E$2:$E$833,H$1,Produccion_Semanal!$B$2:$B$833,$A80)</f>
        <v>0.755837783229903</v>
      </c>
      <c r="I80" s="31" t="n">
        <f aca="false">SUMIFS(Produccion_Semanal!$S$2:$S$833,Produccion_Semanal!$E$2:$E$833,I$1,Produccion_Semanal!$B$2:$B$833,$A80)</f>
        <v>0.821554428222902</v>
      </c>
    </row>
    <row r="81" customFormat="false" ht="15" hidden="false" customHeight="false" outlineLevel="0" collapsed="false">
      <c r="A81" s="9" t="n">
        <v>46104</v>
      </c>
      <c r="B81" s="31" t="n">
        <f aca="false">SUMIFS(Produccion_Semanal!$S$2:$S$833,Produccion_Semanal!$E$2:$E$833,B$1,Produccion_Semanal!$B$2:$B$833,$A81)</f>
        <v>0.860168195718654</v>
      </c>
      <c r="C81" s="31" t="n">
        <f aca="false">SUMIFS(Produccion_Semanal!$S$2:$S$833,Produccion_Semanal!$E$2:$E$833,C$1,Produccion_Semanal!$B$2:$B$833,$A81)</f>
        <v>0.834088233348767</v>
      </c>
      <c r="D81" s="31" t="n">
        <f aca="false">SUMIFS(Produccion_Semanal!$S$2:$S$833,Produccion_Semanal!$E$2:$E$833,D$1,Produccion_Semanal!$B$2:$B$833,$A81)</f>
        <v>0.70972804972805</v>
      </c>
      <c r="E81" s="31" t="n">
        <f aca="false">SUMIFS(Produccion_Semanal!$S$2:$S$833,Produccion_Semanal!$E$2:$E$833,E$1,Produccion_Semanal!$B$2:$B$833,$A81)</f>
        <v>0.768005777516647</v>
      </c>
      <c r="F81" s="31" t="n">
        <f aca="false">SUMIFS(Produccion_Semanal!$S$2:$S$833,Produccion_Semanal!$E$2:$E$833,F$1,Produccion_Semanal!$B$2:$B$833,$A81)</f>
        <v>0.731062397203947</v>
      </c>
      <c r="G81" s="31" t="n">
        <f aca="false">SUMIFS(Produccion_Semanal!$S$2:$S$833,Produccion_Semanal!$E$2:$E$833,G$1,Produccion_Semanal!$B$2:$B$833,$A81)</f>
        <v>0.781053805973934</v>
      </c>
      <c r="H81" s="31" t="n">
        <f aca="false">SUMIFS(Produccion_Semanal!$S$2:$S$833,Produccion_Semanal!$E$2:$E$833,H$1,Produccion_Semanal!$B$2:$B$833,$A81)</f>
        <v>0.684744750721465</v>
      </c>
      <c r="I81" s="31" t="n">
        <f aca="false">SUMIFS(Produccion_Semanal!$S$2:$S$833,Produccion_Semanal!$E$2:$E$833,I$1,Produccion_Semanal!$B$2:$B$833,$A81)</f>
        <v>0.757643758765779</v>
      </c>
    </row>
    <row r="82" customFormat="false" ht="15" hidden="false" customHeight="false" outlineLevel="0" collapsed="false">
      <c r="A82" s="9" t="n">
        <v>46111</v>
      </c>
      <c r="B82" s="31" t="n">
        <f aca="false">SUMIFS(Produccion_Semanal!$S$2:$S$833,Produccion_Semanal!$E$2:$E$833,B$1,Produccion_Semanal!$B$2:$B$833,$A82)</f>
        <v>0.810370057293134</v>
      </c>
      <c r="C82" s="31" t="n">
        <f aca="false">SUMIFS(Produccion_Semanal!$S$2:$S$833,Produccion_Semanal!$E$2:$E$833,C$1,Produccion_Semanal!$B$2:$B$833,$A82)</f>
        <v>0.796861229223038</v>
      </c>
      <c r="D82" s="31" t="n">
        <f aca="false">SUMIFS(Produccion_Semanal!$S$2:$S$833,Produccion_Semanal!$E$2:$E$833,D$1,Produccion_Semanal!$B$2:$B$833,$A82)</f>
        <v>0.79743700839888</v>
      </c>
      <c r="E82" s="31" t="n">
        <f aca="false">SUMIFS(Produccion_Semanal!$S$2:$S$833,Produccion_Semanal!$E$2:$E$833,E$1,Produccion_Semanal!$B$2:$B$833,$A82)</f>
        <v>0.769376780626781</v>
      </c>
      <c r="F82" s="31" t="n">
        <f aca="false">SUMIFS(Produccion_Semanal!$S$2:$S$833,Produccion_Semanal!$E$2:$E$833,F$1,Produccion_Semanal!$B$2:$B$833,$A82)</f>
        <v>0.753958919645483</v>
      </c>
      <c r="G82" s="31" t="n">
        <f aca="false">SUMIFS(Produccion_Semanal!$S$2:$S$833,Produccion_Semanal!$E$2:$E$833,G$1,Produccion_Semanal!$B$2:$B$833,$A82)</f>
        <v>0.863114641829886</v>
      </c>
      <c r="H82" s="31" t="n">
        <f aca="false">SUMIFS(Produccion_Semanal!$S$2:$S$833,Produccion_Semanal!$E$2:$E$833,H$1,Produccion_Semanal!$B$2:$B$833,$A82)</f>
        <v>0.671434625980081</v>
      </c>
      <c r="I82" s="31" t="n">
        <f aca="false">SUMIFS(Produccion_Semanal!$S$2:$S$833,Produccion_Semanal!$E$2:$E$833,I$1,Produccion_Semanal!$B$2:$B$833,$A82)</f>
        <v>0.792947344863966</v>
      </c>
    </row>
    <row r="83" customFormat="false" ht="15" hidden="false" customHeight="false" outlineLevel="0" collapsed="false">
      <c r="A83" s="9" t="n">
        <v>46118</v>
      </c>
      <c r="B83" s="31" t="n">
        <f aca="false">SUMIFS(Produccion_Semanal!$S$2:$S$833,Produccion_Semanal!$E$2:$E$833,B$1,Produccion_Semanal!$B$2:$B$833,$A83)</f>
        <v>0.825052583447645</v>
      </c>
      <c r="C83" s="31" t="n">
        <f aca="false">SUMIFS(Produccion_Semanal!$S$2:$S$833,Produccion_Semanal!$E$2:$E$833,C$1,Produccion_Semanal!$B$2:$B$833,$A83)</f>
        <v>0.790864087742701</v>
      </c>
      <c r="D83" s="31" t="n">
        <f aca="false">SUMIFS(Produccion_Semanal!$S$2:$S$833,Produccion_Semanal!$E$2:$E$833,D$1,Produccion_Semanal!$B$2:$B$833,$A83)</f>
        <v>0.855845698294937</v>
      </c>
      <c r="E83" s="31" t="n">
        <f aca="false">SUMIFS(Produccion_Semanal!$S$2:$S$833,Produccion_Semanal!$E$2:$E$833,E$1,Produccion_Semanal!$B$2:$B$833,$A83)</f>
        <v>0.799771126760564</v>
      </c>
      <c r="F83" s="31" t="n">
        <f aca="false">SUMIFS(Produccion_Semanal!$S$2:$S$833,Produccion_Semanal!$E$2:$E$833,F$1,Produccion_Semanal!$B$2:$B$833,$A83)</f>
        <v>0.710580495356037</v>
      </c>
      <c r="G83" s="31" t="n">
        <f aca="false">SUMIFS(Produccion_Semanal!$S$2:$S$833,Produccion_Semanal!$E$2:$E$833,G$1,Produccion_Semanal!$B$2:$B$833,$A83)</f>
        <v>0.867653125280244</v>
      </c>
      <c r="H83" s="31" t="n">
        <f aca="false">SUMIFS(Produccion_Semanal!$S$2:$S$833,Produccion_Semanal!$E$2:$E$833,H$1,Produccion_Semanal!$B$2:$B$833,$A83)</f>
        <v>0.654028239202658</v>
      </c>
      <c r="I83" s="31" t="n">
        <f aca="false">SUMIFS(Produccion_Semanal!$S$2:$S$833,Produccion_Semanal!$E$2:$E$833,I$1,Produccion_Semanal!$B$2:$B$833,$A83)</f>
        <v>0.798570381231672</v>
      </c>
    </row>
    <row r="84" customFormat="false" ht="15" hidden="false" customHeight="false" outlineLevel="0" collapsed="false">
      <c r="A84" s="9" t="n">
        <v>46125</v>
      </c>
      <c r="B84" s="31" t="n">
        <f aca="false">SUMIFS(Produccion_Semanal!$S$2:$S$833,Produccion_Semanal!$E$2:$E$833,B$1,Produccion_Semanal!$B$2:$B$833,$A84)</f>
        <v>0.87182561872217</v>
      </c>
      <c r="C84" s="31" t="n">
        <f aca="false">SUMIFS(Produccion_Semanal!$S$2:$S$833,Produccion_Semanal!$E$2:$E$833,C$1,Produccion_Semanal!$B$2:$B$833,$A84)</f>
        <v>0.804660150712527</v>
      </c>
      <c r="D84" s="31" t="n">
        <f aca="false">SUMIFS(Produccion_Semanal!$S$2:$S$833,Produccion_Semanal!$E$2:$E$833,D$1,Produccion_Semanal!$B$2:$B$833,$A84)</f>
        <v>0.781852715186049</v>
      </c>
      <c r="E84" s="31" t="n">
        <f aca="false">SUMIFS(Produccion_Semanal!$S$2:$S$833,Produccion_Semanal!$E$2:$E$833,E$1,Produccion_Semanal!$B$2:$B$833,$A84)</f>
        <v>0.750082199546485</v>
      </c>
      <c r="F84" s="31" t="n">
        <f aca="false">SUMIFS(Produccion_Semanal!$S$2:$S$833,Produccion_Semanal!$E$2:$E$833,F$1,Produccion_Semanal!$B$2:$B$833,$A84)</f>
        <v>0.89961439588689</v>
      </c>
      <c r="G84" s="31" t="n">
        <f aca="false">SUMIFS(Produccion_Semanal!$S$2:$S$833,Produccion_Semanal!$E$2:$E$833,G$1,Produccion_Semanal!$B$2:$B$833,$A84)</f>
        <v>0.813704427083334</v>
      </c>
      <c r="H84" s="31" t="n">
        <f aca="false">SUMIFS(Produccion_Semanal!$S$2:$S$833,Produccion_Semanal!$E$2:$E$833,H$1,Produccion_Semanal!$B$2:$B$833,$A84)</f>
        <v>0.694898744898745</v>
      </c>
      <c r="I84" s="31" t="n">
        <f aca="false">SUMIFS(Produccion_Semanal!$S$2:$S$833,Produccion_Semanal!$E$2:$E$833,I$1,Produccion_Semanal!$B$2:$B$833,$A84)</f>
        <v>0.820264681555004</v>
      </c>
    </row>
    <row r="85" customFormat="false" ht="15" hidden="false" customHeight="false" outlineLevel="0" collapsed="false">
      <c r="A85" s="9" t="n">
        <v>46132</v>
      </c>
      <c r="B85" s="31" t="n">
        <f aca="false">SUMIFS(Produccion_Semanal!$S$2:$S$833,Produccion_Semanal!$E$2:$E$833,B$1,Produccion_Semanal!$B$2:$B$833,$A85)</f>
        <v>0.875786699107867</v>
      </c>
      <c r="C85" s="31" t="n">
        <f aca="false">SUMIFS(Produccion_Semanal!$S$2:$S$833,Produccion_Semanal!$E$2:$E$833,C$1,Produccion_Semanal!$B$2:$B$833,$A85)</f>
        <v>0.798713286713287</v>
      </c>
      <c r="D85" s="31" t="n">
        <f aca="false">SUMIFS(Produccion_Semanal!$S$2:$S$833,Produccion_Semanal!$E$2:$E$833,D$1,Produccion_Semanal!$B$2:$B$833,$A85)</f>
        <v>0.731554739551787</v>
      </c>
      <c r="E85" s="31" t="n">
        <f aca="false">SUMIFS(Produccion_Semanal!$S$2:$S$833,Produccion_Semanal!$E$2:$E$833,E$1,Produccion_Semanal!$B$2:$B$833,$A85)</f>
        <v>0.783333333333333</v>
      </c>
      <c r="F85" s="31" t="n">
        <f aca="false">SUMIFS(Produccion_Semanal!$S$2:$S$833,Produccion_Semanal!$E$2:$E$833,F$1,Produccion_Semanal!$B$2:$B$833,$A85)</f>
        <v>0.796113568655773</v>
      </c>
      <c r="G85" s="31" t="n">
        <f aca="false">SUMIFS(Produccion_Semanal!$S$2:$S$833,Produccion_Semanal!$E$2:$E$833,G$1,Produccion_Semanal!$B$2:$B$833,$A85)</f>
        <v>0.873898365316276</v>
      </c>
      <c r="H85" s="31" t="n">
        <f aca="false">SUMIFS(Produccion_Semanal!$S$2:$S$833,Produccion_Semanal!$E$2:$E$833,H$1,Produccion_Semanal!$B$2:$B$833,$A85)</f>
        <v>0.667021419911087</v>
      </c>
      <c r="I85" s="31" t="n">
        <f aca="false">SUMIFS(Produccion_Semanal!$S$2:$S$833,Produccion_Semanal!$E$2:$E$833,I$1,Produccion_Semanal!$B$2:$B$833,$A85)</f>
        <v>0.814315503459606</v>
      </c>
    </row>
    <row r="86" customFormat="false" ht="15" hidden="false" customHeight="false" outlineLevel="0" collapsed="false">
      <c r="A86" s="9" t="n">
        <v>46139</v>
      </c>
      <c r="B86" s="31" t="n">
        <f aca="false">SUMIFS(Produccion_Semanal!$S$2:$S$833,Produccion_Semanal!$E$2:$E$833,B$1,Produccion_Semanal!$B$2:$B$833,$A86)</f>
        <v>0.87921783625731</v>
      </c>
      <c r="C86" s="31" t="n">
        <f aca="false">SUMIFS(Produccion_Semanal!$S$2:$S$833,Produccion_Semanal!$E$2:$E$833,C$1,Produccion_Semanal!$B$2:$B$833,$A86)</f>
        <v>0.842311895754519</v>
      </c>
      <c r="D86" s="31" t="n">
        <f aca="false">SUMIFS(Produccion_Semanal!$S$2:$S$833,Produccion_Semanal!$E$2:$E$833,D$1,Produccion_Semanal!$B$2:$B$833,$A86)</f>
        <v>0.832679572083546</v>
      </c>
      <c r="E86" s="31" t="n">
        <f aca="false">SUMIFS(Produccion_Semanal!$S$2:$S$833,Produccion_Semanal!$E$2:$E$833,E$1,Produccion_Semanal!$B$2:$B$833,$A86)</f>
        <v>0.753769517066086</v>
      </c>
      <c r="F86" s="31" t="n">
        <f aca="false">SUMIFS(Produccion_Semanal!$S$2:$S$833,Produccion_Semanal!$E$2:$E$833,F$1,Produccion_Semanal!$B$2:$B$833,$A86)</f>
        <v>0.723644527986633</v>
      </c>
      <c r="G86" s="31" t="n">
        <f aca="false">SUMIFS(Produccion_Semanal!$S$2:$S$833,Produccion_Semanal!$E$2:$E$833,G$1,Produccion_Semanal!$B$2:$B$833,$A86)</f>
        <v>0.862748312898014</v>
      </c>
      <c r="H86" s="31" t="n">
        <f aca="false">SUMIFS(Produccion_Semanal!$S$2:$S$833,Produccion_Semanal!$E$2:$E$833,H$1,Produccion_Semanal!$B$2:$B$833,$A86)</f>
        <v>0.702526231370715</v>
      </c>
      <c r="I86" s="31" t="n">
        <f aca="false">SUMIFS(Produccion_Semanal!$S$2:$S$833,Produccion_Semanal!$E$2:$E$833,I$1,Produccion_Semanal!$B$2:$B$833,$A86)</f>
        <v>0.786996229576875</v>
      </c>
    </row>
    <row r="87" customFormat="false" ht="15" hidden="false" customHeight="false" outlineLevel="0" collapsed="false">
      <c r="A87" s="9" t="n">
        <v>46146</v>
      </c>
      <c r="B87" s="31" t="n">
        <f aca="false">SUMIFS(Produccion_Semanal!$S$2:$S$833,Produccion_Semanal!$E$2:$E$833,B$1,Produccion_Semanal!$B$2:$B$833,$A87)</f>
        <v>0.850718448457056</v>
      </c>
      <c r="C87" s="31" t="n">
        <f aca="false">SUMIFS(Produccion_Semanal!$S$2:$S$833,Produccion_Semanal!$E$2:$E$833,C$1,Produccion_Semanal!$B$2:$B$833,$A87)</f>
        <v>0.848578627538165</v>
      </c>
      <c r="D87" s="31" t="n">
        <f aca="false">SUMIFS(Produccion_Semanal!$S$2:$S$833,Produccion_Semanal!$E$2:$E$833,D$1,Produccion_Semanal!$B$2:$B$833,$A87)</f>
        <v>0.692207636276315</v>
      </c>
      <c r="E87" s="31" t="n">
        <f aca="false">SUMIFS(Produccion_Semanal!$S$2:$S$833,Produccion_Semanal!$E$2:$E$833,E$1,Produccion_Semanal!$B$2:$B$833,$A87)</f>
        <v>0.799106750219877</v>
      </c>
      <c r="F87" s="31" t="n">
        <f aca="false">SUMIFS(Produccion_Semanal!$S$2:$S$833,Produccion_Semanal!$E$2:$E$833,F$1,Produccion_Semanal!$B$2:$B$833,$A87)</f>
        <v>0.715148448043185</v>
      </c>
      <c r="G87" s="31" t="n">
        <f aca="false">SUMIFS(Produccion_Semanal!$S$2:$S$833,Produccion_Semanal!$E$2:$E$833,G$1,Produccion_Semanal!$B$2:$B$833,$A87)</f>
        <v>0.846287593984962</v>
      </c>
      <c r="H87" s="31" t="n">
        <f aca="false">SUMIFS(Produccion_Semanal!$S$2:$S$833,Produccion_Semanal!$E$2:$E$833,H$1,Produccion_Semanal!$B$2:$B$833,$A87)</f>
        <v>0.745226483410922</v>
      </c>
      <c r="I87" s="31" t="n">
        <f aca="false">SUMIFS(Produccion_Semanal!$S$2:$S$833,Produccion_Semanal!$E$2:$E$833,I$1,Produccion_Semanal!$B$2:$B$833,$A87)</f>
        <v>0.806959208445213</v>
      </c>
    </row>
    <row r="88" customFormat="false" ht="15" hidden="false" customHeight="false" outlineLevel="0" collapsed="false">
      <c r="A88" s="9" t="n">
        <v>46153</v>
      </c>
      <c r="B88" s="31" t="n">
        <f aca="false">SUMIFS(Produccion_Semanal!$S$2:$S$833,Produccion_Semanal!$E$2:$E$833,B$1,Produccion_Semanal!$B$2:$B$833,$A88)</f>
        <v>0.772096618357488</v>
      </c>
      <c r="C88" s="31" t="n">
        <f aca="false">SUMIFS(Produccion_Semanal!$S$2:$S$833,Produccion_Semanal!$E$2:$E$833,C$1,Produccion_Semanal!$B$2:$B$833,$A88)</f>
        <v>0.773697820950381</v>
      </c>
      <c r="D88" s="31" t="n">
        <f aca="false">SUMIFS(Produccion_Semanal!$S$2:$S$833,Produccion_Semanal!$E$2:$E$833,D$1,Produccion_Semanal!$B$2:$B$833,$A88)</f>
        <v>0.740284112872053</v>
      </c>
      <c r="E88" s="31" t="n">
        <f aca="false">SUMIFS(Produccion_Semanal!$S$2:$S$833,Produccion_Semanal!$E$2:$E$833,E$1,Produccion_Semanal!$B$2:$B$833,$A88)</f>
        <v>0.766909676714723</v>
      </c>
      <c r="F88" s="31" t="n">
        <f aca="false">SUMIFS(Produccion_Semanal!$S$2:$S$833,Produccion_Semanal!$E$2:$E$833,F$1,Produccion_Semanal!$B$2:$B$833,$A88)</f>
        <v>0.760936649499644</v>
      </c>
      <c r="G88" s="31" t="n">
        <f aca="false">SUMIFS(Produccion_Semanal!$S$2:$S$833,Produccion_Semanal!$E$2:$E$833,G$1,Produccion_Semanal!$B$2:$B$833,$A88)</f>
        <v>0.850959197584965</v>
      </c>
      <c r="H88" s="31" t="n">
        <f aca="false">SUMIFS(Produccion_Semanal!$S$2:$S$833,Produccion_Semanal!$E$2:$E$833,H$1,Produccion_Semanal!$B$2:$B$833,$A88)</f>
        <v>0.737684438323825</v>
      </c>
      <c r="I88" s="31" t="n">
        <f aca="false">SUMIFS(Produccion_Semanal!$S$2:$S$833,Produccion_Semanal!$E$2:$E$833,I$1,Produccion_Semanal!$B$2:$B$833,$A88)</f>
        <v>0.824266862170088</v>
      </c>
    </row>
    <row r="89" customFormat="false" ht="15" hidden="false" customHeight="false" outlineLevel="0" collapsed="false">
      <c r="A89" s="9" t="n">
        <v>46160</v>
      </c>
      <c r="B89" s="31" t="n">
        <f aca="false">SUMIFS(Produccion_Semanal!$S$2:$S$833,Produccion_Semanal!$E$2:$E$833,B$1,Produccion_Semanal!$B$2:$B$833,$A89)</f>
        <v>0.840216802168022</v>
      </c>
      <c r="C89" s="31" t="n">
        <f aca="false">SUMIFS(Produccion_Semanal!$S$2:$S$833,Produccion_Semanal!$E$2:$E$833,C$1,Produccion_Semanal!$B$2:$B$833,$A89)</f>
        <v>0.816331261331261</v>
      </c>
      <c r="D89" s="31" t="n">
        <f aca="false">SUMIFS(Produccion_Semanal!$S$2:$S$833,Produccion_Semanal!$E$2:$E$833,D$1,Produccion_Semanal!$B$2:$B$833,$A89)</f>
        <v>0.741804278149387</v>
      </c>
      <c r="E89" s="31" t="n">
        <f aca="false">SUMIFS(Produccion_Semanal!$S$2:$S$833,Produccion_Semanal!$E$2:$E$833,E$1,Produccion_Semanal!$B$2:$B$833,$A89)</f>
        <v>0.778577461389962</v>
      </c>
      <c r="F89" s="31" t="n">
        <f aca="false">SUMIFS(Produccion_Semanal!$S$2:$S$833,Produccion_Semanal!$E$2:$E$833,F$1,Produccion_Semanal!$B$2:$B$833,$A89)</f>
        <v>0.737745370136751</v>
      </c>
      <c r="G89" s="31" t="n">
        <f aca="false">SUMIFS(Produccion_Semanal!$S$2:$S$833,Produccion_Semanal!$E$2:$E$833,G$1,Produccion_Semanal!$B$2:$B$833,$A89)</f>
        <v>0.812577397656911</v>
      </c>
      <c r="H89" s="31" t="n">
        <f aca="false">SUMIFS(Produccion_Semanal!$S$2:$S$833,Produccion_Semanal!$E$2:$E$833,H$1,Produccion_Semanal!$B$2:$B$833,$A89)</f>
        <v>0.718632180827303</v>
      </c>
      <c r="I89" s="31" t="n">
        <f aca="false">SUMIFS(Produccion_Semanal!$S$2:$S$833,Produccion_Semanal!$E$2:$E$833,I$1,Produccion_Semanal!$B$2:$B$833,$A89)</f>
        <v>0.838017346317711</v>
      </c>
    </row>
    <row r="90" customFormat="false" ht="15" hidden="false" customHeight="false" outlineLevel="0" collapsed="false">
      <c r="A90" s="9" t="n">
        <v>46167</v>
      </c>
      <c r="B90" s="31" t="n">
        <f aca="false">SUMIFS(Produccion_Semanal!$S$2:$S$833,Produccion_Semanal!$E$2:$E$833,B$1,Produccion_Semanal!$B$2:$B$833,$A90)</f>
        <v>0.866996943705018</v>
      </c>
      <c r="C90" s="31" t="n">
        <f aca="false">SUMIFS(Produccion_Semanal!$S$2:$S$833,Produccion_Semanal!$E$2:$E$833,C$1,Produccion_Semanal!$B$2:$B$833,$A90)</f>
        <v>0.830093808630394</v>
      </c>
      <c r="D90" s="31" t="n">
        <f aca="false">SUMIFS(Produccion_Semanal!$S$2:$S$833,Produccion_Semanal!$E$2:$E$833,D$1,Produccion_Semanal!$B$2:$B$833,$A90)</f>
        <v>0.811968303805039</v>
      </c>
      <c r="E90" s="31" t="n">
        <f aca="false">SUMIFS(Produccion_Semanal!$S$2:$S$833,Produccion_Semanal!$E$2:$E$833,E$1,Produccion_Semanal!$B$2:$B$833,$A90)</f>
        <v>0.768968585577221</v>
      </c>
      <c r="F90" s="31" t="n">
        <f aca="false">SUMIFS(Produccion_Semanal!$S$2:$S$833,Produccion_Semanal!$E$2:$E$833,F$1,Produccion_Semanal!$B$2:$B$833,$A90)</f>
        <v>0.734989921612542</v>
      </c>
      <c r="G90" s="31" t="n">
        <f aca="false">SUMIFS(Produccion_Semanal!$S$2:$S$833,Produccion_Semanal!$E$2:$E$833,G$1,Produccion_Semanal!$B$2:$B$833,$A90)</f>
        <v>0.813055883510429</v>
      </c>
      <c r="H90" s="31" t="n">
        <f aca="false">SUMIFS(Produccion_Semanal!$S$2:$S$833,Produccion_Semanal!$E$2:$E$833,H$1,Produccion_Semanal!$B$2:$B$833,$A90)</f>
        <v>0.687520704962565</v>
      </c>
      <c r="I90" s="31" t="n">
        <f aca="false">SUMIFS(Produccion_Semanal!$S$2:$S$833,Produccion_Semanal!$E$2:$E$833,I$1,Produccion_Semanal!$B$2:$B$833,$A90)</f>
        <v>0.760115207373272</v>
      </c>
    </row>
    <row r="91" customFormat="false" ht="15" hidden="false" customHeight="false" outlineLevel="0" collapsed="false">
      <c r="A91" s="9" t="n">
        <v>46174</v>
      </c>
      <c r="B91" s="31" t="n">
        <f aca="false">SUMIFS(Produccion_Semanal!$S$2:$S$833,Produccion_Semanal!$E$2:$E$833,B$1,Produccion_Semanal!$B$2:$B$833,$A91)</f>
        <v>0.812203765227021</v>
      </c>
      <c r="C91" s="31" t="n">
        <f aca="false">SUMIFS(Produccion_Semanal!$S$2:$S$833,Produccion_Semanal!$E$2:$E$833,C$1,Produccion_Semanal!$B$2:$B$833,$A91)</f>
        <v>0.854432234432235</v>
      </c>
      <c r="D91" s="31" t="n">
        <f aca="false">SUMIFS(Produccion_Semanal!$S$2:$S$833,Produccion_Semanal!$E$2:$E$833,D$1,Produccion_Semanal!$B$2:$B$833,$A91)</f>
        <v>0.791939004247286</v>
      </c>
      <c r="E91" s="31" t="n">
        <f aca="false">SUMIFS(Produccion_Semanal!$S$2:$S$833,Produccion_Semanal!$E$2:$E$833,E$1,Produccion_Semanal!$B$2:$B$833,$A91)</f>
        <v>0.791342127303183</v>
      </c>
      <c r="F91" s="31" t="n">
        <f aca="false">SUMIFS(Produccion_Semanal!$S$2:$S$833,Produccion_Semanal!$E$2:$E$833,F$1,Produccion_Semanal!$B$2:$B$833,$A91)</f>
        <v>0.738627741682292</v>
      </c>
      <c r="G91" s="31" t="n">
        <f aca="false">SUMIFS(Produccion_Semanal!$S$2:$S$833,Produccion_Semanal!$E$2:$E$833,G$1,Produccion_Semanal!$B$2:$B$833,$A91)</f>
        <v>0.806962201222902</v>
      </c>
      <c r="H91" s="31" t="n">
        <f aca="false">SUMIFS(Produccion_Semanal!$S$2:$S$833,Produccion_Semanal!$E$2:$E$833,H$1,Produccion_Semanal!$B$2:$B$833,$A91)</f>
        <v>0.693384934567507</v>
      </c>
      <c r="I91" s="31" t="n">
        <f aca="false">SUMIFS(Produccion_Semanal!$S$2:$S$833,Produccion_Semanal!$E$2:$E$833,I$1,Produccion_Semanal!$B$2:$B$833,$A91)</f>
        <v>0.856193242623452</v>
      </c>
    </row>
    <row r="92" customFormat="false" ht="15" hidden="false" customHeight="false" outlineLevel="0" collapsed="false">
      <c r="A92" s="9" t="n">
        <v>46181</v>
      </c>
      <c r="B92" s="31" t="n">
        <f aca="false">SUMIFS(Produccion_Semanal!$S$2:$S$833,Produccion_Semanal!$E$2:$E$833,B$1,Produccion_Semanal!$B$2:$B$833,$A92)</f>
        <v>0.844632251720747</v>
      </c>
      <c r="C92" s="31" t="n">
        <f aca="false">SUMIFS(Produccion_Semanal!$S$2:$S$833,Produccion_Semanal!$E$2:$E$833,C$1,Produccion_Semanal!$B$2:$B$833,$A92)</f>
        <v>0.850589699908269</v>
      </c>
      <c r="D92" s="31" t="n">
        <f aca="false">SUMIFS(Produccion_Semanal!$S$2:$S$833,Produccion_Semanal!$E$2:$E$833,D$1,Produccion_Semanal!$B$2:$B$833,$A92)</f>
        <v>0.832087418300654</v>
      </c>
      <c r="E92" s="31" t="n">
        <f aca="false">SUMIFS(Produccion_Semanal!$S$2:$S$833,Produccion_Semanal!$E$2:$E$833,E$1,Produccion_Semanal!$B$2:$B$833,$A92)</f>
        <v>0.791284485210467</v>
      </c>
      <c r="F92" s="31" t="n">
        <f aca="false">SUMIFS(Produccion_Semanal!$S$2:$S$833,Produccion_Semanal!$E$2:$E$833,F$1,Produccion_Semanal!$B$2:$B$833,$A92)</f>
        <v>0.759312059676751</v>
      </c>
      <c r="G92" s="31" t="n">
        <f aca="false">SUMIFS(Produccion_Semanal!$S$2:$S$833,Produccion_Semanal!$E$2:$E$833,G$1,Produccion_Semanal!$B$2:$B$833,$A92)</f>
        <v>0.858806604953715</v>
      </c>
      <c r="H92" s="31" t="n">
        <f aca="false">SUMIFS(Produccion_Semanal!$S$2:$S$833,Produccion_Semanal!$E$2:$E$833,H$1,Produccion_Semanal!$B$2:$B$833,$A92)</f>
        <v>0.665925619346065</v>
      </c>
      <c r="I92" s="31" t="n">
        <f aca="false">SUMIFS(Produccion_Semanal!$S$2:$S$833,Produccion_Semanal!$E$2:$E$833,I$1,Produccion_Semanal!$B$2:$B$833,$A92)</f>
        <v>0.794182140820077</v>
      </c>
    </row>
    <row r="93" customFormat="false" ht="15" hidden="false" customHeight="false" outlineLevel="0" collapsed="false">
      <c r="A93" s="9" t="n">
        <v>46188</v>
      </c>
      <c r="B93" s="31" t="n">
        <f aca="false">SUMIFS(Produccion_Semanal!$S$2:$S$833,Produccion_Semanal!$E$2:$E$833,B$1,Produccion_Semanal!$B$2:$B$833,$A93)</f>
        <v>0.87024208566108</v>
      </c>
      <c r="C93" s="31" t="n">
        <f aca="false">SUMIFS(Produccion_Semanal!$S$2:$S$833,Produccion_Semanal!$E$2:$E$833,C$1,Produccion_Semanal!$B$2:$B$833,$A93)</f>
        <v>0.826085759814573</v>
      </c>
      <c r="D93" s="31" t="n">
        <f aca="false">SUMIFS(Produccion_Semanal!$S$2:$S$833,Produccion_Semanal!$E$2:$E$833,D$1,Produccion_Semanal!$B$2:$B$833,$A93)</f>
        <v>0.7384211588936</v>
      </c>
      <c r="E93" s="31" t="n">
        <f aca="false">SUMIFS(Produccion_Semanal!$S$2:$S$833,Produccion_Semanal!$E$2:$E$833,E$1,Produccion_Semanal!$B$2:$B$833,$A93)</f>
        <v>0.816480928308824</v>
      </c>
      <c r="F93" s="31" t="n">
        <f aca="false">SUMIFS(Produccion_Semanal!$S$2:$S$833,Produccion_Semanal!$E$2:$E$833,F$1,Produccion_Semanal!$B$2:$B$833,$A93)</f>
        <v>0.806615688435749</v>
      </c>
      <c r="G93" s="31" t="n">
        <f aca="false">SUMIFS(Produccion_Semanal!$S$2:$S$833,Produccion_Semanal!$E$2:$E$833,G$1,Produccion_Semanal!$B$2:$B$833,$A93)</f>
        <v>0.84227707392845</v>
      </c>
      <c r="H93" s="31" t="n">
        <f aca="false">SUMIFS(Produccion_Semanal!$S$2:$S$833,Produccion_Semanal!$E$2:$E$833,H$1,Produccion_Semanal!$B$2:$B$833,$A93)</f>
        <v>0.728196061364378</v>
      </c>
      <c r="I93" s="31" t="n">
        <f aca="false">SUMIFS(Produccion_Semanal!$S$2:$S$833,Produccion_Semanal!$E$2:$E$833,I$1,Produccion_Semanal!$B$2:$B$833,$A93)</f>
        <v>0.815118073776818</v>
      </c>
    </row>
    <row r="94" customFormat="false" ht="15" hidden="false" customHeight="false" outlineLevel="0" collapsed="false">
      <c r="A94" s="9" t="n">
        <v>46195</v>
      </c>
      <c r="B94" s="31" t="n">
        <f aca="false">SUMIFS(Produccion_Semanal!$S$2:$S$833,Produccion_Semanal!$E$2:$E$833,B$1,Produccion_Semanal!$B$2:$B$833,$A94)</f>
        <v>0.875442140705299</v>
      </c>
      <c r="C94" s="31" t="n">
        <f aca="false">SUMIFS(Produccion_Semanal!$S$2:$S$833,Produccion_Semanal!$E$2:$E$833,C$1,Produccion_Semanal!$B$2:$B$833,$A94)</f>
        <v>0.847999465811966</v>
      </c>
      <c r="D94" s="31" t="n">
        <f aca="false">SUMIFS(Produccion_Semanal!$S$2:$S$833,Produccion_Semanal!$E$2:$E$833,D$1,Produccion_Semanal!$B$2:$B$833,$A94)</f>
        <v>0.804898824579676</v>
      </c>
      <c r="E94" s="31" t="n">
        <f aca="false">SUMIFS(Produccion_Semanal!$S$2:$S$833,Produccion_Semanal!$E$2:$E$833,E$1,Produccion_Semanal!$B$2:$B$833,$A94)</f>
        <v>0.743173048382309</v>
      </c>
      <c r="F94" s="31" t="n">
        <f aca="false">SUMIFS(Produccion_Semanal!$S$2:$S$833,Produccion_Semanal!$E$2:$E$833,F$1,Produccion_Semanal!$B$2:$B$833,$A94)</f>
        <v>0.662543933798995</v>
      </c>
      <c r="G94" s="31" t="n">
        <f aca="false">SUMIFS(Produccion_Semanal!$S$2:$S$833,Produccion_Semanal!$E$2:$E$833,G$1,Produccion_Semanal!$B$2:$B$833,$A94)</f>
        <v>0.837870578388617</v>
      </c>
      <c r="H94" s="31" t="n">
        <f aca="false">SUMIFS(Produccion_Semanal!$S$2:$S$833,Produccion_Semanal!$E$2:$E$833,H$1,Produccion_Semanal!$B$2:$B$833,$A94)</f>
        <v>0.665750915750916</v>
      </c>
      <c r="I94" s="31" t="n">
        <f aca="false">SUMIFS(Produccion_Semanal!$S$2:$S$833,Produccion_Semanal!$E$2:$E$833,I$1,Produccion_Semanal!$B$2:$B$833,$A94)</f>
        <v>0.771150166852058</v>
      </c>
    </row>
    <row r="95" customFormat="false" ht="15" hidden="false" customHeight="false" outlineLevel="0" collapsed="false">
      <c r="A95" s="9" t="n">
        <v>46202</v>
      </c>
      <c r="B95" s="31" t="n">
        <f aca="false">SUMIFS(Produccion_Semanal!$S$2:$S$833,Produccion_Semanal!$E$2:$E$833,B$1,Produccion_Semanal!$B$2:$B$833,$A95)</f>
        <v>0.825444736074657</v>
      </c>
      <c r="C95" s="31" t="n">
        <f aca="false">SUMIFS(Produccion_Semanal!$S$2:$S$833,Produccion_Semanal!$E$2:$E$833,C$1,Produccion_Semanal!$B$2:$B$833,$A95)</f>
        <v>0.792691641114518</v>
      </c>
      <c r="D95" s="31" t="n">
        <f aca="false">SUMIFS(Produccion_Semanal!$S$2:$S$833,Produccion_Semanal!$E$2:$E$833,D$1,Produccion_Semanal!$B$2:$B$833,$A95)</f>
        <v>0.710431666035114</v>
      </c>
      <c r="E95" s="31" t="n">
        <f aca="false">SUMIFS(Produccion_Semanal!$S$2:$S$833,Produccion_Semanal!$E$2:$E$833,E$1,Produccion_Semanal!$B$2:$B$833,$A95)</f>
        <v>0.840894634955752</v>
      </c>
      <c r="F95" s="31" t="n">
        <f aca="false">SUMIFS(Produccion_Semanal!$S$2:$S$833,Produccion_Semanal!$E$2:$E$833,F$1,Produccion_Semanal!$B$2:$B$833,$A95)</f>
        <v>0.696214476427343</v>
      </c>
      <c r="G95" s="31" t="n">
        <f aca="false">SUMIFS(Produccion_Semanal!$S$2:$S$833,Produccion_Semanal!$E$2:$E$833,G$1,Produccion_Semanal!$B$2:$B$833,$A95)</f>
        <v>0.868538216417575</v>
      </c>
      <c r="H95" s="31" t="n">
        <f aca="false">SUMIFS(Produccion_Semanal!$S$2:$S$833,Produccion_Semanal!$E$2:$E$833,H$1,Produccion_Semanal!$B$2:$B$833,$A95)</f>
        <v>0.72579057818945</v>
      </c>
      <c r="I95" s="31" t="n">
        <f aca="false">SUMIFS(Produccion_Semanal!$S$2:$S$833,Produccion_Semanal!$E$2:$E$833,I$1,Produccion_Semanal!$B$2:$B$833,$A95)</f>
        <v>0.835153019023987</v>
      </c>
    </row>
    <row r="96" customFormat="false" ht="15" hidden="false" customHeight="false" outlineLevel="0" collapsed="false">
      <c r="A96" s="9" t="n">
        <v>46209</v>
      </c>
      <c r="B96" s="31" t="n">
        <f aca="false">SUMIFS(Produccion_Semanal!$S$2:$S$833,Produccion_Semanal!$E$2:$E$833,B$1,Produccion_Semanal!$B$2:$B$833,$A96)</f>
        <v>0.813277732203081</v>
      </c>
      <c r="C96" s="31" t="n">
        <f aca="false">SUMIFS(Produccion_Semanal!$S$2:$S$833,Produccion_Semanal!$E$2:$E$833,C$1,Produccion_Semanal!$B$2:$B$833,$A96)</f>
        <v>0.843362505757715</v>
      </c>
      <c r="D96" s="31" t="n">
        <f aca="false">SUMIFS(Produccion_Semanal!$S$2:$S$833,Produccion_Semanal!$E$2:$E$833,D$1,Produccion_Semanal!$B$2:$B$833,$A96)</f>
        <v>0.767303605002861</v>
      </c>
      <c r="E96" s="31" t="n">
        <f aca="false">SUMIFS(Produccion_Semanal!$S$2:$S$833,Produccion_Semanal!$E$2:$E$833,E$1,Produccion_Semanal!$B$2:$B$833,$A96)</f>
        <v>0.785549265605875</v>
      </c>
      <c r="F96" s="31" t="n">
        <f aca="false">SUMIFS(Produccion_Semanal!$S$2:$S$833,Produccion_Semanal!$E$2:$E$833,F$1,Produccion_Semanal!$B$2:$B$833,$A96)</f>
        <v>0.720564276958361</v>
      </c>
      <c r="G96" s="31" t="n">
        <f aca="false">SUMIFS(Produccion_Semanal!$S$2:$S$833,Produccion_Semanal!$E$2:$E$833,G$1,Produccion_Semanal!$B$2:$B$833,$A96)</f>
        <v>0.877113837224641</v>
      </c>
      <c r="H96" s="31" t="n">
        <f aca="false">SUMIFS(Produccion_Semanal!$S$2:$S$833,Produccion_Semanal!$E$2:$E$833,H$1,Produccion_Semanal!$B$2:$B$833,$A96)</f>
        <v>0.735576923076923</v>
      </c>
      <c r="I96" s="31" t="n">
        <f aca="false">SUMIFS(Produccion_Semanal!$S$2:$S$833,Produccion_Semanal!$E$2:$E$833,I$1,Produccion_Semanal!$B$2:$B$833,$A96)</f>
        <v>0.883405529953917</v>
      </c>
    </row>
    <row r="97" customFormat="false" ht="15" hidden="false" customHeight="false" outlineLevel="0" collapsed="false">
      <c r="A97" s="9" t="n">
        <v>46216</v>
      </c>
      <c r="B97" s="31" t="n">
        <f aca="false">SUMIFS(Produccion_Semanal!$S$2:$S$833,Produccion_Semanal!$E$2:$E$833,B$1,Produccion_Semanal!$B$2:$B$833,$A97)</f>
        <v>0.832035950451709</v>
      </c>
      <c r="C97" s="31" t="n">
        <f aca="false">SUMIFS(Produccion_Semanal!$S$2:$S$833,Produccion_Semanal!$E$2:$E$833,C$1,Produccion_Semanal!$B$2:$B$833,$A97)</f>
        <v>0.843493427046727</v>
      </c>
      <c r="D97" s="31" t="n">
        <f aca="false">SUMIFS(Produccion_Semanal!$S$2:$S$833,Produccion_Semanal!$E$2:$E$833,D$1,Produccion_Semanal!$B$2:$B$833,$A97)</f>
        <v>0.717918133473148</v>
      </c>
      <c r="E97" s="31" t="n">
        <f aca="false">SUMIFS(Produccion_Semanal!$S$2:$S$833,Produccion_Semanal!$E$2:$E$833,E$1,Produccion_Semanal!$B$2:$B$833,$A97)</f>
        <v>0.776145306351883</v>
      </c>
      <c r="F97" s="31" t="n">
        <f aca="false">SUMIFS(Produccion_Semanal!$S$2:$S$833,Produccion_Semanal!$E$2:$E$833,F$1,Produccion_Semanal!$B$2:$B$833,$A97)</f>
        <v>0.73334171658512</v>
      </c>
      <c r="G97" s="31" t="n">
        <f aca="false">SUMIFS(Produccion_Semanal!$S$2:$S$833,Produccion_Semanal!$E$2:$E$833,G$1,Produccion_Semanal!$B$2:$B$833,$A97)</f>
        <v>0.845619599191028</v>
      </c>
      <c r="H97" s="31" t="n">
        <f aca="false">SUMIFS(Produccion_Semanal!$S$2:$S$833,Produccion_Semanal!$E$2:$E$833,H$1,Produccion_Semanal!$B$2:$B$833,$A97)</f>
        <v>0.750341338534682</v>
      </c>
      <c r="I97" s="31" t="n">
        <f aca="false">SUMIFS(Produccion_Semanal!$S$2:$S$833,Produccion_Semanal!$E$2:$E$833,I$1,Produccion_Semanal!$B$2:$B$833,$A97)</f>
        <v>0.766934536219249</v>
      </c>
    </row>
    <row r="98" customFormat="false" ht="15" hidden="false" customHeight="false" outlineLevel="0" collapsed="false">
      <c r="A98" s="9" t="n">
        <v>46223</v>
      </c>
      <c r="B98" s="31" t="n">
        <f aca="false">SUMIFS(Produccion_Semanal!$S$2:$S$833,Produccion_Semanal!$E$2:$E$833,B$1,Produccion_Semanal!$B$2:$B$833,$A98)</f>
        <v>0.859581517792302</v>
      </c>
      <c r="C98" s="31" t="n">
        <f aca="false">SUMIFS(Produccion_Semanal!$S$2:$S$833,Produccion_Semanal!$E$2:$E$833,C$1,Produccion_Semanal!$B$2:$B$833,$A98)</f>
        <v>0.84829624920534</v>
      </c>
      <c r="D98" s="31" t="n">
        <f aca="false">SUMIFS(Produccion_Semanal!$S$2:$S$833,Produccion_Semanal!$E$2:$E$833,D$1,Produccion_Semanal!$B$2:$B$833,$A98)</f>
        <v>0.77978759584467</v>
      </c>
      <c r="E98" s="31" t="n">
        <f aca="false">SUMIFS(Produccion_Semanal!$S$2:$S$833,Produccion_Semanal!$E$2:$E$833,E$1,Produccion_Semanal!$B$2:$B$833,$A98)</f>
        <v>0.790666812100058</v>
      </c>
      <c r="F98" s="31" t="n">
        <f aca="false">SUMIFS(Produccion_Semanal!$S$2:$S$833,Produccion_Semanal!$E$2:$E$833,F$1,Produccion_Semanal!$B$2:$B$833,$A98)</f>
        <v>0.740885125046659</v>
      </c>
      <c r="G98" s="31" t="n">
        <f aca="false">SUMIFS(Produccion_Semanal!$S$2:$S$833,Produccion_Semanal!$E$2:$E$833,G$1,Produccion_Semanal!$B$2:$B$833,$A98)</f>
        <v>0.784425316889346</v>
      </c>
      <c r="H98" s="31" t="n">
        <f aca="false">SUMIFS(Produccion_Semanal!$S$2:$S$833,Produccion_Semanal!$E$2:$E$833,H$1,Produccion_Semanal!$B$2:$B$833,$A98)</f>
        <v>0.772069128415086</v>
      </c>
      <c r="I98" s="31" t="n">
        <f aca="false">SUMIFS(Produccion_Semanal!$S$2:$S$833,Produccion_Semanal!$E$2:$E$833,I$1,Produccion_Semanal!$B$2:$B$833,$A98)</f>
        <v>0.73208412397217</v>
      </c>
    </row>
    <row r="99" customFormat="false" ht="15" hidden="false" customHeight="false" outlineLevel="0" collapsed="false">
      <c r="A99" s="9" t="n">
        <v>46230</v>
      </c>
      <c r="B99" s="31" t="n">
        <f aca="false">SUMIFS(Produccion_Semanal!$S$2:$S$833,Produccion_Semanal!$E$2:$E$833,B$1,Produccion_Semanal!$B$2:$B$833,$A99)</f>
        <v>0.823084988962472</v>
      </c>
      <c r="C99" s="31" t="n">
        <f aca="false">SUMIFS(Produccion_Semanal!$S$2:$S$833,Produccion_Semanal!$E$2:$E$833,C$1,Produccion_Semanal!$B$2:$B$833,$A99)</f>
        <v>0.854850889543069</v>
      </c>
      <c r="D99" s="31" t="n">
        <f aca="false">SUMIFS(Produccion_Semanal!$S$2:$S$833,Produccion_Semanal!$E$2:$E$833,D$1,Produccion_Semanal!$B$2:$B$833,$A99)</f>
        <v>0.784985569080186</v>
      </c>
      <c r="E99" s="31" t="n">
        <f aca="false">SUMIFS(Produccion_Semanal!$S$2:$S$833,Produccion_Semanal!$E$2:$E$833,E$1,Produccion_Semanal!$B$2:$B$833,$A99)</f>
        <v>0.796434019832189</v>
      </c>
      <c r="F99" s="31" t="n">
        <f aca="false">SUMIFS(Produccion_Semanal!$S$2:$S$833,Produccion_Semanal!$E$2:$E$833,F$1,Produccion_Semanal!$B$2:$B$833,$A99)</f>
        <v>0.671212524983345</v>
      </c>
      <c r="G99" s="31" t="n">
        <f aca="false">SUMIFS(Produccion_Semanal!$S$2:$S$833,Produccion_Semanal!$E$2:$E$833,G$1,Produccion_Semanal!$B$2:$B$833,$A99)</f>
        <v>0.778998953927321</v>
      </c>
      <c r="H99" s="31" t="n">
        <f aca="false">SUMIFS(Produccion_Semanal!$S$2:$S$833,Produccion_Semanal!$E$2:$E$833,H$1,Produccion_Semanal!$B$2:$B$833,$A99)</f>
        <v>0.725846934130958</v>
      </c>
      <c r="I99" s="31" t="n">
        <f aca="false">SUMIFS(Produccion_Semanal!$S$2:$S$833,Produccion_Semanal!$E$2:$E$833,I$1,Produccion_Semanal!$B$2:$B$833,$A99)</f>
        <v>0.841556833903736</v>
      </c>
    </row>
    <row r="100" customFormat="false" ht="15" hidden="false" customHeight="false" outlineLevel="0" collapsed="false">
      <c r="A100" s="9" t="n">
        <v>46237</v>
      </c>
      <c r="B100" s="31" t="n">
        <f aca="false">SUMIFS(Produccion_Semanal!$S$2:$S$833,Produccion_Semanal!$E$2:$E$833,B$1,Produccion_Semanal!$B$2:$B$833,$A100)</f>
        <v>0.845503431500304</v>
      </c>
      <c r="C100" s="31" t="n">
        <f aca="false">SUMIFS(Produccion_Semanal!$S$2:$S$833,Produccion_Semanal!$E$2:$E$833,C$1,Produccion_Semanal!$B$2:$B$833,$A100)</f>
        <v>0.776355717732917</v>
      </c>
      <c r="D100" s="31" t="n">
        <f aca="false">SUMIFS(Produccion_Semanal!$S$2:$S$833,Produccion_Semanal!$E$2:$E$833,D$1,Produccion_Semanal!$B$2:$B$833,$A100)</f>
        <v>0.762966471261081</v>
      </c>
      <c r="E100" s="31" t="n">
        <f aca="false">SUMIFS(Produccion_Semanal!$S$2:$S$833,Produccion_Semanal!$E$2:$E$833,E$1,Produccion_Semanal!$B$2:$B$833,$A100)</f>
        <v>0.80444397641112</v>
      </c>
      <c r="F100" s="31" t="n">
        <f aca="false">SUMIFS(Produccion_Semanal!$S$2:$S$833,Produccion_Semanal!$E$2:$E$833,F$1,Produccion_Semanal!$B$2:$B$833,$A100)</f>
        <v>0.847121304083933</v>
      </c>
      <c r="G100" s="31" t="n">
        <f aca="false">SUMIFS(Produccion_Semanal!$S$2:$S$833,Produccion_Semanal!$E$2:$E$833,G$1,Produccion_Semanal!$B$2:$B$833,$A100)</f>
        <v>0.831982042347896</v>
      </c>
      <c r="H100" s="31" t="n">
        <f aca="false">SUMIFS(Produccion_Semanal!$S$2:$S$833,Produccion_Semanal!$E$2:$E$833,H$1,Produccion_Semanal!$B$2:$B$833,$A100)</f>
        <v>0.684125457875458</v>
      </c>
      <c r="I100" s="31" t="n">
        <f aca="false">SUMIFS(Produccion_Semanal!$S$2:$S$833,Produccion_Semanal!$E$2:$E$833,I$1,Produccion_Semanal!$B$2:$B$833,$A100)</f>
        <v>0.79164485536558</v>
      </c>
    </row>
    <row r="101" customFormat="false" ht="15" hidden="false" customHeight="false" outlineLevel="0" collapsed="false">
      <c r="A101" s="9" t="n">
        <v>46244</v>
      </c>
      <c r="B101" s="31" t="n">
        <f aca="false">SUMIFS(Produccion_Semanal!$S$2:$S$833,Produccion_Semanal!$E$2:$E$833,B$1,Produccion_Semanal!$B$2:$B$833,$A101)</f>
        <v>0.829039272030651</v>
      </c>
      <c r="C101" s="31" t="n">
        <f aca="false">SUMIFS(Produccion_Semanal!$S$2:$S$833,Produccion_Semanal!$E$2:$E$833,C$1,Produccion_Semanal!$B$2:$B$833,$A101)</f>
        <v>0.770587991145545</v>
      </c>
      <c r="D101" s="31" t="n">
        <f aca="false">SUMIFS(Produccion_Semanal!$S$2:$S$833,Produccion_Semanal!$E$2:$E$833,D$1,Produccion_Semanal!$B$2:$B$833,$A101)</f>
        <v>0.728260869565218</v>
      </c>
      <c r="E101" s="31" t="n">
        <f aca="false">SUMIFS(Produccion_Semanal!$S$2:$S$833,Produccion_Semanal!$E$2:$E$833,E$1,Produccion_Semanal!$B$2:$B$833,$A101)</f>
        <v>0.708044416597048</v>
      </c>
      <c r="F101" s="31" t="n">
        <f aca="false">SUMIFS(Produccion_Semanal!$S$2:$S$833,Produccion_Semanal!$E$2:$E$833,F$1,Produccion_Semanal!$B$2:$B$833,$A101)</f>
        <v>0.765168128654971</v>
      </c>
      <c r="G101" s="31" t="n">
        <f aca="false">SUMIFS(Produccion_Semanal!$S$2:$S$833,Produccion_Semanal!$E$2:$E$833,G$1,Produccion_Semanal!$B$2:$B$833,$A101)</f>
        <v>0.815689647848435</v>
      </c>
      <c r="H101" s="31" t="n">
        <f aca="false">SUMIFS(Produccion_Semanal!$S$2:$S$833,Produccion_Semanal!$E$2:$E$833,H$1,Produccion_Semanal!$B$2:$B$833,$A101)</f>
        <v>0.719465743259955</v>
      </c>
      <c r="I101" s="31" t="n">
        <f aca="false">SUMIFS(Produccion_Semanal!$S$2:$S$833,Produccion_Semanal!$E$2:$E$833,I$1,Produccion_Semanal!$B$2:$B$833,$A101)</f>
        <v>0.757454040929587</v>
      </c>
    </row>
    <row r="102" customFormat="false" ht="15" hidden="false" customHeight="false" outlineLevel="0" collapsed="false">
      <c r="A102" s="9" t="n">
        <v>46251</v>
      </c>
      <c r="B102" s="31" t="n">
        <f aca="false">SUMIFS(Produccion_Semanal!$S$2:$S$833,Produccion_Semanal!$E$2:$E$833,B$1,Produccion_Semanal!$B$2:$B$833,$A102)</f>
        <v>0.871002286236854</v>
      </c>
      <c r="C102" s="31" t="n">
        <f aca="false">SUMIFS(Produccion_Semanal!$S$2:$S$833,Produccion_Semanal!$E$2:$E$833,C$1,Produccion_Semanal!$B$2:$B$833,$A102)</f>
        <v>0.846614214188179</v>
      </c>
      <c r="D102" s="31" t="n">
        <f aca="false">SUMIFS(Produccion_Semanal!$S$2:$S$833,Produccion_Semanal!$E$2:$E$833,D$1,Produccion_Semanal!$B$2:$B$833,$A102)</f>
        <v>0.810444358031674</v>
      </c>
      <c r="E102" s="31" t="n">
        <f aca="false">SUMIFS(Produccion_Semanal!$S$2:$S$833,Produccion_Semanal!$E$2:$E$833,E$1,Produccion_Semanal!$B$2:$B$833,$A102)</f>
        <v>0.790710235429228</v>
      </c>
      <c r="F102" s="31" t="n">
        <f aca="false">SUMIFS(Produccion_Semanal!$S$2:$S$833,Produccion_Semanal!$E$2:$E$833,F$1,Produccion_Semanal!$B$2:$B$833,$A102)</f>
        <v>0.79606458123108</v>
      </c>
      <c r="G102" s="31" t="n">
        <f aca="false">SUMIFS(Produccion_Semanal!$S$2:$S$833,Produccion_Semanal!$E$2:$E$833,G$1,Produccion_Semanal!$B$2:$B$833,$A102)</f>
        <v>0.822083221235764</v>
      </c>
      <c r="H102" s="31" t="n">
        <f aca="false">SUMIFS(Produccion_Semanal!$S$2:$S$833,Produccion_Semanal!$E$2:$E$833,H$1,Produccion_Semanal!$B$2:$B$833,$A102)</f>
        <v>0.716008918617614</v>
      </c>
      <c r="I102" s="31" t="n">
        <f aca="false">SUMIFS(Produccion_Semanal!$S$2:$S$833,Produccion_Semanal!$E$2:$E$833,I$1,Produccion_Semanal!$B$2:$B$833,$A102)</f>
        <v>0.811149779146031</v>
      </c>
    </row>
    <row r="103" customFormat="false" ht="15" hidden="false" customHeight="false" outlineLevel="0" collapsed="false">
      <c r="A103" s="9" t="n">
        <v>46258</v>
      </c>
      <c r="B103" s="31" t="n">
        <f aca="false">SUMIFS(Produccion_Semanal!$S$2:$S$833,Produccion_Semanal!$E$2:$E$833,B$1,Produccion_Semanal!$B$2:$B$833,$A103)</f>
        <v>0.866135844748859</v>
      </c>
      <c r="C103" s="31" t="n">
        <f aca="false">SUMIFS(Produccion_Semanal!$S$2:$S$833,Produccion_Semanal!$E$2:$E$833,C$1,Produccion_Semanal!$B$2:$B$833,$A103)</f>
        <v>0.755220089479001</v>
      </c>
      <c r="D103" s="31" t="n">
        <f aca="false">SUMIFS(Produccion_Semanal!$S$2:$S$833,Produccion_Semanal!$E$2:$E$833,D$1,Produccion_Semanal!$B$2:$B$833,$A103)</f>
        <v>0.823688092729189</v>
      </c>
      <c r="E103" s="31" t="n">
        <f aca="false">SUMIFS(Produccion_Semanal!$S$2:$S$833,Produccion_Semanal!$E$2:$E$833,E$1,Produccion_Semanal!$B$2:$B$833,$A103)</f>
        <v>0.799281669463087</v>
      </c>
      <c r="F103" s="31" t="n">
        <f aca="false">SUMIFS(Produccion_Semanal!$S$2:$S$833,Produccion_Semanal!$E$2:$E$833,F$1,Produccion_Semanal!$B$2:$B$833,$A103)</f>
        <v>0.741714313639251</v>
      </c>
      <c r="G103" s="31" t="n">
        <f aca="false">SUMIFS(Produccion_Semanal!$S$2:$S$833,Produccion_Semanal!$E$2:$E$833,G$1,Produccion_Semanal!$B$2:$B$833,$A103)</f>
        <v>0.835637480798771</v>
      </c>
      <c r="H103" s="31" t="n">
        <f aca="false">SUMIFS(Produccion_Semanal!$S$2:$S$833,Produccion_Semanal!$E$2:$E$833,H$1,Produccion_Semanal!$B$2:$B$833,$A103)</f>
        <v>0.759282727157521</v>
      </c>
      <c r="I103" s="31" t="n">
        <f aca="false">SUMIFS(Produccion_Semanal!$S$2:$S$833,Produccion_Semanal!$E$2:$E$833,I$1,Produccion_Semanal!$B$2:$B$833,$A103)</f>
        <v>0.844690194825934</v>
      </c>
    </row>
    <row r="104" customFormat="false" ht="15" hidden="false" customHeight="false" outlineLevel="0" collapsed="false">
      <c r="A104" s="9" t="n">
        <v>46265</v>
      </c>
      <c r="B104" s="31" t="n">
        <f aca="false">SUMIFS(Produccion_Semanal!$S$2:$S$833,Produccion_Semanal!$E$2:$E$833,B$1,Produccion_Semanal!$B$2:$B$833,$A104)</f>
        <v>0.856964415395788</v>
      </c>
      <c r="C104" s="31" t="n">
        <f aca="false">SUMIFS(Produccion_Semanal!$S$2:$S$833,Produccion_Semanal!$E$2:$E$833,C$1,Produccion_Semanal!$B$2:$B$833,$A104)</f>
        <v>0.831393265369169</v>
      </c>
      <c r="D104" s="31" t="n">
        <f aca="false">SUMIFS(Produccion_Semanal!$S$2:$S$833,Produccion_Semanal!$E$2:$E$833,D$1,Produccion_Semanal!$B$2:$B$833,$A104)</f>
        <v>0.812341283170978</v>
      </c>
      <c r="E104" s="31" t="n">
        <f aca="false">SUMIFS(Produccion_Semanal!$S$2:$S$833,Produccion_Semanal!$E$2:$E$833,E$1,Produccion_Semanal!$B$2:$B$833,$A104)</f>
        <v>0.773284178610805</v>
      </c>
      <c r="F104" s="31" t="n">
        <f aca="false">SUMIFS(Produccion_Semanal!$S$2:$S$833,Produccion_Semanal!$E$2:$E$833,F$1,Produccion_Semanal!$B$2:$B$833,$A104)</f>
        <v>0.719049043062201</v>
      </c>
      <c r="G104" s="31" t="n">
        <f aca="false">SUMIFS(Produccion_Semanal!$S$2:$S$833,Produccion_Semanal!$E$2:$E$833,G$1,Produccion_Semanal!$B$2:$B$833,$A104)</f>
        <v>0.827945100167322</v>
      </c>
      <c r="H104" s="31" t="n">
        <f aca="false">SUMIFS(Produccion_Semanal!$S$2:$S$833,Produccion_Semanal!$E$2:$E$833,H$1,Produccion_Semanal!$B$2:$B$833,$A104)</f>
        <v>0.701088474232039</v>
      </c>
      <c r="I104" s="31" t="n">
        <f aca="false">SUMIFS(Produccion_Semanal!$S$2:$S$833,Produccion_Semanal!$E$2:$E$833,I$1,Produccion_Semanal!$B$2:$B$833,$A104)</f>
        <v>0.784224530708949</v>
      </c>
    </row>
    <row r="105" customFormat="false" ht="15" hidden="false" customHeight="false" outlineLevel="0" collapsed="false">
      <c r="A105" s="9" t="n">
        <v>46272</v>
      </c>
      <c r="B105" s="31" t="n">
        <f aca="false">SUMIFS(Produccion_Semanal!$S$2:$S$833,Produccion_Semanal!$E$2:$E$833,B$1,Produccion_Semanal!$B$2:$B$833,$A105)</f>
        <v>0.854435435435435</v>
      </c>
      <c r="C105" s="31" t="n">
        <f aca="false">SUMIFS(Produccion_Semanal!$S$2:$S$833,Produccion_Semanal!$E$2:$E$833,C$1,Produccion_Semanal!$B$2:$B$833,$A105)</f>
        <v>0.811006846556585</v>
      </c>
      <c r="D105" s="31" t="n">
        <f aca="false">SUMIFS(Produccion_Semanal!$S$2:$S$833,Produccion_Semanal!$E$2:$E$833,D$1,Produccion_Semanal!$B$2:$B$833,$A105)</f>
        <v>0.81508222343028</v>
      </c>
      <c r="E105" s="31" t="n">
        <f aca="false">SUMIFS(Produccion_Semanal!$S$2:$S$833,Produccion_Semanal!$E$2:$E$833,E$1,Produccion_Semanal!$B$2:$B$833,$A105)</f>
        <v>0.784166666666667</v>
      </c>
      <c r="F105" s="31" t="n">
        <f aca="false">SUMIFS(Produccion_Semanal!$S$2:$S$833,Produccion_Semanal!$E$2:$E$833,F$1,Produccion_Semanal!$B$2:$B$833,$A105)</f>
        <v>0.833670915773833</v>
      </c>
      <c r="G105" s="31" t="n">
        <f aca="false">SUMIFS(Produccion_Semanal!$S$2:$S$833,Produccion_Semanal!$E$2:$E$833,G$1,Produccion_Semanal!$B$2:$B$833,$A105)</f>
        <v>0.843446005471322</v>
      </c>
      <c r="H105" s="31" t="n">
        <f aca="false">SUMIFS(Produccion_Semanal!$S$2:$S$833,Produccion_Semanal!$E$2:$E$833,H$1,Produccion_Semanal!$B$2:$B$833,$A105)</f>
        <v>0.720773322422259</v>
      </c>
      <c r="I105" s="31" t="n">
        <f aca="false">SUMIFS(Produccion_Semanal!$S$2:$S$833,Produccion_Semanal!$E$2:$E$833,I$1,Produccion_Semanal!$B$2:$B$833,$A105)</f>
        <v>0.841604742064344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9" min="2" style="0" width="11"/>
  </cols>
  <sheetData>
    <row r="1" customFormat="false" ht="42" hidden="false" customHeight="true" outlineLevel="0" collapsed="false">
      <c r="A1" s="8" t="s">
        <v>100</v>
      </c>
      <c r="B1" s="8" t="s">
        <v>130</v>
      </c>
      <c r="C1" s="8" t="s">
        <v>132</v>
      </c>
      <c r="D1" s="8" t="s">
        <v>134</v>
      </c>
      <c r="E1" s="8" t="s">
        <v>136</v>
      </c>
      <c r="F1" s="8" t="s">
        <v>138</v>
      </c>
      <c r="G1" s="8" t="s">
        <v>140</v>
      </c>
      <c r="H1" s="8" t="s">
        <v>142</v>
      </c>
      <c r="I1" s="8" t="s">
        <v>144</v>
      </c>
    </row>
    <row r="2" customFormat="false" ht="15" hidden="false" customHeight="false" outlineLevel="0" collapsed="false">
      <c r="A2" s="9" t="n">
        <v>45551</v>
      </c>
      <c r="B2" s="16" t="n">
        <f aca="false">SUMIFS(Produccion_Semanal!$AO$2:$AO$833,Produccion_Semanal!$E$2:$E$833,B$1,Produccion_Semanal!$B$2:$B$833,$A2)</f>
        <v>129888.56</v>
      </c>
      <c r="C2" s="16" t="n">
        <f aca="false">SUMIFS(Produccion_Semanal!$AO$2:$AO$833,Produccion_Semanal!$E$2:$E$833,C$1,Produccion_Semanal!$B$2:$B$833,$A2)</f>
        <v>141023.427</v>
      </c>
      <c r="D2" s="16" t="n">
        <f aca="false">SUMIFS(Produccion_Semanal!$AO$2:$AO$833,Produccion_Semanal!$E$2:$E$833,D$1,Produccion_Semanal!$B$2:$B$833,$A2)</f>
        <v>109735.041</v>
      </c>
      <c r="E2" s="16" t="n">
        <f aca="false">SUMIFS(Produccion_Semanal!$AO$2:$AO$833,Produccion_Semanal!$E$2:$E$833,E$1,Produccion_Semanal!$B$2:$B$833,$A2)</f>
        <v>61496.832</v>
      </c>
      <c r="F2" s="16" t="n">
        <f aca="false">SUMIFS(Produccion_Semanal!$AO$2:$AO$833,Produccion_Semanal!$E$2:$E$833,F$1,Produccion_Semanal!$B$2:$B$833,$A2)</f>
        <v>95532.084</v>
      </c>
      <c r="G2" s="16" t="n">
        <f aca="false">SUMIFS(Produccion_Semanal!$AO$2:$AO$833,Produccion_Semanal!$E$2:$E$833,G$1,Produccion_Semanal!$B$2:$B$833,$A2)</f>
        <v>170371.619</v>
      </c>
      <c r="H2" s="16" t="n">
        <f aca="false">SUMIFS(Produccion_Semanal!$AO$2:$AO$833,Produccion_Semanal!$E$2:$E$833,H$1,Produccion_Semanal!$B$2:$B$833,$A2)</f>
        <v>124375.6</v>
      </c>
      <c r="I2" s="16" t="n">
        <f aca="false">SUMIFS(Produccion_Semanal!$AO$2:$AO$833,Produccion_Semanal!$E$2:$E$833,I$1,Produccion_Semanal!$B$2:$B$833,$A2)</f>
        <v>64097.407</v>
      </c>
    </row>
    <row r="3" customFormat="false" ht="15" hidden="false" customHeight="false" outlineLevel="0" collapsed="false">
      <c r="A3" s="9" t="n">
        <v>45558</v>
      </c>
      <c r="B3" s="16" t="n">
        <f aca="false">SUMIFS(Produccion_Semanal!$AO$2:$AO$833,Produccion_Semanal!$E$2:$E$833,B$1,Produccion_Semanal!$B$2:$B$833,$A3)</f>
        <v>170970.643</v>
      </c>
      <c r="C3" s="16" t="n">
        <f aca="false">SUMIFS(Produccion_Semanal!$AO$2:$AO$833,Produccion_Semanal!$E$2:$E$833,C$1,Produccion_Semanal!$B$2:$B$833,$A3)</f>
        <v>120887.631</v>
      </c>
      <c r="D3" s="16" t="n">
        <f aca="false">SUMIFS(Produccion_Semanal!$AO$2:$AO$833,Produccion_Semanal!$E$2:$E$833,D$1,Produccion_Semanal!$B$2:$B$833,$A3)</f>
        <v>136292.77</v>
      </c>
      <c r="E3" s="16" t="n">
        <f aca="false">SUMIFS(Produccion_Semanal!$AO$2:$AO$833,Produccion_Semanal!$E$2:$E$833,E$1,Produccion_Semanal!$B$2:$B$833,$A3)</f>
        <v>99669.969</v>
      </c>
      <c r="F3" s="16" t="n">
        <f aca="false">SUMIFS(Produccion_Semanal!$AO$2:$AO$833,Produccion_Semanal!$E$2:$E$833,F$1,Produccion_Semanal!$B$2:$B$833,$A3)</f>
        <v>95510.216</v>
      </c>
      <c r="G3" s="16" t="n">
        <f aca="false">SUMIFS(Produccion_Semanal!$AO$2:$AO$833,Produccion_Semanal!$E$2:$E$833,G$1,Produccion_Semanal!$B$2:$B$833,$A3)</f>
        <v>177270.125</v>
      </c>
      <c r="H3" s="16" t="n">
        <f aca="false">SUMIFS(Produccion_Semanal!$AO$2:$AO$833,Produccion_Semanal!$E$2:$E$833,H$1,Produccion_Semanal!$B$2:$B$833,$A3)</f>
        <v>101304.15</v>
      </c>
      <c r="I3" s="16" t="n">
        <f aca="false">SUMIFS(Produccion_Semanal!$AO$2:$AO$833,Produccion_Semanal!$E$2:$E$833,I$1,Produccion_Semanal!$B$2:$B$833,$A3)</f>
        <v>95700.638</v>
      </c>
    </row>
    <row r="4" customFormat="false" ht="15" hidden="false" customHeight="false" outlineLevel="0" collapsed="false">
      <c r="A4" s="9" t="n">
        <v>45565</v>
      </c>
      <c r="B4" s="16" t="n">
        <f aca="false">SUMIFS(Produccion_Semanal!$AO$2:$AO$833,Produccion_Semanal!$E$2:$E$833,B$1,Produccion_Semanal!$B$2:$B$833,$A4)</f>
        <v>155122.493</v>
      </c>
      <c r="C4" s="16" t="n">
        <f aca="false">SUMIFS(Produccion_Semanal!$AO$2:$AO$833,Produccion_Semanal!$E$2:$E$833,C$1,Produccion_Semanal!$B$2:$B$833,$A4)</f>
        <v>135541.762</v>
      </c>
      <c r="D4" s="16" t="n">
        <f aca="false">SUMIFS(Produccion_Semanal!$AO$2:$AO$833,Produccion_Semanal!$E$2:$E$833,D$1,Produccion_Semanal!$B$2:$B$833,$A4)</f>
        <v>130329.001</v>
      </c>
      <c r="E4" s="16" t="n">
        <f aca="false">SUMIFS(Produccion_Semanal!$AO$2:$AO$833,Produccion_Semanal!$E$2:$E$833,E$1,Produccion_Semanal!$B$2:$B$833,$A4)</f>
        <v>75230.166</v>
      </c>
      <c r="F4" s="16" t="n">
        <f aca="false">SUMIFS(Produccion_Semanal!$AO$2:$AO$833,Produccion_Semanal!$E$2:$E$833,F$1,Produccion_Semanal!$B$2:$B$833,$A4)</f>
        <v>172004.66</v>
      </c>
      <c r="G4" s="16" t="n">
        <f aca="false">SUMIFS(Produccion_Semanal!$AO$2:$AO$833,Produccion_Semanal!$E$2:$E$833,G$1,Produccion_Semanal!$B$2:$B$833,$A4)</f>
        <v>138073.52</v>
      </c>
      <c r="H4" s="16" t="n">
        <f aca="false">SUMIFS(Produccion_Semanal!$AO$2:$AO$833,Produccion_Semanal!$E$2:$E$833,H$1,Produccion_Semanal!$B$2:$B$833,$A4)</f>
        <v>140849.428</v>
      </c>
      <c r="I4" s="16" t="n">
        <f aca="false">SUMIFS(Produccion_Semanal!$AO$2:$AO$833,Produccion_Semanal!$E$2:$E$833,I$1,Produccion_Semanal!$B$2:$B$833,$A4)</f>
        <v>114585.732</v>
      </c>
    </row>
    <row r="5" customFormat="false" ht="15" hidden="false" customHeight="false" outlineLevel="0" collapsed="false">
      <c r="A5" s="9" t="n">
        <v>45572</v>
      </c>
      <c r="B5" s="16" t="n">
        <f aca="false">SUMIFS(Produccion_Semanal!$AO$2:$AO$833,Produccion_Semanal!$E$2:$E$833,B$1,Produccion_Semanal!$B$2:$B$833,$A5)</f>
        <v>162105.135</v>
      </c>
      <c r="C5" s="16" t="n">
        <f aca="false">SUMIFS(Produccion_Semanal!$AO$2:$AO$833,Produccion_Semanal!$E$2:$E$833,C$1,Produccion_Semanal!$B$2:$B$833,$A5)</f>
        <v>139881.972</v>
      </c>
      <c r="D5" s="16" t="n">
        <f aca="false">SUMIFS(Produccion_Semanal!$AO$2:$AO$833,Produccion_Semanal!$E$2:$E$833,D$1,Produccion_Semanal!$B$2:$B$833,$A5)</f>
        <v>137485.29</v>
      </c>
      <c r="E5" s="16" t="n">
        <f aca="false">SUMIFS(Produccion_Semanal!$AO$2:$AO$833,Produccion_Semanal!$E$2:$E$833,E$1,Produccion_Semanal!$B$2:$B$833,$A5)</f>
        <v>60632.848</v>
      </c>
      <c r="F5" s="16" t="n">
        <f aca="false">SUMIFS(Produccion_Semanal!$AO$2:$AO$833,Produccion_Semanal!$E$2:$E$833,F$1,Produccion_Semanal!$B$2:$B$833,$A5)</f>
        <v>132104.49</v>
      </c>
      <c r="G5" s="16" t="n">
        <f aca="false">SUMIFS(Produccion_Semanal!$AO$2:$AO$833,Produccion_Semanal!$E$2:$E$833,G$1,Produccion_Semanal!$B$2:$B$833,$A5)</f>
        <v>155224.846</v>
      </c>
      <c r="H5" s="16" t="n">
        <f aca="false">SUMIFS(Produccion_Semanal!$AO$2:$AO$833,Produccion_Semanal!$E$2:$E$833,H$1,Produccion_Semanal!$B$2:$B$833,$A5)</f>
        <v>126533.9</v>
      </c>
      <c r="I5" s="16" t="n">
        <f aca="false">SUMIFS(Produccion_Semanal!$AO$2:$AO$833,Produccion_Semanal!$E$2:$E$833,I$1,Produccion_Semanal!$B$2:$B$833,$A5)</f>
        <v>99051.441</v>
      </c>
    </row>
    <row r="6" customFormat="false" ht="15" hidden="false" customHeight="false" outlineLevel="0" collapsed="false">
      <c r="A6" s="9" t="n">
        <v>45579</v>
      </c>
      <c r="B6" s="16" t="n">
        <f aca="false">SUMIFS(Produccion_Semanal!$AO$2:$AO$833,Produccion_Semanal!$E$2:$E$833,B$1,Produccion_Semanal!$B$2:$B$833,$A6)</f>
        <v>158532.666</v>
      </c>
      <c r="C6" s="16" t="n">
        <f aca="false">SUMIFS(Produccion_Semanal!$AO$2:$AO$833,Produccion_Semanal!$E$2:$E$833,C$1,Produccion_Semanal!$B$2:$B$833,$A6)</f>
        <v>114914.091</v>
      </c>
      <c r="D6" s="16" t="n">
        <f aca="false">SUMIFS(Produccion_Semanal!$AO$2:$AO$833,Produccion_Semanal!$E$2:$E$833,D$1,Produccion_Semanal!$B$2:$B$833,$A6)</f>
        <v>140165.898</v>
      </c>
      <c r="E6" s="16" t="n">
        <f aca="false">SUMIFS(Produccion_Semanal!$AO$2:$AO$833,Produccion_Semanal!$E$2:$E$833,E$1,Produccion_Semanal!$B$2:$B$833,$A6)</f>
        <v>80827.42</v>
      </c>
      <c r="F6" s="16" t="n">
        <f aca="false">SUMIFS(Produccion_Semanal!$AO$2:$AO$833,Produccion_Semanal!$E$2:$E$833,F$1,Produccion_Semanal!$B$2:$B$833,$A6)</f>
        <v>107573.826</v>
      </c>
      <c r="G6" s="16" t="n">
        <f aca="false">SUMIFS(Produccion_Semanal!$AO$2:$AO$833,Produccion_Semanal!$E$2:$E$833,G$1,Produccion_Semanal!$B$2:$B$833,$A6)</f>
        <v>164000.441</v>
      </c>
      <c r="H6" s="16" t="n">
        <f aca="false">SUMIFS(Produccion_Semanal!$AO$2:$AO$833,Produccion_Semanal!$E$2:$E$833,H$1,Produccion_Semanal!$B$2:$B$833,$A6)</f>
        <v>116804.636</v>
      </c>
      <c r="I6" s="16" t="n">
        <f aca="false">SUMIFS(Produccion_Semanal!$AO$2:$AO$833,Produccion_Semanal!$E$2:$E$833,I$1,Produccion_Semanal!$B$2:$B$833,$A6)</f>
        <v>89776.39</v>
      </c>
    </row>
    <row r="7" customFormat="false" ht="15" hidden="false" customHeight="false" outlineLevel="0" collapsed="false">
      <c r="A7" s="9" t="n">
        <v>45586</v>
      </c>
      <c r="B7" s="16" t="n">
        <f aca="false">SUMIFS(Produccion_Semanal!$AO$2:$AO$833,Produccion_Semanal!$E$2:$E$833,B$1,Produccion_Semanal!$B$2:$B$833,$A7)</f>
        <v>180084.482</v>
      </c>
      <c r="C7" s="16" t="n">
        <f aca="false">SUMIFS(Produccion_Semanal!$AO$2:$AO$833,Produccion_Semanal!$E$2:$E$833,C$1,Produccion_Semanal!$B$2:$B$833,$A7)</f>
        <v>138999.584</v>
      </c>
      <c r="D7" s="16" t="n">
        <f aca="false">SUMIFS(Produccion_Semanal!$AO$2:$AO$833,Produccion_Semanal!$E$2:$E$833,D$1,Produccion_Semanal!$B$2:$B$833,$A7)</f>
        <v>94140.738</v>
      </c>
      <c r="E7" s="16" t="n">
        <f aca="false">SUMIFS(Produccion_Semanal!$AO$2:$AO$833,Produccion_Semanal!$E$2:$E$833,E$1,Produccion_Semanal!$B$2:$B$833,$A7)</f>
        <v>61454.985</v>
      </c>
      <c r="F7" s="16" t="n">
        <f aca="false">SUMIFS(Produccion_Semanal!$AO$2:$AO$833,Produccion_Semanal!$E$2:$E$833,F$1,Produccion_Semanal!$B$2:$B$833,$A7)</f>
        <v>93402.6300000001</v>
      </c>
      <c r="G7" s="16" t="n">
        <f aca="false">SUMIFS(Produccion_Semanal!$AO$2:$AO$833,Produccion_Semanal!$E$2:$E$833,G$1,Produccion_Semanal!$B$2:$B$833,$A7)</f>
        <v>160646.16</v>
      </c>
      <c r="H7" s="16" t="n">
        <f aca="false">SUMIFS(Produccion_Semanal!$AO$2:$AO$833,Produccion_Semanal!$E$2:$E$833,H$1,Produccion_Semanal!$B$2:$B$833,$A7)</f>
        <v>108002.55</v>
      </c>
      <c r="I7" s="16" t="n">
        <f aca="false">SUMIFS(Produccion_Semanal!$AO$2:$AO$833,Produccion_Semanal!$E$2:$E$833,I$1,Produccion_Semanal!$B$2:$B$833,$A7)</f>
        <v>82195.588</v>
      </c>
    </row>
    <row r="8" customFormat="false" ht="15" hidden="false" customHeight="false" outlineLevel="0" collapsed="false">
      <c r="A8" s="9" t="n">
        <v>45593</v>
      </c>
      <c r="B8" s="16" t="n">
        <f aca="false">SUMIFS(Produccion_Semanal!$AO$2:$AO$833,Produccion_Semanal!$E$2:$E$833,B$1,Produccion_Semanal!$B$2:$B$833,$A8)</f>
        <v>141278.692</v>
      </c>
      <c r="C8" s="16" t="n">
        <f aca="false">SUMIFS(Produccion_Semanal!$AO$2:$AO$833,Produccion_Semanal!$E$2:$E$833,C$1,Produccion_Semanal!$B$2:$B$833,$A8)</f>
        <v>132379.796</v>
      </c>
      <c r="D8" s="16" t="n">
        <f aca="false">SUMIFS(Produccion_Semanal!$AO$2:$AO$833,Produccion_Semanal!$E$2:$E$833,D$1,Produccion_Semanal!$B$2:$B$833,$A8)</f>
        <v>108625.887</v>
      </c>
      <c r="E8" s="16" t="n">
        <f aca="false">SUMIFS(Produccion_Semanal!$AO$2:$AO$833,Produccion_Semanal!$E$2:$E$833,E$1,Produccion_Semanal!$B$2:$B$833,$A8)</f>
        <v>104732.073</v>
      </c>
      <c r="F8" s="16" t="n">
        <f aca="false">SUMIFS(Produccion_Semanal!$AO$2:$AO$833,Produccion_Semanal!$E$2:$E$833,F$1,Produccion_Semanal!$B$2:$B$833,$A8)</f>
        <v>112292.644</v>
      </c>
      <c r="G8" s="16" t="n">
        <f aca="false">SUMIFS(Produccion_Semanal!$AO$2:$AO$833,Produccion_Semanal!$E$2:$E$833,G$1,Produccion_Semanal!$B$2:$B$833,$A8)</f>
        <v>162568.872</v>
      </c>
      <c r="H8" s="16" t="n">
        <f aca="false">SUMIFS(Produccion_Semanal!$AO$2:$AO$833,Produccion_Semanal!$E$2:$E$833,H$1,Produccion_Semanal!$B$2:$B$833,$A8)</f>
        <v>119247.98</v>
      </c>
      <c r="I8" s="16" t="n">
        <f aca="false">SUMIFS(Produccion_Semanal!$AO$2:$AO$833,Produccion_Semanal!$E$2:$E$833,I$1,Produccion_Semanal!$B$2:$B$833,$A8)</f>
        <v>90781.559</v>
      </c>
    </row>
    <row r="9" customFormat="false" ht="15" hidden="false" customHeight="false" outlineLevel="0" collapsed="false">
      <c r="A9" s="9" t="n">
        <v>45600</v>
      </c>
      <c r="B9" s="16" t="n">
        <f aca="false">SUMIFS(Produccion_Semanal!$AO$2:$AO$833,Produccion_Semanal!$E$2:$E$833,B$1,Produccion_Semanal!$B$2:$B$833,$A9)</f>
        <v>147796.206</v>
      </c>
      <c r="C9" s="16" t="n">
        <f aca="false">SUMIFS(Produccion_Semanal!$AO$2:$AO$833,Produccion_Semanal!$E$2:$E$833,C$1,Produccion_Semanal!$B$2:$B$833,$A9)</f>
        <v>124585.724</v>
      </c>
      <c r="D9" s="16" t="n">
        <f aca="false">SUMIFS(Produccion_Semanal!$AO$2:$AO$833,Produccion_Semanal!$E$2:$E$833,D$1,Produccion_Semanal!$B$2:$B$833,$A9)</f>
        <v>124581.962</v>
      </c>
      <c r="E9" s="16" t="n">
        <f aca="false">SUMIFS(Produccion_Semanal!$AO$2:$AO$833,Produccion_Semanal!$E$2:$E$833,E$1,Produccion_Semanal!$B$2:$B$833,$A9)</f>
        <v>93015.356</v>
      </c>
      <c r="F9" s="16" t="n">
        <f aca="false">SUMIFS(Produccion_Semanal!$AO$2:$AO$833,Produccion_Semanal!$E$2:$E$833,F$1,Produccion_Semanal!$B$2:$B$833,$A9)</f>
        <v>125906.296</v>
      </c>
      <c r="G9" s="16" t="n">
        <f aca="false">SUMIFS(Produccion_Semanal!$AO$2:$AO$833,Produccion_Semanal!$E$2:$E$833,G$1,Produccion_Semanal!$B$2:$B$833,$A9)</f>
        <v>195003.965</v>
      </c>
      <c r="H9" s="16" t="n">
        <f aca="false">SUMIFS(Produccion_Semanal!$AO$2:$AO$833,Produccion_Semanal!$E$2:$E$833,H$1,Produccion_Semanal!$B$2:$B$833,$A9)</f>
        <v>55816.112</v>
      </c>
      <c r="I9" s="16" t="n">
        <f aca="false">SUMIFS(Produccion_Semanal!$AO$2:$AO$833,Produccion_Semanal!$E$2:$E$833,I$1,Produccion_Semanal!$B$2:$B$833,$A9)</f>
        <v>80834.153</v>
      </c>
    </row>
    <row r="10" customFormat="false" ht="15" hidden="false" customHeight="false" outlineLevel="0" collapsed="false">
      <c r="A10" s="9" t="n">
        <v>45607</v>
      </c>
      <c r="B10" s="16" t="n">
        <f aca="false">SUMIFS(Produccion_Semanal!$AO$2:$AO$833,Produccion_Semanal!$E$2:$E$833,B$1,Produccion_Semanal!$B$2:$B$833,$A10)</f>
        <v>165150.686</v>
      </c>
      <c r="C10" s="16" t="n">
        <f aca="false">SUMIFS(Produccion_Semanal!$AO$2:$AO$833,Produccion_Semanal!$E$2:$E$833,C$1,Produccion_Semanal!$B$2:$B$833,$A10)</f>
        <v>141675.48</v>
      </c>
      <c r="D10" s="16" t="n">
        <f aca="false">SUMIFS(Produccion_Semanal!$AO$2:$AO$833,Produccion_Semanal!$E$2:$E$833,D$1,Produccion_Semanal!$B$2:$B$833,$A10)</f>
        <v>159855.412</v>
      </c>
      <c r="E10" s="16" t="n">
        <f aca="false">SUMIFS(Produccion_Semanal!$AO$2:$AO$833,Produccion_Semanal!$E$2:$E$833,E$1,Produccion_Semanal!$B$2:$B$833,$A10)</f>
        <v>79645.199</v>
      </c>
      <c r="F10" s="16" t="n">
        <f aca="false">SUMIFS(Produccion_Semanal!$AO$2:$AO$833,Produccion_Semanal!$E$2:$E$833,F$1,Produccion_Semanal!$B$2:$B$833,$A10)</f>
        <v>125939.848</v>
      </c>
      <c r="G10" s="16" t="n">
        <f aca="false">SUMIFS(Produccion_Semanal!$AO$2:$AO$833,Produccion_Semanal!$E$2:$E$833,G$1,Produccion_Semanal!$B$2:$B$833,$A10)</f>
        <v>165498.931</v>
      </c>
      <c r="H10" s="16" t="n">
        <f aca="false">SUMIFS(Produccion_Semanal!$AO$2:$AO$833,Produccion_Semanal!$E$2:$E$833,H$1,Produccion_Semanal!$B$2:$B$833,$A10)</f>
        <v>80697.504</v>
      </c>
      <c r="I10" s="16" t="n">
        <f aca="false">SUMIFS(Produccion_Semanal!$AO$2:$AO$833,Produccion_Semanal!$E$2:$E$833,I$1,Produccion_Semanal!$B$2:$B$833,$A10)</f>
        <v>68221.518</v>
      </c>
    </row>
    <row r="11" customFormat="false" ht="15" hidden="false" customHeight="false" outlineLevel="0" collapsed="false">
      <c r="A11" s="9" t="n">
        <v>45614</v>
      </c>
      <c r="B11" s="16" t="n">
        <f aca="false">SUMIFS(Produccion_Semanal!$AO$2:$AO$833,Produccion_Semanal!$E$2:$E$833,B$1,Produccion_Semanal!$B$2:$B$833,$A11)</f>
        <v>145755.701</v>
      </c>
      <c r="C11" s="16" t="n">
        <f aca="false">SUMIFS(Produccion_Semanal!$AO$2:$AO$833,Produccion_Semanal!$E$2:$E$833,C$1,Produccion_Semanal!$B$2:$B$833,$A11)</f>
        <v>134390.04</v>
      </c>
      <c r="D11" s="16" t="n">
        <f aca="false">SUMIFS(Produccion_Semanal!$AO$2:$AO$833,Produccion_Semanal!$E$2:$E$833,D$1,Produccion_Semanal!$B$2:$B$833,$A11)</f>
        <v>142866.104</v>
      </c>
      <c r="E11" s="16" t="n">
        <f aca="false">SUMIFS(Produccion_Semanal!$AO$2:$AO$833,Produccion_Semanal!$E$2:$E$833,E$1,Produccion_Semanal!$B$2:$B$833,$A11)</f>
        <v>62294.013</v>
      </c>
      <c r="F11" s="16" t="n">
        <f aca="false">SUMIFS(Produccion_Semanal!$AO$2:$AO$833,Produccion_Semanal!$E$2:$E$833,F$1,Produccion_Semanal!$B$2:$B$833,$A11)</f>
        <v>127835.464</v>
      </c>
      <c r="G11" s="16" t="n">
        <f aca="false">SUMIFS(Produccion_Semanal!$AO$2:$AO$833,Produccion_Semanal!$E$2:$E$833,G$1,Produccion_Semanal!$B$2:$B$833,$A11)</f>
        <v>177170.311</v>
      </c>
      <c r="H11" s="16" t="n">
        <f aca="false">SUMIFS(Produccion_Semanal!$AO$2:$AO$833,Produccion_Semanal!$E$2:$E$833,H$1,Produccion_Semanal!$B$2:$B$833,$A11)</f>
        <v>120358.446</v>
      </c>
      <c r="I11" s="16" t="n">
        <f aca="false">SUMIFS(Produccion_Semanal!$AO$2:$AO$833,Produccion_Semanal!$E$2:$E$833,I$1,Produccion_Semanal!$B$2:$B$833,$A11)</f>
        <v>72320.139</v>
      </c>
    </row>
    <row r="12" customFormat="false" ht="15" hidden="false" customHeight="false" outlineLevel="0" collapsed="false">
      <c r="A12" s="9" t="n">
        <v>45621</v>
      </c>
      <c r="B12" s="16" t="n">
        <f aca="false">SUMIFS(Produccion_Semanal!$AO$2:$AO$833,Produccion_Semanal!$E$2:$E$833,B$1,Produccion_Semanal!$B$2:$B$833,$A12)</f>
        <v>161998.457</v>
      </c>
      <c r="C12" s="16" t="n">
        <f aca="false">SUMIFS(Produccion_Semanal!$AO$2:$AO$833,Produccion_Semanal!$E$2:$E$833,C$1,Produccion_Semanal!$B$2:$B$833,$A12)</f>
        <v>122617.136</v>
      </c>
      <c r="D12" s="16" t="n">
        <f aca="false">SUMIFS(Produccion_Semanal!$AO$2:$AO$833,Produccion_Semanal!$E$2:$E$833,D$1,Produccion_Semanal!$B$2:$B$833,$A12)</f>
        <v>89278.002</v>
      </c>
      <c r="E12" s="16" t="n">
        <f aca="false">SUMIFS(Produccion_Semanal!$AO$2:$AO$833,Produccion_Semanal!$E$2:$E$833,E$1,Produccion_Semanal!$B$2:$B$833,$A12)</f>
        <v>72515.614</v>
      </c>
      <c r="F12" s="16" t="n">
        <f aca="false">SUMIFS(Produccion_Semanal!$AO$2:$AO$833,Produccion_Semanal!$E$2:$E$833,F$1,Produccion_Semanal!$B$2:$B$833,$A12)</f>
        <v>131755.188</v>
      </c>
      <c r="G12" s="16" t="n">
        <f aca="false">SUMIFS(Produccion_Semanal!$AO$2:$AO$833,Produccion_Semanal!$E$2:$E$833,G$1,Produccion_Semanal!$B$2:$B$833,$A12)</f>
        <v>132004.952</v>
      </c>
      <c r="H12" s="16" t="n">
        <f aca="false">SUMIFS(Produccion_Semanal!$AO$2:$AO$833,Produccion_Semanal!$E$2:$E$833,H$1,Produccion_Semanal!$B$2:$B$833,$A12)</f>
        <v>137318.924</v>
      </c>
      <c r="I12" s="16" t="n">
        <f aca="false">SUMIFS(Produccion_Semanal!$AO$2:$AO$833,Produccion_Semanal!$E$2:$E$833,I$1,Produccion_Semanal!$B$2:$B$833,$A12)</f>
        <v>91463.103</v>
      </c>
    </row>
    <row r="13" customFormat="false" ht="15" hidden="false" customHeight="false" outlineLevel="0" collapsed="false">
      <c r="A13" s="9" t="n">
        <v>45628</v>
      </c>
      <c r="B13" s="16" t="n">
        <f aca="false">SUMIFS(Produccion_Semanal!$AO$2:$AO$833,Produccion_Semanal!$E$2:$E$833,B$1,Produccion_Semanal!$B$2:$B$833,$A13)</f>
        <v>136393.939</v>
      </c>
      <c r="C13" s="16" t="n">
        <f aca="false">SUMIFS(Produccion_Semanal!$AO$2:$AO$833,Produccion_Semanal!$E$2:$E$833,C$1,Produccion_Semanal!$B$2:$B$833,$A13)</f>
        <v>98932.672</v>
      </c>
      <c r="D13" s="16" t="n">
        <f aca="false">SUMIFS(Produccion_Semanal!$AO$2:$AO$833,Produccion_Semanal!$E$2:$E$833,D$1,Produccion_Semanal!$B$2:$B$833,$A13)</f>
        <v>140744.835</v>
      </c>
      <c r="E13" s="16" t="n">
        <f aca="false">SUMIFS(Produccion_Semanal!$AO$2:$AO$833,Produccion_Semanal!$E$2:$E$833,E$1,Produccion_Semanal!$B$2:$B$833,$A13)</f>
        <v>85609.596</v>
      </c>
      <c r="F13" s="16" t="n">
        <f aca="false">SUMIFS(Produccion_Semanal!$AO$2:$AO$833,Produccion_Semanal!$E$2:$E$833,F$1,Produccion_Semanal!$B$2:$B$833,$A13)</f>
        <v>114128.194</v>
      </c>
      <c r="G13" s="16" t="n">
        <f aca="false">SUMIFS(Produccion_Semanal!$AO$2:$AO$833,Produccion_Semanal!$E$2:$E$833,G$1,Produccion_Semanal!$B$2:$B$833,$A13)</f>
        <v>153196.405</v>
      </c>
      <c r="H13" s="16" t="n">
        <f aca="false">SUMIFS(Produccion_Semanal!$AO$2:$AO$833,Produccion_Semanal!$E$2:$E$833,H$1,Produccion_Semanal!$B$2:$B$833,$A13)</f>
        <v>148751.418</v>
      </c>
      <c r="I13" s="16" t="n">
        <f aca="false">SUMIFS(Produccion_Semanal!$AO$2:$AO$833,Produccion_Semanal!$E$2:$E$833,I$1,Produccion_Semanal!$B$2:$B$833,$A13)</f>
        <v>95776.967</v>
      </c>
    </row>
    <row r="14" customFormat="false" ht="15" hidden="false" customHeight="false" outlineLevel="0" collapsed="false">
      <c r="A14" s="9" t="n">
        <v>45635</v>
      </c>
      <c r="B14" s="16" t="n">
        <f aca="false">SUMIFS(Produccion_Semanal!$AO$2:$AO$833,Produccion_Semanal!$E$2:$E$833,B$1,Produccion_Semanal!$B$2:$B$833,$A14)</f>
        <v>137268.942</v>
      </c>
      <c r="C14" s="16" t="n">
        <f aca="false">SUMIFS(Produccion_Semanal!$AO$2:$AO$833,Produccion_Semanal!$E$2:$E$833,C$1,Produccion_Semanal!$B$2:$B$833,$A14)</f>
        <v>116316.836</v>
      </c>
      <c r="D14" s="16" t="n">
        <f aca="false">SUMIFS(Produccion_Semanal!$AO$2:$AO$833,Produccion_Semanal!$E$2:$E$833,D$1,Produccion_Semanal!$B$2:$B$833,$A14)</f>
        <v>102065.446</v>
      </c>
      <c r="E14" s="16" t="n">
        <f aca="false">SUMIFS(Produccion_Semanal!$AO$2:$AO$833,Produccion_Semanal!$E$2:$E$833,E$1,Produccion_Semanal!$B$2:$B$833,$A14)</f>
        <v>68792.027</v>
      </c>
      <c r="F14" s="16" t="n">
        <f aca="false">SUMIFS(Produccion_Semanal!$AO$2:$AO$833,Produccion_Semanal!$E$2:$E$833,F$1,Produccion_Semanal!$B$2:$B$833,$A14)</f>
        <v>116489.512</v>
      </c>
      <c r="G14" s="16" t="n">
        <f aca="false">SUMIFS(Produccion_Semanal!$AO$2:$AO$833,Produccion_Semanal!$E$2:$E$833,G$1,Produccion_Semanal!$B$2:$B$833,$A14)</f>
        <v>152832.139</v>
      </c>
      <c r="H14" s="16" t="n">
        <f aca="false">SUMIFS(Produccion_Semanal!$AO$2:$AO$833,Produccion_Semanal!$E$2:$E$833,H$1,Produccion_Semanal!$B$2:$B$833,$A14)</f>
        <v>138972.174</v>
      </c>
      <c r="I14" s="16" t="n">
        <f aca="false">SUMIFS(Produccion_Semanal!$AO$2:$AO$833,Produccion_Semanal!$E$2:$E$833,I$1,Produccion_Semanal!$B$2:$B$833,$A14)</f>
        <v>96421.873</v>
      </c>
    </row>
    <row r="15" customFormat="false" ht="15" hidden="false" customHeight="false" outlineLevel="0" collapsed="false">
      <c r="A15" s="9" t="n">
        <v>45642</v>
      </c>
      <c r="B15" s="16" t="n">
        <f aca="false">SUMIFS(Produccion_Semanal!$AO$2:$AO$833,Produccion_Semanal!$E$2:$E$833,B$1,Produccion_Semanal!$B$2:$B$833,$A15)</f>
        <v>157782.2</v>
      </c>
      <c r="C15" s="16" t="n">
        <f aca="false">SUMIFS(Produccion_Semanal!$AO$2:$AO$833,Produccion_Semanal!$E$2:$E$833,C$1,Produccion_Semanal!$B$2:$B$833,$A15)</f>
        <v>111219.289</v>
      </c>
      <c r="D15" s="16" t="n">
        <f aca="false">SUMIFS(Produccion_Semanal!$AO$2:$AO$833,Produccion_Semanal!$E$2:$E$833,D$1,Produccion_Semanal!$B$2:$B$833,$A15)</f>
        <v>99730.587</v>
      </c>
      <c r="E15" s="16" t="n">
        <f aca="false">SUMIFS(Produccion_Semanal!$AO$2:$AO$833,Produccion_Semanal!$E$2:$E$833,E$1,Produccion_Semanal!$B$2:$B$833,$A15)</f>
        <v>84181.747</v>
      </c>
      <c r="F15" s="16" t="n">
        <f aca="false">SUMIFS(Produccion_Semanal!$AO$2:$AO$833,Produccion_Semanal!$E$2:$E$833,F$1,Produccion_Semanal!$B$2:$B$833,$A15)</f>
        <v>92830.906</v>
      </c>
      <c r="G15" s="16" t="n">
        <f aca="false">SUMIFS(Produccion_Semanal!$AO$2:$AO$833,Produccion_Semanal!$E$2:$E$833,G$1,Produccion_Semanal!$B$2:$B$833,$A15)</f>
        <v>148836.283</v>
      </c>
      <c r="H15" s="16" t="n">
        <f aca="false">SUMIFS(Produccion_Semanal!$AO$2:$AO$833,Produccion_Semanal!$E$2:$E$833,H$1,Produccion_Semanal!$B$2:$B$833,$A15)</f>
        <v>136499.432</v>
      </c>
      <c r="I15" s="16" t="n">
        <f aca="false">SUMIFS(Produccion_Semanal!$AO$2:$AO$833,Produccion_Semanal!$E$2:$E$833,I$1,Produccion_Semanal!$B$2:$B$833,$A15)</f>
        <v>96351.263</v>
      </c>
    </row>
    <row r="16" customFormat="false" ht="15" hidden="false" customHeight="false" outlineLevel="0" collapsed="false">
      <c r="A16" s="9" t="n">
        <v>45649</v>
      </c>
      <c r="B16" s="16" t="n">
        <f aca="false">SUMIFS(Produccion_Semanal!$AO$2:$AO$833,Produccion_Semanal!$E$2:$E$833,B$1,Produccion_Semanal!$B$2:$B$833,$A16)</f>
        <v>88041.348</v>
      </c>
      <c r="C16" s="16" t="n">
        <f aca="false">SUMIFS(Produccion_Semanal!$AO$2:$AO$833,Produccion_Semanal!$E$2:$E$833,C$1,Produccion_Semanal!$B$2:$B$833,$A16)</f>
        <v>107631.353</v>
      </c>
      <c r="D16" s="16" t="n">
        <f aca="false">SUMIFS(Produccion_Semanal!$AO$2:$AO$833,Produccion_Semanal!$E$2:$E$833,D$1,Produccion_Semanal!$B$2:$B$833,$A16)</f>
        <v>81963.914</v>
      </c>
      <c r="E16" s="16" t="n">
        <f aca="false">SUMIFS(Produccion_Semanal!$AO$2:$AO$833,Produccion_Semanal!$E$2:$E$833,E$1,Produccion_Semanal!$B$2:$B$833,$A16)</f>
        <v>43808.964</v>
      </c>
      <c r="F16" s="16" t="n">
        <f aca="false">SUMIFS(Produccion_Semanal!$AO$2:$AO$833,Produccion_Semanal!$E$2:$E$833,F$1,Produccion_Semanal!$B$2:$B$833,$A16)</f>
        <v>96727.64</v>
      </c>
      <c r="G16" s="16" t="n">
        <f aca="false">SUMIFS(Produccion_Semanal!$AO$2:$AO$833,Produccion_Semanal!$E$2:$E$833,G$1,Produccion_Semanal!$B$2:$B$833,$A16)</f>
        <v>133579.071</v>
      </c>
      <c r="H16" s="16" t="n">
        <f aca="false">SUMIFS(Produccion_Semanal!$AO$2:$AO$833,Produccion_Semanal!$E$2:$E$833,H$1,Produccion_Semanal!$B$2:$B$833,$A16)</f>
        <v>66173.604</v>
      </c>
      <c r="I16" s="16" t="n">
        <f aca="false">SUMIFS(Produccion_Semanal!$AO$2:$AO$833,Produccion_Semanal!$E$2:$E$833,I$1,Produccion_Semanal!$B$2:$B$833,$A16)</f>
        <v>65414.584</v>
      </c>
    </row>
    <row r="17" customFormat="false" ht="15" hidden="false" customHeight="false" outlineLevel="0" collapsed="false">
      <c r="A17" s="9" t="n">
        <v>45656</v>
      </c>
      <c r="B17" s="16" t="n">
        <f aca="false">SUMIFS(Produccion_Semanal!$AO$2:$AO$833,Produccion_Semanal!$E$2:$E$833,B$1,Produccion_Semanal!$B$2:$B$833,$A17)</f>
        <v>111115.373</v>
      </c>
      <c r="C17" s="16" t="n">
        <f aca="false">SUMIFS(Produccion_Semanal!$AO$2:$AO$833,Produccion_Semanal!$E$2:$E$833,C$1,Produccion_Semanal!$B$2:$B$833,$A17)</f>
        <v>105813.138</v>
      </c>
      <c r="D17" s="16" t="n">
        <f aca="false">SUMIFS(Produccion_Semanal!$AO$2:$AO$833,Produccion_Semanal!$E$2:$E$833,D$1,Produccion_Semanal!$B$2:$B$833,$A17)</f>
        <v>87676.947</v>
      </c>
      <c r="E17" s="16" t="n">
        <f aca="false">SUMIFS(Produccion_Semanal!$AO$2:$AO$833,Produccion_Semanal!$E$2:$E$833,E$1,Produccion_Semanal!$B$2:$B$833,$A17)</f>
        <v>56932.6</v>
      </c>
      <c r="F17" s="16" t="n">
        <f aca="false">SUMIFS(Produccion_Semanal!$AO$2:$AO$833,Produccion_Semanal!$E$2:$E$833,F$1,Produccion_Semanal!$B$2:$B$833,$A17)</f>
        <v>105278.02</v>
      </c>
      <c r="G17" s="16" t="n">
        <f aca="false">SUMIFS(Produccion_Semanal!$AO$2:$AO$833,Produccion_Semanal!$E$2:$E$833,G$1,Produccion_Semanal!$B$2:$B$833,$A17)</f>
        <v>143488.505</v>
      </c>
      <c r="H17" s="16" t="n">
        <f aca="false">SUMIFS(Produccion_Semanal!$AO$2:$AO$833,Produccion_Semanal!$E$2:$E$833,H$1,Produccion_Semanal!$B$2:$B$833,$A17)</f>
        <v>62310.356</v>
      </c>
      <c r="I17" s="16" t="n">
        <f aca="false">SUMIFS(Produccion_Semanal!$AO$2:$AO$833,Produccion_Semanal!$E$2:$E$833,I$1,Produccion_Semanal!$B$2:$B$833,$A17)</f>
        <v>79937.673</v>
      </c>
    </row>
    <row r="18" customFormat="false" ht="15" hidden="false" customHeight="false" outlineLevel="0" collapsed="false">
      <c r="A18" s="9" t="n">
        <v>45663</v>
      </c>
      <c r="B18" s="16" t="n">
        <f aca="false">SUMIFS(Produccion_Semanal!$AO$2:$AO$833,Produccion_Semanal!$E$2:$E$833,B$1,Produccion_Semanal!$B$2:$B$833,$A18)</f>
        <v>139761.719</v>
      </c>
      <c r="C18" s="16" t="n">
        <f aca="false">SUMIFS(Produccion_Semanal!$AO$2:$AO$833,Produccion_Semanal!$E$2:$E$833,C$1,Produccion_Semanal!$B$2:$B$833,$A18)</f>
        <v>138660.242</v>
      </c>
      <c r="D18" s="16" t="n">
        <f aca="false">SUMIFS(Produccion_Semanal!$AO$2:$AO$833,Produccion_Semanal!$E$2:$E$833,D$1,Produccion_Semanal!$B$2:$B$833,$A18)</f>
        <v>137608.096</v>
      </c>
      <c r="E18" s="16" t="n">
        <f aca="false">SUMIFS(Produccion_Semanal!$AO$2:$AO$833,Produccion_Semanal!$E$2:$E$833,E$1,Produccion_Semanal!$B$2:$B$833,$A18)</f>
        <v>65034.896</v>
      </c>
      <c r="F18" s="16" t="n">
        <f aca="false">SUMIFS(Produccion_Semanal!$AO$2:$AO$833,Produccion_Semanal!$E$2:$E$833,F$1,Produccion_Semanal!$B$2:$B$833,$A18)</f>
        <v>89690.898</v>
      </c>
      <c r="G18" s="16" t="n">
        <f aca="false">SUMIFS(Produccion_Semanal!$AO$2:$AO$833,Produccion_Semanal!$E$2:$E$833,G$1,Produccion_Semanal!$B$2:$B$833,$A18)</f>
        <v>153049.774</v>
      </c>
      <c r="H18" s="16" t="n">
        <f aca="false">SUMIFS(Produccion_Semanal!$AO$2:$AO$833,Produccion_Semanal!$E$2:$E$833,H$1,Produccion_Semanal!$B$2:$B$833,$A18)</f>
        <v>124859.094</v>
      </c>
      <c r="I18" s="16" t="n">
        <f aca="false">SUMIFS(Produccion_Semanal!$AO$2:$AO$833,Produccion_Semanal!$E$2:$E$833,I$1,Produccion_Semanal!$B$2:$B$833,$A18)</f>
        <v>56529.519</v>
      </c>
    </row>
    <row r="19" customFormat="false" ht="15" hidden="false" customHeight="false" outlineLevel="0" collapsed="false">
      <c r="A19" s="9" t="n">
        <v>45670</v>
      </c>
      <c r="B19" s="16" t="n">
        <f aca="false">SUMIFS(Produccion_Semanal!$AO$2:$AO$833,Produccion_Semanal!$E$2:$E$833,B$1,Produccion_Semanal!$B$2:$B$833,$A19)</f>
        <v>152579.795</v>
      </c>
      <c r="C19" s="16" t="n">
        <f aca="false">SUMIFS(Produccion_Semanal!$AO$2:$AO$833,Produccion_Semanal!$E$2:$E$833,C$1,Produccion_Semanal!$B$2:$B$833,$A19)</f>
        <v>119626.325</v>
      </c>
      <c r="D19" s="16" t="n">
        <f aca="false">SUMIFS(Produccion_Semanal!$AO$2:$AO$833,Produccion_Semanal!$E$2:$E$833,D$1,Produccion_Semanal!$B$2:$B$833,$A19)</f>
        <v>119540.199</v>
      </c>
      <c r="E19" s="16" t="n">
        <f aca="false">SUMIFS(Produccion_Semanal!$AO$2:$AO$833,Produccion_Semanal!$E$2:$E$833,E$1,Produccion_Semanal!$B$2:$B$833,$A19)</f>
        <v>66778.982</v>
      </c>
      <c r="F19" s="16" t="n">
        <f aca="false">SUMIFS(Produccion_Semanal!$AO$2:$AO$833,Produccion_Semanal!$E$2:$E$833,F$1,Produccion_Semanal!$B$2:$B$833,$A19)</f>
        <v>149450.164</v>
      </c>
      <c r="G19" s="16" t="n">
        <f aca="false">SUMIFS(Produccion_Semanal!$AO$2:$AO$833,Produccion_Semanal!$E$2:$E$833,G$1,Produccion_Semanal!$B$2:$B$833,$A19)</f>
        <v>144196.87</v>
      </c>
      <c r="H19" s="16" t="n">
        <f aca="false">SUMIFS(Produccion_Semanal!$AO$2:$AO$833,Produccion_Semanal!$E$2:$E$833,H$1,Produccion_Semanal!$B$2:$B$833,$A19)</f>
        <v>89150.658</v>
      </c>
      <c r="I19" s="16" t="n">
        <f aca="false">SUMIFS(Produccion_Semanal!$AO$2:$AO$833,Produccion_Semanal!$E$2:$E$833,I$1,Produccion_Semanal!$B$2:$B$833,$A19)</f>
        <v>78494.267</v>
      </c>
    </row>
    <row r="20" customFormat="false" ht="15" hidden="false" customHeight="false" outlineLevel="0" collapsed="false">
      <c r="A20" s="9" t="n">
        <v>45677</v>
      </c>
      <c r="B20" s="16" t="n">
        <f aca="false">SUMIFS(Produccion_Semanal!$AO$2:$AO$833,Produccion_Semanal!$E$2:$E$833,B$1,Produccion_Semanal!$B$2:$B$833,$A20)</f>
        <v>165876.796</v>
      </c>
      <c r="C20" s="16" t="n">
        <f aca="false">SUMIFS(Produccion_Semanal!$AO$2:$AO$833,Produccion_Semanal!$E$2:$E$833,C$1,Produccion_Semanal!$B$2:$B$833,$A20)</f>
        <v>122922.192</v>
      </c>
      <c r="D20" s="16" t="n">
        <f aca="false">SUMIFS(Produccion_Semanal!$AO$2:$AO$833,Produccion_Semanal!$E$2:$E$833,D$1,Produccion_Semanal!$B$2:$B$833,$A20)</f>
        <v>145079.173</v>
      </c>
      <c r="E20" s="16" t="n">
        <f aca="false">SUMIFS(Produccion_Semanal!$AO$2:$AO$833,Produccion_Semanal!$E$2:$E$833,E$1,Produccion_Semanal!$B$2:$B$833,$A20)</f>
        <v>74007.381</v>
      </c>
      <c r="F20" s="16" t="n">
        <f aca="false">SUMIFS(Produccion_Semanal!$AO$2:$AO$833,Produccion_Semanal!$E$2:$E$833,F$1,Produccion_Semanal!$B$2:$B$833,$A20)</f>
        <v>141482.112</v>
      </c>
      <c r="G20" s="16" t="n">
        <f aca="false">SUMIFS(Produccion_Semanal!$AO$2:$AO$833,Produccion_Semanal!$E$2:$E$833,G$1,Produccion_Semanal!$B$2:$B$833,$A20)</f>
        <v>154313.614</v>
      </c>
      <c r="H20" s="16" t="n">
        <f aca="false">SUMIFS(Produccion_Semanal!$AO$2:$AO$833,Produccion_Semanal!$E$2:$E$833,H$1,Produccion_Semanal!$B$2:$B$833,$A20)</f>
        <v>88757.04</v>
      </c>
      <c r="I20" s="16" t="n">
        <f aca="false">SUMIFS(Produccion_Semanal!$AO$2:$AO$833,Produccion_Semanal!$E$2:$E$833,I$1,Produccion_Semanal!$B$2:$B$833,$A20)</f>
        <v>109976.866</v>
      </c>
    </row>
    <row r="21" customFormat="false" ht="15" hidden="false" customHeight="false" outlineLevel="0" collapsed="false">
      <c r="A21" s="9" t="n">
        <v>45684</v>
      </c>
      <c r="B21" s="16" t="n">
        <f aca="false">SUMIFS(Produccion_Semanal!$AO$2:$AO$833,Produccion_Semanal!$E$2:$E$833,B$1,Produccion_Semanal!$B$2:$B$833,$A21)</f>
        <v>173357.514</v>
      </c>
      <c r="C21" s="16" t="n">
        <f aca="false">SUMIFS(Produccion_Semanal!$AO$2:$AO$833,Produccion_Semanal!$E$2:$E$833,C$1,Produccion_Semanal!$B$2:$B$833,$A21)</f>
        <v>122455.189</v>
      </c>
      <c r="D21" s="16" t="n">
        <f aca="false">SUMIFS(Produccion_Semanal!$AO$2:$AO$833,Produccion_Semanal!$E$2:$E$833,D$1,Produccion_Semanal!$B$2:$B$833,$A21)</f>
        <v>128176.131</v>
      </c>
      <c r="E21" s="16" t="n">
        <f aca="false">SUMIFS(Produccion_Semanal!$AO$2:$AO$833,Produccion_Semanal!$E$2:$E$833,E$1,Produccion_Semanal!$B$2:$B$833,$A21)</f>
        <v>59702.204</v>
      </c>
      <c r="F21" s="16" t="n">
        <f aca="false">SUMIFS(Produccion_Semanal!$AO$2:$AO$833,Produccion_Semanal!$E$2:$E$833,F$1,Produccion_Semanal!$B$2:$B$833,$A21)</f>
        <v>109173.14</v>
      </c>
      <c r="G21" s="16" t="n">
        <f aca="false">SUMIFS(Produccion_Semanal!$AO$2:$AO$833,Produccion_Semanal!$E$2:$E$833,G$1,Produccion_Semanal!$B$2:$B$833,$A21)</f>
        <v>144250.52</v>
      </c>
      <c r="H21" s="16" t="n">
        <f aca="false">SUMIFS(Produccion_Semanal!$AO$2:$AO$833,Produccion_Semanal!$E$2:$E$833,H$1,Produccion_Semanal!$B$2:$B$833,$A21)</f>
        <v>90657.574</v>
      </c>
      <c r="I21" s="16" t="n">
        <f aca="false">SUMIFS(Produccion_Semanal!$AO$2:$AO$833,Produccion_Semanal!$E$2:$E$833,I$1,Produccion_Semanal!$B$2:$B$833,$A21)</f>
        <v>80314.884</v>
      </c>
    </row>
    <row r="22" customFormat="false" ht="15" hidden="false" customHeight="false" outlineLevel="0" collapsed="false">
      <c r="A22" s="9" t="n">
        <v>45691</v>
      </c>
      <c r="B22" s="16" t="n">
        <f aca="false">SUMIFS(Produccion_Semanal!$AO$2:$AO$833,Produccion_Semanal!$E$2:$E$833,B$1,Produccion_Semanal!$B$2:$B$833,$A22)</f>
        <v>138903.589</v>
      </c>
      <c r="C22" s="16" t="n">
        <f aca="false">SUMIFS(Produccion_Semanal!$AO$2:$AO$833,Produccion_Semanal!$E$2:$E$833,C$1,Produccion_Semanal!$B$2:$B$833,$A22)</f>
        <v>113336.681</v>
      </c>
      <c r="D22" s="16" t="n">
        <f aca="false">SUMIFS(Produccion_Semanal!$AO$2:$AO$833,Produccion_Semanal!$E$2:$E$833,D$1,Produccion_Semanal!$B$2:$B$833,$A22)</f>
        <v>146477.36</v>
      </c>
      <c r="E22" s="16" t="n">
        <f aca="false">SUMIFS(Produccion_Semanal!$AO$2:$AO$833,Produccion_Semanal!$E$2:$E$833,E$1,Produccion_Semanal!$B$2:$B$833,$A22)</f>
        <v>79592.296</v>
      </c>
      <c r="F22" s="16" t="n">
        <f aca="false">SUMIFS(Produccion_Semanal!$AO$2:$AO$833,Produccion_Semanal!$E$2:$E$833,F$1,Produccion_Semanal!$B$2:$B$833,$A22)</f>
        <v>113193.918</v>
      </c>
      <c r="G22" s="16" t="n">
        <f aca="false">SUMIFS(Produccion_Semanal!$AO$2:$AO$833,Produccion_Semanal!$E$2:$E$833,G$1,Produccion_Semanal!$B$2:$B$833,$A22)</f>
        <v>140557.604</v>
      </c>
      <c r="H22" s="16" t="n">
        <f aca="false">SUMIFS(Produccion_Semanal!$AO$2:$AO$833,Produccion_Semanal!$E$2:$E$833,H$1,Produccion_Semanal!$B$2:$B$833,$A22)</f>
        <v>154203.842</v>
      </c>
      <c r="I22" s="16" t="n">
        <f aca="false">SUMIFS(Produccion_Semanal!$AO$2:$AO$833,Produccion_Semanal!$E$2:$E$833,I$1,Produccion_Semanal!$B$2:$B$833,$A22)</f>
        <v>91027.419</v>
      </c>
    </row>
    <row r="23" customFormat="false" ht="15" hidden="false" customHeight="false" outlineLevel="0" collapsed="false">
      <c r="A23" s="9" t="n">
        <v>45698</v>
      </c>
      <c r="B23" s="16" t="n">
        <f aca="false">SUMIFS(Produccion_Semanal!$AO$2:$AO$833,Produccion_Semanal!$E$2:$E$833,B$1,Produccion_Semanal!$B$2:$B$833,$A23)</f>
        <v>170199.814</v>
      </c>
      <c r="C23" s="16" t="n">
        <f aca="false">SUMIFS(Produccion_Semanal!$AO$2:$AO$833,Produccion_Semanal!$E$2:$E$833,C$1,Produccion_Semanal!$B$2:$B$833,$A23)</f>
        <v>130932.409</v>
      </c>
      <c r="D23" s="16" t="n">
        <f aca="false">SUMIFS(Produccion_Semanal!$AO$2:$AO$833,Produccion_Semanal!$E$2:$E$833,D$1,Produccion_Semanal!$B$2:$B$833,$A23)</f>
        <v>121669.263</v>
      </c>
      <c r="E23" s="16" t="n">
        <f aca="false">SUMIFS(Produccion_Semanal!$AO$2:$AO$833,Produccion_Semanal!$E$2:$E$833,E$1,Produccion_Semanal!$B$2:$B$833,$A23)</f>
        <v>100797.945</v>
      </c>
      <c r="F23" s="16" t="n">
        <f aca="false">SUMIFS(Produccion_Semanal!$AO$2:$AO$833,Produccion_Semanal!$E$2:$E$833,F$1,Produccion_Semanal!$B$2:$B$833,$A23)</f>
        <v>125511.3</v>
      </c>
      <c r="G23" s="16" t="n">
        <f aca="false">SUMIFS(Produccion_Semanal!$AO$2:$AO$833,Produccion_Semanal!$E$2:$E$833,G$1,Produccion_Semanal!$B$2:$B$833,$A23)</f>
        <v>164285.853</v>
      </c>
      <c r="H23" s="16" t="n">
        <f aca="false">SUMIFS(Produccion_Semanal!$AO$2:$AO$833,Produccion_Semanal!$E$2:$E$833,H$1,Produccion_Semanal!$B$2:$B$833,$A23)</f>
        <v>100744.532</v>
      </c>
      <c r="I23" s="16" t="n">
        <f aca="false">SUMIFS(Produccion_Semanal!$AO$2:$AO$833,Produccion_Semanal!$E$2:$E$833,I$1,Produccion_Semanal!$B$2:$B$833,$A23)</f>
        <v>102461.828</v>
      </c>
    </row>
    <row r="24" customFormat="false" ht="15" hidden="false" customHeight="false" outlineLevel="0" collapsed="false">
      <c r="A24" s="9" t="n">
        <v>45705</v>
      </c>
      <c r="B24" s="16" t="n">
        <f aca="false">SUMIFS(Produccion_Semanal!$AO$2:$AO$833,Produccion_Semanal!$E$2:$E$833,B$1,Produccion_Semanal!$B$2:$B$833,$A24)</f>
        <v>149532.637</v>
      </c>
      <c r="C24" s="16" t="n">
        <f aca="false">SUMIFS(Produccion_Semanal!$AO$2:$AO$833,Produccion_Semanal!$E$2:$E$833,C$1,Produccion_Semanal!$B$2:$B$833,$A24)</f>
        <v>102026.764</v>
      </c>
      <c r="D24" s="16" t="n">
        <f aca="false">SUMIFS(Produccion_Semanal!$AO$2:$AO$833,Produccion_Semanal!$E$2:$E$833,D$1,Produccion_Semanal!$B$2:$B$833,$A24)</f>
        <v>139480</v>
      </c>
      <c r="E24" s="16" t="n">
        <f aca="false">SUMIFS(Produccion_Semanal!$AO$2:$AO$833,Produccion_Semanal!$E$2:$E$833,E$1,Produccion_Semanal!$B$2:$B$833,$A24)</f>
        <v>46977.634</v>
      </c>
      <c r="F24" s="16" t="n">
        <f aca="false">SUMIFS(Produccion_Semanal!$AO$2:$AO$833,Produccion_Semanal!$E$2:$E$833,F$1,Produccion_Semanal!$B$2:$B$833,$A24)</f>
        <v>113473.578</v>
      </c>
      <c r="G24" s="16" t="n">
        <f aca="false">SUMIFS(Produccion_Semanal!$AO$2:$AO$833,Produccion_Semanal!$E$2:$E$833,G$1,Produccion_Semanal!$B$2:$B$833,$A24)</f>
        <v>161154.161</v>
      </c>
      <c r="H24" s="16" t="n">
        <f aca="false">SUMIFS(Produccion_Semanal!$AO$2:$AO$833,Produccion_Semanal!$E$2:$E$833,H$1,Produccion_Semanal!$B$2:$B$833,$A24)</f>
        <v>154275.078</v>
      </c>
      <c r="I24" s="16" t="n">
        <f aca="false">SUMIFS(Produccion_Semanal!$AO$2:$AO$833,Produccion_Semanal!$E$2:$E$833,I$1,Produccion_Semanal!$B$2:$B$833,$A24)</f>
        <v>87842.451</v>
      </c>
    </row>
    <row r="25" customFormat="false" ht="15" hidden="false" customHeight="false" outlineLevel="0" collapsed="false">
      <c r="A25" s="9" t="n">
        <v>45712</v>
      </c>
      <c r="B25" s="16" t="n">
        <f aca="false">SUMIFS(Produccion_Semanal!$AO$2:$AO$833,Produccion_Semanal!$E$2:$E$833,B$1,Produccion_Semanal!$B$2:$B$833,$A25)</f>
        <v>153749.317</v>
      </c>
      <c r="C25" s="16" t="n">
        <f aca="false">SUMIFS(Produccion_Semanal!$AO$2:$AO$833,Produccion_Semanal!$E$2:$E$833,C$1,Produccion_Semanal!$B$2:$B$833,$A25)</f>
        <v>121369.233</v>
      </c>
      <c r="D25" s="16" t="n">
        <f aca="false">SUMIFS(Produccion_Semanal!$AO$2:$AO$833,Produccion_Semanal!$E$2:$E$833,D$1,Produccion_Semanal!$B$2:$B$833,$A25)</f>
        <v>140704.853</v>
      </c>
      <c r="E25" s="16" t="n">
        <f aca="false">SUMIFS(Produccion_Semanal!$AO$2:$AO$833,Produccion_Semanal!$E$2:$E$833,E$1,Produccion_Semanal!$B$2:$B$833,$A25)</f>
        <v>60025.919</v>
      </c>
      <c r="F25" s="16" t="n">
        <f aca="false">SUMIFS(Produccion_Semanal!$AO$2:$AO$833,Produccion_Semanal!$E$2:$E$833,F$1,Produccion_Semanal!$B$2:$B$833,$A25)</f>
        <v>110781.916</v>
      </c>
      <c r="G25" s="16" t="n">
        <f aca="false">SUMIFS(Produccion_Semanal!$AO$2:$AO$833,Produccion_Semanal!$E$2:$E$833,G$1,Produccion_Semanal!$B$2:$B$833,$A25)</f>
        <v>140988.391</v>
      </c>
      <c r="H25" s="16" t="n">
        <f aca="false">SUMIFS(Produccion_Semanal!$AO$2:$AO$833,Produccion_Semanal!$E$2:$E$833,H$1,Produccion_Semanal!$B$2:$B$833,$A25)</f>
        <v>146258.556</v>
      </c>
      <c r="I25" s="16" t="n">
        <f aca="false">SUMIFS(Produccion_Semanal!$AO$2:$AO$833,Produccion_Semanal!$E$2:$E$833,I$1,Produccion_Semanal!$B$2:$B$833,$A25)</f>
        <v>83740.042</v>
      </c>
    </row>
    <row r="26" customFormat="false" ht="15" hidden="false" customHeight="false" outlineLevel="0" collapsed="false">
      <c r="A26" s="9" t="n">
        <v>45719</v>
      </c>
      <c r="B26" s="16" t="n">
        <f aca="false">SUMIFS(Produccion_Semanal!$AO$2:$AO$833,Produccion_Semanal!$E$2:$E$833,B$1,Produccion_Semanal!$B$2:$B$833,$A26)</f>
        <v>150195.348</v>
      </c>
      <c r="C26" s="16" t="n">
        <f aca="false">SUMIFS(Produccion_Semanal!$AO$2:$AO$833,Produccion_Semanal!$E$2:$E$833,C$1,Produccion_Semanal!$B$2:$B$833,$A26)</f>
        <v>105499.917</v>
      </c>
      <c r="D26" s="16" t="n">
        <f aca="false">SUMIFS(Produccion_Semanal!$AO$2:$AO$833,Produccion_Semanal!$E$2:$E$833,D$1,Produccion_Semanal!$B$2:$B$833,$A26)</f>
        <v>116560.253</v>
      </c>
      <c r="E26" s="16" t="n">
        <f aca="false">SUMIFS(Produccion_Semanal!$AO$2:$AO$833,Produccion_Semanal!$E$2:$E$833,E$1,Produccion_Semanal!$B$2:$B$833,$A26)</f>
        <v>84473.134</v>
      </c>
      <c r="F26" s="16" t="n">
        <f aca="false">SUMIFS(Produccion_Semanal!$AO$2:$AO$833,Produccion_Semanal!$E$2:$E$833,F$1,Produccion_Semanal!$B$2:$B$833,$A26)</f>
        <v>106282.394</v>
      </c>
      <c r="G26" s="16" t="n">
        <f aca="false">SUMIFS(Produccion_Semanal!$AO$2:$AO$833,Produccion_Semanal!$E$2:$E$833,G$1,Produccion_Semanal!$B$2:$B$833,$A26)</f>
        <v>149976.333</v>
      </c>
      <c r="H26" s="16" t="n">
        <f aca="false">SUMIFS(Produccion_Semanal!$AO$2:$AO$833,Produccion_Semanal!$E$2:$E$833,H$1,Produccion_Semanal!$B$2:$B$833,$A26)</f>
        <v>137654.088</v>
      </c>
      <c r="I26" s="16" t="n">
        <f aca="false">SUMIFS(Produccion_Semanal!$AO$2:$AO$833,Produccion_Semanal!$E$2:$E$833,I$1,Produccion_Semanal!$B$2:$B$833,$A26)</f>
        <v>88692.963</v>
      </c>
    </row>
    <row r="27" customFormat="false" ht="15" hidden="false" customHeight="false" outlineLevel="0" collapsed="false">
      <c r="A27" s="9" t="n">
        <v>45726</v>
      </c>
      <c r="B27" s="16" t="n">
        <f aca="false">SUMIFS(Produccion_Semanal!$AO$2:$AO$833,Produccion_Semanal!$E$2:$E$833,B$1,Produccion_Semanal!$B$2:$B$833,$A27)</f>
        <v>145431.923</v>
      </c>
      <c r="C27" s="16" t="n">
        <f aca="false">SUMIFS(Produccion_Semanal!$AO$2:$AO$833,Produccion_Semanal!$E$2:$E$833,C$1,Produccion_Semanal!$B$2:$B$833,$A27)</f>
        <v>112449.95</v>
      </c>
      <c r="D27" s="16" t="n">
        <f aca="false">SUMIFS(Produccion_Semanal!$AO$2:$AO$833,Produccion_Semanal!$E$2:$E$833,D$1,Produccion_Semanal!$B$2:$B$833,$A27)</f>
        <v>136299.571</v>
      </c>
      <c r="E27" s="16" t="n">
        <f aca="false">SUMIFS(Produccion_Semanal!$AO$2:$AO$833,Produccion_Semanal!$E$2:$E$833,E$1,Produccion_Semanal!$B$2:$B$833,$A27)</f>
        <v>87295.911</v>
      </c>
      <c r="F27" s="16" t="n">
        <f aca="false">SUMIFS(Produccion_Semanal!$AO$2:$AO$833,Produccion_Semanal!$E$2:$E$833,F$1,Produccion_Semanal!$B$2:$B$833,$A27)</f>
        <v>100156.576</v>
      </c>
      <c r="G27" s="16" t="n">
        <f aca="false">SUMIFS(Produccion_Semanal!$AO$2:$AO$833,Produccion_Semanal!$E$2:$E$833,G$1,Produccion_Semanal!$B$2:$B$833,$A27)</f>
        <v>183386.89</v>
      </c>
      <c r="H27" s="16" t="n">
        <f aca="false">SUMIFS(Produccion_Semanal!$AO$2:$AO$833,Produccion_Semanal!$E$2:$E$833,H$1,Produccion_Semanal!$B$2:$B$833,$A27)</f>
        <v>103447.99</v>
      </c>
      <c r="I27" s="16" t="n">
        <f aca="false">SUMIFS(Produccion_Semanal!$AO$2:$AO$833,Produccion_Semanal!$E$2:$E$833,I$1,Produccion_Semanal!$B$2:$B$833,$A27)</f>
        <v>80738.643</v>
      </c>
    </row>
    <row r="28" customFormat="false" ht="15" hidden="false" customHeight="false" outlineLevel="0" collapsed="false">
      <c r="A28" s="9" t="n">
        <v>45733</v>
      </c>
      <c r="B28" s="16" t="n">
        <f aca="false">SUMIFS(Produccion_Semanal!$AO$2:$AO$833,Produccion_Semanal!$E$2:$E$833,B$1,Produccion_Semanal!$B$2:$B$833,$A28)</f>
        <v>159742.542</v>
      </c>
      <c r="C28" s="16" t="n">
        <f aca="false">SUMIFS(Produccion_Semanal!$AO$2:$AO$833,Produccion_Semanal!$E$2:$E$833,C$1,Produccion_Semanal!$B$2:$B$833,$A28)</f>
        <v>105549.076</v>
      </c>
      <c r="D28" s="16" t="n">
        <f aca="false">SUMIFS(Produccion_Semanal!$AO$2:$AO$833,Produccion_Semanal!$E$2:$E$833,D$1,Produccion_Semanal!$B$2:$B$833,$A28)</f>
        <v>116993.332</v>
      </c>
      <c r="E28" s="16" t="n">
        <f aca="false">SUMIFS(Produccion_Semanal!$AO$2:$AO$833,Produccion_Semanal!$E$2:$E$833,E$1,Produccion_Semanal!$B$2:$B$833,$A28)</f>
        <v>81777.029</v>
      </c>
      <c r="F28" s="16" t="n">
        <f aca="false">SUMIFS(Produccion_Semanal!$AO$2:$AO$833,Produccion_Semanal!$E$2:$E$833,F$1,Produccion_Semanal!$B$2:$B$833,$A28)</f>
        <v>94041.416</v>
      </c>
      <c r="G28" s="16" t="n">
        <f aca="false">SUMIFS(Produccion_Semanal!$AO$2:$AO$833,Produccion_Semanal!$E$2:$E$833,G$1,Produccion_Semanal!$B$2:$B$833,$A28)</f>
        <v>164190.466</v>
      </c>
      <c r="H28" s="16" t="n">
        <f aca="false">SUMIFS(Produccion_Semanal!$AO$2:$AO$833,Produccion_Semanal!$E$2:$E$833,H$1,Produccion_Semanal!$B$2:$B$833,$A28)</f>
        <v>96743.598</v>
      </c>
      <c r="I28" s="16" t="n">
        <f aca="false">SUMIFS(Produccion_Semanal!$AO$2:$AO$833,Produccion_Semanal!$E$2:$E$833,I$1,Produccion_Semanal!$B$2:$B$833,$A28)</f>
        <v>93994.923</v>
      </c>
    </row>
    <row r="29" customFormat="false" ht="15" hidden="false" customHeight="false" outlineLevel="0" collapsed="false">
      <c r="A29" s="9" t="n">
        <v>45740</v>
      </c>
      <c r="B29" s="16" t="n">
        <f aca="false">SUMIFS(Produccion_Semanal!$AO$2:$AO$833,Produccion_Semanal!$E$2:$E$833,B$1,Produccion_Semanal!$B$2:$B$833,$A29)</f>
        <v>146625.194</v>
      </c>
      <c r="C29" s="16" t="n">
        <f aca="false">SUMIFS(Produccion_Semanal!$AO$2:$AO$833,Produccion_Semanal!$E$2:$E$833,C$1,Produccion_Semanal!$B$2:$B$833,$A29)</f>
        <v>132279.291</v>
      </c>
      <c r="D29" s="16" t="n">
        <f aca="false">SUMIFS(Produccion_Semanal!$AO$2:$AO$833,Produccion_Semanal!$E$2:$E$833,D$1,Produccion_Semanal!$B$2:$B$833,$A29)</f>
        <v>138478.666</v>
      </c>
      <c r="E29" s="16" t="n">
        <f aca="false">SUMIFS(Produccion_Semanal!$AO$2:$AO$833,Produccion_Semanal!$E$2:$E$833,E$1,Produccion_Semanal!$B$2:$B$833,$A29)</f>
        <v>66420.834</v>
      </c>
      <c r="F29" s="16" t="n">
        <f aca="false">SUMIFS(Produccion_Semanal!$AO$2:$AO$833,Produccion_Semanal!$E$2:$E$833,F$1,Produccion_Semanal!$B$2:$B$833,$A29)</f>
        <v>115719.266</v>
      </c>
      <c r="G29" s="16" t="n">
        <f aca="false">SUMIFS(Produccion_Semanal!$AO$2:$AO$833,Produccion_Semanal!$E$2:$E$833,G$1,Produccion_Semanal!$B$2:$B$833,$A29)</f>
        <v>137127.323</v>
      </c>
      <c r="H29" s="16" t="n">
        <f aca="false">SUMIFS(Produccion_Semanal!$AO$2:$AO$833,Produccion_Semanal!$E$2:$E$833,H$1,Produccion_Semanal!$B$2:$B$833,$A29)</f>
        <v>122236.962</v>
      </c>
      <c r="I29" s="16" t="n">
        <f aca="false">SUMIFS(Produccion_Semanal!$AO$2:$AO$833,Produccion_Semanal!$E$2:$E$833,I$1,Produccion_Semanal!$B$2:$B$833,$A29)</f>
        <v>99199.576</v>
      </c>
    </row>
    <row r="30" customFormat="false" ht="15" hidden="false" customHeight="false" outlineLevel="0" collapsed="false">
      <c r="A30" s="9" t="n">
        <v>45747</v>
      </c>
      <c r="B30" s="16" t="n">
        <f aca="false">SUMIFS(Produccion_Semanal!$AO$2:$AO$833,Produccion_Semanal!$E$2:$E$833,B$1,Produccion_Semanal!$B$2:$B$833,$A30)</f>
        <v>191358.526</v>
      </c>
      <c r="C30" s="16" t="n">
        <f aca="false">SUMIFS(Produccion_Semanal!$AO$2:$AO$833,Produccion_Semanal!$E$2:$E$833,C$1,Produccion_Semanal!$B$2:$B$833,$A30)</f>
        <v>120931.938</v>
      </c>
      <c r="D30" s="16" t="n">
        <f aca="false">SUMIFS(Produccion_Semanal!$AO$2:$AO$833,Produccion_Semanal!$E$2:$E$833,D$1,Produccion_Semanal!$B$2:$B$833,$A30)</f>
        <v>137977.846</v>
      </c>
      <c r="E30" s="16" t="n">
        <f aca="false">SUMIFS(Produccion_Semanal!$AO$2:$AO$833,Produccion_Semanal!$E$2:$E$833,E$1,Produccion_Semanal!$B$2:$B$833,$A30)</f>
        <v>107960.082</v>
      </c>
      <c r="F30" s="16" t="n">
        <f aca="false">SUMIFS(Produccion_Semanal!$AO$2:$AO$833,Produccion_Semanal!$E$2:$E$833,F$1,Produccion_Semanal!$B$2:$B$833,$A30)</f>
        <v>132978.19</v>
      </c>
      <c r="G30" s="16" t="n">
        <f aca="false">SUMIFS(Produccion_Semanal!$AO$2:$AO$833,Produccion_Semanal!$E$2:$E$833,G$1,Produccion_Semanal!$B$2:$B$833,$A30)</f>
        <v>176401.73</v>
      </c>
      <c r="H30" s="16" t="n">
        <f aca="false">SUMIFS(Produccion_Semanal!$AO$2:$AO$833,Produccion_Semanal!$E$2:$E$833,H$1,Produccion_Semanal!$B$2:$B$833,$A30)</f>
        <v>142550.142</v>
      </c>
      <c r="I30" s="16" t="n">
        <f aca="false">SUMIFS(Produccion_Semanal!$AO$2:$AO$833,Produccion_Semanal!$E$2:$E$833,I$1,Produccion_Semanal!$B$2:$B$833,$A30)</f>
        <v>83790.034</v>
      </c>
    </row>
    <row r="31" customFormat="false" ht="15" hidden="false" customHeight="false" outlineLevel="0" collapsed="false">
      <c r="A31" s="9" t="n">
        <v>45754</v>
      </c>
      <c r="B31" s="16" t="n">
        <f aca="false">SUMIFS(Produccion_Semanal!$AO$2:$AO$833,Produccion_Semanal!$E$2:$E$833,B$1,Produccion_Semanal!$B$2:$B$833,$A31)</f>
        <v>151657.632</v>
      </c>
      <c r="C31" s="16" t="n">
        <f aca="false">SUMIFS(Produccion_Semanal!$AO$2:$AO$833,Produccion_Semanal!$E$2:$E$833,C$1,Produccion_Semanal!$B$2:$B$833,$A31)</f>
        <v>116977.149</v>
      </c>
      <c r="D31" s="16" t="n">
        <f aca="false">SUMIFS(Produccion_Semanal!$AO$2:$AO$833,Produccion_Semanal!$E$2:$E$833,D$1,Produccion_Semanal!$B$2:$B$833,$A31)</f>
        <v>148294.927</v>
      </c>
      <c r="E31" s="16" t="n">
        <f aca="false">SUMIFS(Produccion_Semanal!$AO$2:$AO$833,Produccion_Semanal!$E$2:$E$833,E$1,Produccion_Semanal!$B$2:$B$833,$A31)</f>
        <v>108448.822</v>
      </c>
      <c r="F31" s="16" t="n">
        <f aca="false">SUMIFS(Produccion_Semanal!$AO$2:$AO$833,Produccion_Semanal!$E$2:$E$833,F$1,Produccion_Semanal!$B$2:$B$833,$A31)</f>
        <v>128941.322</v>
      </c>
      <c r="G31" s="16" t="n">
        <f aca="false">SUMIFS(Produccion_Semanal!$AO$2:$AO$833,Produccion_Semanal!$E$2:$E$833,G$1,Produccion_Semanal!$B$2:$B$833,$A31)</f>
        <v>174014.342</v>
      </c>
      <c r="H31" s="16" t="n">
        <f aca="false">SUMIFS(Produccion_Semanal!$AO$2:$AO$833,Produccion_Semanal!$E$2:$E$833,H$1,Produccion_Semanal!$B$2:$B$833,$A31)</f>
        <v>121861.242</v>
      </c>
      <c r="I31" s="16" t="n">
        <f aca="false">SUMIFS(Produccion_Semanal!$AO$2:$AO$833,Produccion_Semanal!$E$2:$E$833,I$1,Produccion_Semanal!$B$2:$B$833,$A31)</f>
        <v>84796.327</v>
      </c>
    </row>
    <row r="32" customFormat="false" ht="15" hidden="false" customHeight="false" outlineLevel="0" collapsed="false">
      <c r="A32" s="9" t="n">
        <v>45761</v>
      </c>
      <c r="B32" s="16" t="n">
        <f aca="false">SUMIFS(Produccion_Semanal!$AO$2:$AO$833,Produccion_Semanal!$E$2:$E$833,B$1,Produccion_Semanal!$B$2:$B$833,$A32)</f>
        <v>180369.574</v>
      </c>
      <c r="C32" s="16" t="n">
        <f aca="false">SUMIFS(Produccion_Semanal!$AO$2:$AO$833,Produccion_Semanal!$E$2:$E$833,C$1,Produccion_Semanal!$B$2:$B$833,$A32)</f>
        <v>150963.916</v>
      </c>
      <c r="D32" s="16" t="n">
        <f aca="false">SUMIFS(Produccion_Semanal!$AO$2:$AO$833,Produccion_Semanal!$E$2:$E$833,D$1,Produccion_Semanal!$B$2:$B$833,$A32)</f>
        <v>104228.569</v>
      </c>
      <c r="E32" s="16" t="n">
        <f aca="false">SUMIFS(Produccion_Semanal!$AO$2:$AO$833,Produccion_Semanal!$E$2:$E$833,E$1,Produccion_Semanal!$B$2:$B$833,$A32)</f>
        <v>45171.071</v>
      </c>
      <c r="F32" s="16" t="n">
        <f aca="false">SUMIFS(Produccion_Semanal!$AO$2:$AO$833,Produccion_Semanal!$E$2:$E$833,F$1,Produccion_Semanal!$B$2:$B$833,$A32)</f>
        <v>122640.902</v>
      </c>
      <c r="G32" s="16" t="n">
        <f aca="false">SUMIFS(Produccion_Semanal!$AO$2:$AO$833,Produccion_Semanal!$E$2:$E$833,G$1,Produccion_Semanal!$B$2:$B$833,$A32)</f>
        <v>167973.805</v>
      </c>
      <c r="H32" s="16" t="n">
        <f aca="false">SUMIFS(Produccion_Semanal!$AO$2:$AO$833,Produccion_Semanal!$E$2:$E$833,H$1,Produccion_Semanal!$B$2:$B$833,$A32)</f>
        <v>137217.964</v>
      </c>
      <c r="I32" s="16" t="n">
        <f aca="false">SUMIFS(Produccion_Semanal!$AO$2:$AO$833,Produccion_Semanal!$E$2:$E$833,I$1,Produccion_Semanal!$B$2:$B$833,$A32)</f>
        <v>58720.03</v>
      </c>
    </row>
    <row r="33" customFormat="false" ht="15" hidden="false" customHeight="false" outlineLevel="0" collapsed="false">
      <c r="A33" s="9" t="n">
        <v>45768</v>
      </c>
      <c r="B33" s="16" t="n">
        <f aca="false">SUMIFS(Produccion_Semanal!$AO$2:$AO$833,Produccion_Semanal!$E$2:$E$833,B$1,Produccion_Semanal!$B$2:$B$833,$A33)</f>
        <v>142749.876</v>
      </c>
      <c r="C33" s="16" t="n">
        <f aca="false">SUMIFS(Produccion_Semanal!$AO$2:$AO$833,Produccion_Semanal!$E$2:$E$833,C$1,Produccion_Semanal!$B$2:$B$833,$A33)</f>
        <v>141831.661</v>
      </c>
      <c r="D33" s="16" t="n">
        <f aca="false">SUMIFS(Produccion_Semanal!$AO$2:$AO$833,Produccion_Semanal!$E$2:$E$833,D$1,Produccion_Semanal!$B$2:$B$833,$A33)</f>
        <v>126432.726</v>
      </c>
      <c r="E33" s="16" t="n">
        <f aca="false">SUMIFS(Produccion_Semanal!$AO$2:$AO$833,Produccion_Semanal!$E$2:$E$833,E$1,Produccion_Semanal!$B$2:$B$833,$A33)</f>
        <v>87163.804</v>
      </c>
      <c r="F33" s="16" t="n">
        <f aca="false">SUMIFS(Produccion_Semanal!$AO$2:$AO$833,Produccion_Semanal!$E$2:$E$833,F$1,Produccion_Semanal!$B$2:$B$833,$A33)</f>
        <v>100952.44</v>
      </c>
      <c r="G33" s="16" t="n">
        <f aca="false">SUMIFS(Produccion_Semanal!$AO$2:$AO$833,Produccion_Semanal!$E$2:$E$833,G$1,Produccion_Semanal!$B$2:$B$833,$A33)</f>
        <v>168219.66</v>
      </c>
      <c r="H33" s="16" t="n">
        <f aca="false">SUMIFS(Produccion_Semanal!$AO$2:$AO$833,Produccion_Semanal!$E$2:$E$833,H$1,Produccion_Semanal!$B$2:$B$833,$A33)</f>
        <v>123427.628</v>
      </c>
      <c r="I33" s="16" t="n">
        <f aca="false">SUMIFS(Produccion_Semanal!$AO$2:$AO$833,Produccion_Semanal!$E$2:$E$833,I$1,Produccion_Semanal!$B$2:$B$833,$A33)</f>
        <v>109272.744</v>
      </c>
    </row>
    <row r="34" customFormat="false" ht="15" hidden="false" customHeight="false" outlineLevel="0" collapsed="false">
      <c r="A34" s="9" t="n">
        <v>45775</v>
      </c>
      <c r="B34" s="16" t="n">
        <f aca="false">SUMIFS(Produccion_Semanal!$AO$2:$AO$833,Produccion_Semanal!$E$2:$E$833,B$1,Produccion_Semanal!$B$2:$B$833,$A34)</f>
        <v>169925.66</v>
      </c>
      <c r="C34" s="16" t="n">
        <f aca="false">SUMIFS(Produccion_Semanal!$AO$2:$AO$833,Produccion_Semanal!$E$2:$E$833,C$1,Produccion_Semanal!$B$2:$B$833,$A34)</f>
        <v>142317.387</v>
      </c>
      <c r="D34" s="16" t="n">
        <f aca="false">SUMIFS(Produccion_Semanal!$AO$2:$AO$833,Produccion_Semanal!$E$2:$E$833,D$1,Produccion_Semanal!$B$2:$B$833,$A34)</f>
        <v>132617.522</v>
      </c>
      <c r="E34" s="16" t="n">
        <f aca="false">SUMIFS(Produccion_Semanal!$AO$2:$AO$833,Produccion_Semanal!$E$2:$E$833,E$1,Produccion_Semanal!$B$2:$B$833,$A34)</f>
        <v>81108.009</v>
      </c>
      <c r="F34" s="16" t="n">
        <f aca="false">SUMIFS(Produccion_Semanal!$AO$2:$AO$833,Produccion_Semanal!$E$2:$E$833,F$1,Produccion_Semanal!$B$2:$B$833,$A34)</f>
        <v>79638.4180000001</v>
      </c>
      <c r="G34" s="16" t="n">
        <f aca="false">SUMIFS(Produccion_Semanal!$AO$2:$AO$833,Produccion_Semanal!$E$2:$E$833,G$1,Produccion_Semanal!$B$2:$B$833,$A34)</f>
        <v>181082.647</v>
      </c>
      <c r="H34" s="16" t="n">
        <f aca="false">SUMIFS(Produccion_Semanal!$AO$2:$AO$833,Produccion_Semanal!$E$2:$E$833,H$1,Produccion_Semanal!$B$2:$B$833,$A34)</f>
        <v>100959.342</v>
      </c>
      <c r="I34" s="16" t="n">
        <f aca="false">SUMIFS(Produccion_Semanal!$AO$2:$AO$833,Produccion_Semanal!$E$2:$E$833,I$1,Produccion_Semanal!$B$2:$B$833,$A34)</f>
        <v>96378.728</v>
      </c>
    </row>
    <row r="35" customFormat="false" ht="15" hidden="false" customHeight="false" outlineLevel="0" collapsed="false">
      <c r="A35" s="9" t="n">
        <v>45782</v>
      </c>
      <c r="B35" s="16" t="n">
        <f aca="false">SUMIFS(Produccion_Semanal!$AO$2:$AO$833,Produccion_Semanal!$E$2:$E$833,B$1,Produccion_Semanal!$B$2:$B$833,$A35)</f>
        <v>149381.044</v>
      </c>
      <c r="C35" s="16" t="n">
        <f aca="false">SUMIFS(Produccion_Semanal!$AO$2:$AO$833,Produccion_Semanal!$E$2:$E$833,C$1,Produccion_Semanal!$B$2:$B$833,$A35)</f>
        <v>111607.372</v>
      </c>
      <c r="D35" s="16" t="n">
        <f aca="false">SUMIFS(Produccion_Semanal!$AO$2:$AO$833,Produccion_Semanal!$E$2:$E$833,D$1,Produccion_Semanal!$B$2:$B$833,$A35)</f>
        <v>126055.501</v>
      </c>
      <c r="E35" s="16" t="n">
        <f aca="false">SUMIFS(Produccion_Semanal!$AO$2:$AO$833,Produccion_Semanal!$E$2:$E$833,E$1,Produccion_Semanal!$B$2:$B$833,$A35)</f>
        <v>79556.079</v>
      </c>
      <c r="F35" s="16" t="n">
        <f aca="false">SUMIFS(Produccion_Semanal!$AO$2:$AO$833,Produccion_Semanal!$E$2:$E$833,F$1,Produccion_Semanal!$B$2:$B$833,$A35)</f>
        <v>84944.682</v>
      </c>
      <c r="G35" s="16" t="n">
        <f aca="false">SUMIFS(Produccion_Semanal!$AO$2:$AO$833,Produccion_Semanal!$E$2:$E$833,G$1,Produccion_Semanal!$B$2:$B$833,$A35)</f>
        <v>163510.52</v>
      </c>
      <c r="H35" s="16" t="n">
        <f aca="false">SUMIFS(Produccion_Semanal!$AO$2:$AO$833,Produccion_Semanal!$E$2:$E$833,H$1,Produccion_Semanal!$B$2:$B$833,$A35)</f>
        <v>82136.33</v>
      </c>
      <c r="I35" s="16" t="n">
        <f aca="false">SUMIFS(Produccion_Semanal!$AO$2:$AO$833,Produccion_Semanal!$E$2:$E$833,I$1,Produccion_Semanal!$B$2:$B$833,$A35)</f>
        <v>100121.268</v>
      </c>
    </row>
    <row r="36" customFormat="false" ht="15" hidden="false" customHeight="false" outlineLevel="0" collapsed="false">
      <c r="A36" s="9" t="n">
        <v>45789</v>
      </c>
      <c r="B36" s="16" t="n">
        <f aca="false">SUMIFS(Produccion_Semanal!$AO$2:$AO$833,Produccion_Semanal!$E$2:$E$833,B$1,Produccion_Semanal!$B$2:$B$833,$A36)</f>
        <v>170474.089</v>
      </c>
      <c r="C36" s="16" t="n">
        <f aca="false">SUMIFS(Produccion_Semanal!$AO$2:$AO$833,Produccion_Semanal!$E$2:$E$833,C$1,Produccion_Semanal!$B$2:$B$833,$A36)</f>
        <v>135282.227</v>
      </c>
      <c r="D36" s="16" t="n">
        <f aca="false">SUMIFS(Produccion_Semanal!$AO$2:$AO$833,Produccion_Semanal!$E$2:$E$833,D$1,Produccion_Semanal!$B$2:$B$833,$A36)</f>
        <v>128125.955</v>
      </c>
      <c r="E36" s="16" t="n">
        <f aca="false">SUMIFS(Produccion_Semanal!$AO$2:$AO$833,Produccion_Semanal!$E$2:$E$833,E$1,Produccion_Semanal!$B$2:$B$833,$A36)</f>
        <v>89527.251</v>
      </c>
      <c r="F36" s="16" t="n">
        <f aca="false">SUMIFS(Produccion_Semanal!$AO$2:$AO$833,Produccion_Semanal!$E$2:$E$833,F$1,Produccion_Semanal!$B$2:$B$833,$A36)</f>
        <v>113305.962</v>
      </c>
      <c r="G36" s="16" t="n">
        <f aca="false">SUMIFS(Produccion_Semanal!$AO$2:$AO$833,Produccion_Semanal!$E$2:$E$833,G$1,Produccion_Semanal!$B$2:$B$833,$A36)</f>
        <v>159936.128</v>
      </c>
      <c r="H36" s="16" t="n">
        <f aca="false">SUMIFS(Produccion_Semanal!$AO$2:$AO$833,Produccion_Semanal!$E$2:$E$833,H$1,Produccion_Semanal!$B$2:$B$833,$A36)</f>
        <v>151386.002</v>
      </c>
      <c r="I36" s="16" t="n">
        <f aca="false">SUMIFS(Produccion_Semanal!$AO$2:$AO$833,Produccion_Semanal!$E$2:$E$833,I$1,Produccion_Semanal!$B$2:$B$833,$A36)</f>
        <v>67595.41</v>
      </c>
    </row>
    <row r="37" customFormat="false" ht="15" hidden="false" customHeight="false" outlineLevel="0" collapsed="false">
      <c r="A37" s="9" t="n">
        <v>45796</v>
      </c>
      <c r="B37" s="16" t="n">
        <f aca="false">SUMIFS(Produccion_Semanal!$AO$2:$AO$833,Produccion_Semanal!$E$2:$E$833,B$1,Produccion_Semanal!$B$2:$B$833,$A37)</f>
        <v>165973.981</v>
      </c>
      <c r="C37" s="16" t="n">
        <f aca="false">SUMIFS(Produccion_Semanal!$AO$2:$AO$833,Produccion_Semanal!$E$2:$E$833,C$1,Produccion_Semanal!$B$2:$B$833,$A37)</f>
        <v>122299.9</v>
      </c>
      <c r="D37" s="16" t="n">
        <f aca="false">SUMIFS(Produccion_Semanal!$AO$2:$AO$833,Produccion_Semanal!$E$2:$E$833,D$1,Produccion_Semanal!$B$2:$B$833,$A37)</f>
        <v>123933.002</v>
      </c>
      <c r="E37" s="16" t="n">
        <f aca="false">SUMIFS(Produccion_Semanal!$AO$2:$AO$833,Produccion_Semanal!$E$2:$E$833,E$1,Produccion_Semanal!$B$2:$B$833,$A37)</f>
        <v>112418.054</v>
      </c>
      <c r="F37" s="16" t="n">
        <f aca="false">SUMIFS(Produccion_Semanal!$AO$2:$AO$833,Produccion_Semanal!$E$2:$E$833,F$1,Produccion_Semanal!$B$2:$B$833,$A37)</f>
        <v>97197.4340000001</v>
      </c>
      <c r="G37" s="16" t="n">
        <f aca="false">SUMIFS(Produccion_Semanal!$AO$2:$AO$833,Produccion_Semanal!$E$2:$E$833,G$1,Produccion_Semanal!$B$2:$B$833,$A37)</f>
        <v>168065.075</v>
      </c>
      <c r="H37" s="16" t="n">
        <f aca="false">SUMIFS(Produccion_Semanal!$AO$2:$AO$833,Produccion_Semanal!$E$2:$E$833,H$1,Produccion_Semanal!$B$2:$B$833,$A37)</f>
        <v>124154.64</v>
      </c>
      <c r="I37" s="16" t="n">
        <f aca="false">SUMIFS(Produccion_Semanal!$AO$2:$AO$833,Produccion_Semanal!$E$2:$E$833,I$1,Produccion_Semanal!$B$2:$B$833,$A37)</f>
        <v>85590.47</v>
      </c>
    </row>
    <row r="38" customFormat="false" ht="15" hidden="false" customHeight="false" outlineLevel="0" collapsed="false">
      <c r="A38" s="9" t="n">
        <v>45803</v>
      </c>
      <c r="B38" s="16" t="n">
        <f aca="false">SUMIFS(Produccion_Semanal!$AO$2:$AO$833,Produccion_Semanal!$E$2:$E$833,B$1,Produccion_Semanal!$B$2:$B$833,$A38)</f>
        <v>149555.032</v>
      </c>
      <c r="C38" s="16" t="n">
        <f aca="false">SUMIFS(Produccion_Semanal!$AO$2:$AO$833,Produccion_Semanal!$E$2:$E$833,C$1,Produccion_Semanal!$B$2:$B$833,$A38)</f>
        <v>132808.896</v>
      </c>
      <c r="D38" s="16" t="n">
        <f aca="false">SUMIFS(Produccion_Semanal!$AO$2:$AO$833,Produccion_Semanal!$E$2:$E$833,D$1,Produccion_Semanal!$B$2:$B$833,$A38)</f>
        <v>101057.648</v>
      </c>
      <c r="E38" s="16" t="n">
        <f aca="false">SUMIFS(Produccion_Semanal!$AO$2:$AO$833,Produccion_Semanal!$E$2:$E$833,E$1,Produccion_Semanal!$B$2:$B$833,$A38)</f>
        <v>76346.817</v>
      </c>
      <c r="F38" s="16" t="n">
        <f aca="false">SUMIFS(Produccion_Semanal!$AO$2:$AO$833,Produccion_Semanal!$E$2:$E$833,F$1,Produccion_Semanal!$B$2:$B$833,$A38)</f>
        <v>119691.074</v>
      </c>
      <c r="G38" s="16" t="n">
        <f aca="false">SUMIFS(Produccion_Semanal!$AO$2:$AO$833,Produccion_Semanal!$E$2:$E$833,G$1,Produccion_Semanal!$B$2:$B$833,$A38)</f>
        <v>162047.62</v>
      </c>
      <c r="H38" s="16" t="n">
        <f aca="false">SUMIFS(Produccion_Semanal!$AO$2:$AO$833,Produccion_Semanal!$E$2:$E$833,H$1,Produccion_Semanal!$B$2:$B$833,$A38)</f>
        <v>70413.942</v>
      </c>
      <c r="I38" s="16" t="n">
        <f aca="false">SUMIFS(Produccion_Semanal!$AO$2:$AO$833,Produccion_Semanal!$E$2:$E$833,I$1,Produccion_Semanal!$B$2:$B$833,$A38)</f>
        <v>74732.587</v>
      </c>
    </row>
    <row r="39" customFormat="false" ht="15" hidden="false" customHeight="false" outlineLevel="0" collapsed="false">
      <c r="A39" s="9" t="n">
        <v>45810</v>
      </c>
      <c r="B39" s="16" t="n">
        <f aca="false">SUMIFS(Produccion_Semanal!$AO$2:$AO$833,Produccion_Semanal!$E$2:$E$833,B$1,Produccion_Semanal!$B$2:$B$833,$A39)</f>
        <v>138596.025</v>
      </c>
      <c r="C39" s="16" t="n">
        <f aca="false">SUMIFS(Produccion_Semanal!$AO$2:$AO$833,Produccion_Semanal!$E$2:$E$833,C$1,Produccion_Semanal!$B$2:$B$833,$A39)</f>
        <v>125201.834</v>
      </c>
      <c r="D39" s="16" t="n">
        <f aca="false">SUMIFS(Produccion_Semanal!$AO$2:$AO$833,Produccion_Semanal!$E$2:$E$833,D$1,Produccion_Semanal!$B$2:$B$833,$A39)</f>
        <v>117650.467</v>
      </c>
      <c r="E39" s="16" t="n">
        <f aca="false">SUMIFS(Produccion_Semanal!$AO$2:$AO$833,Produccion_Semanal!$E$2:$E$833,E$1,Produccion_Semanal!$B$2:$B$833,$A39)</f>
        <v>55289.701</v>
      </c>
      <c r="F39" s="16" t="n">
        <f aca="false">SUMIFS(Produccion_Semanal!$AO$2:$AO$833,Produccion_Semanal!$E$2:$E$833,F$1,Produccion_Semanal!$B$2:$B$833,$A39)</f>
        <v>87762.196</v>
      </c>
      <c r="G39" s="16" t="n">
        <f aca="false">SUMIFS(Produccion_Semanal!$AO$2:$AO$833,Produccion_Semanal!$E$2:$E$833,G$1,Produccion_Semanal!$B$2:$B$833,$A39)</f>
        <v>179034.417</v>
      </c>
      <c r="H39" s="16" t="n">
        <f aca="false">SUMIFS(Produccion_Semanal!$AO$2:$AO$833,Produccion_Semanal!$E$2:$E$833,H$1,Produccion_Semanal!$B$2:$B$833,$A39)</f>
        <v>79823.814</v>
      </c>
      <c r="I39" s="16" t="n">
        <f aca="false">SUMIFS(Produccion_Semanal!$AO$2:$AO$833,Produccion_Semanal!$E$2:$E$833,I$1,Produccion_Semanal!$B$2:$B$833,$A39)</f>
        <v>96097.361</v>
      </c>
    </row>
    <row r="40" customFormat="false" ht="15" hidden="false" customHeight="false" outlineLevel="0" collapsed="false">
      <c r="A40" s="9" t="n">
        <v>45817</v>
      </c>
      <c r="B40" s="16" t="n">
        <f aca="false">SUMIFS(Produccion_Semanal!$AO$2:$AO$833,Produccion_Semanal!$E$2:$E$833,B$1,Produccion_Semanal!$B$2:$B$833,$A40)</f>
        <v>163143.41</v>
      </c>
      <c r="C40" s="16" t="n">
        <f aca="false">SUMIFS(Produccion_Semanal!$AO$2:$AO$833,Produccion_Semanal!$E$2:$E$833,C$1,Produccion_Semanal!$B$2:$B$833,$A40)</f>
        <v>132377.538</v>
      </c>
      <c r="D40" s="16" t="n">
        <f aca="false">SUMIFS(Produccion_Semanal!$AO$2:$AO$833,Produccion_Semanal!$E$2:$E$833,D$1,Produccion_Semanal!$B$2:$B$833,$A40)</f>
        <v>152493.622</v>
      </c>
      <c r="E40" s="16" t="n">
        <f aca="false">SUMIFS(Produccion_Semanal!$AO$2:$AO$833,Produccion_Semanal!$E$2:$E$833,E$1,Produccion_Semanal!$B$2:$B$833,$A40)</f>
        <v>90729.553</v>
      </c>
      <c r="F40" s="16" t="n">
        <f aca="false">SUMIFS(Produccion_Semanal!$AO$2:$AO$833,Produccion_Semanal!$E$2:$E$833,F$1,Produccion_Semanal!$B$2:$B$833,$A40)</f>
        <v>86247.96</v>
      </c>
      <c r="G40" s="16" t="n">
        <f aca="false">SUMIFS(Produccion_Semanal!$AO$2:$AO$833,Produccion_Semanal!$E$2:$E$833,G$1,Produccion_Semanal!$B$2:$B$833,$A40)</f>
        <v>165744.084</v>
      </c>
      <c r="H40" s="16" t="n">
        <f aca="false">SUMIFS(Produccion_Semanal!$AO$2:$AO$833,Produccion_Semanal!$E$2:$E$833,H$1,Produccion_Semanal!$B$2:$B$833,$A40)</f>
        <v>117917.42</v>
      </c>
      <c r="I40" s="16" t="n">
        <f aca="false">SUMIFS(Produccion_Semanal!$AO$2:$AO$833,Produccion_Semanal!$E$2:$E$833,I$1,Produccion_Semanal!$B$2:$B$833,$A40)</f>
        <v>48018.034</v>
      </c>
    </row>
    <row r="41" customFormat="false" ht="15" hidden="false" customHeight="false" outlineLevel="0" collapsed="false">
      <c r="A41" s="9" t="n">
        <v>45824</v>
      </c>
      <c r="B41" s="16" t="n">
        <f aca="false">SUMIFS(Produccion_Semanal!$AO$2:$AO$833,Produccion_Semanal!$E$2:$E$833,B$1,Produccion_Semanal!$B$2:$B$833,$A41)</f>
        <v>164292.533</v>
      </c>
      <c r="C41" s="16" t="n">
        <f aca="false">SUMIFS(Produccion_Semanal!$AO$2:$AO$833,Produccion_Semanal!$E$2:$E$833,C$1,Produccion_Semanal!$B$2:$B$833,$A41)</f>
        <v>118465.367</v>
      </c>
      <c r="D41" s="16" t="n">
        <f aca="false">SUMIFS(Produccion_Semanal!$AO$2:$AO$833,Produccion_Semanal!$E$2:$E$833,D$1,Produccion_Semanal!$B$2:$B$833,$A41)</f>
        <v>119165.824</v>
      </c>
      <c r="E41" s="16" t="n">
        <f aca="false">SUMIFS(Produccion_Semanal!$AO$2:$AO$833,Produccion_Semanal!$E$2:$E$833,E$1,Produccion_Semanal!$B$2:$B$833,$A41)</f>
        <v>77986.101</v>
      </c>
      <c r="F41" s="16" t="n">
        <f aca="false">SUMIFS(Produccion_Semanal!$AO$2:$AO$833,Produccion_Semanal!$E$2:$E$833,F$1,Produccion_Semanal!$B$2:$B$833,$A41)</f>
        <v>49852.682</v>
      </c>
      <c r="G41" s="16" t="n">
        <f aca="false">SUMIFS(Produccion_Semanal!$AO$2:$AO$833,Produccion_Semanal!$E$2:$E$833,G$1,Produccion_Semanal!$B$2:$B$833,$A41)</f>
        <v>156617.989</v>
      </c>
      <c r="H41" s="16" t="n">
        <f aca="false">SUMIFS(Produccion_Semanal!$AO$2:$AO$833,Produccion_Semanal!$E$2:$E$833,H$1,Produccion_Semanal!$B$2:$B$833,$A41)</f>
        <v>133155.2</v>
      </c>
      <c r="I41" s="16" t="n">
        <f aca="false">SUMIFS(Produccion_Semanal!$AO$2:$AO$833,Produccion_Semanal!$E$2:$E$833,I$1,Produccion_Semanal!$B$2:$B$833,$A41)</f>
        <v>58634.678</v>
      </c>
    </row>
    <row r="42" customFormat="false" ht="15" hidden="false" customHeight="false" outlineLevel="0" collapsed="false">
      <c r="A42" s="9" t="n">
        <v>45831</v>
      </c>
      <c r="B42" s="16" t="n">
        <f aca="false">SUMIFS(Produccion_Semanal!$AO$2:$AO$833,Produccion_Semanal!$E$2:$E$833,B$1,Produccion_Semanal!$B$2:$B$833,$A42)</f>
        <v>170656.384</v>
      </c>
      <c r="C42" s="16" t="n">
        <f aca="false">SUMIFS(Produccion_Semanal!$AO$2:$AO$833,Produccion_Semanal!$E$2:$E$833,C$1,Produccion_Semanal!$B$2:$B$833,$A42)</f>
        <v>131328.119</v>
      </c>
      <c r="D42" s="16" t="n">
        <f aca="false">SUMIFS(Produccion_Semanal!$AO$2:$AO$833,Produccion_Semanal!$E$2:$E$833,D$1,Produccion_Semanal!$B$2:$B$833,$A42)</f>
        <v>135613.535</v>
      </c>
      <c r="E42" s="16" t="n">
        <f aca="false">SUMIFS(Produccion_Semanal!$AO$2:$AO$833,Produccion_Semanal!$E$2:$E$833,E$1,Produccion_Semanal!$B$2:$B$833,$A42)</f>
        <v>121954.476</v>
      </c>
      <c r="F42" s="16" t="n">
        <f aca="false">SUMIFS(Produccion_Semanal!$AO$2:$AO$833,Produccion_Semanal!$E$2:$E$833,F$1,Produccion_Semanal!$B$2:$B$833,$A42)</f>
        <v>109715.814</v>
      </c>
      <c r="G42" s="16" t="n">
        <f aca="false">SUMIFS(Produccion_Semanal!$AO$2:$AO$833,Produccion_Semanal!$E$2:$E$833,G$1,Produccion_Semanal!$B$2:$B$833,$A42)</f>
        <v>176314.568</v>
      </c>
      <c r="H42" s="16" t="n">
        <f aca="false">SUMIFS(Produccion_Semanal!$AO$2:$AO$833,Produccion_Semanal!$E$2:$E$833,H$1,Produccion_Semanal!$B$2:$B$833,$A42)</f>
        <v>150393.094</v>
      </c>
      <c r="I42" s="16" t="n">
        <f aca="false">SUMIFS(Produccion_Semanal!$AO$2:$AO$833,Produccion_Semanal!$E$2:$E$833,I$1,Produccion_Semanal!$B$2:$B$833,$A42)</f>
        <v>98313.648</v>
      </c>
    </row>
    <row r="43" customFormat="false" ht="15" hidden="false" customHeight="false" outlineLevel="0" collapsed="false">
      <c r="A43" s="9" t="n">
        <v>45838</v>
      </c>
      <c r="B43" s="16" t="n">
        <f aca="false">SUMIFS(Produccion_Semanal!$AO$2:$AO$833,Produccion_Semanal!$E$2:$E$833,B$1,Produccion_Semanal!$B$2:$B$833,$A43)</f>
        <v>135914.171</v>
      </c>
      <c r="C43" s="16" t="n">
        <f aca="false">SUMIFS(Produccion_Semanal!$AO$2:$AO$833,Produccion_Semanal!$E$2:$E$833,C$1,Produccion_Semanal!$B$2:$B$833,$A43)</f>
        <v>137903.187</v>
      </c>
      <c r="D43" s="16" t="n">
        <f aca="false">SUMIFS(Produccion_Semanal!$AO$2:$AO$833,Produccion_Semanal!$E$2:$E$833,D$1,Produccion_Semanal!$B$2:$B$833,$A43)</f>
        <v>130936.022</v>
      </c>
      <c r="E43" s="16" t="n">
        <f aca="false">SUMIFS(Produccion_Semanal!$AO$2:$AO$833,Produccion_Semanal!$E$2:$E$833,E$1,Produccion_Semanal!$B$2:$B$833,$A43)</f>
        <v>115109.507</v>
      </c>
      <c r="F43" s="16" t="n">
        <f aca="false">SUMIFS(Produccion_Semanal!$AO$2:$AO$833,Produccion_Semanal!$E$2:$E$833,F$1,Produccion_Semanal!$B$2:$B$833,$A43)</f>
        <v>133201.38</v>
      </c>
      <c r="G43" s="16" t="n">
        <f aca="false">SUMIFS(Produccion_Semanal!$AO$2:$AO$833,Produccion_Semanal!$E$2:$E$833,G$1,Produccion_Semanal!$B$2:$B$833,$A43)</f>
        <v>172967.319</v>
      </c>
      <c r="H43" s="16" t="n">
        <f aca="false">SUMIFS(Produccion_Semanal!$AO$2:$AO$833,Produccion_Semanal!$E$2:$E$833,H$1,Produccion_Semanal!$B$2:$B$833,$A43)</f>
        <v>95561.71</v>
      </c>
      <c r="I43" s="16" t="n">
        <f aca="false">SUMIFS(Produccion_Semanal!$AO$2:$AO$833,Produccion_Semanal!$E$2:$E$833,I$1,Produccion_Semanal!$B$2:$B$833,$A43)</f>
        <v>75552.461</v>
      </c>
    </row>
    <row r="44" customFormat="false" ht="15" hidden="false" customHeight="false" outlineLevel="0" collapsed="false">
      <c r="A44" s="9" t="n">
        <v>45845</v>
      </c>
      <c r="B44" s="16" t="n">
        <f aca="false">SUMIFS(Produccion_Semanal!$AO$2:$AO$833,Produccion_Semanal!$E$2:$E$833,B$1,Produccion_Semanal!$B$2:$B$833,$A44)</f>
        <v>152903.614</v>
      </c>
      <c r="C44" s="16" t="n">
        <f aca="false">SUMIFS(Produccion_Semanal!$AO$2:$AO$833,Produccion_Semanal!$E$2:$E$833,C$1,Produccion_Semanal!$B$2:$B$833,$A44)</f>
        <v>138436.408</v>
      </c>
      <c r="D44" s="16" t="n">
        <f aca="false">SUMIFS(Produccion_Semanal!$AO$2:$AO$833,Produccion_Semanal!$E$2:$E$833,D$1,Produccion_Semanal!$B$2:$B$833,$A44)</f>
        <v>127149.581</v>
      </c>
      <c r="E44" s="16" t="n">
        <f aca="false">SUMIFS(Produccion_Semanal!$AO$2:$AO$833,Produccion_Semanal!$E$2:$E$833,E$1,Produccion_Semanal!$B$2:$B$833,$A44)</f>
        <v>132329.371</v>
      </c>
      <c r="F44" s="16" t="n">
        <f aca="false">SUMIFS(Produccion_Semanal!$AO$2:$AO$833,Produccion_Semanal!$E$2:$E$833,F$1,Produccion_Semanal!$B$2:$B$833,$A44)</f>
        <v>128908.044</v>
      </c>
      <c r="G44" s="16" t="n">
        <f aca="false">SUMIFS(Produccion_Semanal!$AO$2:$AO$833,Produccion_Semanal!$E$2:$E$833,G$1,Produccion_Semanal!$B$2:$B$833,$A44)</f>
        <v>175448.098</v>
      </c>
      <c r="H44" s="16" t="n">
        <f aca="false">SUMIFS(Produccion_Semanal!$AO$2:$AO$833,Produccion_Semanal!$E$2:$E$833,H$1,Produccion_Semanal!$B$2:$B$833,$A44)</f>
        <v>129268.37</v>
      </c>
      <c r="I44" s="16" t="n">
        <f aca="false">SUMIFS(Produccion_Semanal!$AO$2:$AO$833,Produccion_Semanal!$E$2:$E$833,I$1,Produccion_Semanal!$B$2:$B$833,$A44)</f>
        <v>79436.008</v>
      </c>
    </row>
    <row r="45" customFormat="false" ht="15" hidden="false" customHeight="false" outlineLevel="0" collapsed="false">
      <c r="A45" s="9" t="n">
        <v>45852</v>
      </c>
      <c r="B45" s="16" t="n">
        <f aca="false">SUMIFS(Produccion_Semanal!$AO$2:$AO$833,Produccion_Semanal!$E$2:$E$833,B$1,Produccion_Semanal!$B$2:$B$833,$A45)</f>
        <v>157895.605</v>
      </c>
      <c r="C45" s="16" t="n">
        <f aca="false">SUMIFS(Produccion_Semanal!$AO$2:$AO$833,Produccion_Semanal!$E$2:$E$833,C$1,Produccion_Semanal!$B$2:$B$833,$A45)</f>
        <v>120891.65</v>
      </c>
      <c r="D45" s="16" t="n">
        <f aca="false">SUMIFS(Produccion_Semanal!$AO$2:$AO$833,Produccion_Semanal!$E$2:$E$833,D$1,Produccion_Semanal!$B$2:$B$833,$A45)</f>
        <v>146676.082</v>
      </c>
      <c r="E45" s="16" t="n">
        <f aca="false">SUMIFS(Produccion_Semanal!$AO$2:$AO$833,Produccion_Semanal!$E$2:$E$833,E$1,Produccion_Semanal!$B$2:$B$833,$A45)</f>
        <v>105438.379</v>
      </c>
      <c r="F45" s="16" t="n">
        <f aca="false">SUMIFS(Produccion_Semanal!$AO$2:$AO$833,Produccion_Semanal!$E$2:$E$833,F$1,Produccion_Semanal!$B$2:$B$833,$A45)</f>
        <v>119378.934</v>
      </c>
      <c r="G45" s="16" t="n">
        <f aca="false">SUMIFS(Produccion_Semanal!$AO$2:$AO$833,Produccion_Semanal!$E$2:$E$833,G$1,Produccion_Semanal!$B$2:$B$833,$A45)</f>
        <v>166521.817</v>
      </c>
      <c r="H45" s="16" t="n">
        <f aca="false">SUMIFS(Produccion_Semanal!$AO$2:$AO$833,Produccion_Semanal!$E$2:$E$833,H$1,Produccion_Semanal!$B$2:$B$833,$A45)</f>
        <v>180763.926</v>
      </c>
      <c r="I45" s="16" t="n">
        <f aca="false">SUMIFS(Produccion_Semanal!$AO$2:$AO$833,Produccion_Semanal!$E$2:$E$833,I$1,Produccion_Semanal!$B$2:$B$833,$A45)</f>
        <v>87061.053</v>
      </c>
    </row>
    <row r="46" customFormat="false" ht="15" hidden="false" customHeight="false" outlineLevel="0" collapsed="false">
      <c r="A46" s="9" t="n">
        <v>45859</v>
      </c>
      <c r="B46" s="16" t="n">
        <f aca="false">SUMIFS(Produccion_Semanal!$AO$2:$AO$833,Produccion_Semanal!$E$2:$E$833,B$1,Produccion_Semanal!$B$2:$B$833,$A46)</f>
        <v>150106.125</v>
      </c>
      <c r="C46" s="16" t="n">
        <f aca="false">SUMIFS(Produccion_Semanal!$AO$2:$AO$833,Produccion_Semanal!$E$2:$E$833,C$1,Produccion_Semanal!$B$2:$B$833,$A46)</f>
        <v>152603.542</v>
      </c>
      <c r="D46" s="16" t="n">
        <f aca="false">SUMIFS(Produccion_Semanal!$AO$2:$AO$833,Produccion_Semanal!$E$2:$E$833,D$1,Produccion_Semanal!$B$2:$B$833,$A46)</f>
        <v>139174.369</v>
      </c>
      <c r="E46" s="16" t="n">
        <f aca="false">SUMIFS(Produccion_Semanal!$AO$2:$AO$833,Produccion_Semanal!$E$2:$E$833,E$1,Produccion_Semanal!$B$2:$B$833,$A46)</f>
        <v>114577.648</v>
      </c>
      <c r="F46" s="16" t="n">
        <f aca="false">SUMIFS(Produccion_Semanal!$AO$2:$AO$833,Produccion_Semanal!$E$2:$E$833,F$1,Produccion_Semanal!$B$2:$B$833,$A46)</f>
        <v>116943.954</v>
      </c>
      <c r="G46" s="16" t="n">
        <f aca="false">SUMIFS(Produccion_Semanal!$AO$2:$AO$833,Produccion_Semanal!$E$2:$E$833,G$1,Produccion_Semanal!$B$2:$B$833,$A46)</f>
        <v>163528.055</v>
      </c>
      <c r="H46" s="16" t="n">
        <f aca="false">SUMIFS(Produccion_Semanal!$AO$2:$AO$833,Produccion_Semanal!$E$2:$E$833,H$1,Produccion_Semanal!$B$2:$B$833,$A46)</f>
        <v>158021.868</v>
      </c>
      <c r="I46" s="16" t="n">
        <f aca="false">SUMIFS(Produccion_Semanal!$AO$2:$AO$833,Produccion_Semanal!$E$2:$E$833,I$1,Produccion_Semanal!$B$2:$B$833,$A46)</f>
        <v>97510.872</v>
      </c>
    </row>
    <row r="47" customFormat="false" ht="15" hidden="false" customHeight="false" outlineLevel="0" collapsed="false">
      <c r="A47" s="9" t="n">
        <v>45866</v>
      </c>
      <c r="B47" s="16" t="n">
        <f aca="false">SUMIFS(Produccion_Semanal!$AO$2:$AO$833,Produccion_Semanal!$E$2:$E$833,B$1,Produccion_Semanal!$B$2:$B$833,$A47)</f>
        <v>145912.632</v>
      </c>
      <c r="C47" s="16" t="n">
        <f aca="false">SUMIFS(Produccion_Semanal!$AO$2:$AO$833,Produccion_Semanal!$E$2:$E$833,C$1,Produccion_Semanal!$B$2:$B$833,$A47)</f>
        <v>121616.061</v>
      </c>
      <c r="D47" s="16" t="n">
        <f aca="false">SUMIFS(Produccion_Semanal!$AO$2:$AO$833,Produccion_Semanal!$E$2:$E$833,D$1,Produccion_Semanal!$B$2:$B$833,$A47)</f>
        <v>122097.472</v>
      </c>
      <c r="E47" s="16" t="n">
        <f aca="false">SUMIFS(Produccion_Semanal!$AO$2:$AO$833,Produccion_Semanal!$E$2:$E$833,E$1,Produccion_Semanal!$B$2:$B$833,$A47)</f>
        <v>111631.351</v>
      </c>
      <c r="F47" s="16" t="n">
        <f aca="false">SUMIFS(Produccion_Semanal!$AO$2:$AO$833,Produccion_Semanal!$E$2:$E$833,F$1,Produccion_Semanal!$B$2:$B$833,$A47)</f>
        <v>127338.858</v>
      </c>
      <c r="G47" s="16" t="n">
        <f aca="false">SUMIFS(Produccion_Semanal!$AO$2:$AO$833,Produccion_Semanal!$E$2:$E$833,G$1,Produccion_Semanal!$B$2:$B$833,$A47)</f>
        <v>193854.132</v>
      </c>
      <c r="H47" s="16" t="n">
        <f aca="false">SUMIFS(Produccion_Semanal!$AO$2:$AO$833,Produccion_Semanal!$E$2:$E$833,H$1,Produccion_Semanal!$B$2:$B$833,$A47)</f>
        <v>103195.962</v>
      </c>
      <c r="I47" s="16" t="n">
        <f aca="false">SUMIFS(Produccion_Semanal!$AO$2:$AO$833,Produccion_Semanal!$E$2:$E$833,I$1,Produccion_Semanal!$B$2:$B$833,$A47)</f>
        <v>84634.955</v>
      </c>
    </row>
    <row r="48" customFormat="false" ht="15" hidden="false" customHeight="false" outlineLevel="0" collapsed="false">
      <c r="A48" s="9" t="n">
        <v>45873</v>
      </c>
      <c r="B48" s="16" t="n">
        <f aca="false">SUMIFS(Produccion_Semanal!$AO$2:$AO$833,Produccion_Semanal!$E$2:$E$833,B$1,Produccion_Semanal!$B$2:$B$833,$A48)</f>
        <v>151119.623</v>
      </c>
      <c r="C48" s="16" t="n">
        <f aca="false">SUMIFS(Produccion_Semanal!$AO$2:$AO$833,Produccion_Semanal!$E$2:$E$833,C$1,Produccion_Semanal!$B$2:$B$833,$A48)</f>
        <v>142856.244</v>
      </c>
      <c r="D48" s="16" t="n">
        <f aca="false">SUMIFS(Produccion_Semanal!$AO$2:$AO$833,Produccion_Semanal!$E$2:$E$833,D$1,Produccion_Semanal!$B$2:$B$833,$A48)</f>
        <v>151661.17</v>
      </c>
      <c r="E48" s="16" t="n">
        <f aca="false">SUMIFS(Produccion_Semanal!$AO$2:$AO$833,Produccion_Semanal!$E$2:$E$833,E$1,Produccion_Semanal!$B$2:$B$833,$A48)</f>
        <v>102158.057</v>
      </c>
      <c r="F48" s="16" t="n">
        <f aca="false">SUMIFS(Produccion_Semanal!$AO$2:$AO$833,Produccion_Semanal!$E$2:$E$833,F$1,Produccion_Semanal!$B$2:$B$833,$A48)</f>
        <v>130047.302</v>
      </c>
      <c r="G48" s="16" t="n">
        <f aca="false">SUMIFS(Produccion_Semanal!$AO$2:$AO$833,Produccion_Semanal!$E$2:$E$833,G$1,Produccion_Semanal!$B$2:$B$833,$A48)</f>
        <v>179568.562</v>
      </c>
      <c r="H48" s="16" t="n">
        <f aca="false">SUMIFS(Produccion_Semanal!$AO$2:$AO$833,Produccion_Semanal!$E$2:$E$833,H$1,Produccion_Semanal!$B$2:$B$833,$A48)</f>
        <v>116760.514</v>
      </c>
      <c r="I48" s="16" t="n">
        <f aca="false">SUMIFS(Produccion_Semanal!$AO$2:$AO$833,Produccion_Semanal!$E$2:$E$833,I$1,Produccion_Semanal!$B$2:$B$833,$A48)</f>
        <v>83984.951</v>
      </c>
    </row>
    <row r="49" customFormat="false" ht="15" hidden="false" customHeight="false" outlineLevel="0" collapsed="false">
      <c r="A49" s="9" t="n">
        <v>45880</v>
      </c>
      <c r="B49" s="16" t="n">
        <f aca="false">SUMIFS(Produccion_Semanal!$AO$2:$AO$833,Produccion_Semanal!$E$2:$E$833,B$1,Produccion_Semanal!$B$2:$B$833,$A49)</f>
        <v>184133.786</v>
      </c>
      <c r="C49" s="16" t="n">
        <f aca="false">SUMIFS(Produccion_Semanal!$AO$2:$AO$833,Produccion_Semanal!$E$2:$E$833,C$1,Produccion_Semanal!$B$2:$B$833,$A49)</f>
        <v>118910.666</v>
      </c>
      <c r="D49" s="16" t="n">
        <f aca="false">SUMIFS(Produccion_Semanal!$AO$2:$AO$833,Produccion_Semanal!$E$2:$E$833,D$1,Produccion_Semanal!$B$2:$B$833,$A49)</f>
        <v>153183.523</v>
      </c>
      <c r="E49" s="16" t="n">
        <f aca="false">SUMIFS(Produccion_Semanal!$AO$2:$AO$833,Produccion_Semanal!$E$2:$E$833,E$1,Produccion_Semanal!$B$2:$B$833,$A49)</f>
        <v>97871.426</v>
      </c>
      <c r="F49" s="16" t="n">
        <f aca="false">SUMIFS(Produccion_Semanal!$AO$2:$AO$833,Produccion_Semanal!$E$2:$E$833,F$1,Produccion_Semanal!$B$2:$B$833,$A49)</f>
        <v>96540.338</v>
      </c>
      <c r="G49" s="16" t="n">
        <f aca="false">SUMIFS(Produccion_Semanal!$AO$2:$AO$833,Produccion_Semanal!$E$2:$E$833,G$1,Produccion_Semanal!$B$2:$B$833,$A49)</f>
        <v>168097.426</v>
      </c>
      <c r="H49" s="16" t="n">
        <f aca="false">SUMIFS(Produccion_Semanal!$AO$2:$AO$833,Produccion_Semanal!$E$2:$E$833,H$1,Produccion_Semanal!$B$2:$B$833,$A49)</f>
        <v>153431.318</v>
      </c>
      <c r="I49" s="16" t="n">
        <f aca="false">SUMIFS(Produccion_Semanal!$AO$2:$AO$833,Produccion_Semanal!$E$2:$E$833,I$1,Produccion_Semanal!$B$2:$B$833,$A49)</f>
        <v>78626.595</v>
      </c>
    </row>
    <row r="50" customFormat="false" ht="15" hidden="false" customHeight="false" outlineLevel="0" collapsed="false">
      <c r="A50" s="9" t="n">
        <v>45887</v>
      </c>
      <c r="B50" s="16" t="n">
        <f aca="false">SUMIFS(Produccion_Semanal!$AO$2:$AO$833,Produccion_Semanal!$E$2:$E$833,B$1,Produccion_Semanal!$B$2:$B$833,$A50)</f>
        <v>131254.337</v>
      </c>
      <c r="C50" s="16" t="n">
        <f aca="false">SUMIFS(Produccion_Semanal!$AO$2:$AO$833,Produccion_Semanal!$E$2:$E$833,C$1,Produccion_Semanal!$B$2:$B$833,$A50)</f>
        <v>137211.763</v>
      </c>
      <c r="D50" s="16" t="n">
        <f aca="false">SUMIFS(Produccion_Semanal!$AO$2:$AO$833,Produccion_Semanal!$E$2:$E$833,D$1,Produccion_Semanal!$B$2:$B$833,$A50)</f>
        <v>156798.196</v>
      </c>
      <c r="E50" s="16" t="n">
        <f aca="false">SUMIFS(Produccion_Semanal!$AO$2:$AO$833,Produccion_Semanal!$E$2:$E$833,E$1,Produccion_Semanal!$B$2:$B$833,$A50)</f>
        <v>76189.299</v>
      </c>
      <c r="F50" s="16" t="n">
        <f aca="false">SUMIFS(Produccion_Semanal!$AO$2:$AO$833,Produccion_Semanal!$E$2:$E$833,F$1,Produccion_Semanal!$B$2:$B$833,$A50)</f>
        <v>102826.068</v>
      </c>
      <c r="G50" s="16" t="n">
        <f aca="false">SUMIFS(Produccion_Semanal!$AO$2:$AO$833,Produccion_Semanal!$E$2:$E$833,G$1,Produccion_Semanal!$B$2:$B$833,$A50)</f>
        <v>178396.71</v>
      </c>
      <c r="H50" s="16" t="n">
        <f aca="false">SUMIFS(Produccion_Semanal!$AO$2:$AO$833,Produccion_Semanal!$E$2:$E$833,H$1,Produccion_Semanal!$B$2:$B$833,$A50)</f>
        <v>154248.864</v>
      </c>
      <c r="I50" s="16" t="n">
        <f aca="false">SUMIFS(Produccion_Semanal!$AO$2:$AO$833,Produccion_Semanal!$E$2:$E$833,I$1,Produccion_Semanal!$B$2:$B$833,$A50)</f>
        <v>85454.385</v>
      </c>
    </row>
    <row r="51" customFormat="false" ht="15" hidden="false" customHeight="false" outlineLevel="0" collapsed="false">
      <c r="A51" s="9" t="n">
        <v>45894</v>
      </c>
      <c r="B51" s="16" t="n">
        <f aca="false">SUMIFS(Produccion_Semanal!$AO$2:$AO$833,Produccion_Semanal!$E$2:$E$833,B$1,Produccion_Semanal!$B$2:$B$833,$A51)</f>
        <v>173137.66</v>
      </c>
      <c r="C51" s="16" t="n">
        <f aca="false">SUMIFS(Produccion_Semanal!$AO$2:$AO$833,Produccion_Semanal!$E$2:$E$833,C$1,Produccion_Semanal!$B$2:$B$833,$A51)</f>
        <v>113608.829</v>
      </c>
      <c r="D51" s="16" t="n">
        <f aca="false">SUMIFS(Produccion_Semanal!$AO$2:$AO$833,Produccion_Semanal!$E$2:$E$833,D$1,Produccion_Semanal!$B$2:$B$833,$A51)</f>
        <v>109232.622</v>
      </c>
      <c r="E51" s="16" t="n">
        <f aca="false">SUMIFS(Produccion_Semanal!$AO$2:$AO$833,Produccion_Semanal!$E$2:$E$833,E$1,Produccion_Semanal!$B$2:$B$833,$A51)</f>
        <v>112723.338</v>
      </c>
      <c r="F51" s="16" t="n">
        <f aca="false">SUMIFS(Produccion_Semanal!$AO$2:$AO$833,Produccion_Semanal!$E$2:$E$833,F$1,Produccion_Semanal!$B$2:$B$833,$A51)</f>
        <v>118447.604</v>
      </c>
      <c r="G51" s="16" t="n">
        <f aca="false">SUMIFS(Produccion_Semanal!$AO$2:$AO$833,Produccion_Semanal!$E$2:$E$833,G$1,Produccion_Semanal!$B$2:$B$833,$A51)</f>
        <v>180027.705</v>
      </c>
      <c r="H51" s="16" t="n">
        <f aca="false">SUMIFS(Produccion_Semanal!$AO$2:$AO$833,Produccion_Semanal!$E$2:$E$833,H$1,Produccion_Semanal!$B$2:$B$833,$A51)</f>
        <v>190005.146</v>
      </c>
      <c r="I51" s="16" t="n">
        <f aca="false">SUMIFS(Produccion_Semanal!$AO$2:$AO$833,Produccion_Semanal!$E$2:$E$833,I$1,Produccion_Semanal!$B$2:$B$833,$A51)</f>
        <v>84048.514</v>
      </c>
    </row>
    <row r="52" customFormat="false" ht="15" hidden="false" customHeight="false" outlineLevel="0" collapsed="false">
      <c r="A52" s="9" t="n">
        <v>45901</v>
      </c>
      <c r="B52" s="16" t="n">
        <f aca="false">SUMIFS(Produccion_Semanal!$AO$2:$AO$833,Produccion_Semanal!$E$2:$E$833,B$1,Produccion_Semanal!$B$2:$B$833,$A52)</f>
        <v>176612.208</v>
      </c>
      <c r="C52" s="16" t="n">
        <f aca="false">SUMIFS(Produccion_Semanal!$AO$2:$AO$833,Produccion_Semanal!$E$2:$E$833,C$1,Produccion_Semanal!$B$2:$B$833,$A52)</f>
        <v>132185.539</v>
      </c>
      <c r="D52" s="16" t="n">
        <f aca="false">SUMIFS(Produccion_Semanal!$AO$2:$AO$833,Produccion_Semanal!$E$2:$E$833,D$1,Produccion_Semanal!$B$2:$B$833,$A52)</f>
        <v>136335.409</v>
      </c>
      <c r="E52" s="16" t="n">
        <f aca="false">SUMIFS(Produccion_Semanal!$AO$2:$AO$833,Produccion_Semanal!$E$2:$E$833,E$1,Produccion_Semanal!$B$2:$B$833,$A52)</f>
        <v>87303.804</v>
      </c>
      <c r="F52" s="16" t="n">
        <f aca="false">SUMIFS(Produccion_Semanal!$AO$2:$AO$833,Produccion_Semanal!$E$2:$E$833,F$1,Produccion_Semanal!$B$2:$B$833,$A52)</f>
        <v>168255.632</v>
      </c>
      <c r="G52" s="16" t="n">
        <f aca="false">SUMIFS(Produccion_Semanal!$AO$2:$AO$833,Produccion_Semanal!$E$2:$E$833,G$1,Produccion_Semanal!$B$2:$B$833,$A52)</f>
        <v>166952.105</v>
      </c>
      <c r="H52" s="16" t="n">
        <f aca="false">SUMIFS(Produccion_Semanal!$AO$2:$AO$833,Produccion_Semanal!$E$2:$E$833,H$1,Produccion_Semanal!$B$2:$B$833,$A52)</f>
        <v>101336.158</v>
      </c>
      <c r="I52" s="16" t="n">
        <f aca="false">SUMIFS(Produccion_Semanal!$AO$2:$AO$833,Produccion_Semanal!$E$2:$E$833,I$1,Produccion_Semanal!$B$2:$B$833,$A52)</f>
        <v>77704.084</v>
      </c>
    </row>
    <row r="53" customFormat="false" ht="15" hidden="false" customHeight="false" outlineLevel="0" collapsed="false">
      <c r="A53" s="9" t="n">
        <v>45908</v>
      </c>
      <c r="B53" s="16" t="n">
        <f aca="false">SUMIFS(Produccion_Semanal!$AO$2:$AO$833,Produccion_Semanal!$E$2:$E$833,B$1,Produccion_Semanal!$B$2:$B$833,$A53)</f>
        <v>129416.186</v>
      </c>
      <c r="C53" s="16" t="n">
        <f aca="false">SUMIFS(Produccion_Semanal!$AO$2:$AO$833,Produccion_Semanal!$E$2:$E$833,C$1,Produccion_Semanal!$B$2:$B$833,$A53)</f>
        <v>137145.708</v>
      </c>
      <c r="D53" s="16" t="n">
        <f aca="false">SUMIFS(Produccion_Semanal!$AO$2:$AO$833,Produccion_Semanal!$E$2:$E$833,D$1,Produccion_Semanal!$B$2:$B$833,$A53)</f>
        <v>114784.629</v>
      </c>
      <c r="E53" s="16" t="n">
        <f aca="false">SUMIFS(Produccion_Semanal!$AO$2:$AO$833,Produccion_Semanal!$E$2:$E$833,E$1,Produccion_Semanal!$B$2:$B$833,$A53)</f>
        <v>124057.242</v>
      </c>
      <c r="F53" s="16" t="n">
        <f aca="false">SUMIFS(Produccion_Semanal!$AO$2:$AO$833,Produccion_Semanal!$E$2:$E$833,F$1,Produccion_Semanal!$B$2:$B$833,$A53)</f>
        <v>113481.292</v>
      </c>
      <c r="G53" s="16" t="n">
        <f aca="false">SUMIFS(Produccion_Semanal!$AO$2:$AO$833,Produccion_Semanal!$E$2:$E$833,G$1,Produccion_Semanal!$B$2:$B$833,$A53)</f>
        <v>159175.478</v>
      </c>
      <c r="H53" s="16" t="n">
        <f aca="false">SUMIFS(Produccion_Semanal!$AO$2:$AO$833,Produccion_Semanal!$E$2:$E$833,H$1,Produccion_Semanal!$B$2:$B$833,$A53)</f>
        <v>139247.328</v>
      </c>
      <c r="I53" s="16" t="n">
        <f aca="false">SUMIFS(Produccion_Semanal!$AO$2:$AO$833,Produccion_Semanal!$E$2:$E$833,I$1,Produccion_Semanal!$B$2:$B$833,$A53)</f>
        <v>110687.455</v>
      </c>
    </row>
    <row r="54" customFormat="false" ht="15" hidden="false" customHeight="false" outlineLevel="0" collapsed="false">
      <c r="A54" s="9" t="n">
        <v>45915</v>
      </c>
      <c r="B54" s="16" t="n">
        <f aca="false">SUMIFS(Produccion_Semanal!$AO$2:$AO$833,Produccion_Semanal!$E$2:$E$833,B$1,Produccion_Semanal!$B$2:$B$833,$A54)</f>
        <v>172722.577</v>
      </c>
      <c r="C54" s="16" t="n">
        <f aca="false">SUMIFS(Produccion_Semanal!$AO$2:$AO$833,Produccion_Semanal!$E$2:$E$833,C$1,Produccion_Semanal!$B$2:$B$833,$A54)</f>
        <v>127493.858</v>
      </c>
      <c r="D54" s="16" t="n">
        <f aca="false">SUMIFS(Produccion_Semanal!$AO$2:$AO$833,Produccion_Semanal!$E$2:$E$833,D$1,Produccion_Semanal!$B$2:$B$833,$A54)</f>
        <v>145934.953</v>
      </c>
      <c r="E54" s="16" t="n">
        <f aca="false">SUMIFS(Produccion_Semanal!$AO$2:$AO$833,Produccion_Semanal!$E$2:$E$833,E$1,Produccion_Semanal!$B$2:$B$833,$A54)</f>
        <v>94874.016</v>
      </c>
      <c r="F54" s="16" t="n">
        <f aca="false">SUMIFS(Produccion_Semanal!$AO$2:$AO$833,Produccion_Semanal!$E$2:$E$833,F$1,Produccion_Semanal!$B$2:$B$833,$A54)</f>
        <v>128507.184</v>
      </c>
      <c r="G54" s="16" t="n">
        <f aca="false">SUMIFS(Produccion_Semanal!$AO$2:$AO$833,Produccion_Semanal!$E$2:$E$833,G$1,Produccion_Semanal!$B$2:$B$833,$A54)</f>
        <v>153445.097</v>
      </c>
      <c r="H54" s="16" t="n">
        <f aca="false">SUMIFS(Produccion_Semanal!$AO$2:$AO$833,Produccion_Semanal!$E$2:$E$833,H$1,Produccion_Semanal!$B$2:$B$833,$A54)</f>
        <v>109663.698</v>
      </c>
      <c r="I54" s="16" t="n">
        <f aca="false">SUMIFS(Produccion_Semanal!$AO$2:$AO$833,Produccion_Semanal!$E$2:$E$833,I$1,Produccion_Semanal!$B$2:$B$833,$A54)</f>
        <v>69504.127</v>
      </c>
    </row>
    <row r="55" customFormat="false" ht="15" hidden="false" customHeight="false" outlineLevel="0" collapsed="false">
      <c r="A55" s="9" t="n">
        <v>45922</v>
      </c>
      <c r="B55" s="16" t="n">
        <f aca="false">SUMIFS(Produccion_Semanal!$AO$2:$AO$833,Produccion_Semanal!$E$2:$E$833,B$1,Produccion_Semanal!$B$2:$B$833,$A55)</f>
        <v>165162.627</v>
      </c>
      <c r="C55" s="16" t="n">
        <f aca="false">SUMIFS(Produccion_Semanal!$AO$2:$AO$833,Produccion_Semanal!$E$2:$E$833,C$1,Produccion_Semanal!$B$2:$B$833,$A55)</f>
        <v>124759.62</v>
      </c>
      <c r="D55" s="16" t="n">
        <f aca="false">SUMIFS(Produccion_Semanal!$AO$2:$AO$833,Produccion_Semanal!$E$2:$E$833,D$1,Produccion_Semanal!$B$2:$B$833,$A55)</f>
        <v>119141.827</v>
      </c>
      <c r="E55" s="16" t="n">
        <f aca="false">SUMIFS(Produccion_Semanal!$AO$2:$AO$833,Produccion_Semanal!$E$2:$E$833,E$1,Produccion_Semanal!$B$2:$B$833,$A55)</f>
        <v>52914.139</v>
      </c>
      <c r="F55" s="16" t="n">
        <f aca="false">SUMIFS(Produccion_Semanal!$AO$2:$AO$833,Produccion_Semanal!$E$2:$E$833,F$1,Produccion_Semanal!$B$2:$B$833,$A55)</f>
        <v>105953.416</v>
      </c>
      <c r="G55" s="16" t="n">
        <f aca="false">SUMIFS(Produccion_Semanal!$AO$2:$AO$833,Produccion_Semanal!$E$2:$E$833,G$1,Produccion_Semanal!$B$2:$B$833,$A55)</f>
        <v>158921.408</v>
      </c>
      <c r="H55" s="16" t="n">
        <f aca="false">SUMIFS(Produccion_Semanal!$AO$2:$AO$833,Produccion_Semanal!$E$2:$E$833,H$1,Produccion_Semanal!$B$2:$B$833,$A55)</f>
        <v>131364.794</v>
      </c>
      <c r="I55" s="16" t="n">
        <f aca="false">SUMIFS(Produccion_Semanal!$AO$2:$AO$833,Produccion_Semanal!$E$2:$E$833,I$1,Produccion_Semanal!$B$2:$B$833,$A55)</f>
        <v>102134.378</v>
      </c>
    </row>
    <row r="56" customFormat="false" ht="15" hidden="false" customHeight="false" outlineLevel="0" collapsed="false">
      <c r="A56" s="9" t="n">
        <v>45929</v>
      </c>
      <c r="B56" s="16" t="n">
        <f aca="false">SUMIFS(Produccion_Semanal!$AO$2:$AO$833,Produccion_Semanal!$E$2:$E$833,B$1,Produccion_Semanal!$B$2:$B$833,$A56)</f>
        <v>156086.611</v>
      </c>
      <c r="C56" s="16" t="n">
        <f aca="false">SUMIFS(Produccion_Semanal!$AO$2:$AO$833,Produccion_Semanal!$E$2:$E$833,C$1,Produccion_Semanal!$B$2:$B$833,$A56)</f>
        <v>144989.348</v>
      </c>
      <c r="D56" s="16" t="n">
        <f aca="false">SUMIFS(Produccion_Semanal!$AO$2:$AO$833,Produccion_Semanal!$E$2:$E$833,D$1,Produccion_Semanal!$B$2:$B$833,$A56)</f>
        <v>123724.916</v>
      </c>
      <c r="E56" s="16" t="n">
        <f aca="false">SUMIFS(Produccion_Semanal!$AO$2:$AO$833,Produccion_Semanal!$E$2:$E$833,E$1,Produccion_Semanal!$B$2:$B$833,$A56)</f>
        <v>111982.08</v>
      </c>
      <c r="F56" s="16" t="n">
        <f aca="false">SUMIFS(Produccion_Semanal!$AO$2:$AO$833,Produccion_Semanal!$E$2:$E$833,F$1,Produccion_Semanal!$B$2:$B$833,$A56)</f>
        <v>97945.434</v>
      </c>
      <c r="G56" s="16" t="n">
        <f aca="false">SUMIFS(Produccion_Semanal!$AO$2:$AO$833,Produccion_Semanal!$E$2:$E$833,G$1,Produccion_Semanal!$B$2:$B$833,$A56)</f>
        <v>154829.169</v>
      </c>
      <c r="H56" s="16" t="n">
        <f aca="false">SUMIFS(Produccion_Semanal!$AO$2:$AO$833,Produccion_Semanal!$E$2:$E$833,H$1,Produccion_Semanal!$B$2:$B$833,$A56)</f>
        <v>129682.808</v>
      </c>
      <c r="I56" s="16" t="n">
        <f aca="false">SUMIFS(Produccion_Semanal!$AO$2:$AO$833,Produccion_Semanal!$E$2:$E$833,I$1,Produccion_Semanal!$B$2:$B$833,$A56)</f>
        <v>85386.893</v>
      </c>
    </row>
    <row r="57" customFormat="false" ht="15" hidden="false" customHeight="false" outlineLevel="0" collapsed="false">
      <c r="A57" s="9" t="n">
        <v>45936</v>
      </c>
      <c r="B57" s="16" t="n">
        <f aca="false">SUMIFS(Produccion_Semanal!$AO$2:$AO$833,Produccion_Semanal!$E$2:$E$833,B$1,Produccion_Semanal!$B$2:$B$833,$A57)</f>
        <v>171709.185</v>
      </c>
      <c r="C57" s="16" t="n">
        <f aca="false">SUMIFS(Produccion_Semanal!$AO$2:$AO$833,Produccion_Semanal!$E$2:$E$833,C$1,Produccion_Semanal!$B$2:$B$833,$A57)</f>
        <v>108210.226</v>
      </c>
      <c r="D57" s="16" t="n">
        <f aca="false">SUMIFS(Produccion_Semanal!$AO$2:$AO$833,Produccion_Semanal!$E$2:$E$833,D$1,Produccion_Semanal!$B$2:$B$833,$A57)</f>
        <v>124720.961</v>
      </c>
      <c r="E57" s="16" t="n">
        <f aca="false">SUMIFS(Produccion_Semanal!$AO$2:$AO$833,Produccion_Semanal!$E$2:$E$833,E$1,Produccion_Semanal!$B$2:$B$833,$A57)</f>
        <v>84474.422</v>
      </c>
      <c r="F57" s="16" t="n">
        <f aca="false">SUMIFS(Produccion_Semanal!$AO$2:$AO$833,Produccion_Semanal!$E$2:$E$833,F$1,Produccion_Semanal!$B$2:$B$833,$A57)</f>
        <v>145868.488</v>
      </c>
      <c r="G57" s="16" t="n">
        <f aca="false">SUMIFS(Produccion_Semanal!$AO$2:$AO$833,Produccion_Semanal!$E$2:$E$833,G$1,Produccion_Semanal!$B$2:$B$833,$A57)</f>
        <v>155322.331</v>
      </c>
      <c r="H57" s="16" t="n">
        <f aca="false">SUMIFS(Produccion_Semanal!$AO$2:$AO$833,Produccion_Semanal!$E$2:$E$833,H$1,Produccion_Semanal!$B$2:$B$833,$A57)</f>
        <v>78915.864</v>
      </c>
      <c r="I57" s="16" t="n">
        <f aca="false">SUMIFS(Produccion_Semanal!$AO$2:$AO$833,Produccion_Semanal!$E$2:$E$833,I$1,Produccion_Semanal!$B$2:$B$833,$A57)</f>
        <v>69885.4</v>
      </c>
    </row>
    <row r="58" customFormat="false" ht="15" hidden="false" customHeight="false" outlineLevel="0" collapsed="false">
      <c r="A58" s="9" t="n">
        <v>45943</v>
      </c>
      <c r="B58" s="16" t="n">
        <f aca="false">SUMIFS(Produccion_Semanal!$AO$2:$AO$833,Produccion_Semanal!$E$2:$E$833,B$1,Produccion_Semanal!$B$2:$B$833,$A58)</f>
        <v>177849.298</v>
      </c>
      <c r="C58" s="16" t="n">
        <f aca="false">SUMIFS(Produccion_Semanal!$AO$2:$AO$833,Produccion_Semanal!$E$2:$E$833,C$1,Produccion_Semanal!$B$2:$B$833,$A58)</f>
        <v>102132.538</v>
      </c>
      <c r="D58" s="16" t="n">
        <f aca="false">SUMIFS(Produccion_Semanal!$AO$2:$AO$833,Produccion_Semanal!$E$2:$E$833,D$1,Produccion_Semanal!$B$2:$B$833,$A58)</f>
        <v>159270.132</v>
      </c>
      <c r="E58" s="16" t="n">
        <f aca="false">SUMIFS(Produccion_Semanal!$AO$2:$AO$833,Produccion_Semanal!$E$2:$E$833,E$1,Produccion_Semanal!$B$2:$B$833,$A58)</f>
        <v>77799.45</v>
      </c>
      <c r="F58" s="16" t="n">
        <f aca="false">SUMIFS(Produccion_Semanal!$AO$2:$AO$833,Produccion_Semanal!$E$2:$E$833,F$1,Produccion_Semanal!$B$2:$B$833,$A58)</f>
        <v>108994.418</v>
      </c>
      <c r="G58" s="16" t="n">
        <f aca="false">SUMIFS(Produccion_Semanal!$AO$2:$AO$833,Produccion_Semanal!$E$2:$E$833,G$1,Produccion_Semanal!$B$2:$B$833,$A58)</f>
        <v>169376.865</v>
      </c>
      <c r="H58" s="16" t="n">
        <f aca="false">SUMIFS(Produccion_Semanal!$AO$2:$AO$833,Produccion_Semanal!$E$2:$E$833,H$1,Produccion_Semanal!$B$2:$B$833,$A58)</f>
        <v>146442.02</v>
      </c>
      <c r="I58" s="16" t="n">
        <f aca="false">SUMIFS(Produccion_Semanal!$AO$2:$AO$833,Produccion_Semanal!$E$2:$E$833,I$1,Produccion_Semanal!$B$2:$B$833,$A58)</f>
        <v>79268.725</v>
      </c>
    </row>
    <row r="59" customFormat="false" ht="15" hidden="false" customHeight="false" outlineLevel="0" collapsed="false">
      <c r="A59" s="9" t="n">
        <v>45950</v>
      </c>
      <c r="B59" s="16" t="n">
        <f aca="false">SUMIFS(Produccion_Semanal!$AO$2:$AO$833,Produccion_Semanal!$E$2:$E$833,B$1,Produccion_Semanal!$B$2:$B$833,$A59)</f>
        <v>164365.989</v>
      </c>
      <c r="C59" s="16" t="n">
        <f aca="false">SUMIFS(Produccion_Semanal!$AO$2:$AO$833,Produccion_Semanal!$E$2:$E$833,C$1,Produccion_Semanal!$B$2:$B$833,$A59)</f>
        <v>131983.485</v>
      </c>
      <c r="D59" s="16" t="n">
        <f aca="false">SUMIFS(Produccion_Semanal!$AO$2:$AO$833,Produccion_Semanal!$E$2:$E$833,D$1,Produccion_Semanal!$B$2:$B$833,$A59)</f>
        <v>119581.527</v>
      </c>
      <c r="E59" s="16" t="n">
        <f aca="false">SUMIFS(Produccion_Semanal!$AO$2:$AO$833,Produccion_Semanal!$E$2:$E$833,E$1,Produccion_Semanal!$B$2:$B$833,$A59)</f>
        <v>86583.756</v>
      </c>
      <c r="F59" s="16" t="n">
        <f aca="false">SUMIFS(Produccion_Semanal!$AO$2:$AO$833,Produccion_Semanal!$E$2:$E$833,F$1,Produccion_Semanal!$B$2:$B$833,$A59)</f>
        <v>120169.562</v>
      </c>
      <c r="G59" s="16" t="n">
        <f aca="false">SUMIFS(Produccion_Semanal!$AO$2:$AO$833,Produccion_Semanal!$E$2:$E$833,G$1,Produccion_Semanal!$B$2:$B$833,$A59)</f>
        <v>151369.961</v>
      </c>
      <c r="H59" s="16" t="n">
        <f aca="false">SUMIFS(Produccion_Semanal!$AO$2:$AO$833,Produccion_Semanal!$E$2:$E$833,H$1,Produccion_Semanal!$B$2:$B$833,$A59)</f>
        <v>99460.25</v>
      </c>
      <c r="I59" s="16" t="n">
        <f aca="false">SUMIFS(Produccion_Semanal!$AO$2:$AO$833,Produccion_Semanal!$E$2:$E$833,I$1,Produccion_Semanal!$B$2:$B$833,$A59)</f>
        <v>84113.188</v>
      </c>
    </row>
    <row r="60" customFormat="false" ht="15" hidden="false" customHeight="false" outlineLevel="0" collapsed="false">
      <c r="A60" s="9" t="n">
        <v>45957</v>
      </c>
      <c r="B60" s="16" t="n">
        <f aca="false">SUMIFS(Produccion_Semanal!$AO$2:$AO$833,Produccion_Semanal!$E$2:$E$833,B$1,Produccion_Semanal!$B$2:$B$833,$A60)</f>
        <v>158262.896</v>
      </c>
      <c r="C60" s="16" t="n">
        <f aca="false">SUMIFS(Produccion_Semanal!$AO$2:$AO$833,Produccion_Semanal!$E$2:$E$833,C$1,Produccion_Semanal!$B$2:$B$833,$A60)</f>
        <v>115137.945</v>
      </c>
      <c r="D60" s="16" t="n">
        <f aca="false">SUMIFS(Produccion_Semanal!$AO$2:$AO$833,Produccion_Semanal!$E$2:$E$833,D$1,Produccion_Semanal!$B$2:$B$833,$A60)</f>
        <v>164750.282</v>
      </c>
      <c r="E60" s="16" t="n">
        <f aca="false">SUMIFS(Produccion_Semanal!$AO$2:$AO$833,Produccion_Semanal!$E$2:$E$833,E$1,Produccion_Semanal!$B$2:$B$833,$A60)</f>
        <v>62723.444</v>
      </c>
      <c r="F60" s="16" t="n">
        <f aca="false">SUMIFS(Produccion_Semanal!$AO$2:$AO$833,Produccion_Semanal!$E$2:$E$833,F$1,Produccion_Semanal!$B$2:$B$833,$A60)</f>
        <v>103079.778</v>
      </c>
      <c r="G60" s="16" t="n">
        <f aca="false">SUMIFS(Produccion_Semanal!$AO$2:$AO$833,Produccion_Semanal!$E$2:$E$833,G$1,Produccion_Semanal!$B$2:$B$833,$A60)</f>
        <v>143773.359</v>
      </c>
      <c r="H60" s="16" t="n">
        <f aca="false">SUMIFS(Produccion_Semanal!$AO$2:$AO$833,Produccion_Semanal!$E$2:$E$833,H$1,Produccion_Semanal!$B$2:$B$833,$A60)</f>
        <v>127395.84</v>
      </c>
      <c r="I60" s="16" t="n">
        <f aca="false">SUMIFS(Produccion_Semanal!$AO$2:$AO$833,Produccion_Semanal!$E$2:$E$833,I$1,Produccion_Semanal!$B$2:$B$833,$A60)</f>
        <v>83650.792</v>
      </c>
    </row>
    <row r="61" customFormat="false" ht="15" hidden="false" customHeight="false" outlineLevel="0" collapsed="false">
      <c r="A61" s="9" t="n">
        <v>45964</v>
      </c>
      <c r="B61" s="16" t="n">
        <f aca="false">SUMIFS(Produccion_Semanal!$AO$2:$AO$833,Produccion_Semanal!$E$2:$E$833,B$1,Produccion_Semanal!$B$2:$B$833,$A61)</f>
        <v>171496.012</v>
      </c>
      <c r="C61" s="16" t="n">
        <f aca="false">SUMIFS(Produccion_Semanal!$AO$2:$AO$833,Produccion_Semanal!$E$2:$E$833,C$1,Produccion_Semanal!$B$2:$B$833,$A61)</f>
        <v>136400.679</v>
      </c>
      <c r="D61" s="16" t="n">
        <f aca="false">SUMIFS(Produccion_Semanal!$AO$2:$AO$833,Produccion_Semanal!$E$2:$E$833,D$1,Produccion_Semanal!$B$2:$B$833,$A61)</f>
        <v>118701.92</v>
      </c>
      <c r="E61" s="16" t="n">
        <f aca="false">SUMIFS(Produccion_Semanal!$AO$2:$AO$833,Produccion_Semanal!$E$2:$E$833,E$1,Produccion_Semanal!$B$2:$B$833,$A61)</f>
        <v>32681.735</v>
      </c>
      <c r="F61" s="16" t="n">
        <f aca="false">SUMIFS(Produccion_Semanal!$AO$2:$AO$833,Produccion_Semanal!$E$2:$E$833,F$1,Produccion_Semanal!$B$2:$B$833,$A61)</f>
        <v>119349.58</v>
      </c>
      <c r="G61" s="16" t="n">
        <f aca="false">SUMIFS(Produccion_Semanal!$AO$2:$AO$833,Produccion_Semanal!$E$2:$E$833,G$1,Produccion_Semanal!$B$2:$B$833,$A61)</f>
        <v>148531.541</v>
      </c>
      <c r="H61" s="16" t="n">
        <f aca="false">SUMIFS(Produccion_Semanal!$AO$2:$AO$833,Produccion_Semanal!$E$2:$E$833,H$1,Produccion_Semanal!$B$2:$B$833,$A61)</f>
        <v>101955.438</v>
      </c>
      <c r="I61" s="16" t="n">
        <f aca="false">SUMIFS(Produccion_Semanal!$AO$2:$AO$833,Produccion_Semanal!$E$2:$E$833,I$1,Produccion_Semanal!$B$2:$B$833,$A61)</f>
        <v>68245.843</v>
      </c>
    </row>
    <row r="62" customFormat="false" ht="15" hidden="false" customHeight="false" outlineLevel="0" collapsed="false">
      <c r="A62" s="9" t="n">
        <v>45971</v>
      </c>
      <c r="B62" s="16" t="n">
        <f aca="false">SUMIFS(Produccion_Semanal!$AO$2:$AO$833,Produccion_Semanal!$E$2:$E$833,B$1,Produccion_Semanal!$B$2:$B$833,$A62)</f>
        <v>165199.618</v>
      </c>
      <c r="C62" s="16" t="n">
        <f aca="false">SUMIFS(Produccion_Semanal!$AO$2:$AO$833,Produccion_Semanal!$E$2:$E$833,C$1,Produccion_Semanal!$B$2:$B$833,$A62)</f>
        <v>142336.641</v>
      </c>
      <c r="D62" s="16" t="n">
        <f aca="false">SUMIFS(Produccion_Semanal!$AO$2:$AO$833,Produccion_Semanal!$E$2:$E$833,D$1,Produccion_Semanal!$B$2:$B$833,$A62)</f>
        <v>113771.118</v>
      </c>
      <c r="E62" s="16" t="n">
        <f aca="false">SUMIFS(Produccion_Semanal!$AO$2:$AO$833,Produccion_Semanal!$E$2:$E$833,E$1,Produccion_Semanal!$B$2:$B$833,$A62)</f>
        <v>42521.453</v>
      </c>
      <c r="F62" s="16" t="n">
        <f aca="false">SUMIFS(Produccion_Semanal!$AO$2:$AO$833,Produccion_Semanal!$E$2:$E$833,F$1,Produccion_Semanal!$B$2:$B$833,$A62)</f>
        <v>123719.374</v>
      </c>
      <c r="G62" s="16" t="n">
        <f aca="false">SUMIFS(Produccion_Semanal!$AO$2:$AO$833,Produccion_Semanal!$E$2:$E$833,G$1,Produccion_Semanal!$B$2:$B$833,$A62)</f>
        <v>181096.046</v>
      </c>
      <c r="H62" s="16" t="n">
        <f aca="false">SUMIFS(Produccion_Semanal!$AO$2:$AO$833,Produccion_Semanal!$E$2:$E$833,H$1,Produccion_Semanal!$B$2:$B$833,$A62)</f>
        <v>146410.222</v>
      </c>
      <c r="I62" s="16" t="n">
        <f aca="false">SUMIFS(Produccion_Semanal!$AO$2:$AO$833,Produccion_Semanal!$E$2:$E$833,I$1,Produccion_Semanal!$B$2:$B$833,$A62)</f>
        <v>115779.853</v>
      </c>
    </row>
    <row r="63" customFormat="false" ht="15" hidden="false" customHeight="false" outlineLevel="0" collapsed="false">
      <c r="A63" s="9" t="n">
        <v>45978</v>
      </c>
      <c r="B63" s="16" t="n">
        <f aca="false">SUMIFS(Produccion_Semanal!$AO$2:$AO$833,Produccion_Semanal!$E$2:$E$833,B$1,Produccion_Semanal!$B$2:$B$833,$A63)</f>
        <v>154368.98</v>
      </c>
      <c r="C63" s="16" t="n">
        <f aca="false">SUMIFS(Produccion_Semanal!$AO$2:$AO$833,Produccion_Semanal!$E$2:$E$833,C$1,Produccion_Semanal!$B$2:$B$833,$A63)</f>
        <v>105042.433</v>
      </c>
      <c r="D63" s="16" t="n">
        <f aca="false">SUMIFS(Produccion_Semanal!$AO$2:$AO$833,Produccion_Semanal!$E$2:$E$833,D$1,Produccion_Semanal!$B$2:$B$833,$A63)</f>
        <v>110237.787</v>
      </c>
      <c r="E63" s="16" t="n">
        <f aca="false">SUMIFS(Produccion_Semanal!$AO$2:$AO$833,Produccion_Semanal!$E$2:$E$833,E$1,Produccion_Semanal!$B$2:$B$833,$A63)</f>
        <v>61766.888</v>
      </c>
      <c r="F63" s="16" t="n">
        <f aca="false">SUMIFS(Produccion_Semanal!$AO$2:$AO$833,Produccion_Semanal!$E$2:$E$833,F$1,Produccion_Semanal!$B$2:$B$833,$A63)</f>
        <v>128012.844</v>
      </c>
      <c r="G63" s="16" t="n">
        <f aca="false">SUMIFS(Produccion_Semanal!$AO$2:$AO$833,Produccion_Semanal!$E$2:$E$833,G$1,Produccion_Semanal!$B$2:$B$833,$A63)</f>
        <v>155022.294</v>
      </c>
      <c r="H63" s="16" t="n">
        <f aca="false">SUMIFS(Produccion_Semanal!$AO$2:$AO$833,Produccion_Semanal!$E$2:$E$833,H$1,Produccion_Semanal!$B$2:$B$833,$A63)</f>
        <v>190672.556</v>
      </c>
      <c r="I63" s="16" t="n">
        <f aca="false">SUMIFS(Produccion_Semanal!$AO$2:$AO$833,Produccion_Semanal!$E$2:$E$833,I$1,Produccion_Semanal!$B$2:$B$833,$A63)</f>
        <v>103269.499</v>
      </c>
    </row>
    <row r="64" customFormat="false" ht="15" hidden="false" customHeight="false" outlineLevel="0" collapsed="false">
      <c r="A64" s="9" t="n">
        <v>45985</v>
      </c>
      <c r="B64" s="16" t="n">
        <f aca="false">SUMIFS(Produccion_Semanal!$AO$2:$AO$833,Produccion_Semanal!$E$2:$E$833,B$1,Produccion_Semanal!$B$2:$B$833,$A64)</f>
        <v>158236.641</v>
      </c>
      <c r="C64" s="16" t="n">
        <f aca="false">SUMIFS(Produccion_Semanal!$AO$2:$AO$833,Produccion_Semanal!$E$2:$E$833,C$1,Produccion_Semanal!$B$2:$B$833,$A64)</f>
        <v>132420.839</v>
      </c>
      <c r="D64" s="16" t="n">
        <f aca="false">SUMIFS(Produccion_Semanal!$AO$2:$AO$833,Produccion_Semanal!$E$2:$E$833,D$1,Produccion_Semanal!$B$2:$B$833,$A64)</f>
        <v>116881.015</v>
      </c>
      <c r="E64" s="16" t="n">
        <f aca="false">SUMIFS(Produccion_Semanal!$AO$2:$AO$833,Produccion_Semanal!$E$2:$E$833,E$1,Produccion_Semanal!$B$2:$B$833,$A64)</f>
        <v>77763.252</v>
      </c>
      <c r="F64" s="16" t="n">
        <f aca="false">SUMIFS(Produccion_Semanal!$AO$2:$AO$833,Produccion_Semanal!$E$2:$E$833,F$1,Produccion_Semanal!$B$2:$B$833,$A64)</f>
        <v>116730.804</v>
      </c>
      <c r="G64" s="16" t="n">
        <f aca="false">SUMIFS(Produccion_Semanal!$AO$2:$AO$833,Produccion_Semanal!$E$2:$E$833,G$1,Produccion_Semanal!$B$2:$B$833,$A64)</f>
        <v>151490.404</v>
      </c>
      <c r="H64" s="16" t="n">
        <f aca="false">SUMIFS(Produccion_Semanal!$AO$2:$AO$833,Produccion_Semanal!$E$2:$E$833,H$1,Produccion_Semanal!$B$2:$B$833,$A64)</f>
        <v>110103.524</v>
      </c>
      <c r="I64" s="16" t="n">
        <f aca="false">SUMIFS(Produccion_Semanal!$AO$2:$AO$833,Produccion_Semanal!$E$2:$E$833,I$1,Produccion_Semanal!$B$2:$B$833,$A64)</f>
        <v>86200.628</v>
      </c>
    </row>
    <row r="65" customFormat="false" ht="15" hidden="false" customHeight="false" outlineLevel="0" collapsed="false">
      <c r="A65" s="9" t="n">
        <v>45992</v>
      </c>
      <c r="B65" s="16" t="n">
        <f aca="false">SUMIFS(Produccion_Semanal!$AO$2:$AO$833,Produccion_Semanal!$E$2:$E$833,B$1,Produccion_Semanal!$B$2:$B$833,$A65)</f>
        <v>163573.23</v>
      </c>
      <c r="C65" s="16" t="n">
        <f aca="false">SUMIFS(Produccion_Semanal!$AO$2:$AO$833,Produccion_Semanal!$E$2:$E$833,C$1,Produccion_Semanal!$B$2:$B$833,$A65)</f>
        <v>128514.685</v>
      </c>
      <c r="D65" s="16" t="n">
        <f aca="false">SUMIFS(Produccion_Semanal!$AO$2:$AO$833,Produccion_Semanal!$E$2:$E$833,D$1,Produccion_Semanal!$B$2:$B$833,$A65)</f>
        <v>112750.154</v>
      </c>
      <c r="E65" s="16" t="n">
        <f aca="false">SUMIFS(Produccion_Semanal!$AO$2:$AO$833,Produccion_Semanal!$E$2:$E$833,E$1,Produccion_Semanal!$B$2:$B$833,$A65)</f>
        <v>62746.529</v>
      </c>
      <c r="F65" s="16" t="n">
        <f aca="false">SUMIFS(Produccion_Semanal!$AO$2:$AO$833,Produccion_Semanal!$E$2:$E$833,F$1,Produccion_Semanal!$B$2:$B$833,$A65)</f>
        <v>99527.636</v>
      </c>
      <c r="G65" s="16" t="n">
        <f aca="false">SUMIFS(Produccion_Semanal!$AO$2:$AO$833,Produccion_Semanal!$E$2:$E$833,G$1,Produccion_Semanal!$B$2:$B$833,$A65)</f>
        <v>137899.344</v>
      </c>
      <c r="H65" s="16" t="n">
        <f aca="false">SUMIFS(Produccion_Semanal!$AO$2:$AO$833,Produccion_Semanal!$E$2:$E$833,H$1,Produccion_Semanal!$B$2:$B$833,$A65)</f>
        <v>95835.098</v>
      </c>
      <c r="I65" s="16" t="n">
        <f aca="false">SUMIFS(Produccion_Semanal!$AO$2:$AO$833,Produccion_Semanal!$E$2:$E$833,I$1,Produccion_Semanal!$B$2:$B$833,$A65)</f>
        <v>60094.329</v>
      </c>
    </row>
    <row r="66" customFormat="false" ht="15" hidden="false" customHeight="false" outlineLevel="0" collapsed="false">
      <c r="A66" s="9" t="n">
        <v>45999</v>
      </c>
      <c r="B66" s="16" t="n">
        <f aca="false">SUMIFS(Produccion_Semanal!$AO$2:$AO$833,Produccion_Semanal!$E$2:$E$833,B$1,Produccion_Semanal!$B$2:$B$833,$A66)</f>
        <v>147626.873</v>
      </c>
      <c r="C66" s="16" t="n">
        <f aca="false">SUMIFS(Produccion_Semanal!$AO$2:$AO$833,Produccion_Semanal!$E$2:$E$833,C$1,Produccion_Semanal!$B$2:$B$833,$A66)</f>
        <v>146208.014</v>
      </c>
      <c r="D66" s="16" t="n">
        <f aca="false">SUMIFS(Produccion_Semanal!$AO$2:$AO$833,Produccion_Semanal!$E$2:$E$833,D$1,Produccion_Semanal!$B$2:$B$833,$A66)</f>
        <v>133820.855</v>
      </c>
      <c r="E66" s="16" t="n">
        <f aca="false">SUMIFS(Produccion_Semanal!$AO$2:$AO$833,Produccion_Semanal!$E$2:$E$833,E$1,Produccion_Semanal!$B$2:$B$833,$A66)</f>
        <v>33984.656</v>
      </c>
      <c r="F66" s="16" t="n">
        <f aca="false">SUMIFS(Produccion_Semanal!$AO$2:$AO$833,Produccion_Semanal!$E$2:$E$833,F$1,Produccion_Semanal!$B$2:$B$833,$A66)</f>
        <v>95761.854</v>
      </c>
      <c r="G66" s="16" t="n">
        <f aca="false">SUMIFS(Produccion_Semanal!$AO$2:$AO$833,Produccion_Semanal!$E$2:$E$833,G$1,Produccion_Semanal!$B$2:$B$833,$A66)</f>
        <v>165610.72</v>
      </c>
      <c r="H66" s="16" t="n">
        <f aca="false">SUMIFS(Produccion_Semanal!$AO$2:$AO$833,Produccion_Semanal!$E$2:$E$833,H$1,Produccion_Semanal!$B$2:$B$833,$A66)</f>
        <v>111699.326</v>
      </c>
      <c r="I66" s="16" t="n">
        <f aca="false">SUMIFS(Produccion_Semanal!$AO$2:$AO$833,Produccion_Semanal!$E$2:$E$833,I$1,Produccion_Semanal!$B$2:$B$833,$A66)</f>
        <v>88662.542</v>
      </c>
    </row>
    <row r="67" customFormat="false" ht="15" hidden="false" customHeight="false" outlineLevel="0" collapsed="false">
      <c r="A67" s="9" t="n">
        <v>46006</v>
      </c>
      <c r="B67" s="16" t="n">
        <f aca="false">SUMIFS(Produccion_Semanal!$AO$2:$AO$833,Produccion_Semanal!$E$2:$E$833,B$1,Produccion_Semanal!$B$2:$B$833,$A67)</f>
        <v>151922.054</v>
      </c>
      <c r="C67" s="16" t="n">
        <f aca="false">SUMIFS(Produccion_Semanal!$AO$2:$AO$833,Produccion_Semanal!$E$2:$E$833,C$1,Produccion_Semanal!$B$2:$B$833,$A67)</f>
        <v>140476.078</v>
      </c>
      <c r="D67" s="16" t="n">
        <f aca="false">SUMIFS(Produccion_Semanal!$AO$2:$AO$833,Produccion_Semanal!$E$2:$E$833,D$1,Produccion_Semanal!$B$2:$B$833,$A67)</f>
        <v>135212.771</v>
      </c>
      <c r="E67" s="16" t="n">
        <f aca="false">SUMIFS(Produccion_Semanal!$AO$2:$AO$833,Produccion_Semanal!$E$2:$E$833,E$1,Produccion_Semanal!$B$2:$B$833,$A67)</f>
        <v>58954.649</v>
      </c>
      <c r="F67" s="16" t="n">
        <f aca="false">SUMIFS(Produccion_Semanal!$AO$2:$AO$833,Produccion_Semanal!$E$2:$E$833,F$1,Produccion_Semanal!$B$2:$B$833,$A67)</f>
        <v>96049.194</v>
      </c>
      <c r="G67" s="16" t="n">
        <f aca="false">SUMIFS(Produccion_Semanal!$AO$2:$AO$833,Produccion_Semanal!$E$2:$E$833,G$1,Produccion_Semanal!$B$2:$B$833,$A67)</f>
        <v>152485.882</v>
      </c>
      <c r="H67" s="16" t="n">
        <f aca="false">SUMIFS(Produccion_Semanal!$AO$2:$AO$833,Produccion_Semanal!$E$2:$E$833,H$1,Produccion_Semanal!$B$2:$B$833,$A67)</f>
        <v>83709.368</v>
      </c>
      <c r="I67" s="16" t="n">
        <f aca="false">SUMIFS(Produccion_Semanal!$AO$2:$AO$833,Produccion_Semanal!$E$2:$E$833,I$1,Produccion_Semanal!$B$2:$B$833,$A67)</f>
        <v>79714.9</v>
      </c>
    </row>
    <row r="68" customFormat="false" ht="15" hidden="false" customHeight="false" outlineLevel="0" collapsed="false">
      <c r="A68" s="9" t="n">
        <v>46013</v>
      </c>
      <c r="B68" s="16" t="n">
        <f aca="false">SUMIFS(Produccion_Semanal!$AO$2:$AO$833,Produccion_Semanal!$E$2:$E$833,B$1,Produccion_Semanal!$B$2:$B$833,$A68)</f>
        <v>135333.832</v>
      </c>
      <c r="C68" s="16" t="n">
        <f aca="false">SUMIFS(Produccion_Semanal!$AO$2:$AO$833,Produccion_Semanal!$E$2:$E$833,C$1,Produccion_Semanal!$B$2:$B$833,$A68)</f>
        <v>73359.989</v>
      </c>
      <c r="D68" s="16" t="n">
        <f aca="false">SUMIFS(Produccion_Semanal!$AO$2:$AO$833,Produccion_Semanal!$E$2:$E$833,D$1,Produccion_Semanal!$B$2:$B$833,$A68)</f>
        <v>108775.843</v>
      </c>
      <c r="E68" s="16" t="n">
        <f aca="false">SUMIFS(Produccion_Semanal!$AO$2:$AO$833,Produccion_Semanal!$E$2:$E$833,E$1,Produccion_Semanal!$B$2:$B$833,$A68)</f>
        <v>30125.575</v>
      </c>
      <c r="F68" s="16" t="n">
        <f aca="false">SUMIFS(Produccion_Semanal!$AO$2:$AO$833,Produccion_Semanal!$E$2:$E$833,F$1,Produccion_Semanal!$B$2:$B$833,$A68)</f>
        <v>66492.894</v>
      </c>
      <c r="G68" s="16" t="n">
        <f aca="false">SUMIFS(Produccion_Semanal!$AO$2:$AO$833,Produccion_Semanal!$E$2:$E$833,G$1,Produccion_Semanal!$B$2:$B$833,$A68)</f>
        <v>125535.685</v>
      </c>
      <c r="H68" s="16" t="n">
        <f aca="false">SUMIFS(Produccion_Semanal!$AO$2:$AO$833,Produccion_Semanal!$E$2:$E$833,H$1,Produccion_Semanal!$B$2:$B$833,$A68)</f>
        <v>95737.6</v>
      </c>
      <c r="I68" s="16" t="n">
        <f aca="false">SUMIFS(Produccion_Semanal!$AO$2:$AO$833,Produccion_Semanal!$E$2:$E$833,I$1,Produccion_Semanal!$B$2:$B$833,$A68)</f>
        <v>95990.791</v>
      </c>
    </row>
    <row r="69" customFormat="false" ht="15" hidden="false" customHeight="false" outlineLevel="0" collapsed="false">
      <c r="A69" s="9" t="n">
        <v>46020</v>
      </c>
      <c r="B69" s="16" t="n">
        <f aca="false">SUMIFS(Produccion_Semanal!$AO$2:$AO$833,Produccion_Semanal!$E$2:$E$833,B$1,Produccion_Semanal!$B$2:$B$833,$A69)</f>
        <v>93713.054</v>
      </c>
      <c r="C69" s="16" t="n">
        <f aca="false">SUMIFS(Produccion_Semanal!$AO$2:$AO$833,Produccion_Semanal!$E$2:$E$833,C$1,Produccion_Semanal!$B$2:$B$833,$A69)</f>
        <v>103385.144</v>
      </c>
      <c r="D69" s="16" t="n">
        <f aca="false">SUMIFS(Produccion_Semanal!$AO$2:$AO$833,Produccion_Semanal!$E$2:$E$833,D$1,Produccion_Semanal!$B$2:$B$833,$A69)</f>
        <v>101126.285</v>
      </c>
      <c r="E69" s="16" t="n">
        <f aca="false">SUMIFS(Produccion_Semanal!$AO$2:$AO$833,Produccion_Semanal!$E$2:$E$833,E$1,Produccion_Semanal!$B$2:$B$833,$A69)</f>
        <v>32484.608</v>
      </c>
      <c r="F69" s="16" t="n">
        <f aca="false">SUMIFS(Produccion_Semanal!$AO$2:$AO$833,Produccion_Semanal!$E$2:$E$833,F$1,Produccion_Semanal!$B$2:$B$833,$A69)</f>
        <v>112504.988</v>
      </c>
      <c r="G69" s="16" t="n">
        <f aca="false">SUMIFS(Produccion_Semanal!$AO$2:$AO$833,Produccion_Semanal!$E$2:$E$833,G$1,Produccion_Semanal!$B$2:$B$833,$A69)</f>
        <v>122031.578</v>
      </c>
      <c r="H69" s="16" t="n">
        <f aca="false">SUMIFS(Produccion_Semanal!$AO$2:$AO$833,Produccion_Semanal!$E$2:$E$833,H$1,Produccion_Semanal!$B$2:$B$833,$A69)</f>
        <v>81078.024</v>
      </c>
      <c r="I69" s="16" t="n">
        <f aca="false">SUMIFS(Produccion_Semanal!$AO$2:$AO$833,Produccion_Semanal!$E$2:$E$833,I$1,Produccion_Semanal!$B$2:$B$833,$A69)</f>
        <v>47793.443</v>
      </c>
    </row>
    <row r="70" customFormat="false" ht="15" hidden="false" customHeight="false" outlineLevel="0" collapsed="false">
      <c r="A70" s="9" t="n">
        <v>46027</v>
      </c>
      <c r="B70" s="16" t="n">
        <f aca="false">SUMIFS(Produccion_Semanal!$AO$2:$AO$833,Produccion_Semanal!$E$2:$E$833,B$1,Produccion_Semanal!$B$2:$B$833,$A70)</f>
        <v>153417.709</v>
      </c>
      <c r="C70" s="16" t="n">
        <f aca="false">SUMIFS(Produccion_Semanal!$AO$2:$AO$833,Produccion_Semanal!$E$2:$E$833,C$1,Produccion_Semanal!$B$2:$B$833,$A70)</f>
        <v>105112.21</v>
      </c>
      <c r="D70" s="16" t="n">
        <f aca="false">SUMIFS(Produccion_Semanal!$AO$2:$AO$833,Produccion_Semanal!$E$2:$E$833,D$1,Produccion_Semanal!$B$2:$B$833,$A70)</f>
        <v>109918.406</v>
      </c>
      <c r="E70" s="16" t="n">
        <f aca="false">SUMIFS(Produccion_Semanal!$AO$2:$AO$833,Produccion_Semanal!$E$2:$E$833,E$1,Produccion_Semanal!$B$2:$B$833,$A70)</f>
        <v>53451.982</v>
      </c>
      <c r="F70" s="16" t="n">
        <f aca="false">SUMIFS(Produccion_Semanal!$AO$2:$AO$833,Produccion_Semanal!$E$2:$E$833,F$1,Produccion_Semanal!$B$2:$B$833,$A70)</f>
        <v>145073.376</v>
      </c>
      <c r="G70" s="16" t="n">
        <f aca="false">SUMIFS(Produccion_Semanal!$AO$2:$AO$833,Produccion_Semanal!$E$2:$E$833,G$1,Produccion_Semanal!$B$2:$B$833,$A70)</f>
        <v>166841.735</v>
      </c>
      <c r="H70" s="16" t="n">
        <f aca="false">SUMIFS(Produccion_Semanal!$AO$2:$AO$833,Produccion_Semanal!$E$2:$E$833,H$1,Produccion_Semanal!$B$2:$B$833,$A70)</f>
        <v>126691.05</v>
      </c>
      <c r="I70" s="16" t="n">
        <f aca="false">SUMIFS(Produccion_Semanal!$AO$2:$AO$833,Produccion_Semanal!$E$2:$E$833,I$1,Produccion_Semanal!$B$2:$B$833,$A70)</f>
        <v>76458.545</v>
      </c>
    </row>
    <row r="71" customFormat="false" ht="15" hidden="false" customHeight="false" outlineLevel="0" collapsed="false">
      <c r="A71" s="9" t="n">
        <v>46034</v>
      </c>
      <c r="B71" s="16" t="n">
        <f aca="false">SUMIFS(Produccion_Semanal!$AO$2:$AO$833,Produccion_Semanal!$E$2:$E$833,B$1,Produccion_Semanal!$B$2:$B$833,$A71)</f>
        <v>136814.195</v>
      </c>
      <c r="C71" s="16" t="n">
        <f aca="false">SUMIFS(Produccion_Semanal!$AO$2:$AO$833,Produccion_Semanal!$E$2:$E$833,C$1,Produccion_Semanal!$B$2:$B$833,$A71)</f>
        <v>108237.78</v>
      </c>
      <c r="D71" s="16" t="n">
        <f aca="false">SUMIFS(Produccion_Semanal!$AO$2:$AO$833,Produccion_Semanal!$E$2:$E$833,D$1,Produccion_Semanal!$B$2:$B$833,$A71)</f>
        <v>117466.945</v>
      </c>
      <c r="E71" s="16" t="n">
        <f aca="false">SUMIFS(Produccion_Semanal!$AO$2:$AO$833,Produccion_Semanal!$E$2:$E$833,E$1,Produccion_Semanal!$B$2:$B$833,$A71)</f>
        <v>71183.363</v>
      </c>
      <c r="F71" s="16" t="n">
        <f aca="false">SUMIFS(Produccion_Semanal!$AO$2:$AO$833,Produccion_Semanal!$E$2:$E$833,F$1,Produccion_Semanal!$B$2:$B$833,$A71)</f>
        <v>136951.236</v>
      </c>
      <c r="G71" s="16" t="n">
        <f aca="false">SUMIFS(Produccion_Semanal!$AO$2:$AO$833,Produccion_Semanal!$E$2:$E$833,G$1,Produccion_Semanal!$B$2:$B$833,$A71)</f>
        <v>130273.51</v>
      </c>
      <c r="H71" s="16" t="n">
        <f aca="false">SUMIFS(Produccion_Semanal!$AO$2:$AO$833,Produccion_Semanal!$E$2:$E$833,H$1,Produccion_Semanal!$B$2:$B$833,$A71)</f>
        <v>99844.452</v>
      </c>
      <c r="I71" s="16" t="n">
        <f aca="false">SUMIFS(Produccion_Semanal!$AO$2:$AO$833,Produccion_Semanal!$E$2:$E$833,I$1,Produccion_Semanal!$B$2:$B$833,$A71)</f>
        <v>85309.121</v>
      </c>
    </row>
    <row r="72" customFormat="false" ht="15" hidden="false" customHeight="false" outlineLevel="0" collapsed="false">
      <c r="A72" s="9" t="n">
        <v>46041</v>
      </c>
      <c r="B72" s="16" t="n">
        <f aca="false">SUMIFS(Produccion_Semanal!$AO$2:$AO$833,Produccion_Semanal!$E$2:$E$833,B$1,Produccion_Semanal!$B$2:$B$833,$A72)</f>
        <v>163108.687</v>
      </c>
      <c r="C72" s="16" t="n">
        <f aca="false">SUMIFS(Produccion_Semanal!$AO$2:$AO$833,Produccion_Semanal!$E$2:$E$833,C$1,Produccion_Semanal!$B$2:$B$833,$A72)</f>
        <v>110596.707</v>
      </c>
      <c r="D72" s="16" t="n">
        <f aca="false">SUMIFS(Produccion_Semanal!$AO$2:$AO$833,Produccion_Semanal!$E$2:$E$833,D$1,Produccion_Semanal!$B$2:$B$833,$A72)</f>
        <v>83207.809</v>
      </c>
      <c r="E72" s="16" t="n">
        <f aca="false">SUMIFS(Produccion_Semanal!$AO$2:$AO$833,Produccion_Semanal!$E$2:$E$833,E$1,Produccion_Semanal!$B$2:$B$833,$A72)</f>
        <v>95164.98</v>
      </c>
      <c r="F72" s="16" t="n">
        <f aca="false">SUMIFS(Produccion_Semanal!$AO$2:$AO$833,Produccion_Semanal!$E$2:$E$833,F$1,Produccion_Semanal!$B$2:$B$833,$A72)</f>
        <v>97519.276</v>
      </c>
      <c r="G72" s="16" t="n">
        <f aca="false">SUMIFS(Produccion_Semanal!$AO$2:$AO$833,Produccion_Semanal!$E$2:$E$833,G$1,Produccion_Semanal!$B$2:$B$833,$A72)</f>
        <v>146677.964</v>
      </c>
      <c r="H72" s="16" t="n">
        <f aca="false">SUMIFS(Produccion_Semanal!$AO$2:$AO$833,Produccion_Semanal!$E$2:$E$833,H$1,Produccion_Semanal!$B$2:$B$833,$A72)</f>
        <v>103108.19</v>
      </c>
      <c r="I72" s="16" t="n">
        <f aca="false">SUMIFS(Produccion_Semanal!$AO$2:$AO$833,Produccion_Semanal!$E$2:$E$833,I$1,Produccion_Semanal!$B$2:$B$833,$A72)</f>
        <v>95956.066</v>
      </c>
    </row>
    <row r="73" customFormat="false" ht="15" hidden="false" customHeight="false" outlineLevel="0" collapsed="false">
      <c r="A73" s="9" t="n">
        <v>46048</v>
      </c>
      <c r="B73" s="16" t="n">
        <f aca="false">SUMIFS(Produccion_Semanal!$AO$2:$AO$833,Produccion_Semanal!$E$2:$E$833,B$1,Produccion_Semanal!$B$2:$B$833,$A73)</f>
        <v>183343.18</v>
      </c>
      <c r="C73" s="16" t="n">
        <f aca="false">SUMIFS(Produccion_Semanal!$AO$2:$AO$833,Produccion_Semanal!$E$2:$E$833,C$1,Produccion_Semanal!$B$2:$B$833,$A73)</f>
        <v>133939.55</v>
      </c>
      <c r="D73" s="16" t="n">
        <f aca="false">SUMIFS(Produccion_Semanal!$AO$2:$AO$833,Produccion_Semanal!$E$2:$E$833,D$1,Produccion_Semanal!$B$2:$B$833,$A73)</f>
        <v>182414.003</v>
      </c>
      <c r="E73" s="16" t="n">
        <f aca="false">SUMIFS(Produccion_Semanal!$AO$2:$AO$833,Produccion_Semanal!$E$2:$E$833,E$1,Produccion_Semanal!$B$2:$B$833,$A73)</f>
        <v>23871.544</v>
      </c>
      <c r="F73" s="16" t="n">
        <f aca="false">SUMIFS(Produccion_Semanal!$AO$2:$AO$833,Produccion_Semanal!$E$2:$E$833,F$1,Produccion_Semanal!$B$2:$B$833,$A73)</f>
        <v>105289.488</v>
      </c>
      <c r="G73" s="16" t="n">
        <f aca="false">SUMIFS(Produccion_Semanal!$AO$2:$AO$833,Produccion_Semanal!$E$2:$E$833,G$1,Produccion_Semanal!$B$2:$B$833,$A73)</f>
        <v>179333.338</v>
      </c>
      <c r="H73" s="16" t="n">
        <f aca="false">SUMIFS(Produccion_Semanal!$AO$2:$AO$833,Produccion_Semanal!$E$2:$E$833,H$1,Produccion_Semanal!$B$2:$B$833,$A73)</f>
        <v>162367.748</v>
      </c>
      <c r="I73" s="16" t="n">
        <f aca="false">SUMIFS(Produccion_Semanal!$AO$2:$AO$833,Produccion_Semanal!$E$2:$E$833,I$1,Produccion_Semanal!$B$2:$B$833,$A73)</f>
        <v>75202.862</v>
      </c>
    </row>
    <row r="74" customFormat="false" ht="15" hidden="false" customHeight="false" outlineLevel="0" collapsed="false">
      <c r="A74" s="9" t="n">
        <v>46055</v>
      </c>
      <c r="B74" s="16" t="n">
        <f aca="false">SUMIFS(Produccion_Semanal!$AO$2:$AO$833,Produccion_Semanal!$E$2:$E$833,B$1,Produccion_Semanal!$B$2:$B$833,$A74)</f>
        <v>148218.402</v>
      </c>
      <c r="C74" s="16" t="n">
        <f aca="false">SUMIFS(Produccion_Semanal!$AO$2:$AO$833,Produccion_Semanal!$E$2:$E$833,C$1,Produccion_Semanal!$B$2:$B$833,$A74)</f>
        <v>133033.285</v>
      </c>
      <c r="D74" s="16" t="n">
        <f aca="false">SUMIFS(Produccion_Semanal!$AO$2:$AO$833,Produccion_Semanal!$E$2:$E$833,D$1,Produccion_Semanal!$B$2:$B$833,$A74)</f>
        <v>167003.796</v>
      </c>
      <c r="E74" s="16" t="n">
        <f aca="false">SUMIFS(Produccion_Semanal!$AO$2:$AO$833,Produccion_Semanal!$E$2:$E$833,E$1,Produccion_Semanal!$B$2:$B$833,$A74)</f>
        <v>59411.705</v>
      </c>
      <c r="F74" s="16" t="n">
        <f aca="false">SUMIFS(Produccion_Semanal!$AO$2:$AO$833,Produccion_Semanal!$E$2:$E$833,F$1,Produccion_Semanal!$B$2:$B$833,$A74)</f>
        <v>91934.238</v>
      </c>
      <c r="G74" s="16" t="n">
        <f aca="false">SUMIFS(Produccion_Semanal!$AO$2:$AO$833,Produccion_Semanal!$E$2:$E$833,G$1,Produccion_Semanal!$B$2:$B$833,$A74)</f>
        <v>118520.921</v>
      </c>
      <c r="H74" s="16" t="n">
        <f aca="false">SUMIFS(Produccion_Semanal!$AO$2:$AO$833,Produccion_Semanal!$E$2:$E$833,H$1,Produccion_Semanal!$B$2:$B$833,$A74)</f>
        <v>143020.352</v>
      </c>
      <c r="I74" s="16" t="n">
        <f aca="false">SUMIFS(Produccion_Semanal!$AO$2:$AO$833,Produccion_Semanal!$E$2:$E$833,I$1,Produccion_Semanal!$B$2:$B$833,$A74)</f>
        <v>99483.037</v>
      </c>
    </row>
    <row r="75" customFormat="false" ht="15" hidden="false" customHeight="false" outlineLevel="0" collapsed="false">
      <c r="A75" s="9" t="n">
        <v>46062</v>
      </c>
      <c r="B75" s="16" t="n">
        <f aca="false">SUMIFS(Produccion_Semanal!$AO$2:$AO$833,Produccion_Semanal!$E$2:$E$833,B$1,Produccion_Semanal!$B$2:$B$833,$A75)</f>
        <v>168833.22</v>
      </c>
      <c r="C75" s="16" t="n">
        <f aca="false">SUMIFS(Produccion_Semanal!$AO$2:$AO$833,Produccion_Semanal!$E$2:$E$833,C$1,Produccion_Semanal!$B$2:$B$833,$A75)</f>
        <v>109015.46</v>
      </c>
      <c r="D75" s="16" t="n">
        <f aca="false">SUMIFS(Produccion_Semanal!$AO$2:$AO$833,Produccion_Semanal!$E$2:$E$833,D$1,Produccion_Semanal!$B$2:$B$833,$A75)</f>
        <v>128402.77</v>
      </c>
      <c r="E75" s="16" t="n">
        <f aca="false">SUMIFS(Produccion_Semanal!$AO$2:$AO$833,Produccion_Semanal!$E$2:$E$833,E$1,Produccion_Semanal!$B$2:$B$833,$A75)</f>
        <v>76373.421</v>
      </c>
      <c r="F75" s="16" t="n">
        <f aca="false">SUMIFS(Produccion_Semanal!$AO$2:$AO$833,Produccion_Semanal!$E$2:$E$833,F$1,Produccion_Semanal!$B$2:$B$833,$A75)</f>
        <v>116662.558</v>
      </c>
      <c r="G75" s="16" t="n">
        <f aca="false">SUMIFS(Produccion_Semanal!$AO$2:$AO$833,Produccion_Semanal!$E$2:$E$833,G$1,Produccion_Semanal!$B$2:$B$833,$A75)</f>
        <v>150049.21</v>
      </c>
      <c r="H75" s="16" t="n">
        <f aca="false">SUMIFS(Produccion_Semanal!$AO$2:$AO$833,Produccion_Semanal!$E$2:$E$833,H$1,Produccion_Semanal!$B$2:$B$833,$A75)</f>
        <v>81799.13</v>
      </c>
      <c r="I75" s="16" t="n">
        <f aca="false">SUMIFS(Produccion_Semanal!$AO$2:$AO$833,Produccion_Semanal!$E$2:$E$833,I$1,Produccion_Semanal!$B$2:$B$833,$A75)</f>
        <v>99246.944</v>
      </c>
    </row>
    <row r="76" customFormat="false" ht="15" hidden="false" customHeight="false" outlineLevel="0" collapsed="false">
      <c r="A76" s="9" t="n">
        <v>46069</v>
      </c>
      <c r="B76" s="16" t="n">
        <f aca="false">SUMIFS(Produccion_Semanal!$AO$2:$AO$833,Produccion_Semanal!$E$2:$E$833,B$1,Produccion_Semanal!$B$2:$B$833,$A76)</f>
        <v>148734.877</v>
      </c>
      <c r="C76" s="16" t="n">
        <f aca="false">SUMIFS(Produccion_Semanal!$AO$2:$AO$833,Produccion_Semanal!$E$2:$E$833,C$1,Produccion_Semanal!$B$2:$B$833,$A76)</f>
        <v>110794.164</v>
      </c>
      <c r="D76" s="16" t="n">
        <f aca="false">SUMIFS(Produccion_Semanal!$AO$2:$AO$833,Produccion_Semanal!$E$2:$E$833,D$1,Produccion_Semanal!$B$2:$B$833,$A76)</f>
        <v>119145.056</v>
      </c>
      <c r="E76" s="16" t="n">
        <f aca="false">SUMIFS(Produccion_Semanal!$AO$2:$AO$833,Produccion_Semanal!$E$2:$E$833,E$1,Produccion_Semanal!$B$2:$B$833,$A76)</f>
        <v>94478.575</v>
      </c>
      <c r="F76" s="16" t="n">
        <f aca="false">SUMIFS(Produccion_Semanal!$AO$2:$AO$833,Produccion_Semanal!$E$2:$E$833,F$1,Produccion_Semanal!$B$2:$B$833,$A76)</f>
        <v>131878.29</v>
      </c>
      <c r="G76" s="16" t="n">
        <f aca="false">SUMIFS(Produccion_Semanal!$AO$2:$AO$833,Produccion_Semanal!$E$2:$E$833,G$1,Produccion_Semanal!$B$2:$B$833,$A76)</f>
        <v>187709.421</v>
      </c>
      <c r="H76" s="16" t="n">
        <f aca="false">SUMIFS(Produccion_Semanal!$AO$2:$AO$833,Produccion_Semanal!$E$2:$E$833,H$1,Produccion_Semanal!$B$2:$B$833,$A76)</f>
        <v>85757.074</v>
      </c>
      <c r="I76" s="16" t="n">
        <f aca="false">SUMIFS(Produccion_Semanal!$AO$2:$AO$833,Produccion_Semanal!$E$2:$E$833,I$1,Produccion_Semanal!$B$2:$B$833,$A76)</f>
        <v>72923.343</v>
      </c>
    </row>
    <row r="77" customFormat="false" ht="15" hidden="false" customHeight="false" outlineLevel="0" collapsed="false">
      <c r="A77" s="9" t="n">
        <v>46076</v>
      </c>
      <c r="B77" s="16" t="n">
        <f aca="false">SUMIFS(Produccion_Semanal!$AO$2:$AO$833,Produccion_Semanal!$E$2:$E$833,B$1,Produccion_Semanal!$B$2:$B$833,$A77)</f>
        <v>163738.868</v>
      </c>
      <c r="C77" s="16" t="n">
        <f aca="false">SUMIFS(Produccion_Semanal!$AO$2:$AO$833,Produccion_Semanal!$E$2:$E$833,C$1,Produccion_Semanal!$B$2:$B$833,$A77)</f>
        <v>134339.824</v>
      </c>
      <c r="D77" s="16" t="n">
        <f aca="false">SUMIFS(Produccion_Semanal!$AO$2:$AO$833,Produccion_Semanal!$E$2:$E$833,D$1,Produccion_Semanal!$B$2:$B$833,$A77)</f>
        <v>128670.819</v>
      </c>
      <c r="E77" s="16" t="n">
        <f aca="false">SUMIFS(Produccion_Semanal!$AO$2:$AO$833,Produccion_Semanal!$E$2:$E$833,E$1,Produccion_Semanal!$B$2:$B$833,$A77)</f>
        <v>76255.14</v>
      </c>
      <c r="F77" s="16" t="n">
        <f aca="false">SUMIFS(Produccion_Semanal!$AO$2:$AO$833,Produccion_Semanal!$E$2:$E$833,F$1,Produccion_Semanal!$B$2:$B$833,$A77)</f>
        <v>99325.502</v>
      </c>
      <c r="G77" s="16" t="n">
        <f aca="false">SUMIFS(Produccion_Semanal!$AO$2:$AO$833,Produccion_Semanal!$E$2:$E$833,G$1,Produccion_Semanal!$B$2:$B$833,$A77)</f>
        <v>148884.794</v>
      </c>
      <c r="H77" s="16" t="n">
        <f aca="false">SUMIFS(Produccion_Semanal!$AO$2:$AO$833,Produccion_Semanal!$E$2:$E$833,H$1,Produccion_Semanal!$B$2:$B$833,$A77)</f>
        <v>119629.894</v>
      </c>
      <c r="I77" s="16" t="n">
        <f aca="false">SUMIFS(Produccion_Semanal!$AO$2:$AO$833,Produccion_Semanal!$E$2:$E$833,I$1,Produccion_Semanal!$B$2:$B$833,$A77)</f>
        <v>96124.185</v>
      </c>
    </row>
    <row r="78" customFormat="false" ht="15" hidden="false" customHeight="false" outlineLevel="0" collapsed="false">
      <c r="A78" s="9" t="n">
        <v>46083</v>
      </c>
      <c r="B78" s="16" t="n">
        <f aca="false">SUMIFS(Produccion_Semanal!$AO$2:$AO$833,Produccion_Semanal!$E$2:$E$833,B$1,Produccion_Semanal!$B$2:$B$833,$A78)</f>
        <v>151418.606</v>
      </c>
      <c r="C78" s="16" t="n">
        <f aca="false">SUMIFS(Produccion_Semanal!$AO$2:$AO$833,Produccion_Semanal!$E$2:$E$833,C$1,Produccion_Semanal!$B$2:$B$833,$A78)</f>
        <v>122275.366</v>
      </c>
      <c r="D78" s="16" t="n">
        <f aca="false">SUMIFS(Produccion_Semanal!$AO$2:$AO$833,Produccion_Semanal!$E$2:$E$833,D$1,Produccion_Semanal!$B$2:$B$833,$A78)</f>
        <v>133875.466</v>
      </c>
      <c r="E78" s="16" t="n">
        <f aca="false">SUMIFS(Produccion_Semanal!$AO$2:$AO$833,Produccion_Semanal!$E$2:$E$833,E$1,Produccion_Semanal!$B$2:$B$833,$A78)</f>
        <v>77523.831</v>
      </c>
      <c r="F78" s="16" t="n">
        <f aca="false">SUMIFS(Produccion_Semanal!$AO$2:$AO$833,Produccion_Semanal!$E$2:$E$833,F$1,Produccion_Semanal!$B$2:$B$833,$A78)</f>
        <v>112434.122</v>
      </c>
      <c r="G78" s="16" t="n">
        <f aca="false">SUMIFS(Produccion_Semanal!$AO$2:$AO$833,Produccion_Semanal!$E$2:$E$833,G$1,Produccion_Semanal!$B$2:$B$833,$A78)</f>
        <v>152953.502</v>
      </c>
      <c r="H78" s="16" t="n">
        <f aca="false">SUMIFS(Produccion_Semanal!$AO$2:$AO$833,Produccion_Semanal!$E$2:$E$833,H$1,Produccion_Semanal!$B$2:$B$833,$A78)</f>
        <v>74878.484</v>
      </c>
      <c r="I78" s="16" t="n">
        <f aca="false">SUMIFS(Produccion_Semanal!$AO$2:$AO$833,Produccion_Semanal!$E$2:$E$833,I$1,Produccion_Semanal!$B$2:$B$833,$A78)</f>
        <v>88645.019</v>
      </c>
    </row>
    <row r="79" customFormat="false" ht="15" hidden="false" customHeight="false" outlineLevel="0" collapsed="false">
      <c r="A79" s="9" t="n">
        <v>46090</v>
      </c>
      <c r="B79" s="16" t="n">
        <f aca="false">SUMIFS(Produccion_Semanal!$AO$2:$AO$833,Produccion_Semanal!$E$2:$E$833,B$1,Produccion_Semanal!$B$2:$B$833,$A79)</f>
        <v>159316.198</v>
      </c>
      <c r="C79" s="16" t="n">
        <f aca="false">SUMIFS(Produccion_Semanal!$AO$2:$AO$833,Produccion_Semanal!$E$2:$E$833,C$1,Produccion_Semanal!$B$2:$B$833,$A79)</f>
        <v>122822.71</v>
      </c>
      <c r="D79" s="16" t="n">
        <f aca="false">SUMIFS(Produccion_Semanal!$AO$2:$AO$833,Produccion_Semanal!$E$2:$E$833,D$1,Produccion_Semanal!$B$2:$B$833,$A79)</f>
        <v>144125.756</v>
      </c>
      <c r="E79" s="16" t="n">
        <f aca="false">SUMIFS(Produccion_Semanal!$AO$2:$AO$833,Produccion_Semanal!$E$2:$E$833,E$1,Produccion_Semanal!$B$2:$B$833,$A79)</f>
        <v>93977.8</v>
      </c>
      <c r="F79" s="16" t="n">
        <f aca="false">SUMIFS(Produccion_Semanal!$AO$2:$AO$833,Produccion_Semanal!$E$2:$E$833,F$1,Produccion_Semanal!$B$2:$B$833,$A79)</f>
        <v>104284.396</v>
      </c>
      <c r="G79" s="16" t="n">
        <f aca="false">SUMIFS(Produccion_Semanal!$AO$2:$AO$833,Produccion_Semanal!$E$2:$E$833,G$1,Produccion_Semanal!$B$2:$B$833,$A79)</f>
        <v>169826.891</v>
      </c>
      <c r="H79" s="16" t="n">
        <f aca="false">SUMIFS(Produccion_Semanal!$AO$2:$AO$833,Produccion_Semanal!$E$2:$E$833,H$1,Produccion_Semanal!$B$2:$B$833,$A79)</f>
        <v>101101.576</v>
      </c>
      <c r="I79" s="16" t="n">
        <f aca="false">SUMIFS(Produccion_Semanal!$AO$2:$AO$833,Produccion_Semanal!$E$2:$E$833,I$1,Produccion_Semanal!$B$2:$B$833,$A79)</f>
        <v>83064.858</v>
      </c>
    </row>
    <row r="80" customFormat="false" ht="15" hidden="false" customHeight="false" outlineLevel="0" collapsed="false">
      <c r="A80" s="9" t="n">
        <v>46097</v>
      </c>
      <c r="B80" s="16" t="n">
        <f aca="false">SUMIFS(Produccion_Semanal!$AO$2:$AO$833,Produccion_Semanal!$E$2:$E$833,B$1,Produccion_Semanal!$B$2:$B$833,$A80)</f>
        <v>157862.748</v>
      </c>
      <c r="C80" s="16" t="n">
        <f aca="false">SUMIFS(Produccion_Semanal!$AO$2:$AO$833,Produccion_Semanal!$E$2:$E$833,C$1,Produccion_Semanal!$B$2:$B$833,$A80)</f>
        <v>115143.532</v>
      </c>
      <c r="D80" s="16" t="n">
        <f aca="false">SUMIFS(Produccion_Semanal!$AO$2:$AO$833,Produccion_Semanal!$E$2:$E$833,D$1,Produccion_Semanal!$B$2:$B$833,$A80)</f>
        <v>166689.206</v>
      </c>
      <c r="E80" s="16" t="n">
        <f aca="false">SUMIFS(Produccion_Semanal!$AO$2:$AO$833,Produccion_Semanal!$E$2:$E$833,E$1,Produccion_Semanal!$B$2:$B$833,$A80)</f>
        <v>91702.521</v>
      </c>
      <c r="F80" s="16" t="n">
        <f aca="false">SUMIFS(Produccion_Semanal!$AO$2:$AO$833,Produccion_Semanal!$E$2:$E$833,F$1,Produccion_Semanal!$B$2:$B$833,$A80)</f>
        <v>106933.724</v>
      </c>
      <c r="G80" s="16" t="n">
        <f aca="false">SUMIFS(Produccion_Semanal!$AO$2:$AO$833,Produccion_Semanal!$E$2:$E$833,G$1,Produccion_Semanal!$B$2:$B$833,$A80)</f>
        <v>142393.186</v>
      </c>
      <c r="H80" s="16" t="n">
        <f aca="false">SUMIFS(Produccion_Semanal!$AO$2:$AO$833,Produccion_Semanal!$E$2:$E$833,H$1,Produccion_Semanal!$B$2:$B$833,$A80)</f>
        <v>121111.864</v>
      </c>
      <c r="I80" s="16" t="n">
        <f aca="false">SUMIFS(Produccion_Semanal!$AO$2:$AO$833,Produccion_Semanal!$E$2:$E$833,I$1,Produccion_Semanal!$B$2:$B$833,$A80)</f>
        <v>85049.616</v>
      </c>
    </row>
    <row r="81" customFormat="false" ht="15" hidden="false" customHeight="false" outlineLevel="0" collapsed="false">
      <c r="A81" s="9" t="n">
        <v>46104</v>
      </c>
      <c r="B81" s="16" t="n">
        <f aca="false">SUMIFS(Produccion_Semanal!$AO$2:$AO$833,Produccion_Semanal!$E$2:$E$833,B$1,Produccion_Semanal!$B$2:$B$833,$A81)</f>
        <v>166953.996</v>
      </c>
      <c r="C81" s="16" t="n">
        <f aca="false">SUMIFS(Produccion_Semanal!$AO$2:$AO$833,Produccion_Semanal!$E$2:$E$833,C$1,Produccion_Semanal!$B$2:$B$833,$A81)</f>
        <v>135426.631</v>
      </c>
      <c r="D81" s="16" t="n">
        <f aca="false">SUMIFS(Produccion_Semanal!$AO$2:$AO$833,Produccion_Semanal!$E$2:$E$833,D$1,Produccion_Semanal!$B$2:$B$833,$A81)</f>
        <v>101518.708</v>
      </c>
      <c r="E81" s="16" t="n">
        <f aca="false">SUMIFS(Produccion_Semanal!$AO$2:$AO$833,Produccion_Semanal!$E$2:$E$833,E$1,Produccion_Semanal!$B$2:$B$833,$A81)</f>
        <v>78286.02</v>
      </c>
      <c r="F81" s="16" t="n">
        <f aca="false">SUMIFS(Produccion_Semanal!$AO$2:$AO$833,Produccion_Semanal!$E$2:$E$833,F$1,Produccion_Semanal!$B$2:$B$833,$A81)</f>
        <v>93429.81</v>
      </c>
      <c r="G81" s="16" t="n">
        <f aca="false">SUMIFS(Produccion_Semanal!$AO$2:$AO$833,Produccion_Semanal!$E$2:$E$833,G$1,Produccion_Semanal!$B$2:$B$833,$A81)</f>
        <v>135698.971</v>
      </c>
      <c r="H81" s="16" t="n">
        <f aca="false">SUMIFS(Produccion_Semanal!$AO$2:$AO$833,Produccion_Semanal!$E$2:$E$833,H$1,Produccion_Semanal!$B$2:$B$833,$A81)</f>
        <v>71650.704</v>
      </c>
      <c r="I81" s="16" t="n">
        <f aca="false">SUMIFS(Produccion_Semanal!$AO$2:$AO$833,Produccion_Semanal!$E$2:$E$833,I$1,Produccion_Semanal!$B$2:$B$833,$A81)</f>
        <v>54279.905</v>
      </c>
    </row>
    <row r="82" customFormat="false" ht="15" hidden="false" customHeight="false" outlineLevel="0" collapsed="false">
      <c r="A82" s="9" t="n">
        <v>46111</v>
      </c>
      <c r="B82" s="16" t="n">
        <f aca="false">SUMIFS(Produccion_Semanal!$AO$2:$AO$833,Produccion_Semanal!$E$2:$E$833,B$1,Produccion_Semanal!$B$2:$B$833,$A82)</f>
        <v>160174.491</v>
      </c>
      <c r="C82" s="16" t="n">
        <f aca="false">SUMIFS(Produccion_Semanal!$AO$2:$AO$833,Produccion_Semanal!$E$2:$E$833,C$1,Produccion_Semanal!$B$2:$B$833,$A82)</f>
        <v>125113.985</v>
      </c>
      <c r="D82" s="16" t="n">
        <f aca="false">SUMIFS(Produccion_Semanal!$AO$2:$AO$833,Produccion_Semanal!$E$2:$E$833,D$1,Produccion_Semanal!$B$2:$B$833,$A82)</f>
        <v>151856.923</v>
      </c>
      <c r="E82" s="16" t="n">
        <f aca="false">SUMIFS(Produccion_Semanal!$AO$2:$AO$833,Produccion_Semanal!$E$2:$E$833,E$1,Produccion_Semanal!$B$2:$B$833,$A82)</f>
        <v>101841.976</v>
      </c>
      <c r="F82" s="16" t="n">
        <f aca="false">SUMIFS(Produccion_Semanal!$AO$2:$AO$833,Produccion_Semanal!$E$2:$E$833,F$1,Produccion_Semanal!$B$2:$B$833,$A82)</f>
        <v>122211.244</v>
      </c>
      <c r="G82" s="16" t="n">
        <f aca="false">SUMIFS(Produccion_Semanal!$AO$2:$AO$833,Produccion_Semanal!$E$2:$E$833,G$1,Produccion_Semanal!$B$2:$B$833,$A82)</f>
        <v>174352.878</v>
      </c>
      <c r="H82" s="16" t="n">
        <f aca="false">SUMIFS(Produccion_Semanal!$AO$2:$AO$833,Produccion_Semanal!$E$2:$E$833,H$1,Produccion_Semanal!$B$2:$B$833,$A82)</f>
        <v>101377.498</v>
      </c>
      <c r="I82" s="16" t="n">
        <f aca="false">SUMIFS(Produccion_Semanal!$AO$2:$AO$833,Produccion_Semanal!$E$2:$E$833,I$1,Produccion_Semanal!$B$2:$B$833,$A82)</f>
        <v>100596.913</v>
      </c>
    </row>
    <row r="83" customFormat="false" ht="15" hidden="false" customHeight="false" outlineLevel="0" collapsed="false">
      <c r="A83" s="9" t="n">
        <v>46118</v>
      </c>
      <c r="B83" s="16" t="n">
        <f aca="false">SUMIFS(Produccion_Semanal!$AO$2:$AO$833,Produccion_Semanal!$E$2:$E$833,B$1,Produccion_Semanal!$B$2:$B$833,$A83)</f>
        <v>167744.11</v>
      </c>
      <c r="C83" s="16" t="n">
        <f aca="false">SUMIFS(Produccion_Semanal!$AO$2:$AO$833,Produccion_Semanal!$E$2:$E$833,C$1,Produccion_Semanal!$B$2:$B$833,$A83)</f>
        <v>114895.144</v>
      </c>
      <c r="D83" s="16" t="n">
        <f aca="false">SUMIFS(Produccion_Semanal!$AO$2:$AO$833,Produccion_Semanal!$E$2:$E$833,D$1,Produccion_Semanal!$B$2:$B$833,$A83)</f>
        <v>158101.329</v>
      </c>
      <c r="E83" s="16" t="n">
        <f aca="false">SUMIFS(Produccion_Semanal!$AO$2:$AO$833,Produccion_Semanal!$E$2:$E$833,E$1,Produccion_Semanal!$B$2:$B$833,$A83)</f>
        <v>91259.1</v>
      </c>
      <c r="F83" s="16" t="n">
        <f aca="false">SUMIFS(Produccion_Semanal!$AO$2:$AO$833,Produccion_Semanal!$E$2:$E$833,F$1,Produccion_Semanal!$B$2:$B$833,$A83)</f>
        <v>101344.952</v>
      </c>
      <c r="G83" s="16" t="n">
        <f aca="false">SUMIFS(Produccion_Semanal!$AO$2:$AO$833,Produccion_Semanal!$E$2:$E$833,G$1,Produccion_Semanal!$B$2:$B$833,$A83)</f>
        <v>172026.586</v>
      </c>
      <c r="H83" s="16" t="n">
        <f aca="false">SUMIFS(Produccion_Semanal!$AO$2:$AO$833,Produccion_Semanal!$E$2:$E$833,H$1,Produccion_Semanal!$B$2:$B$833,$A83)</f>
        <v>107117.912</v>
      </c>
      <c r="I83" s="16" t="n">
        <f aca="false">SUMIFS(Produccion_Semanal!$AO$2:$AO$833,Produccion_Semanal!$E$2:$E$833,I$1,Produccion_Semanal!$B$2:$B$833,$A83)</f>
        <v>70208.04</v>
      </c>
    </row>
    <row r="84" customFormat="false" ht="15" hidden="false" customHeight="false" outlineLevel="0" collapsed="false">
      <c r="A84" s="9" t="n">
        <v>46125</v>
      </c>
      <c r="B84" s="16" t="n">
        <f aca="false">SUMIFS(Produccion_Semanal!$AO$2:$AO$833,Produccion_Semanal!$E$2:$E$833,B$1,Produccion_Semanal!$B$2:$B$833,$A84)</f>
        <v>164689.167</v>
      </c>
      <c r="C84" s="16" t="n">
        <f aca="false">SUMIFS(Produccion_Semanal!$AO$2:$AO$833,Produccion_Semanal!$E$2:$E$833,C$1,Produccion_Semanal!$B$2:$B$833,$A84)</f>
        <v>110698.775</v>
      </c>
      <c r="D84" s="16" t="n">
        <f aca="false">SUMIFS(Produccion_Semanal!$AO$2:$AO$833,Produccion_Semanal!$E$2:$E$833,D$1,Produccion_Semanal!$B$2:$B$833,$A84)</f>
        <v>117606.037</v>
      </c>
      <c r="E84" s="16" t="n">
        <f aca="false">SUMIFS(Produccion_Semanal!$AO$2:$AO$833,Produccion_Semanal!$E$2:$E$833,E$1,Produccion_Semanal!$B$2:$B$833,$A84)</f>
        <v>63204.897</v>
      </c>
      <c r="F84" s="16" t="n">
        <f aca="false">SUMIFS(Produccion_Semanal!$AO$2:$AO$833,Produccion_Semanal!$E$2:$E$833,F$1,Produccion_Semanal!$B$2:$B$833,$A84)</f>
        <v>166682.166</v>
      </c>
      <c r="G84" s="16" t="n">
        <f aca="false">SUMIFS(Produccion_Semanal!$AO$2:$AO$833,Produccion_Semanal!$E$2:$E$833,G$1,Produccion_Semanal!$B$2:$B$833,$A84)</f>
        <v>148698.196</v>
      </c>
      <c r="H84" s="16" t="n">
        <f aca="false">SUMIFS(Produccion_Semanal!$AO$2:$AO$833,Produccion_Semanal!$E$2:$E$833,H$1,Produccion_Semanal!$B$2:$B$833,$A84)</f>
        <v>97642.566</v>
      </c>
      <c r="I84" s="16" t="n">
        <f aca="false">SUMIFS(Produccion_Semanal!$AO$2:$AO$833,Produccion_Semanal!$E$2:$E$833,I$1,Produccion_Semanal!$B$2:$B$833,$A84)</f>
        <v>73305.905</v>
      </c>
    </row>
    <row r="85" customFormat="false" ht="15" hidden="false" customHeight="false" outlineLevel="0" collapsed="false">
      <c r="A85" s="9" t="n">
        <v>46132</v>
      </c>
      <c r="B85" s="16" t="n">
        <f aca="false">SUMIFS(Produccion_Semanal!$AO$2:$AO$833,Produccion_Semanal!$E$2:$E$833,B$1,Produccion_Semanal!$B$2:$B$833,$A85)</f>
        <v>157698.719</v>
      </c>
      <c r="C85" s="16" t="n">
        <f aca="false">SUMIFS(Produccion_Semanal!$AO$2:$AO$833,Produccion_Semanal!$E$2:$E$833,C$1,Produccion_Semanal!$B$2:$B$833,$A85)</f>
        <v>110505.409</v>
      </c>
      <c r="D85" s="16" t="n">
        <f aca="false">SUMIFS(Produccion_Semanal!$AO$2:$AO$833,Produccion_Semanal!$E$2:$E$833,D$1,Produccion_Semanal!$B$2:$B$833,$A85)</f>
        <v>114440.654</v>
      </c>
      <c r="E85" s="16" t="n">
        <f aca="false">SUMIFS(Produccion_Semanal!$AO$2:$AO$833,Produccion_Semanal!$E$2:$E$833,E$1,Produccion_Semanal!$B$2:$B$833,$A85)</f>
        <v>91148.51</v>
      </c>
      <c r="F85" s="16" t="n">
        <f aca="false">SUMIFS(Produccion_Semanal!$AO$2:$AO$833,Produccion_Semanal!$E$2:$E$833,F$1,Produccion_Semanal!$B$2:$B$833,$A85)</f>
        <v>127198.618</v>
      </c>
      <c r="G85" s="16" t="n">
        <f aca="false">SUMIFS(Produccion_Semanal!$AO$2:$AO$833,Produccion_Semanal!$E$2:$E$833,G$1,Produccion_Semanal!$B$2:$B$833,$A85)</f>
        <v>191286.11</v>
      </c>
      <c r="H85" s="16" t="n">
        <f aca="false">SUMIFS(Produccion_Semanal!$AO$2:$AO$833,Produccion_Semanal!$E$2:$E$833,H$1,Produccion_Semanal!$B$2:$B$833,$A85)</f>
        <v>105158.46</v>
      </c>
      <c r="I85" s="16" t="n">
        <f aca="false">SUMIFS(Produccion_Semanal!$AO$2:$AO$833,Produccion_Semanal!$E$2:$E$833,I$1,Produccion_Semanal!$B$2:$B$833,$A85)</f>
        <v>107237.177</v>
      </c>
    </row>
    <row r="86" customFormat="false" ht="15" hidden="false" customHeight="false" outlineLevel="0" collapsed="false">
      <c r="A86" s="9" t="n">
        <v>46139</v>
      </c>
      <c r="B86" s="16" t="n">
        <f aca="false">SUMIFS(Produccion_Semanal!$AO$2:$AO$833,Produccion_Semanal!$E$2:$E$833,B$1,Produccion_Semanal!$B$2:$B$833,$A86)</f>
        <v>152041.661</v>
      </c>
      <c r="C86" s="16" t="n">
        <f aca="false">SUMIFS(Produccion_Semanal!$AO$2:$AO$833,Produccion_Semanal!$E$2:$E$833,C$1,Produccion_Semanal!$B$2:$B$833,$A86)</f>
        <v>129357.624</v>
      </c>
      <c r="D86" s="16" t="n">
        <f aca="false">SUMIFS(Produccion_Semanal!$AO$2:$AO$833,Produccion_Semanal!$E$2:$E$833,D$1,Produccion_Semanal!$B$2:$B$833,$A86)</f>
        <v>165945.63</v>
      </c>
      <c r="E86" s="16" t="n">
        <f aca="false">SUMIFS(Produccion_Semanal!$AO$2:$AO$833,Produccion_Semanal!$E$2:$E$833,E$1,Produccion_Semanal!$B$2:$B$833,$A86)</f>
        <v>64605.901</v>
      </c>
      <c r="F86" s="16" t="n">
        <f aca="false">SUMIFS(Produccion_Semanal!$AO$2:$AO$833,Produccion_Semanal!$E$2:$E$833,F$1,Produccion_Semanal!$B$2:$B$833,$A86)</f>
        <v>129651.924</v>
      </c>
      <c r="G86" s="16" t="n">
        <f aca="false">SUMIFS(Produccion_Semanal!$AO$2:$AO$833,Produccion_Semanal!$E$2:$E$833,G$1,Produccion_Semanal!$B$2:$B$833,$A86)</f>
        <v>161312.731</v>
      </c>
      <c r="H86" s="16" t="n">
        <f aca="false">SUMIFS(Produccion_Semanal!$AO$2:$AO$833,Produccion_Semanal!$E$2:$E$833,H$1,Produccion_Semanal!$B$2:$B$833,$A86)</f>
        <v>113513.11</v>
      </c>
      <c r="I86" s="16" t="n">
        <f aca="false">SUMIFS(Produccion_Semanal!$AO$2:$AO$833,Produccion_Semanal!$E$2:$E$833,I$1,Produccion_Semanal!$B$2:$B$833,$A86)</f>
        <v>75728.832</v>
      </c>
    </row>
    <row r="87" customFormat="false" ht="15" hidden="false" customHeight="false" outlineLevel="0" collapsed="false">
      <c r="A87" s="9" t="n">
        <v>46146</v>
      </c>
      <c r="B87" s="16" t="n">
        <f aca="false">SUMIFS(Produccion_Semanal!$AO$2:$AO$833,Produccion_Semanal!$E$2:$E$833,B$1,Produccion_Semanal!$B$2:$B$833,$A87)</f>
        <v>171778.437</v>
      </c>
      <c r="C87" s="16" t="n">
        <f aca="false">SUMIFS(Produccion_Semanal!$AO$2:$AO$833,Produccion_Semanal!$E$2:$E$833,C$1,Produccion_Semanal!$B$2:$B$833,$A87)</f>
        <v>126890.538</v>
      </c>
      <c r="D87" s="16" t="n">
        <f aca="false">SUMIFS(Produccion_Semanal!$AO$2:$AO$833,Produccion_Semanal!$E$2:$E$833,D$1,Produccion_Semanal!$B$2:$B$833,$A87)</f>
        <v>100006.644</v>
      </c>
      <c r="E87" s="16" t="n">
        <f aca="false">SUMIFS(Produccion_Semanal!$AO$2:$AO$833,Produccion_Semanal!$E$2:$E$833,E$1,Produccion_Semanal!$B$2:$B$833,$A87)</f>
        <v>67478.069</v>
      </c>
      <c r="F87" s="16" t="n">
        <f aca="false">SUMIFS(Produccion_Semanal!$AO$2:$AO$833,Produccion_Semanal!$E$2:$E$833,F$1,Produccion_Semanal!$B$2:$B$833,$A87)</f>
        <v>103657.928</v>
      </c>
      <c r="G87" s="16" t="n">
        <f aca="false">SUMIFS(Produccion_Semanal!$AO$2:$AO$833,Produccion_Semanal!$E$2:$E$833,G$1,Produccion_Semanal!$B$2:$B$833,$A87)</f>
        <v>168022.344</v>
      </c>
      <c r="H87" s="16" t="n">
        <f aca="false">SUMIFS(Produccion_Semanal!$AO$2:$AO$833,Produccion_Semanal!$E$2:$E$833,H$1,Produccion_Semanal!$B$2:$B$833,$A87)</f>
        <v>117668.428</v>
      </c>
      <c r="I87" s="16" t="n">
        <f aca="false">SUMIFS(Produccion_Semanal!$AO$2:$AO$833,Produccion_Semanal!$E$2:$E$833,I$1,Produccion_Semanal!$B$2:$B$833,$A87)</f>
        <v>84286.362</v>
      </c>
    </row>
    <row r="88" customFormat="false" ht="15" hidden="false" customHeight="false" outlineLevel="0" collapsed="false">
      <c r="A88" s="9" t="n">
        <v>46153</v>
      </c>
      <c r="B88" s="16" t="n">
        <f aca="false">SUMIFS(Produccion_Semanal!$AO$2:$AO$833,Produccion_Semanal!$E$2:$E$833,B$1,Produccion_Semanal!$B$2:$B$833,$A88)</f>
        <v>157258.23</v>
      </c>
      <c r="C88" s="16" t="n">
        <f aca="false">SUMIFS(Produccion_Semanal!$AO$2:$AO$833,Produccion_Semanal!$E$2:$E$833,C$1,Produccion_Semanal!$B$2:$B$833,$A88)</f>
        <v>110093.362</v>
      </c>
      <c r="D88" s="16" t="n">
        <f aca="false">SUMIFS(Produccion_Semanal!$AO$2:$AO$833,Produccion_Semanal!$E$2:$E$833,D$1,Produccion_Semanal!$B$2:$B$833,$A88)</f>
        <v>112374.394</v>
      </c>
      <c r="E88" s="16" t="n">
        <f aca="false">SUMIFS(Produccion_Semanal!$AO$2:$AO$833,Produccion_Semanal!$E$2:$E$833,E$1,Produccion_Semanal!$B$2:$B$833,$A88)</f>
        <v>63826.316</v>
      </c>
      <c r="F88" s="16" t="n">
        <f aca="false">SUMIFS(Produccion_Semanal!$AO$2:$AO$833,Produccion_Semanal!$E$2:$E$833,F$1,Produccion_Semanal!$B$2:$B$833,$A88)</f>
        <v>125933.01</v>
      </c>
      <c r="G88" s="16" t="n">
        <f aca="false">SUMIFS(Produccion_Semanal!$AO$2:$AO$833,Produccion_Semanal!$E$2:$E$833,G$1,Produccion_Semanal!$B$2:$B$833,$A88)</f>
        <v>156695.934</v>
      </c>
      <c r="H88" s="16" t="n">
        <f aca="false">SUMIFS(Produccion_Semanal!$AO$2:$AO$833,Produccion_Semanal!$E$2:$E$833,H$1,Produccion_Semanal!$B$2:$B$833,$A88)</f>
        <v>123004.832</v>
      </c>
      <c r="I88" s="16" t="n">
        <f aca="false">SUMIFS(Produccion_Semanal!$AO$2:$AO$833,Produccion_Semanal!$E$2:$E$833,I$1,Produccion_Semanal!$B$2:$B$833,$A88)</f>
        <v>109188.213</v>
      </c>
    </row>
    <row r="89" customFormat="false" ht="15" hidden="false" customHeight="false" outlineLevel="0" collapsed="false">
      <c r="A89" s="9" t="n">
        <v>46160</v>
      </c>
      <c r="B89" s="16" t="n">
        <f aca="false">SUMIFS(Produccion_Semanal!$AO$2:$AO$833,Produccion_Semanal!$E$2:$E$833,B$1,Produccion_Semanal!$B$2:$B$833,$A89)</f>
        <v>155863.296</v>
      </c>
      <c r="C89" s="16" t="n">
        <f aca="false">SUMIFS(Produccion_Semanal!$AO$2:$AO$833,Produccion_Semanal!$E$2:$E$833,C$1,Produccion_Semanal!$B$2:$B$833,$A89)</f>
        <v>143235.669</v>
      </c>
      <c r="D89" s="16" t="n">
        <f aca="false">SUMIFS(Produccion_Semanal!$AO$2:$AO$833,Produccion_Semanal!$E$2:$E$833,D$1,Produccion_Semanal!$B$2:$B$833,$A89)</f>
        <v>130491.951</v>
      </c>
      <c r="E89" s="16" t="n">
        <f aca="false">SUMIFS(Produccion_Semanal!$AO$2:$AO$833,Produccion_Semanal!$E$2:$E$833,E$1,Produccion_Semanal!$B$2:$B$833,$A89)</f>
        <v>92875.685</v>
      </c>
      <c r="F89" s="16" t="n">
        <f aca="false">SUMIFS(Produccion_Semanal!$AO$2:$AO$833,Produccion_Semanal!$E$2:$E$833,F$1,Produccion_Semanal!$B$2:$B$833,$A89)</f>
        <v>91820.494</v>
      </c>
      <c r="G89" s="16" t="n">
        <f aca="false">SUMIFS(Produccion_Semanal!$AO$2:$AO$833,Produccion_Semanal!$E$2:$E$833,G$1,Produccion_Semanal!$B$2:$B$833,$A89)</f>
        <v>169219.142</v>
      </c>
      <c r="H89" s="16" t="n">
        <f aca="false">SUMIFS(Produccion_Semanal!$AO$2:$AO$833,Produccion_Semanal!$E$2:$E$833,H$1,Produccion_Semanal!$B$2:$B$833,$A89)</f>
        <v>89706.326</v>
      </c>
      <c r="I89" s="16" t="n">
        <f aca="false">SUMIFS(Produccion_Semanal!$AO$2:$AO$833,Produccion_Semanal!$E$2:$E$833,I$1,Produccion_Semanal!$B$2:$B$833,$A89)</f>
        <v>95257.968</v>
      </c>
    </row>
    <row r="90" customFormat="false" ht="15" hidden="false" customHeight="false" outlineLevel="0" collapsed="false">
      <c r="A90" s="9" t="n">
        <v>46167</v>
      </c>
      <c r="B90" s="16" t="n">
        <f aca="false">SUMIFS(Produccion_Semanal!$AO$2:$AO$833,Produccion_Semanal!$E$2:$E$833,B$1,Produccion_Semanal!$B$2:$B$833,$A90)</f>
        <v>151926.484</v>
      </c>
      <c r="C90" s="16" t="n">
        <f aca="false">SUMIFS(Produccion_Semanal!$AO$2:$AO$833,Produccion_Semanal!$E$2:$E$833,C$1,Produccion_Semanal!$B$2:$B$833,$A90)</f>
        <v>125609.898</v>
      </c>
      <c r="D90" s="16" t="n">
        <f aca="false">SUMIFS(Produccion_Semanal!$AO$2:$AO$833,Produccion_Semanal!$E$2:$E$833,D$1,Produccion_Semanal!$B$2:$B$833,$A90)</f>
        <v>137404.136</v>
      </c>
      <c r="E90" s="16" t="n">
        <f aca="false">SUMIFS(Produccion_Semanal!$AO$2:$AO$833,Produccion_Semanal!$E$2:$E$833,E$1,Produccion_Semanal!$B$2:$B$833,$A90)</f>
        <v>91037.632</v>
      </c>
      <c r="F90" s="16" t="n">
        <f aca="false">SUMIFS(Produccion_Semanal!$AO$2:$AO$833,Produccion_Semanal!$E$2:$E$833,F$1,Produccion_Semanal!$B$2:$B$833,$A90)</f>
        <v>106031.008</v>
      </c>
      <c r="G90" s="16" t="n">
        <f aca="false">SUMIFS(Produccion_Semanal!$AO$2:$AO$833,Produccion_Semanal!$E$2:$E$833,G$1,Produccion_Semanal!$B$2:$B$833,$A90)</f>
        <v>146039.44</v>
      </c>
      <c r="H90" s="16" t="n">
        <f aca="false">SUMIFS(Produccion_Semanal!$AO$2:$AO$833,Produccion_Semanal!$E$2:$E$833,H$1,Produccion_Semanal!$B$2:$B$833,$A90)</f>
        <v>115575.15</v>
      </c>
      <c r="I90" s="16" t="n">
        <f aca="false">SUMIFS(Produccion_Semanal!$AO$2:$AO$833,Produccion_Semanal!$E$2:$E$833,I$1,Produccion_Semanal!$B$2:$B$833,$A90)</f>
        <v>57974.74</v>
      </c>
    </row>
    <row r="91" customFormat="false" ht="15" hidden="false" customHeight="false" outlineLevel="0" collapsed="false">
      <c r="A91" s="9" t="n">
        <v>46174</v>
      </c>
      <c r="B91" s="16" t="n">
        <f aca="false">SUMIFS(Produccion_Semanal!$AO$2:$AO$833,Produccion_Semanal!$E$2:$E$833,B$1,Produccion_Semanal!$B$2:$B$833,$A91)</f>
        <v>168413.283</v>
      </c>
      <c r="C91" s="16" t="n">
        <f aca="false">SUMIFS(Produccion_Semanal!$AO$2:$AO$833,Produccion_Semanal!$E$2:$E$833,C$1,Produccion_Semanal!$B$2:$B$833,$A91)</f>
        <v>133215.27</v>
      </c>
      <c r="D91" s="16" t="n">
        <f aca="false">SUMIFS(Produccion_Semanal!$AO$2:$AO$833,Produccion_Semanal!$E$2:$E$833,D$1,Produccion_Semanal!$B$2:$B$833,$A91)</f>
        <v>170632.389</v>
      </c>
      <c r="E91" s="16" t="n">
        <f aca="false">SUMIFS(Produccion_Semanal!$AO$2:$AO$833,Produccion_Semanal!$E$2:$E$833,E$1,Produccion_Semanal!$B$2:$B$833,$A91)</f>
        <v>112621.769</v>
      </c>
      <c r="F91" s="16" t="n">
        <f aca="false">SUMIFS(Produccion_Semanal!$AO$2:$AO$833,Produccion_Semanal!$E$2:$E$833,F$1,Produccion_Semanal!$B$2:$B$833,$A91)</f>
        <v>124440.256</v>
      </c>
      <c r="G91" s="16" t="n">
        <f aca="false">SUMIFS(Produccion_Semanal!$AO$2:$AO$833,Produccion_Semanal!$E$2:$E$833,G$1,Produccion_Semanal!$B$2:$B$833,$A91)</f>
        <v>151040.547</v>
      </c>
      <c r="H91" s="16" t="n">
        <f aca="false">SUMIFS(Produccion_Semanal!$AO$2:$AO$833,Produccion_Semanal!$E$2:$E$833,H$1,Produccion_Semanal!$B$2:$B$833,$A91)</f>
        <v>139891.704</v>
      </c>
      <c r="I91" s="16" t="n">
        <f aca="false">SUMIFS(Produccion_Semanal!$AO$2:$AO$833,Produccion_Semanal!$E$2:$E$833,I$1,Produccion_Semanal!$B$2:$B$833,$A91)</f>
        <v>116181.918</v>
      </c>
    </row>
    <row r="92" customFormat="false" ht="15" hidden="false" customHeight="false" outlineLevel="0" collapsed="false">
      <c r="A92" s="9" t="n">
        <v>46181</v>
      </c>
      <c r="B92" s="16" t="n">
        <f aca="false">SUMIFS(Produccion_Semanal!$AO$2:$AO$833,Produccion_Semanal!$E$2:$E$833,B$1,Produccion_Semanal!$B$2:$B$833,$A92)</f>
        <v>167047.936</v>
      </c>
      <c r="C92" s="16" t="n">
        <f aca="false">SUMIFS(Produccion_Semanal!$AO$2:$AO$833,Produccion_Semanal!$E$2:$E$833,C$1,Produccion_Semanal!$B$2:$B$833,$A92)</f>
        <v>155528.427</v>
      </c>
      <c r="D92" s="16" t="n">
        <f aca="false">SUMIFS(Produccion_Semanal!$AO$2:$AO$833,Produccion_Semanal!$E$2:$E$833,D$1,Produccion_Semanal!$B$2:$B$833,$A92)</f>
        <v>163872.851</v>
      </c>
      <c r="E92" s="16" t="n">
        <f aca="false">SUMIFS(Produccion_Semanal!$AO$2:$AO$833,Produccion_Semanal!$E$2:$E$833,E$1,Produccion_Semanal!$B$2:$B$833,$A92)</f>
        <v>120663.871</v>
      </c>
      <c r="F92" s="16" t="n">
        <f aca="false">SUMIFS(Produccion_Semanal!$AO$2:$AO$833,Produccion_Semanal!$E$2:$E$833,F$1,Produccion_Semanal!$B$2:$B$833,$A92)</f>
        <v>137984.386</v>
      </c>
      <c r="G92" s="16" t="n">
        <f aca="false">SUMIFS(Produccion_Semanal!$AO$2:$AO$833,Produccion_Semanal!$E$2:$E$833,G$1,Produccion_Semanal!$B$2:$B$833,$A92)</f>
        <v>200255.166</v>
      </c>
      <c r="H92" s="16" t="n">
        <f aca="false">SUMIFS(Produccion_Semanal!$AO$2:$AO$833,Produccion_Semanal!$E$2:$E$833,H$1,Produccion_Semanal!$B$2:$B$833,$A92)</f>
        <v>106050.47</v>
      </c>
      <c r="I92" s="16" t="n">
        <f aca="false">SUMIFS(Produccion_Semanal!$AO$2:$AO$833,Produccion_Semanal!$E$2:$E$833,I$1,Produccion_Semanal!$B$2:$B$833,$A92)</f>
        <v>102879.798</v>
      </c>
    </row>
    <row r="93" customFormat="false" ht="15" hidden="false" customHeight="false" outlineLevel="0" collapsed="false">
      <c r="A93" s="9" t="n">
        <v>46188</v>
      </c>
      <c r="B93" s="16" t="n">
        <f aca="false">SUMIFS(Produccion_Semanal!$AO$2:$AO$833,Produccion_Semanal!$E$2:$E$833,B$1,Produccion_Semanal!$B$2:$B$833,$A93)</f>
        <v>163848.057</v>
      </c>
      <c r="C93" s="16" t="n">
        <f aca="false">SUMIFS(Produccion_Semanal!$AO$2:$AO$833,Produccion_Semanal!$E$2:$E$833,C$1,Produccion_Semanal!$B$2:$B$833,$A93)</f>
        <v>115020.425</v>
      </c>
      <c r="D93" s="16" t="n">
        <f aca="false">SUMIFS(Produccion_Semanal!$AO$2:$AO$833,Produccion_Semanal!$E$2:$E$833,D$1,Produccion_Semanal!$B$2:$B$833,$A93)</f>
        <v>136648.239</v>
      </c>
      <c r="E93" s="16" t="n">
        <f aca="false">SUMIFS(Produccion_Semanal!$AO$2:$AO$833,Produccion_Semanal!$E$2:$E$833,E$1,Produccion_Semanal!$B$2:$B$833,$A93)</f>
        <v>102318.333</v>
      </c>
      <c r="F93" s="16" t="n">
        <f aca="false">SUMIFS(Produccion_Semanal!$AO$2:$AO$833,Produccion_Semanal!$E$2:$E$833,F$1,Produccion_Semanal!$B$2:$B$833,$A93)</f>
        <v>119292.054</v>
      </c>
      <c r="G93" s="16" t="n">
        <f aca="false">SUMIFS(Produccion_Semanal!$AO$2:$AO$833,Produccion_Semanal!$E$2:$E$833,G$1,Produccion_Semanal!$B$2:$B$833,$A93)</f>
        <v>155368.686</v>
      </c>
      <c r="H93" s="16" t="n">
        <f aca="false">SUMIFS(Produccion_Semanal!$AO$2:$AO$833,Produccion_Semanal!$E$2:$E$833,H$1,Produccion_Semanal!$B$2:$B$833,$A93)</f>
        <v>72525.344</v>
      </c>
      <c r="I93" s="16" t="n">
        <f aca="false">SUMIFS(Produccion_Semanal!$AO$2:$AO$833,Produccion_Semanal!$E$2:$E$833,I$1,Produccion_Semanal!$B$2:$B$833,$A93)</f>
        <v>83701.442</v>
      </c>
    </row>
    <row r="94" customFormat="false" ht="15" hidden="false" customHeight="false" outlineLevel="0" collapsed="false">
      <c r="A94" s="9" t="n">
        <v>46195</v>
      </c>
      <c r="B94" s="16" t="n">
        <f aca="false">SUMIFS(Produccion_Semanal!$AO$2:$AO$833,Produccion_Semanal!$E$2:$E$833,B$1,Produccion_Semanal!$B$2:$B$833,$A94)</f>
        <v>179128.83</v>
      </c>
      <c r="C94" s="16" t="n">
        <f aca="false">SUMIFS(Produccion_Semanal!$AO$2:$AO$833,Produccion_Semanal!$E$2:$E$833,C$1,Produccion_Semanal!$B$2:$B$833,$A94)</f>
        <v>127078.803</v>
      </c>
      <c r="D94" s="16" t="n">
        <f aca="false">SUMIFS(Produccion_Semanal!$AO$2:$AO$833,Produccion_Semanal!$E$2:$E$833,D$1,Produccion_Semanal!$B$2:$B$833,$A94)</f>
        <v>130568.626</v>
      </c>
      <c r="E94" s="16" t="n">
        <f aca="false">SUMIFS(Produccion_Semanal!$AO$2:$AO$833,Produccion_Semanal!$E$2:$E$833,E$1,Produccion_Semanal!$B$2:$B$833,$A94)</f>
        <v>82347.136</v>
      </c>
      <c r="F94" s="16" t="n">
        <f aca="false">SUMIFS(Produccion_Semanal!$AO$2:$AO$833,Produccion_Semanal!$E$2:$E$833,F$1,Produccion_Semanal!$B$2:$B$833,$A94)</f>
        <v>83961.152</v>
      </c>
      <c r="G94" s="16" t="n">
        <f aca="false">SUMIFS(Produccion_Semanal!$AO$2:$AO$833,Produccion_Semanal!$E$2:$E$833,G$1,Produccion_Semanal!$B$2:$B$833,$A94)</f>
        <v>172844.73</v>
      </c>
      <c r="H94" s="16" t="n">
        <f aca="false">SUMIFS(Produccion_Semanal!$AO$2:$AO$833,Produccion_Semanal!$E$2:$E$833,H$1,Produccion_Semanal!$B$2:$B$833,$A94)</f>
        <v>128873.222</v>
      </c>
      <c r="I94" s="16" t="n">
        <f aca="false">SUMIFS(Produccion_Semanal!$AO$2:$AO$833,Produccion_Semanal!$E$2:$E$833,I$1,Produccion_Semanal!$B$2:$B$833,$A94)</f>
        <v>54170.094</v>
      </c>
    </row>
    <row r="95" customFormat="false" ht="15" hidden="false" customHeight="false" outlineLevel="0" collapsed="false">
      <c r="A95" s="9" t="n">
        <v>46202</v>
      </c>
      <c r="B95" s="16" t="n">
        <f aca="false">SUMIFS(Produccion_Semanal!$AO$2:$AO$833,Produccion_Semanal!$E$2:$E$833,B$1,Produccion_Semanal!$B$2:$B$833,$A95)</f>
        <v>161856.507</v>
      </c>
      <c r="C95" s="16" t="n">
        <f aca="false">SUMIFS(Produccion_Semanal!$AO$2:$AO$833,Produccion_Semanal!$E$2:$E$833,C$1,Produccion_Semanal!$B$2:$B$833,$A95)</f>
        <v>121964.532</v>
      </c>
      <c r="D95" s="16" t="n">
        <f aca="false">SUMIFS(Produccion_Semanal!$AO$2:$AO$833,Produccion_Semanal!$E$2:$E$833,D$1,Produccion_Semanal!$B$2:$B$833,$A95)</f>
        <v>134510.879</v>
      </c>
      <c r="E95" s="16" t="n">
        <f aca="false">SUMIFS(Produccion_Semanal!$AO$2:$AO$833,Produccion_Semanal!$E$2:$E$833,E$1,Produccion_Semanal!$B$2:$B$833,$A95)</f>
        <v>88320.031</v>
      </c>
      <c r="F95" s="16" t="n">
        <f aca="false">SUMIFS(Produccion_Semanal!$AO$2:$AO$833,Produccion_Semanal!$E$2:$E$833,F$1,Produccion_Semanal!$B$2:$B$833,$A95)</f>
        <v>143733.006</v>
      </c>
      <c r="G95" s="16" t="n">
        <f aca="false">SUMIFS(Produccion_Semanal!$AO$2:$AO$833,Produccion_Semanal!$E$2:$E$833,G$1,Produccion_Semanal!$B$2:$B$833,$A95)</f>
        <v>172881.531</v>
      </c>
      <c r="H95" s="16" t="n">
        <f aca="false">SUMIFS(Produccion_Semanal!$AO$2:$AO$833,Produccion_Semanal!$E$2:$E$833,H$1,Produccion_Semanal!$B$2:$B$833,$A95)</f>
        <v>123150.492</v>
      </c>
      <c r="I95" s="16" t="n">
        <f aca="false">SUMIFS(Produccion_Semanal!$AO$2:$AO$833,Produccion_Semanal!$E$2:$E$833,I$1,Produccion_Semanal!$B$2:$B$833,$A95)</f>
        <v>95790.262</v>
      </c>
    </row>
    <row r="96" customFormat="false" ht="15" hidden="false" customHeight="false" outlineLevel="0" collapsed="false">
      <c r="A96" s="9" t="n">
        <v>46209</v>
      </c>
      <c r="B96" s="16" t="n">
        <f aca="false">SUMIFS(Produccion_Semanal!$AO$2:$AO$833,Produccion_Semanal!$E$2:$E$833,B$1,Produccion_Semanal!$B$2:$B$833,$A96)</f>
        <v>165385.148</v>
      </c>
      <c r="C96" s="16" t="n">
        <f aca="false">SUMIFS(Produccion_Semanal!$AO$2:$AO$833,Produccion_Semanal!$E$2:$E$833,C$1,Produccion_Semanal!$B$2:$B$833,$A96)</f>
        <v>132780.49</v>
      </c>
      <c r="D96" s="16" t="n">
        <f aca="false">SUMIFS(Produccion_Semanal!$AO$2:$AO$833,Produccion_Semanal!$E$2:$E$833,D$1,Produccion_Semanal!$B$2:$B$833,$A96)</f>
        <v>110576.69</v>
      </c>
      <c r="E96" s="16" t="n">
        <f aca="false">SUMIFS(Produccion_Semanal!$AO$2:$AO$833,Produccion_Semanal!$E$2:$E$833,E$1,Produccion_Semanal!$B$2:$B$833,$A96)</f>
        <v>71337.941</v>
      </c>
      <c r="F96" s="16" t="n">
        <f aca="false">SUMIFS(Produccion_Semanal!$AO$2:$AO$833,Produccion_Semanal!$E$2:$E$833,F$1,Produccion_Semanal!$B$2:$B$833,$A96)</f>
        <v>137730.846</v>
      </c>
      <c r="G96" s="16" t="n">
        <f aca="false">SUMIFS(Produccion_Semanal!$AO$2:$AO$833,Produccion_Semanal!$E$2:$E$833,G$1,Produccion_Semanal!$B$2:$B$833,$A96)</f>
        <v>187653.607</v>
      </c>
      <c r="H96" s="16" t="n">
        <f aca="false">SUMIFS(Produccion_Semanal!$AO$2:$AO$833,Produccion_Semanal!$E$2:$E$833,H$1,Produccion_Semanal!$B$2:$B$833,$A96)</f>
        <v>154265.808</v>
      </c>
      <c r="I96" s="16" t="n">
        <f aca="false">SUMIFS(Produccion_Semanal!$AO$2:$AO$833,Produccion_Semanal!$E$2:$E$833,I$1,Produccion_Semanal!$B$2:$B$833,$A96)</f>
        <v>69017.243</v>
      </c>
    </row>
    <row r="97" customFormat="false" ht="15" hidden="false" customHeight="false" outlineLevel="0" collapsed="false">
      <c r="A97" s="9" t="n">
        <v>46216</v>
      </c>
      <c r="B97" s="16" t="n">
        <f aca="false">SUMIFS(Produccion_Semanal!$AO$2:$AO$833,Produccion_Semanal!$E$2:$E$833,B$1,Produccion_Semanal!$B$2:$B$833,$A97)</f>
        <v>165119.729</v>
      </c>
      <c r="C97" s="16" t="n">
        <f aca="false">SUMIFS(Produccion_Semanal!$AO$2:$AO$833,Produccion_Semanal!$E$2:$E$833,C$1,Produccion_Semanal!$B$2:$B$833,$A97)</f>
        <v>139603.537</v>
      </c>
      <c r="D97" s="16" t="n">
        <f aca="false">SUMIFS(Produccion_Semanal!$AO$2:$AO$833,Produccion_Semanal!$E$2:$E$833,D$1,Produccion_Semanal!$B$2:$B$833,$A97)</f>
        <v>118694.256</v>
      </c>
      <c r="E97" s="16" t="n">
        <f aca="false">SUMIFS(Produccion_Semanal!$AO$2:$AO$833,Produccion_Semanal!$E$2:$E$833,E$1,Produccion_Semanal!$B$2:$B$833,$A97)</f>
        <v>123790.705</v>
      </c>
      <c r="F97" s="16" t="n">
        <f aca="false">SUMIFS(Produccion_Semanal!$AO$2:$AO$833,Produccion_Semanal!$E$2:$E$833,F$1,Produccion_Semanal!$B$2:$B$833,$A97)</f>
        <v>121831.268</v>
      </c>
      <c r="G97" s="16" t="n">
        <f aca="false">SUMIFS(Produccion_Semanal!$AO$2:$AO$833,Produccion_Semanal!$E$2:$E$833,G$1,Produccion_Semanal!$B$2:$B$833,$A97)</f>
        <v>165166.825</v>
      </c>
      <c r="H97" s="16" t="n">
        <f aca="false">SUMIFS(Produccion_Semanal!$AO$2:$AO$833,Produccion_Semanal!$E$2:$E$833,H$1,Produccion_Semanal!$B$2:$B$833,$A97)</f>
        <v>141452.956</v>
      </c>
      <c r="I97" s="16" t="n">
        <f aca="false">SUMIFS(Produccion_Semanal!$AO$2:$AO$833,Produccion_Semanal!$E$2:$E$833,I$1,Produccion_Semanal!$B$2:$B$833,$A97)</f>
        <v>82832.046</v>
      </c>
    </row>
    <row r="98" customFormat="false" ht="15" hidden="false" customHeight="false" outlineLevel="0" collapsed="false">
      <c r="A98" s="9" t="n">
        <v>46223</v>
      </c>
      <c r="B98" s="16" t="n">
        <f aca="false">SUMIFS(Produccion_Semanal!$AO$2:$AO$833,Produccion_Semanal!$E$2:$E$833,B$1,Produccion_Semanal!$B$2:$B$833,$A98)</f>
        <v>171423.862</v>
      </c>
      <c r="C98" s="16" t="n">
        <f aca="false">SUMIFS(Produccion_Semanal!$AO$2:$AO$833,Produccion_Semanal!$E$2:$E$833,C$1,Produccion_Semanal!$B$2:$B$833,$A98)</f>
        <v>148608.317</v>
      </c>
      <c r="D98" s="16" t="n">
        <f aca="false">SUMIFS(Produccion_Semanal!$AO$2:$AO$833,Produccion_Semanal!$E$2:$E$833,D$1,Produccion_Semanal!$B$2:$B$833,$A98)</f>
        <v>154704.78</v>
      </c>
      <c r="E98" s="16" t="n">
        <f aca="false">SUMIFS(Produccion_Semanal!$AO$2:$AO$833,Produccion_Semanal!$E$2:$E$833,E$1,Produccion_Semanal!$B$2:$B$833,$A98)</f>
        <v>110593.299</v>
      </c>
      <c r="F98" s="16" t="n">
        <f aca="false">SUMIFS(Produccion_Semanal!$AO$2:$AO$833,Produccion_Semanal!$E$2:$E$833,F$1,Produccion_Semanal!$B$2:$B$833,$A98)</f>
        <v>100472.222</v>
      </c>
      <c r="G98" s="16" t="n">
        <f aca="false">SUMIFS(Produccion_Semanal!$AO$2:$AO$833,Produccion_Semanal!$E$2:$E$833,G$1,Produccion_Semanal!$B$2:$B$833,$A98)</f>
        <v>163663.065</v>
      </c>
      <c r="H98" s="16" t="n">
        <f aca="false">SUMIFS(Produccion_Semanal!$AO$2:$AO$833,Produccion_Semanal!$E$2:$E$833,H$1,Produccion_Semanal!$B$2:$B$833,$A98)</f>
        <v>107488.138</v>
      </c>
      <c r="I98" s="16" t="n">
        <f aca="false">SUMIFS(Produccion_Semanal!$AO$2:$AO$833,Produccion_Semanal!$E$2:$E$833,I$1,Produccion_Semanal!$B$2:$B$833,$A98)</f>
        <v>48198.11</v>
      </c>
    </row>
    <row r="99" customFormat="false" ht="15" hidden="false" customHeight="false" outlineLevel="0" collapsed="false">
      <c r="A99" s="9" t="n">
        <v>46230</v>
      </c>
      <c r="B99" s="16" t="n">
        <f aca="false">SUMIFS(Produccion_Semanal!$AO$2:$AO$833,Produccion_Semanal!$E$2:$E$833,B$1,Produccion_Semanal!$B$2:$B$833,$A99)</f>
        <v>171880.322</v>
      </c>
      <c r="C99" s="16" t="n">
        <f aca="false">SUMIFS(Produccion_Semanal!$AO$2:$AO$833,Produccion_Semanal!$E$2:$E$833,C$1,Produccion_Semanal!$B$2:$B$833,$A99)</f>
        <v>144117.627</v>
      </c>
      <c r="D99" s="16" t="n">
        <f aca="false">SUMIFS(Produccion_Semanal!$AO$2:$AO$833,Produccion_Semanal!$E$2:$E$833,D$1,Produccion_Semanal!$B$2:$B$833,$A99)</f>
        <v>162273.014</v>
      </c>
      <c r="E99" s="16" t="n">
        <f aca="false">SUMIFS(Produccion_Semanal!$AO$2:$AO$833,Produccion_Semanal!$E$2:$E$833,E$1,Produccion_Semanal!$B$2:$B$833,$A99)</f>
        <v>82796.373</v>
      </c>
      <c r="F99" s="16" t="n">
        <f aca="false">SUMIFS(Produccion_Semanal!$AO$2:$AO$833,Produccion_Semanal!$E$2:$E$833,F$1,Produccion_Semanal!$B$2:$B$833,$A99)</f>
        <v>96511.928</v>
      </c>
      <c r="G99" s="16" t="n">
        <f aca="false">SUMIFS(Produccion_Semanal!$AO$2:$AO$833,Produccion_Semanal!$E$2:$E$833,G$1,Produccion_Semanal!$B$2:$B$833,$A99)</f>
        <v>156490.142</v>
      </c>
      <c r="H99" s="16" t="n">
        <f aca="false">SUMIFS(Produccion_Semanal!$AO$2:$AO$833,Produccion_Semanal!$E$2:$E$833,H$1,Produccion_Semanal!$B$2:$B$833,$A99)</f>
        <v>131350.334</v>
      </c>
      <c r="I99" s="16" t="n">
        <f aca="false">SUMIFS(Produccion_Semanal!$AO$2:$AO$833,Produccion_Semanal!$E$2:$E$833,I$1,Produccion_Semanal!$B$2:$B$833,$A99)</f>
        <v>83468.549</v>
      </c>
    </row>
    <row r="100" customFormat="false" ht="15" hidden="false" customHeight="false" outlineLevel="0" collapsed="false">
      <c r="A100" s="9" t="n">
        <v>46237</v>
      </c>
      <c r="B100" s="16" t="n">
        <f aca="false">SUMIFS(Produccion_Semanal!$AO$2:$AO$833,Produccion_Semanal!$E$2:$E$833,B$1,Produccion_Semanal!$B$2:$B$833,$A100)</f>
        <v>188035.275</v>
      </c>
      <c r="C100" s="16" t="n">
        <f aca="false">SUMIFS(Produccion_Semanal!$AO$2:$AO$833,Produccion_Semanal!$E$2:$E$833,C$1,Produccion_Semanal!$B$2:$B$833,$A100)</f>
        <v>142877.198</v>
      </c>
      <c r="D100" s="16" t="n">
        <f aca="false">SUMIFS(Produccion_Semanal!$AO$2:$AO$833,Produccion_Semanal!$E$2:$E$833,D$1,Produccion_Semanal!$B$2:$B$833,$A100)</f>
        <v>131404.639</v>
      </c>
      <c r="E100" s="16" t="n">
        <f aca="false">SUMIFS(Produccion_Semanal!$AO$2:$AO$833,Produccion_Semanal!$E$2:$E$833,E$1,Produccion_Semanal!$B$2:$B$833,$A100)</f>
        <v>116775.357</v>
      </c>
      <c r="F100" s="16" t="n">
        <f aca="false">SUMIFS(Produccion_Semanal!$AO$2:$AO$833,Produccion_Semanal!$E$2:$E$833,F$1,Produccion_Semanal!$B$2:$B$833,$A100)</f>
        <v>163676.592</v>
      </c>
      <c r="G100" s="16" t="n">
        <f aca="false">SUMIFS(Produccion_Semanal!$AO$2:$AO$833,Produccion_Semanal!$E$2:$E$833,G$1,Produccion_Semanal!$B$2:$B$833,$A100)</f>
        <v>171860.401</v>
      </c>
      <c r="H100" s="16" t="n">
        <f aca="false">SUMIFS(Produccion_Semanal!$AO$2:$AO$833,Produccion_Semanal!$E$2:$E$833,H$1,Produccion_Semanal!$B$2:$B$833,$A100)</f>
        <v>70175.284</v>
      </c>
      <c r="I100" s="16" t="n">
        <f aca="false">SUMIFS(Produccion_Semanal!$AO$2:$AO$833,Produccion_Semanal!$E$2:$E$833,I$1,Produccion_Semanal!$B$2:$B$833,$A100)</f>
        <v>82879.947</v>
      </c>
    </row>
    <row r="101" customFormat="false" ht="15" hidden="false" customHeight="false" outlineLevel="0" collapsed="false">
      <c r="A101" s="9" t="n">
        <v>46244</v>
      </c>
      <c r="B101" s="16" t="n">
        <f aca="false">SUMIFS(Produccion_Semanal!$AO$2:$AO$833,Produccion_Semanal!$E$2:$E$833,B$1,Produccion_Semanal!$B$2:$B$833,$A101)</f>
        <v>172945.462</v>
      </c>
      <c r="C101" s="16" t="n">
        <f aca="false">SUMIFS(Produccion_Semanal!$AO$2:$AO$833,Produccion_Semanal!$E$2:$E$833,C$1,Produccion_Semanal!$B$2:$B$833,$A101)</f>
        <v>107927.829</v>
      </c>
      <c r="D101" s="16" t="n">
        <f aca="false">SUMIFS(Produccion_Semanal!$AO$2:$AO$833,Produccion_Semanal!$E$2:$E$833,D$1,Produccion_Semanal!$B$2:$B$833,$A101)</f>
        <v>94415.873</v>
      </c>
      <c r="E101" s="16" t="n">
        <f aca="false">SUMIFS(Produccion_Semanal!$AO$2:$AO$833,Produccion_Semanal!$E$2:$E$833,E$1,Produccion_Semanal!$B$2:$B$833,$A101)</f>
        <v>87494.719</v>
      </c>
      <c r="F101" s="16" t="n">
        <f aca="false">SUMIFS(Produccion_Semanal!$AO$2:$AO$833,Produccion_Semanal!$E$2:$E$833,F$1,Produccion_Semanal!$B$2:$B$833,$A101)</f>
        <v>126059.334</v>
      </c>
      <c r="G101" s="16" t="n">
        <f aca="false">SUMIFS(Produccion_Semanal!$AO$2:$AO$833,Produccion_Semanal!$E$2:$E$833,G$1,Produccion_Semanal!$B$2:$B$833,$A101)</f>
        <v>190846.525</v>
      </c>
      <c r="H101" s="16" t="n">
        <f aca="false">SUMIFS(Produccion_Semanal!$AO$2:$AO$833,Produccion_Semanal!$E$2:$E$833,H$1,Produccion_Semanal!$B$2:$B$833,$A101)</f>
        <v>134973.366</v>
      </c>
      <c r="I101" s="16" t="n">
        <f aca="false">SUMIFS(Produccion_Semanal!$AO$2:$AO$833,Produccion_Semanal!$E$2:$E$833,I$1,Produccion_Semanal!$B$2:$B$833,$A101)</f>
        <v>84424.702</v>
      </c>
    </row>
    <row r="102" customFormat="false" ht="15" hidden="false" customHeight="false" outlineLevel="0" collapsed="false">
      <c r="A102" s="9" t="n">
        <v>46251</v>
      </c>
      <c r="B102" s="16" t="n">
        <f aca="false">SUMIFS(Produccion_Semanal!$AO$2:$AO$833,Produccion_Semanal!$E$2:$E$833,B$1,Produccion_Semanal!$B$2:$B$833,$A102)</f>
        <v>193891.983</v>
      </c>
      <c r="C102" s="16" t="n">
        <f aca="false">SUMIFS(Produccion_Semanal!$AO$2:$AO$833,Produccion_Semanal!$E$2:$E$833,C$1,Produccion_Semanal!$B$2:$B$833,$A102)</f>
        <v>148255.997</v>
      </c>
      <c r="D102" s="16" t="n">
        <f aca="false">SUMIFS(Produccion_Semanal!$AO$2:$AO$833,Produccion_Semanal!$E$2:$E$833,D$1,Produccion_Semanal!$B$2:$B$833,$A102)</f>
        <v>150251.711</v>
      </c>
      <c r="E102" s="16" t="n">
        <f aca="false">SUMIFS(Produccion_Semanal!$AO$2:$AO$833,Produccion_Semanal!$E$2:$E$833,E$1,Produccion_Semanal!$B$2:$B$833,$A102)</f>
        <v>118991.256</v>
      </c>
      <c r="F102" s="16" t="n">
        <f aca="false">SUMIFS(Produccion_Semanal!$AO$2:$AO$833,Produccion_Semanal!$E$2:$E$833,F$1,Produccion_Semanal!$B$2:$B$833,$A102)</f>
        <v>96934.77</v>
      </c>
      <c r="G102" s="16" t="n">
        <f aca="false">SUMIFS(Produccion_Semanal!$AO$2:$AO$833,Produccion_Semanal!$E$2:$E$833,G$1,Produccion_Semanal!$B$2:$B$833,$A102)</f>
        <v>172595.5</v>
      </c>
      <c r="H102" s="16" t="n">
        <f aca="false">SUMIFS(Produccion_Semanal!$AO$2:$AO$833,Produccion_Semanal!$E$2:$E$833,H$1,Produccion_Semanal!$B$2:$B$833,$A102)</f>
        <v>116163.77</v>
      </c>
      <c r="I102" s="16" t="n">
        <f aca="false">SUMIFS(Produccion_Semanal!$AO$2:$AO$833,Produccion_Semanal!$E$2:$E$833,I$1,Produccion_Semanal!$B$2:$B$833,$A102)</f>
        <v>96061.363</v>
      </c>
    </row>
    <row r="103" customFormat="false" ht="15" hidden="false" customHeight="false" outlineLevel="0" collapsed="false">
      <c r="A103" s="9" t="n">
        <v>46258</v>
      </c>
      <c r="B103" s="16" t="n">
        <f aca="false">SUMIFS(Produccion_Semanal!$AO$2:$AO$833,Produccion_Semanal!$E$2:$E$833,B$1,Produccion_Semanal!$B$2:$B$833,$A103)</f>
        <v>174257.009</v>
      </c>
      <c r="C103" s="16" t="n">
        <f aca="false">SUMIFS(Produccion_Semanal!$AO$2:$AO$833,Produccion_Semanal!$E$2:$E$833,C$1,Produccion_Semanal!$B$2:$B$833,$A103)</f>
        <v>99696.089</v>
      </c>
      <c r="D103" s="16" t="n">
        <f aca="false">SUMIFS(Produccion_Semanal!$AO$2:$AO$833,Produccion_Semanal!$E$2:$E$833,D$1,Produccion_Semanal!$B$2:$B$833,$A103)</f>
        <v>152588.612</v>
      </c>
      <c r="E103" s="16" t="n">
        <f aca="false">SUMIFS(Produccion_Semanal!$AO$2:$AO$833,Produccion_Semanal!$E$2:$E$833,E$1,Produccion_Semanal!$B$2:$B$833,$A103)</f>
        <v>116675.361</v>
      </c>
      <c r="F103" s="16" t="n">
        <f aca="false">SUMIFS(Produccion_Semanal!$AO$2:$AO$833,Produccion_Semanal!$E$2:$E$833,F$1,Produccion_Semanal!$B$2:$B$833,$A103)</f>
        <v>112167.752</v>
      </c>
      <c r="G103" s="16" t="n">
        <f aca="false">SUMIFS(Produccion_Semanal!$AO$2:$AO$833,Produccion_Semanal!$E$2:$E$833,G$1,Produccion_Semanal!$B$2:$B$833,$A103)</f>
        <v>178541.798</v>
      </c>
      <c r="H103" s="16" t="n">
        <f aca="false">SUMIFS(Produccion_Semanal!$AO$2:$AO$833,Produccion_Semanal!$E$2:$E$833,H$1,Produccion_Semanal!$B$2:$B$833,$A103)</f>
        <v>137518.054</v>
      </c>
      <c r="I103" s="16" t="n">
        <f aca="false">SUMIFS(Produccion_Semanal!$AO$2:$AO$833,Produccion_Semanal!$E$2:$E$833,I$1,Produccion_Semanal!$B$2:$B$833,$A103)</f>
        <v>87574.073</v>
      </c>
    </row>
    <row r="104" customFormat="false" ht="15" hidden="false" customHeight="false" outlineLevel="0" collapsed="false">
      <c r="A104" s="9" t="n">
        <v>46265</v>
      </c>
      <c r="B104" s="16" t="n">
        <f aca="false">SUMIFS(Produccion_Semanal!$AO$2:$AO$833,Produccion_Semanal!$E$2:$E$833,B$1,Produccion_Semanal!$B$2:$B$833,$A104)</f>
        <v>166232.742</v>
      </c>
      <c r="C104" s="16" t="n">
        <f aca="false">SUMIFS(Produccion_Semanal!$AO$2:$AO$833,Produccion_Semanal!$E$2:$E$833,C$1,Produccion_Semanal!$B$2:$B$833,$A104)</f>
        <v>152459.202</v>
      </c>
      <c r="D104" s="16" t="n">
        <f aca="false">SUMIFS(Produccion_Semanal!$AO$2:$AO$833,Produccion_Semanal!$E$2:$E$833,D$1,Produccion_Semanal!$B$2:$B$833,$A104)</f>
        <v>150254.312</v>
      </c>
      <c r="E104" s="16" t="n">
        <f aca="false">SUMIFS(Produccion_Semanal!$AO$2:$AO$833,Produccion_Semanal!$E$2:$E$833,E$1,Produccion_Semanal!$B$2:$B$833,$A104)</f>
        <v>77139.961</v>
      </c>
      <c r="F104" s="16" t="n">
        <f aca="false">SUMIFS(Produccion_Semanal!$AO$2:$AO$833,Produccion_Semanal!$E$2:$E$833,F$1,Produccion_Semanal!$B$2:$B$833,$A104)</f>
        <v>126891.892</v>
      </c>
      <c r="G104" s="16" t="n">
        <f aca="false">SUMIFS(Produccion_Semanal!$AO$2:$AO$833,Produccion_Semanal!$E$2:$E$833,G$1,Produccion_Semanal!$B$2:$B$833,$A104)</f>
        <v>162522.581</v>
      </c>
      <c r="H104" s="16" t="n">
        <f aca="false">SUMIFS(Produccion_Semanal!$AO$2:$AO$833,Produccion_Semanal!$E$2:$E$833,H$1,Produccion_Semanal!$B$2:$B$833,$A104)</f>
        <v>107835.98</v>
      </c>
      <c r="I104" s="16" t="n">
        <f aca="false">SUMIFS(Produccion_Semanal!$AO$2:$AO$833,Produccion_Semanal!$E$2:$E$833,I$1,Produccion_Semanal!$B$2:$B$833,$A104)</f>
        <v>85992.417</v>
      </c>
    </row>
    <row r="105" customFormat="false" ht="15" hidden="false" customHeight="false" outlineLevel="0" collapsed="false">
      <c r="A105" s="9" t="n">
        <v>46272</v>
      </c>
      <c r="B105" s="16" t="n">
        <f aca="false">SUMIFS(Produccion_Semanal!$AO$2:$AO$833,Produccion_Semanal!$E$2:$E$833,B$1,Produccion_Semanal!$B$2:$B$833,$A105)</f>
        <v>173736.903</v>
      </c>
      <c r="C105" s="16" t="n">
        <f aca="false">SUMIFS(Produccion_Semanal!$AO$2:$AO$833,Produccion_Semanal!$E$2:$E$833,C$1,Produccion_Semanal!$B$2:$B$833,$A105)</f>
        <v>128161.972</v>
      </c>
      <c r="D105" s="16" t="n">
        <f aca="false">SUMIFS(Produccion_Semanal!$AO$2:$AO$833,Produccion_Semanal!$E$2:$E$833,D$1,Produccion_Semanal!$B$2:$B$833,$A105)</f>
        <v>166120.149</v>
      </c>
      <c r="E105" s="16" t="n">
        <f aca="false">SUMIFS(Produccion_Semanal!$AO$2:$AO$833,Produccion_Semanal!$E$2:$E$833,E$1,Produccion_Semanal!$B$2:$B$833,$A105)</f>
        <v>86154.485</v>
      </c>
      <c r="F105" s="16" t="n">
        <f aca="false">SUMIFS(Produccion_Semanal!$AO$2:$AO$833,Produccion_Semanal!$E$2:$E$833,F$1,Produccion_Semanal!$B$2:$B$833,$A105)</f>
        <v>185070.708</v>
      </c>
      <c r="G105" s="16" t="n">
        <f aca="false">SUMIFS(Produccion_Semanal!$AO$2:$AO$833,Produccion_Semanal!$E$2:$E$833,G$1,Produccion_Semanal!$B$2:$B$833,$A105)</f>
        <v>168897.643</v>
      </c>
      <c r="H105" s="16" t="n">
        <f aca="false">SUMIFS(Produccion_Semanal!$AO$2:$AO$833,Produccion_Semanal!$E$2:$E$833,H$1,Produccion_Semanal!$B$2:$B$833,$A105)</f>
        <v>88508.216</v>
      </c>
      <c r="I105" s="16" t="n">
        <f aca="false">SUMIFS(Produccion_Semanal!$AO$2:$AO$833,Produccion_Semanal!$E$2:$E$833,I$1,Produccion_Semanal!$B$2:$B$833,$A105)</f>
        <v>81191.056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4" min="13" style="0" width="11"/>
  </cols>
  <sheetData>
    <row r="1" customFormat="false" ht="42" hidden="false" customHeight="true" outlineLevel="0" collapsed="false">
      <c r="A1" s="8" t="s">
        <v>103</v>
      </c>
      <c r="B1" s="8" t="s">
        <v>104</v>
      </c>
      <c r="C1" s="8" t="s">
        <v>3229</v>
      </c>
      <c r="D1" s="8" t="s">
        <v>109</v>
      </c>
      <c r="E1" s="8" t="s">
        <v>3230</v>
      </c>
      <c r="F1" s="8" t="s">
        <v>3231</v>
      </c>
      <c r="G1" s="8" t="s">
        <v>62</v>
      </c>
      <c r="H1" s="8" t="s">
        <v>66</v>
      </c>
      <c r="I1" s="8" t="s">
        <v>70</v>
      </c>
      <c r="J1" s="8" t="s">
        <v>3232</v>
      </c>
      <c r="K1" s="8" t="s">
        <v>3233</v>
      </c>
      <c r="L1" s="8" t="s">
        <v>3234</v>
      </c>
      <c r="M1" s="8" t="s">
        <v>3235</v>
      </c>
      <c r="N1" s="8" t="s">
        <v>3236</v>
      </c>
    </row>
    <row r="2" customFormat="false" ht="15" hidden="false" customHeight="false" outlineLevel="0" collapsed="false">
      <c r="A2" s="5" t="s">
        <v>130</v>
      </c>
      <c r="B2" s="6" t="str">
        <f aca="false">INDEX(Parametros!$B$2:$B$9,MATCH(A2,Parametros!$A$2:$A$9,0))</f>
        <v>Ketchup botella</v>
      </c>
      <c r="C2" s="32" t="n">
        <f aca="false">COUNTIF(Produccion_Semanal!$E$2:$E$833,A2)</f>
        <v>104</v>
      </c>
      <c r="D2" s="33" t="n">
        <f aca="false">SUMIFS(Produccion_Semanal!$L$2:$L$833,Produccion_Semanal!$E$2:$E$833,A2)</f>
        <v>87826276</v>
      </c>
      <c r="E2" s="31" t="n">
        <f aca="false">AVERAGEIFS(Produccion_Semanal!$S$2:$S$833,Produccion_Semanal!$E$2:$E$833,A2)</f>
        <v>0.837560792215443</v>
      </c>
      <c r="F2" s="11" t="n">
        <f aca="false">SUMIFS(Produccion_Semanal!$I$2:$I$833,Produccion_Semanal!$E$2:$E$833,A2)</f>
        <v>284.383333333333</v>
      </c>
      <c r="G2" s="16" t="n">
        <f aca="false">SUMIFS(Produccion_Semanal!$AD$2:$AD$833,Produccion_Semanal!$E$2:$E$833,A2)</f>
        <v>34245.1016000018</v>
      </c>
      <c r="H2" s="30" t="n">
        <f aca="false">IFERROR(SUMIFS(Produccion_Semanal!$AE$2:$AE$833,Produccion_Semanal!$E$2:$E$833,A2)/SUMIFS(Produccion_Semanal!$Z$2:$Z$833,Produccion_Semanal!$E$2:$E$833,A2),0)</f>
        <v>0.0209283777008885</v>
      </c>
      <c r="I2" s="16" t="n">
        <f aca="false">SUMIFS(Produccion_Semanal!$AO$2:$AO$833,Produccion_Semanal!$E$2:$E$833,A2)</f>
        <v>16423549.23</v>
      </c>
      <c r="J2" s="31" t="n">
        <f aca="false">IFERROR(I2/SUMIFS(Produccion_Semanal!$AN$2:$AN$833,Produccion_Semanal!$E$2:$E$833,A2),0)</f>
        <v>0.263380852888186</v>
      </c>
      <c r="K2" s="30" t="n">
        <f aca="false">AVERAGE(Matriz_Retornos!$B$2:$B$105)</f>
        <v>0.00538971817734313</v>
      </c>
      <c r="L2" s="30" t="n">
        <f aca="false">STDEV(Matriz_Retornos!$B$2:$B$105)</f>
        <v>0.000585950499883134</v>
      </c>
      <c r="M2" s="30" t="n">
        <f aca="false">MIN(Matriz_Retornos!$B$2:$B$105)</f>
        <v>0.00300482416382252</v>
      </c>
      <c r="N2" s="30" t="n">
        <f aca="false">MAX(Matriz_Retornos!$B$2:$B$105)</f>
        <v>0.0066174738225256</v>
      </c>
    </row>
    <row r="3" customFormat="false" ht="15" hidden="false" customHeight="false" outlineLevel="0" collapsed="false">
      <c r="A3" s="5" t="s">
        <v>132</v>
      </c>
      <c r="B3" s="6" t="str">
        <f aca="false">INDEX(Parametros!$B$2:$B$9,MATCH(A3,Parametros!$A$2:$A$9,0))</f>
        <v>Mayonesa frasco</v>
      </c>
      <c r="C3" s="32" t="n">
        <f aca="false">COUNTIF(Produccion_Semanal!$E$2:$E$833,A3)</f>
        <v>104</v>
      </c>
      <c r="D3" s="33" t="n">
        <f aca="false">SUMIFS(Produccion_Semanal!$L$2:$L$833,Produccion_Semanal!$E$2:$E$833,A3)</f>
        <v>61817046</v>
      </c>
      <c r="E3" s="31" t="n">
        <f aca="false">AVERAGEIFS(Produccion_Semanal!$S$2:$S$833,Produccion_Semanal!$E$2:$E$833,A3)</f>
        <v>0.816201395791797</v>
      </c>
      <c r="F3" s="11" t="n">
        <f aca="false">SUMIFS(Produccion_Semanal!$I$2:$I$833,Produccion_Semanal!$E$2:$E$833,A3)</f>
        <v>290.133333333333</v>
      </c>
      <c r="G3" s="16" t="n">
        <f aca="false">SUMIFS(Produccion_Semanal!$AD$2:$AD$833,Produccion_Semanal!$E$2:$E$833,A3)</f>
        <v>7820.60850000102</v>
      </c>
      <c r="H3" s="30" t="n">
        <f aca="false">IFERROR(SUMIFS(Produccion_Semanal!$AE$2:$AE$833,Produccion_Semanal!$E$2:$E$833,A3)/SUMIFS(Produccion_Semanal!$Z$2:$Z$833,Produccion_Semanal!$E$2:$E$833,A3),0)</f>
        <v>0.0252073969964876</v>
      </c>
      <c r="I3" s="16" t="n">
        <f aca="false">SUMIFS(Produccion_Semanal!$AO$2:$AO$833,Produccion_Semanal!$E$2:$E$833,A3)</f>
        <v>13046964.961</v>
      </c>
      <c r="J3" s="31" t="n">
        <f aca="false">IFERROR(I3/SUMIFS(Produccion_Semanal!$AN$2:$AN$833,Produccion_Semanal!$E$2:$E$833,A3),0)</f>
        <v>0.219851794617324</v>
      </c>
      <c r="K3" s="30" t="n">
        <f aca="false">AVERAGE(Matriz_Retornos!$C$2:$C$105)</f>
        <v>0.00422395913008288</v>
      </c>
      <c r="L3" s="30" t="n">
        <f aca="false">STDEV(Matriz_Retornos!$C$2:$C$105)</f>
        <v>0.00049718213136368</v>
      </c>
      <c r="M3" s="30" t="n">
        <f aca="false">MIN(Matriz_Retornos!$C$2:$C$105)</f>
        <v>0.0024700332996633</v>
      </c>
      <c r="N3" s="30" t="n">
        <f aca="false">MAX(Matriz_Retornos!$C$2:$C$105)</f>
        <v>0.00523664737373737</v>
      </c>
    </row>
    <row r="4" customFormat="false" ht="15" hidden="false" customHeight="false" outlineLevel="0" collapsed="false">
      <c r="A4" s="5" t="s">
        <v>134</v>
      </c>
      <c r="B4" s="6" t="str">
        <f aca="false">INDEX(Parametros!$B$2:$B$9,MATCH(A4,Parametros!$A$2:$A$9,0))</f>
        <v>Aderezos vertibles</v>
      </c>
      <c r="C4" s="32" t="n">
        <f aca="false">COUNTIF(Produccion_Semanal!$E$2:$E$833,A4)</f>
        <v>104</v>
      </c>
      <c r="D4" s="33" t="n">
        <f aca="false">SUMIFS(Produccion_Semanal!$L$2:$L$833,Produccion_Semanal!$E$2:$E$833,A4)</f>
        <v>44006719</v>
      </c>
      <c r="E4" s="31" t="n">
        <f aca="false">AVERAGEIFS(Produccion_Semanal!$S$2:$S$833,Produccion_Semanal!$E$2:$E$833,A4)</f>
        <v>0.78702256458366</v>
      </c>
      <c r="F4" s="11" t="n">
        <f aca="false">SUMIFS(Produccion_Semanal!$I$2:$I$833,Produccion_Semanal!$E$2:$E$833,A4)</f>
        <v>284.266666666667</v>
      </c>
      <c r="G4" s="16" t="n">
        <f aca="false">SUMIFS(Produccion_Semanal!$AD$2:$AD$833,Produccion_Semanal!$E$2:$E$833,A4)</f>
        <v>66238.3064999976</v>
      </c>
      <c r="H4" s="30" t="n">
        <f aca="false">IFERROR(SUMIFS(Produccion_Semanal!$AE$2:$AE$833,Produccion_Semanal!$E$2:$E$833,A4)/SUMIFS(Produccion_Semanal!$Z$2:$Z$833,Produccion_Semanal!$E$2:$E$833,A4),0)</f>
        <v>0.0327367021964407</v>
      </c>
      <c r="I4" s="16" t="n">
        <f aca="false">SUMIFS(Produccion_Semanal!$AO$2:$AO$833,Produccion_Semanal!$E$2:$E$833,A4)</f>
        <v>13520866.754</v>
      </c>
      <c r="J4" s="31" t="n">
        <f aca="false">IFERROR(I4/SUMIFS(Produccion_Semanal!$AN$2:$AN$833,Produccion_Semanal!$E$2:$E$833,A4),0)</f>
        <v>0.301221086707415</v>
      </c>
      <c r="K4" s="30" t="n">
        <f aca="false">AVERAGE(Matriz_Retornos!$D$2:$D$105)</f>
        <v>0.00673618311777601</v>
      </c>
      <c r="L4" s="30" t="n">
        <f aca="false">STDEV(Matriz_Retornos!$D$2:$D$105)</f>
        <v>0.0010919994571898</v>
      </c>
      <c r="M4" s="30" t="n">
        <f aca="false">MIN(Matriz_Retornos!$D$2:$D$105)</f>
        <v>0.00424683492227979</v>
      </c>
      <c r="N4" s="30" t="n">
        <f aca="false">MAX(Matriz_Retornos!$D$2:$D$105)</f>
        <v>0.00945150274611399</v>
      </c>
    </row>
    <row r="5" customFormat="false" ht="15" hidden="false" customHeight="false" outlineLevel="0" collapsed="false">
      <c r="A5" s="5" t="s">
        <v>136</v>
      </c>
      <c r="B5" s="6" t="str">
        <f aca="false">INDEX(Parametros!$B$2:$B$9,MATCH(A5,Parametros!$A$2:$A$9,0))</f>
        <v>Salsa BBQ</v>
      </c>
      <c r="C5" s="32" t="n">
        <f aca="false">COUNTIF(Produccion_Semanal!$E$2:$E$833,A5)</f>
        <v>104</v>
      </c>
      <c r="D5" s="33" t="n">
        <f aca="false">SUMIFS(Produccion_Semanal!$L$2:$L$833,Produccion_Semanal!$E$2:$E$833,A5)</f>
        <v>35706971</v>
      </c>
      <c r="E5" s="31" t="n">
        <f aca="false">AVERAGEIFS(Produccion_Semanal!$S$2:$S$833,Produccion_Semanal!$E$2:$E$833,A5)</f>
        <v>0.782355920039462</v>
      </c>
      <c r="F5" s="11" t="n">
        <f aca="false">SUMIFS(Produccion_Semanal!$I$2:$I$833,Produccion_Semanal!$E$2:$E$833,A5)</f>
        <v>259.616666666667</v>
      </c>
      <c r="G5" s="16" t="n">
        <f aca="false">SUMIFS(Produccion_Semanal!$AD$2:$AD$833,Produccion_Semanal!$E$2:$E$833,A5)</f>
        <v>-4163.71903999861</v>
      </c>
      <c r="H5" s="30" t="n">
        <f aca="false">IFERROR(SUMIFS(Produccion_Semanal!$AE$2:$AE$833,Produccion_Semanal!$E$2:$E$833,A5)/SUMIFS(Produccion_Semanal!$Z$2:$Z$833,Produccion_Semanal!$E$2:$E$833,A5),0)</f>
        <v>0.027798951696826</v>
      </c>
      <c r="I5" s="16" t="n">
        <f aca="false">SUMIFS(Produccion_Semanal!$AO$2:$AO$833,Produccion_Semanal!$E$2:$E$833,A5)</f>
        <v>8498133.033</v>
      </c>
      <c r="J5" s="31" t="n">
        <f aca="false">IFERROR(I5/SUMIFS(Produccion_Semanal!$AN$2:$AN$833,Produccion_Semanal!$E$2:$E$833,A5),0)</f>
        <v>0.242853540262145</v>
      </c>
      <c r="K5" s="30" t="n">
        <f aca="false">AVERAGE(Matriz_Retornos!$E$2:$E$105)</f>
        <v>0.00480663633088235</v>
      </c>
      <c r="L5" s="30" t="n">
        <f aca="false">STDEV(Matriz_Retornos!$E$2:$E$105)</f>
        <v>0.00137359933651863</v>
      </c>
      <c r="M5" s="30" t="n">
        <f aca="false">MIN(Matriz_Retornos!$E$2:$E$105)</f>
        <v>0.00140420847058824</v>
      </c>
      <c r="N5" s="30" t="n">
        <f aca="false">MAX(Matriz_Retornos!$E$2:$E$105)</f>
        <v>0.00778408064705882</v>
      </c>
    </row>
    <row r="6" customFormat="false" ht="15" hidden="false" customHeight="false" outlineLevel="0" collapsed="false">
      <c r="A6" s="5" t="s">
        <v>138</v>
      </c>
      <c r="B6" s="6" t="str">
        <f aca="false">INDEX(Parametros!$B$2:$B$9,MATCH(A6,Parametros!$A$2:$A$9,0))</f>
        <v>Queso crema</v>
      </c>
      <c r="C6" s="32" t="n">
        <f aca="false">COUNTIF(Produccion_Semanal!$E$2:$E$833,A6)</f>
        <v>104</v>
      </c>
      <c r="D6" s="33" t="n">
        <f aca="false">SUMIFS(Produccion_Semanal!$L$2:$L$833,Produccion_Semanal!$E$2:$E$833,A6)</f>
        <v>33450663</v>
      </c>
      <c r="E6" s="31" t="n">
        <f aca="false">AVERAGEIFS(Produccion_Semanal!$S$2:$S$833,Produccion_Semanal!$E$2:$E$833,A6)</f>
        <v>0.753549964163631</v>
      </c>
      <c r="F6" s="11" t="n">
        <f aca="false">SUMIFS(Produccion_Semanal!$I$2:$I$833,Produccion_Semanal!$E$2:$E$833,A6)</f>
        <v>368.433333333333</v>
      </c>
      <c r="G6" s="16" t="n">
        <f aca="false">SUMIFS(Produccion_Semanal!$AD$2:$AD$833,Produccion_Semanal!$E$2:$E$833,A6)</f>
        <v>-35367.4996000038</v>
      </c>
      <c r="H6" s="30" t="n">
        <f aca="false">IFERROR(SUMIFS(Produccion_Semanal!$AE$2:$AE$833,Produccion_Semanal!$E$2:$E$833,A6)/SUMIFS(Produccion_Semanal!$Z$2:$Z$833,Produccion_Semanal!$E$2:$E$833,A6),0)</f>
        <v>0.0340559791104033</v>
      </c>
      <c r="I6" s="16" t="n">
        <f aca="false">SUMIFS(Produccion_Semanal!$AO$2:$AO$833,Produccion_Semanal!$E$2:$E$833,A6)</f>
        <v>11945179.752</v>
      </c>
      <c r="J6" s="31" t="n">
        <f aca="false">IFERROR(I6/SUMIFS(Produccion_Semanal!$AN$2:$AN$833,Produccion_Semanal!$E$2:$E$833,A6),0)</f>
        <v>0.199496338163869</v>
      </c>
      <c r="K6" s="30" t="n">
        <f aca="false">AVERAGE(Matriz_Retornos!$F$2:$F$105)</f>
        <v>0.00345956318118628</v>
      </c>
      <c r="L6" s="30" t="n">
        <f aca="false">STDEV(Matriz_Retornos!$F$2:$F$105)</f>
        <v>0.000647585739497038</v>
      </c>
      <c r="M6" s="30" t="n">
        <f aca="false">MIN(Matriz_Retornos!$F$2:$F$105)</f>
        <v>0.00150158680722892</v>
      </c>
      <c r="N6" s="30" t="n">
        <f aca="false">MAX(Matriz_Retornos!$F$2:$F$105)</f>
        <v>0.00557441891566265</v>
      </c>
    </row>
    <row r="7" customFormat="false" ht="15" hidden="false" customHeight="false" outlineLevel="0" collapsed="false">
      <c r="A7" s="5" t="s">
        <v>140</v>
      </c>
      <c r="B7" s="6" t="str">
        <f aca="false">INDEX(Parametros!$B$2:$B$9,MATCH(A7,Parametros!$A$2:$A$9,0))</f>
        <v>Crema de cacahuate</v>
      </c>
      <c r="C7" s="32" t="n">
        <f aca="false">COUNTIF(Produccion_Semanal!$E$2:$E$833,A7)</f>
        <v>104</v>
      </c>
      <c r="D7" s="33" t="n">
        <f aca="false">SUMIFS(Produccion_Semanal!$L$2:$L$833,Produccion_Semanal!$E$2:$E$833,A7)</f>
        <v>36911830</v>
      </c>
      <c r="E7" s="31" t="n">
        <f aca="false">AVERAGEIFS(Produccion_Semanal!$S$2:$S$833,Produccion_Semanal!$E$2:$E$833,A7)</f>
        <v>0.83461727153413</v>
      </c>
      <c r="F7" s="11" t="n">
        <f aca="false">SUMIFS(Produccion_Semanal!$I$2:$I$833,Produccion_Semanal!$E$2:$E$833,A7)</f>
        <v>165.983333333333</v>
      </c>
      <c r="G7" s="16" t="n">
        <f aca="false">SUMIFS(Produccion_Semanal!$AD$2:$AD$833,Produccion_Semanal!$E$2:$E$833,A7)</f>
        <v>54493.9178000008</v>
      </c>
      <c r="H7" s="30" t="n">
        <f aca="false">IFERROR(SUMIFS(Produccion_Semanal!$AE$2:$AE$833,Produccion_Semanal!$E$2:$E$833,A7)/SUMIFS(Produccion_Semanal!$Z$2:$Z$833,Produccion_Semanal!$E$2:$E$833,A7),0)</f>
        <v>0.0235219862223312</v>
      </c>
      <c r="I7" s="16" t="n">
        <f aca="false">SUMIFS(Produccion_Semanal!$AO$2:$AO$833,Produccion_Semanal!$E$2:$E$833,A7)</f>
        <v>16784931.171</v>
      </c>
      <c r="J7" s="31" t="n">
        <f aca="false">IFERROR(I7/SUMIFS(Produccion_Semanal!$AN$2:$AN$833,Produccion_Semanal!$E$2:$E$833,A7),0)</f>
        <v>0.280697776947772</v>
      </c>
      <c r="K7" s="30" t="n">
        <f aca="false">AVERAGE(Matriz_Retornos!$G$2:$G$105)</f>
        <v>0.00576405603399725</v>
      </c>
      <c r="L7" s="30" t="n">
        <f aca="false">STDEV(Matriz_Retornos!$G$2:$G$105)</f>
        <v>0.000582775046486847</v>
      </c>
      <c r="M7" s="30" t="n">
        <f aca="false">MIN(Matriz_Retornos!$G$2:$G$105)</f>
        <v>0.00423289003571429</v>
      </c>
      <c r="N7" s="30" t="n">
        <f aca="false">MAX(Matriz_Retornos!$G$2:$G$105)</f>
        <v>0.00715197021428572</v>
      </c>
    </row>
    <row r="8" customFormat="false" ht="15" hidden="false" customHeight="false" outlineLevel="0" collapsed="false">
      <c r="A8" s="5" t="s">
        <v>142</v>
      </c>
      <c r="B8" s="6" t="str">
        <f aca="false">INDEX(Parametros!$B$2:$B$9,MATCH(A8,Parametros!$A$2:$A$9,0))</f>
        <v>Porciones single serve</v>
      </c>
      <c r="C8" s="32" t="n">
        <f aca="false">COUNTIF(Produccion_Semanal!$E$2:$E$833,A8)</f>
        <v>104</v>
      </c>
      <c r="D8" s="33" t="n">
        <f aca="false">SUMIFS(Produccion_Semanal!$L$2:$L$833,Produccion_Semanal!$E$2:$E$833,A8)</f>
        <v>21392973</v>
      </c>
      <c r="E8" s="31" t="n">
        <f aca="false">AVERAGEIFS(Produccion_Semanal!$S$2:$S$833,Produccion_Semanal!$E$2:$E$833,A8)</f>
        <v>0.720546068491519</v>
      </c>
      <c r="F8" s="11" t="n">
        <f aca="false">SUMIFS(Produccion_Semanal!$I$2:$I$833,Produccion_Semanal!$E$2:$E$833,A8)</f>
        <v>407.933333333333</v>
      </c>
      <c r="G8" s="16" t="n">
        <f aca="false">SUMIFS(Produccion_Semanal!$AD$2:$AD$833,Produccion_Semanal!$E$2:$E$833,A8)</f>
        <v>-11926.5908999998</v>
      </c>
      <c r="H8" s="30" t="n">
        <f aca="false">IFERROR(SUMIFS(Produccion_Semanal!$AE$2:$AE$833,Produccion_Semanal!$E$2:$E$833,A8)/SUMIFS(Produccion_Semanal!$Z$2:$Z$833,Produccion_Semanal!$E$2:$E$833,A8),0)</f>
        <v>0.0442466210876941</v>
      </c>
      <c r="I8" s="16" t="n">
        <f aca="false">SUMIFS(Produccion_Semanal!$AO$2:$AO$833,Produccion_Semanal!$E$2:$E$833,A8)</f>
        <v>12112317.518</v>
      </c>
      <c r="J8" s="31" t="n">
        <f aca="false">IFERROR(I8/SUMIFS(Produccion_Semanal!$AN$2:$AN$833,Produccion_Semanal!$E$2:$E$833,A8),0)</f>
        <v>0.329175616152306</v>
      </c>
      <c r="K8" s="30" t="n">
        <f aca="false">AVERAGE(Matriz_Retornos!$H$2:$H$105)</f>
        <v>0.00732481707668118</v>
      </c>
      <c r="L8" s="30" t="n">
        <f aca="false">STDEV(Matriz_Retornos!$H$2:$H$105)</f>
        <v>0.00173705321510573</v>
      </c>
      <c r="M8" s="30" t="n">
        <f aca="false">MIN(Matriz_Retornos!$H$2:$H$105)</f>
        <v>0.00351044729559748</v>
      </c>
      <c r="N8" s="30" t="n">
        <f aca="false">MAX(Matriz_Retornos!$H$2:$H$105)</f>
        <v>0.0119919846540881</v>
      </c>
    </row>
    <row r="9" customFormat="false" ht="15" hidden="false" customHeight="false" outlineLevel="0" collapsed="false">
      <c r="A9" s="5" t="s">
        <v>144</v>
      </c>
      <c r="B9" s="6" t="str">
        <f aca="false">INDEX(Parametros!$B$2:$B$9,MATCH(A9,Parametros!$A$2:$A$9,0))</f>
        <v>Salsas picantes</v>
      </c>
      <c r="C9" s="32" t="n">
        <f aca="false">COUNTIF(Produccion_Semanal!$E$2:$E$833,A9)</f>
        <v>104</v>
      </c>
      <c r="D9" s="33" t="n">
        <f aca="false">SUMIFS(Produccion_Semanal!$L$2:$L$833,Produccion_Semanal!$E$2:$E$833,A9)</f>
        <v>22617414</v>
      </c>
      <c r="E9" s="31" t="n">
        <f aca="false">AVERAGEIFS(Produccion_Semanal!$S$2:$S$833,Produccion_Semanal!$E$2:$E$833,A9)</f>
        <v>0.802010329195509</v>
      </c>
      <c r="F9" s="11" t="n">
        <f aca="false">SUMIFS(Produccion_Semanal!$I$2:$I$833,Produccion_Semanal!$E$2:$E$833,A9)</f>
        <v>264.75</v>
      </c>
      <c r="G9" s="16" t="n">
        <f aca="false">SUMIFS(Produccion_Semanal!$AD$2:$AD$833,Produccion_Semanal!$E$2:$E$833,A9)</f>
        <v>27134.1157599993</v>
      </c>
      <c r="H9" s="30" t="n">
        <f aca="false">IFERROR(SUMIFS(Produccion_Semanal!$AE$2:$AE$833,Produccion_Semanal!$E$2:$E$833,A9)/SUMIFS(Produccion_Semanal!$Z$2:$Z$833,Produccion_Semanal!$E$2:$E$833,A9),0)</f>
        <v>0.0278177275530288</v>
      </c>
      <c r="I9" s="16" t="n">
        <f aca="false">SUMIFS(Produccion_Semanal!$AO$2:$AO$833,Produccion_Semanal!$E$2:$E$833,A9)</f>
        <v>8802292.063</v>
      </c>
      <c r="J9" s="31" t="n">
        <f aca="false">IFERROR(I9/SUMIFS(Produccion_Semanal!$AN$2:$AN$833,Produccion_Semanal!$E$2:$E$833,A9),0)</f>
        <v>0.311345658279059</v>
      </c>
      <c r="K9" s="30" t="n">
        <f aca="false">AVERAGE(Matriz_Retornos!$I$2:$I$105)</f>
        <v>0.00636371606636784</v>
      </c>
      <c r="L9" s="30" t="n">
        <f aca="false">STDEV(Matriz_Retornos!$I$2:$I$105)</f>
        <v>0.00114196841536926</v>
      </c>
      <c r="M9" s="30" t="n">
        <f aca="false">MIN(Matriz_Retornos!$I$2:$I$105)</f>
        <v>0.00359349195488722</v>
      </c>
      <c r="N9" s="30" t="n">
        <f aca="false">MAX(Matriz_Retornos!$I$2:$I$105)</f>
        <v>0.00873548255639098</v>
      </c>
    </row>
    <row r="10" customFormat="false" ht="15" hidden="false" customHeight="false" outlineLevel="0" collapsed="false">
      <c r="A10" s="4" t="s">
        <v>3237</v>
      </c>
    </row>
    <row r="11" customFormat="false" ht="15" hidden="false" customHeight="false" outlineLevel="0" collapsed="false">
      <c r="A11" s="2" t="s">
        <v>3238</v>
      </c>
      <c r="B11" s="34" t="n">
        <f aca="false">COUNTA(Produccion_Semanal!$A$2:$A$833)</f>
        <v>832</v>
      </c>
      <c r="C11" s="2" t="s">
        <v>3239</v>
      </c>
    </row>
    <row r="12" customFormat="false" ht="15" hidden="false" customHeight="false" outlineLevel="0" collapsed="false">
      <c r="A12" s="2" t="s">
        <v>3240</v>
      </c>
      <c r="B12" s="34" t="n">
        <f aca="false">SUM(Eventos_Paro!$J$2:$J$2186)</f>
        <v>2325.5</v>
      </c>
      <c r="C12" s="2" t="s">
        <v>3241</v>
      </c>
    </row>
    <row r="13" customFormat="false" ht="15" hidden="false" customHeight="false" outlineLevel="0" collapsed="false">
      <c r="A13" s="2" t="s">
        <v>3242</v>
      </c>
      <c r="B13" s="34" t="n">
        <f aca="false">SUM(Produccion_Semanal!$I$2:$I$833)</f>
        <v>2325.5</v>
      </c>
      <c r="C13" s="2"/>
    </row>
    <row r="14" customFormat="false" ht="15" hidden="false" customHeight="false" outlineLevel="0" collapsed="false">
      <c r="A14" s="2" t="s">
        <v>3243</v>
      </c>
      <c r="B14" s="34" t="n">
        <f aca="false">ROUND(B12-B13,4)</f>
        <v>0</v>
      </c>
      <c r="C14" s="2" t="s">
        <v>3244</v>
      </c>
    </row>
    <row r="15" customFormat="false" ht="15" hidden="false" customHeight="false" outlineLevel="0" collapsed="false">
      <c r="A15" s="2" t="s">
        <v>3245</v>
      </c>
      <c r="B15" s="34" t="n">
        <f aca="false">COUNTIF(Produccion_Semanal!$J$2:$J$833,"&lt;=0")</f>
        <v>0</v>
      </c>
      <c r="C15" s="2" t="s">
        <v>3246</v>
      </c>
    </row>
    <row r="16" customFormat="false" ht="15" hidden="false" customHeight="false" outlineLevel="0" collapsed="false">
      <c r="A16" s="2" t="s">
        <v>3247</v>
      </c>
      <c r="B16" s="34" t="n">
        <f aca="false">COUNTIF(Produccion_Semanal!$Q$2:$Q$833,"&gt;1")</f>
        <v>0</v>
      </c>
      <c r="C16" s="2" t="s">
        <v>3248</v>
      </c>
    </row>
    <row r="17" customFormat="false" ht="15" hidden="false" customHeight="false" outlineLevel="0" collapsed="false">
      <c r="A17" s="2" t="s">
        <v>3249</v>
      </c>
      <c r="B17" s="34" t="n">
        <f aca="false">SUMPRODUCT((COUNTIFS(Produccion_Semanal!$E$2:$E$833,Produccion_Semanal!$E$2:$E$833,Produccion_Semanal!$B$2:$B$833,Produccion_Semanal!$B$2:$B$833)&gt;1)*1)</f>
        <v>0</v>
      </c>
      <c r="C17" s="2" t="s">
        <v>3246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2026-09-17T14:42:02Z</dcterms:created>
  <dc:creator>openpyxl</dc:creator>
  <dc:description/>
  <dc:language>en-US</dc:language>
  <cp:lastModifiedBy/>
  <dcterms:modified xsi:type="dcterms:W3CDTF">2026-09-17T14:42:03Z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